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fileSharing readOnlyRecommended="1"/>
  <workbookPr/>
  <mc:AlternateContent xmlns:mc="http://schemas.openxmlformats.org/markup-compatibility/2006">
    <mc:Choice Requires="x15">
      <x15ac:absPath xmlns:x15ac="http://schemas.microsoft.com/office/spreadsheetml/2010/11/ac" url="https://rakbank-my.sharepoint.com/personal/gokhan_imral_rakbank_ae/Documents/Documents/Projects/crm-modeling/"/>
    </mc:Choice>
  </mc:AlternateContent>
  <xr:revisionPtr revIDLastSave="0" documentId="8_{1F87EFDC-393F-438E-8714-F6DC0451A1AF}" xr6:coauthVersionLast="47" xr6:coauthVersionMax="47" xr10:uidLastSave="{00000000-0000-0000-0000-000000000000}"/>
  <bookViews>
    <workbookView xWindow="-120" yWindow="-120" windowWidth="27120" windowHeight="16320" firstSheet="19" activeTab="28" xr2:uid="{EE0548FA-AEB3-46AF-9228-39575075E1FD}"/>
  </bookViews>
  <sheets>
    <sheet name="SystemsList" sheetId="1" state="hidden" r:id="rId1"/>
    <sheet name="Sheet2" sheetId="43" state="hidden" r:id="rId2"/>
    <sheet name="Remarks" sheetId="45" state="hidden" r:id="rId3"/>
    <sheet name="Status" sheetId="46" state="hidden" r:id="rId4"/>
    <sheet name="Sheet3" sheetId="44" state="hidden" r:id="rId5"/>
    <sheet name="M2" sheetId="49" state="hidden" r:id="rId6"/>
    <sheet name="Approach" sheetId="48" state="hidden" r:id="rId7"/>
    <sheet name="SampleData" sheetId="41" state="hidden" r:id="rId8"/>
    <sheet name="Sheet1" sheetId="40" state="hidden" r:id="rId9"/>
    <sheet name="Summary" sheetId="50" state="hidden" r:id="rId10"/>
    <sheet name="DataIngestion-SQL" sheetId="51" state="hidden" r:id="rId11"/>
    <sheet name="Environment" sheetId="67" r:id="rId12"/>
    <sheet name="DataActions" sheetId="66" state="hidden" r:id="rId13"/>
    <sheet name="Data_EDC_old" sheetId="71" state="hidden" r:id="rId14"/>
    <sheet name="pivot1" sheetId="77" state="hidden" r:id="rId15"/>
    <sheet name="Data_EDC" sheetId="72" state="hidden" r:id="rId16"/>
    <sheet name="New_IngestionSummary" sheetId="70" r:id="rId17"/>
    <sheet name="DT_IngestionSummary" sheetId="78" r:id="rId18"/>
    <sheet name="pivot_f" sheetId="80" state="hidden" r:id="rId19"/>
    <sheet name="New_SQL_Ing" sheetId="68" r:id="rId20"/>
    <sheet name="New_DV_Ing" sheetId="69" r:id="rId21"/>
    <sheet name="DataIngestion_SQLfulllist" sheetId="61" state="hidden" r:id="rId22"/>
    <sheet name="IngestionSummary" sheetId="60" state="hidden" r:id="rId23"/>
    <sheet name="IngestionSummary0" sheetId="59" state="hidden" r:id="rId24"/>
    <sheet name="Sheet5" sheetId="53" state="hidden" r:id="rId25"/>
    <sheet name="DataIngestion-DV_fulllist0" sheetId="54" state="hidden" r:id="rId26"/>
    <sheet name="DataIngestion-DV_fulllist" sheetId="62" state="hidden" r:id="rId27"/>
    <sheet name="SourceDBs" sheetId="56" r:id="rId28"/>
    <sheet name="Finacle" sheetId="2" r:id="rId29"/>
    <sheet name="WMS" sheetId="28" r:id="rId30"/>
    <sheet name="Prime" sheetId="81" r:id="rId31"/>
    <sheet name="non-Prime" sheetId="82" r:id="rId32"/>
    <sheet name="IBPS" sheetId="30" r:id="rId33"/>
    <sheet name="Prospect" sheetId="31" r:id="rId34"/>
    <sheet name="CrossSell" sheetId="32" r:id="rId35"/>
    <sheet name="RLSCollection" sheetId="36" r:id="rId36"/>
    <sheet name="IDD" sheetId="29" r:id="rId37"/>
    <sheet name="RLS" sheetId="27" r:id="rId38"/>
    <sheet name="RAKRewards" sheetId="25" r:id="rId39"/>
    <sheet name="3D secure" sheetId="24" r:id="rId40"/>
    <sheet name="CASMEX" sheetId="22" r:id="rId41"/>
    <sheet name="ICCS" sheetId="21" r:id="rId42"/>
    <sheet name="ChequeBookSys" sheetId="19" r:id="rId43"/>
    <sheet name="SalaryAppl" sheetId="18" r:id="rId44"/>
    <sheet name="VAT" sheetId="15" r:id="rId45"/>
    <sheet name="FXRATECalc" sheetId="16" r:id="rId46"/>
    <sheet name="DigitalOnboardingTracking" sheetId="14" r:id="rId47"/>
    <sheet name="PrevRAKNET" sheetId="13" r:id="rId48"/>
    <sheet name="RAKFLUX" sheetId="11" r:id="rId49"/>
    <sheet name="CARDNET" sheetId="12" r:id="rId50"/>
    <sheet name="Infobip" sheetId="10" r:id="rId51"/>
    <sheet name="TeamExpressPortal" sheetId="42" r:id="rId52"/>
    <sheet name="BankAuthRepresentative" sheetId="9" r:id="rId53"/>
    <sheet name="PayHubPlus" sheetId="8" r:id="rId54"/>
    <sheet name="CCM" sheetId="7" r:id="rId55"/>
    <sheet name="DigitalBankingAdmin" sheetId="6" r:id="rId56"/>
    <sheet name="CPF" sheetId="3" r:id="rId57"/>
    <sheet name="GenesysEIDUAEPASS" sheetId="4" r:id="rId58"/>
    <sheet name="RAKTrack" sheetId="33" r:id="rId59"/>
    <sheet name="CRMVsDataPlatforms" sheetId="35" r:id="rId60"/>
    <sheet name="DROP2_status" sheetId="79" r:id="rId61"/>
    <sheet name="Prime_old" sheetId="23" r:id="rId62"/>
    <sheet name="CPPS_old" sheetId="38" r:id="rId63"/>
    <sheet name="CAPS_old" sheetId="37" r:id="rId64"/>
    <sheet name="DCR_old" sheetId="39" r:id="rId65"/>
    <sheet name="MDES_old" sheetId="26" r:id="rId66"/>
    <sheet name="VISAOnline_old" sheetId="34" r:id="rId67"/>
    <sheet name="Pivot" sheetId="73" state="hidden" r:id="rId68"/>
  </sheets>
  <definedNames>
    <definedName name="_xlnm._FilterDatabase" localSheetId="39" hidden="1">'3D secure'!$B$1:$S$15</definedName>
    <definedName name="_xlnm._FilterDatabase" localSheetId="6" hidden="1">Approach!$B$3:$O$41</definedName>
    <definedName name="_xlnm._FilterDatabase" localSheetId="52" hidden="1">BankAuthRepresentative!$B$1:$R$30</definedName>
    <definedName name="_xlnm._FilterDatabase" localSheetId="63" hidden="1">CAPS_old!$B$1:$Y$9</definedName>
    <definedName name="_xlnm._FilterDatabase" localSheetId="40" hidden="1">CASMEX!$B$1:$Y$75</definedName>
    <definedName name="_xlnm._FilterDatabase" localSheetId="54" hidden="1">CCM!$B$1:$U$34</definedName>
    <definedName name="_xlnm._FilterDatabase" localSheetId="42" hidden="1">ChequeBookSys!$B$1:$S$29</definedName>
    <definedName name="_xlnm._FilterDatabase" localSheetId="56" hidden="1">CPF!$B$1:$R$33</definedName>
    <definedName name="_xlnm._FilterDatabase" localSheetId="62" hidden="1">CPPS_old!$B$1:$O$21</definedName>
    <definedName name="_xlnm._FilterDatabase" localSheetId="34" hidden="1">CrossSell!$A$1:$R$26</definedName>
    <definedName name="_xlnm._FilterDatabase" localSheetId="15" hidden="1">Data_EDC!$A$3:$O$3</definedName>
    <definedName name="_xlnm._FilterDatabase" localSheetId="21" hidden="1">DataIngestion_SQLfulllist!$A$1:$O$300</definedName>
    <definedName name="_xlnm._FilterDatabase" localSheetId="26" hidden="1">'DataIngestion-DV_fulllist'!$H$1:$Q$20</definedName>
    <definedName name="_xlnm._FilterDatabase" localSheetId="25" hidden="1">'DataIngestion-DV_fulllist0'!$H$1:$N$23</definedName>
    <definedName name="_xlnm._FilterDatabase" localSheetId="10" hidden="1">'DataIngestion-SQL'!$A$2:$DV$96</definedName>
    <definedName name="_xlnm._FilterDatabase" localSheetId="55" hidden="1">DigitalBankingAdmin!$B$1:$Z$50</definedName>
    <definedName name="_xlnm._FilterDatabase" localSheetId="46" hidden="1">DigitalOnboardingTracking!$B$1:$W$25</definedName>
    <definedName name="_xlnm._FilterDatabase" localSheetId="60" hidden="1">DROP2_status!$B$1:$N$37</definedName>
    <definedName name="_xlnm._FilterDatabase" localSheetId="17" hidden="1">DT_IngestionSummary!$A$3:$T$3</definedName>
    <definedName name="_xlnm._FilterDatabase" localSheetId="28" hidden="1">Finacle!$A$1:$AC$1203</definedName>
    <definedName name="_xlnm._FilterDatabase" localSheetId="32" hidden="1">IBPS!$B$1:$U$26</definedName>
    <definedName name="_xlnm._FilterDatabase" localSheetId="41" hidden="1">ICCS!$B$1:$V$65</definedName>
    <definedName name="_xlnm._FilterDatabase" localSheetId="36" hidden="1">IDD!$B$1:$S$74</definedName>
    <definedName name="_xlnm._FilterDatabase" localSheetId="50" hidden="1">Infobip!$B$1:$S$12</definedName>
    <definedName name="_xlnm._FilterDatabase" localSheetId="22" hidden="1">IngestionSummary!$A$3:$T$22</definedName>
    <definedName name="_xlnm._FilterDatabase" localSheetId="23" hidden="1">IngestionSummary0!$A$2:$E$20</definedName>
    <definedName name="_xlnm._FilterDatabase" localSheetId="65" hidden="1">MDES_old!$B$1:$AB$28</definedName>
    <definedName name="_xlnm._FilterDatabase" localSheetId="20" hidden="1">New_DV_Ing!$H$1:$V$21</definedName>
    <definedName name="_xlnm._FilterDatabase" localSheetId="16" hidden="1">New_IngestionSummary!$A$3:$AE$22</definedName>
    <definedName name="_xlnm._FilterDatabase" localSheetId="19" hidden="1">New_SQL_Ing!$A$1:$AD$492</definedName>
    <definedName name="_xlnm._FilterDatabase" localSheetId="31" hidden="1">'non-Prime'!$B$1:$W$71</definedName>
    <definedName name="_xlnm._FilterDatabase" localSheetId="53" hidden="1">PayHubPlus!$A$2:$AC$43</definedName>
    <definedName name="_xlnm._FilterDatabase" localSheetId="30" hidden="1">Prime!$B$1:$AJ$373</definedName>
    <definedName name="_xlnm._FilterDatabase" localSheetId="61" hidden="1">Prime_old!$A$1:$AA$307</definedName>
    <definedName name="_xlnm._FilterDatabase" localSheetId="33" hidden="1">Prospect!$B$1:$S$11</definedName>
    <definedName name="_xlnm._FilterDatabase" localSheetId="38" hidden="1">RAKRewards!$B$1:$T$32</definedName>
    <definedName name="_xlnm._FilterDatabase" localSheetId="58" hidden="1">RAKTrack!$B$1:$S$17</definedName>
    <definedName name="_xlnm._FilterDatabase" localSheetId="37" hidden="1">RLS!$A$1:$X$191</definedName>
    <definedName name="_xlnm._FilterDatabase" localSheetId="35" hidden="1">RLSCollection!$A$1:$X$29</definedName>
    <definedName name="_xlnm._FilterDatabase" localSheetId="43" hidden="1">SalaryAppl!$B$1:$S$6</definedName>
    <definedName name="_xlnm._FilterDatabase" localSheetId="27" hidden="1">SourceDBs!$A$1:$M$18</definedName>
    <definedName name="_xlnm._FilterDatabase" localSheetId="3" hidden="1">Status!$A$4:$W$42</definedName>
    <definedName name="_xlnm._FilterDatabase" localSheetId="9" hidden="1">Summary!$A$2:$M$19</definedName>
    <definedName name="_xlnm._FilterDatabase" localSheetId="0" hidden="1">SystemsList!$A$2:$P$2</definedName>
    <definedName name="_xlnm._FilterDatabase" localSheetId="51" hidden="1">TeamExpressPortal!$B$1:$S$14</definedName>
    <definedName name="_xlnm._FilterDatabase" localSheetId="29" hidden="1">WMS!$B$1:$AA$160</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pivotCaches>
    <pivotCache cacheId="0" r:id="rId69"/>
    <pivotCache cacheId="1" r:id="rId70"/>
    <pivotCache cacheId="2" r:id="rId7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5" i="2" l="1" a="1"/>
  <c r="AA25" i="2"/>
  <c r="T45" i="78"/>
  <c r="S45" i="78"/>
  <c r="R45" i="78"/>
  <c r="Q45" i="78"/>
  <c r="P45" i="78"/>
  <c r="O45" i="78"/>
  <c r="M45" i="78"/>
  <c r="L45" i="78"/>
  <c r="D45" i="78"/>
  <c r="C45" i="78"/>
  <c r="B45" i="78"/>
  <c r="N45" i="78" s="1"/>
  <c r="T44" i="78"/>
  <c r="S44" i="78"/>
  <c r="R44" i="78"/>
  <c r="Q44" i="78"/>
  <c r="P44" i="78"/>
  <c r="O44" i="78"/>
  <c r="M44" i="78"/>
  <c r="L44" i="78"/>
  <c r="D44" i="78"/>
  <c r="C44" i="78"/>
  <c r="B44" i="78"/>
  <c r="N44" i="78" s="1"/>
  <c r="K43" i="78"/>
  <c r="H43" i="78"/>
  <c r="E43" i="78"/>
  <c r="B43" i="78"/>
  <c r="K42" i="78"/>
  <c r="H42" i="78"/>
  <c r="E42" i="78"/>
  <c r="B42" i="78"/>
  <c r="T38" i="78"/>
  <c r="S38" i="78"/>
  <c r="Q38" i="78"/>
  <c r="P38" i="78"/>
  <c r="M38" i="78"/>
  <c r="L38" i="78"/>
  <c r="K38" i="78"/>
  <c r="H38" i="78"/>
  <c r="R38" i="78" s="1"/>
  <c r="E38" i="78"/>
  <c r="O38" i="78" s="1"/>
  <c r="B38" i="78"/>
  <c r="N38" i="78" s="1"/>
  <c r="T37" i="78"/>
  <c r="S37" i="78"/>
  <c r="Q37" i="78"/>
  <c r="P37" i="78"/>
  <c r="M37" i="78"/>
  <c r="L37" i="78"/>
  <c r="K37" i="78"/>
  <c r="K46" i="78" s="1"/>
  <c r="H37" i="78"/>
  <c r="H46" i="78" s="1"/>
  <c r="E37" i="78"/>
  <c r="E46" i="78" s="1"/>
  <c r="B37" i="78"/>
  <c r="N37" i="78" s="1"/>
  <c r="J36" i="78"/>
  <c r="I36" i="78"/>
  <c r="G36" i="78"/>
  <c r="F36" i="78"/>
  <c r="D36" i="78"/>
  <c r="C36" i="78"/>
  <c r="B36" i="78"/>
  <c r="J34" i="78"/>
  <c r="I34" i="78"/>
  <c r="G34" i="78"/>
  <c r="F34" i="78"/>
  <c r="D34" i="78"/>
  <c r="C34" i="78"/>
  <c r="B34" i="78"/>
  <c r="J33" i="78"/>
  <c r="I33" i="78"/>
  <c r="G33" i="78"/>
  <c r="F33" i="78"/>
  <c r="D33" i="78"/>
  <c r="C33" i="78"/>
  <c r="B33" i="78"/>
  <c r="J31" i="78"/>
  <c r="I31" i="78"/>
  <c r="G31" i="78"/>
  <c r="F31" i="78"/>
  <c r="D31" i="78"/>
  <c r="C31" i="78"/>
  <c r="B31" i="78"/>
  <c r="J29" i="78"/>
  <c r="I29" i="78"/>
  <c r="G29" i="78"/>
  <c r="F29" i="78"/>
  <c r="D29" i="78"/>
  <c r="C29" i="78"/>
  <c r="B29" i="78"/>
  <c r="J26" i="78"/>
  <c r="I26" i="78"/>
  <c r="G26" i="78"/>
  <c r="F26" i="78"/>
  <c r="D26" i="78"/>
  <c r="C26" i="78"/>
  <c r="B26" i="78"/>
  <c r="J24" i="78"/>
  <c r="I24" i="78"/>
  <c r="G24" i="78"/>
  <c r="F24" i="78"/>
  <c r="D24" i="78"/>
  <c r="C24" i="78"/>
  <c r="B24" i="78"/>
  <c r="R21" i="78"/>
  <c r="O21" i="78"/>
  <c r="M21" i="78"/>
  <c r="L21" i="78"/>
  <c r="J21" i="78"/>
  <c r="T21" i="78" s="1"/>
  <c r="I21" i="78"/>
  <c r="S21" i="78" s="1"/>
  <c r="G21" i="78"/>
  <c r="Q21" i="78" s="1"/>
  <c r="F21" i="78"/>
  <c r="P21" i="78" s="1"/>
  <c r="D21" i="78"/>
  <c r="C21" i="78"/>
  <c r="B21" i="78"/>
  <c r="N21" i="78" s="1"/>
  <c r="R19" i="78"/>
  <c r="O19" i="78"/>
  <c r="M19" i="78"/>
  <c r="L19" i="78"/>
  <c r="J19" i="78"/>
  <c r="T19" i="78" s="1"/>
  <c r="I19" i="78"/>
  <c r="S19" i="78" s="1"/>
  <c r="G19" i="78"/>
  <c r="Q19" i="78" s="1"/>
  <c r="F19" i="78"/>
  <c r="P19" i="78" s="1"/>
  <c r="D19" i="78"/>
  <c r="C19" i="78"/>
  <c r="B19" i="78"/>
  <c r="N19" i="78" s="1"/>
  <c r="J14" i="78"/>
  <c r="I14" i="78"/>
  <c r="G14" i="78"/>
  <c r="F14" i="78"/>
  <c r="D14" i="78"/>
  <c r="C14" i="78"/>
  <c r="B14" i="78"/>
  <c r="R9" i="78"/>
  <c r="O9" i="78"/>
  <c r="M9" i="78"/>
  <c r="L9" i="78"/>
  <c r="J9" i="78"/>
  <c r="T9" i="78" s="1"/>
  <c r="I9" i="78"/>
  <c r="S9" i="78" s="1"/>
  <c r="G9" i="78"/>
  <c r="Q9" i="78" s="1"/>
  <c r="F9" i="78"/>
  <c r="P9" i="78" s="1"/>
  <c r="D9" i="78"/>
  <c r="C9" i="78"/>
  <c r="B9" i="78"/>
  <c r="N9" i="78" s="1"/>
  <c r="R4" i="78"/>
  <c r="O4" i="78"/>
  <c r="M4" i="78"/>
  <c r="M46" i="78" s="1"/>
  <c r="L4" i="78"/>
  <c r="J4" i="78"/>
  <c r="I4" i="78"/>
  <c r="G4" i="78"/>
  <c r="Q4" i="78" s="1"/>
  <c r="F4" i="78"/>
  <c r="P4" i="78" s="1"/>
  <c r="D4" i="78"/>
  <c r="C4" i="78"/>
  <c r="B4" i="78"/>
  <c r="K19" i="70"/>
  <c r="K18" i="70"/>
  <c r="K17" i="70"/>
  <c r="K16" i="70"/>
  <c r="H19" i="70"/>
  <c r="H18" i="70"/>
  <c r="H17" i="70"/>
  <c r="H16" i="70"/>
  <c r="E19" i="70"/>
  <c r="E18" i="70"/>
  <c r="E17" i="70"/>
  <c r="E16" i="70"/>
  <c r="C4" i="70"/>
  <c r="I46" i="78" l="1"/>
  <c r="D46" i="78"/>
  <c r="C46" i="78"/>
  <c r="B46" i="78"/>
  <c r="Q46" i="78"/>
  <c r="F46" i="78"/>
  <c r="J46" i="78"/>
  <c r="N4" i="78"/>
  <c r="N46" i="78" s="1"/>
  <c r="T4" i="78"/>
  <c r="T46" i="78" s="1"/>
  <c r="G46" i="78"/>
  <c r="L46" i="78"/>
  <c r="O37" i="78"/>
  <c r="O46" i="78" s="1"/>
  <c r="R37" i="78"/>
  <c r="R46" i="78" s="1"/>
  <c r="P46" i="78"/>
  <c r="S4" i="78"/>
  <c r="S46" i="78" s="1"/>
  <c r="D20" i="70"/>
  <c r="D21" i="70"/>
  <c r="C20" i="70"/>
  <c r="C21" i="70"/>
  <c r="B20" i="70"/>
  <c r="B21" i="70"/>
  <c r="J15" i="70"/>
  <c r="I15" i="70"/>
  <c r="G15" i="70"/>
  <c r="F15" i="70"/>
  <c r="D15" i="70"/>
  <c r="C15" i="70"/>
  <c r="J14" i="70"/>
  <c r="I14" i="70"/>
  <c r="G14" i="70"/>
  <c r="F14" i="70"/>
  <c r="D14" i="70"/>
  <c r="C14" i="70"/>
  <c r="J13" i="70"/>
  <c r="I13" i="70"/>
  <c r="G13" i="70"/>
  <c r="F13" i="70"/>
  <c r="D13" i="70"/>
  <c r="C13" i="70"/>
  <c r="J12" i="70"/>
  <c r="I12" i="70"/>
  <c r="G12" i="70"/>
  <c r="F12" i="70"/>
  <c r="D12" i="70"/>
  <c r="C12" i="70"/>
  <c r="J11" i="70"/>
  <c r="I11" i="70"/>
  <c r="G11" i="70"/>
  <c r="F11" i="70"/>
  <c r="D11" i="70"/>
  <c r="C11" i="70"/>
  <c r="J10" i="70"/>
  <c r="I10" i="70"/>
  <c r="G10" i="70"/>
  <c r="F10" i="70"/>
  <c r="D10" i="70"/>
  <c r="C10" i="70"/>
  <c r="J9" i="70"/>
  <c r="I9" i="70"/>
  <c r="G9" i="70"/>
  <c r="F9" i="70"/>
  <c r="D9" i="70"/>
  <c r="C9" i="70"/>
  <c r="J8" i="70"/>
  <c r="I8" i="70"/>
  <c r="G8" i="70"/>
  <c r="F8" i="70"/>
  <c r="D8" i="70"/>
  <c r="C8" i="70"/>
  <c r="J7" i="70"/>
  <c r="I7" i="70"/>
  <c r="S7" i="70" s="1"/>
  <c r="G7" i="70"/>
  <c r="Q7" i="70" s="1"/>
  <c r="F7" i="70"/>
  <c r="D7" i="70"/>
  <c r="C7" i="70"/>
  <c r="J6" i="70"/>
  <c r="I6" i="70"/>
  <c r="G6" i="70"/>
  <c r="F6" i="70"/>
  <c r="D6" i="70"/>
  <c r="C6" i="70"/>
  <c r="J5" i="70"/>
  <c r="I5" i="70"/>
  <c r="G5" i="70"/>
  <c r="Q5" i="70" s="1"/>
  <c r="F5" i="70"/>
  <c r="D5" i="70"/>
  <c r="C5" i="70"/>
  <c r="J4" i="70"/>
  <c r="I4" i="70"/>
  <c r="G4" i="70"/>
  <c r="Q4" i="70" s="1"/>
  <c r="F4" i="70"/>
  <c r="P4" i="70" s="1"/>
  <c r="D4" i="70"/>
  <c r="T16" i="70"/>
  <c r="T17" i="70"/>
  <c r="T20" i="70"/>
  <c r="T21" i="70"/>
  <c r="S16" i="70"/>
  <c r="S17" i="70"/>
  <c r="S20" i="70"/>
  <c r="S21" i="70"/>
  <c r="R5" i="70"/>
  <c r="R7" i="70"/>
  <c r="R8" i="70"/>
  <c r="R20" i="70"/>
  <c r="R21" i="70"/>
  <c r="R4" i="70"/>
  <c r="Q16" i="70"/>
  <c r="Q17" i="70"/>
  <c r="Q20" i="70"/>
  <c r="Q21" i="70"/>
  <c r="P16" i="70"/>
  <c r="P17" i="70"/>
  <c r="P20" i="70"/>
  <c r="P21" i="70"/>
  <c r="O5" i="70"/>
  <c r="O7" i="70"/>
  <c r="O8" i="70"/>
  <c r="O20" i="70"/>
  <c r="O21" i="70"/>
  <c r="O4" i="70"/>
  <c r="N20" i="70"/>
  <c r="N21" i="70"/>
  <c r="M5" i="70"/>
  <c r="M7" i="70"/>
  <c r="M8" i="70"/>
  <c r="M16" i="70"/>
  <c r="M17" i="70"/>
  <c r="M20" i="70"/>
  <c r="M21" i="70"/>
  <c r="M4" i="70"/>
  <c r="L7" i="70"/>
  <c r="L8" i="70"/>
  <c r="L16" i="70"/>
  <c r="L17" i="70"/>
  <c r="L20" i="70"/>
  <c r="L21" i="70"/>
  <c r="L5" i="70"/>
  <c r="L4" i="70"/>
  <c r="T8" i="70"/>
  <c r="R17" i="70"/>
  <c r="R16" i="70"/>
  <c r="O17" i="70"/>
  <c r="O16" i="70"/>
  <c r="B19" i="70"/>
  <c r="B5" i="70"/>
  <c r="N5" i="70" s="1"/>
  <c r="B6" i="70"/>
  <c r="B7" i="70"/>
  <c r="N7" i="70" s="1"/>
  <c r="B8" i="70"/>
  <c r="N8" i="70" s="1"/>
  <c r="B9" i="70"/>
  <c r="B10" i="70"/>
  <c r="B11" i="70"/>
  <c r="B12" i="70"/>
  <c r="B13" i="70"/>
  <c r="B14" i="70"/>
  <c r="B15" i="70"/>
  <c r="B16" i="70"/>
  <c r="B17" i="70"/>
  <c r="B18" i="70"/>
  <c r="B4" i="70"/>
  <c r="N4" i="70" s="1"/>
  <c r="K22" i="70"/>
  <c r="H22" i="70"/>
  <c r="M22" i="70"/>
  <c r="L22" i="70"/>
  <c r="P8" i="70" l="1"/>
  <c r="T4" i="70"/>
  <c r="Q8" i="70"/>
  <c r="Q22" i="70" s="1"/>
  <c r="T5" i="70"/>
  <c r="P5" i="70"/>
  <c r="P7" i="70"/>
  <c r="S5" i="70"/>
  <c r="T7" i="70"/>
  <c r="S4" i="70"/>
  <c r="N17" i="70"/>
  <c r="N16" i="70"/>
  <c r="S8" i="70"/>
  <c r="O22" i="70"/>
  <c r="E22" i="70"/>
  <c r="B22" i="70"/>
  <c r="R22" i="70"/>
  <c r="C22" i="70"/>
  <c r="D22" i="70"/>
  <c r="F22" i="70"/>
  <c r="H4" i="60"/>
  <c r="H5" i="60"/>
  <c r="H7" i="60"/>
  <c r="H8" i="60"/>
  <c r="H16" i="60"/>
  <c r="H17" i="60"/>
  <c r="H20" i="60"/>
  <c r="H21" i="60"/>
  <c r="H22" i="60"/>
  <c r="T22" i="70" l="1"/>
  <c r="S22" i="70"/>
  <c r="P22" i="70"/>
  <c r="N22" i="70"/>
  <c r="G22" i="70"/>
  <c r="J22" i="70"/>
  <c r="I22" i="70"/>
  <c r="I5" i="60"/>
  <c r="I7" i="60"/>
  <c r="I8" i="60"/>
  <c r="I16" i="60"/>
  <c r="I17" i="60"/>
  <c r="I20" i="60"/>
  <c r="I21" i="60"/>
  <c r="I4" i="60"/>
  <c r="G5" i="60"/>
  <c r="G7" i="60"/>
  <c r="G8" i="60"/>
  <c r="G16" i="60"/>
  <c r="G17" i="60"/>
  <c r="G20" i="60"/>
  <c r="G21" i="60"/>
  <c r="G4" i="60"/>
  <c r="F16" i="60"/>
  <c r="F17" i="60"/>
  <c r="F20" i="60"/>
  <c r="F21" i="60"/>
  <c r="F8" i="60"/>
  <c r="F7" i="60"/>
  <c r="F5" i="60"/>
  <c r="F4" i="60"/>
  <c r="E17" i="60"/>
  <c r="E18" i="60"/>
  <c r="E19" i="60"/>
  <c r="E16" i="60"/>
  <c r="D5" i="60"/>
  <c r="D6" i="60"/>
  <c r="D7" i="60"/>
  <c r="D8" i="60"/>
  <c r="D9" i="60"/>
  <c r="D10" i="60"/>
  <c r="D11" i="60"/>
  <c r="D12" i="60"/>
  <c r="D13" i="60"/>
  <c r="D14" i="60"/>
  <c r="D15" i="60"/>
  <c r="D4" i="60"/>
  <c r="C5" i="60"/>
  <c r="C6" i="60"/>
  <c r="C7" i="60"/>
  <c r="C8" i="60"/>
  <c r="C9" i="60"/>
  <c r="C10" i="60"/>
  <c r="C11" i="60"/>
  <c r="C12" i="60"/>
  <c r="C13" i="60"/>
  <c r="C14" i="60"/>
  <c r="C15" i="60"/>
  <c r="C4" i="60"/>
  <c r="B6" i="60"/>
  <c r="B7" i="60"/>
  <c r="B8" i="60"/>
  <c r="B9" i="60"/>
  <c r="B10" i="60"/>
  <c r="B11" i="60"/>
  <c r="B12" i="60"/>
  <c r="B13" i="60"/>
  <c r="B14" i="60"/>
  <c r="B15" i="60"/>
  <c r="B16" i="60"/>
  <c r="B17" i="60"/>
  <c r="B18" i="60"/>
  <c r="B19" i="60"/>
  <c r="B5" i="60"/>
  <c r="B4" i="60"/>
  <c r="E22" i="60"/>
  <c r="I22" i="60"/>
  <c r="G22" i="60"/>
  <c r="F22" i="60"/>
  <c r="D22" i="60"/>
  <c r="B22" i="60" l="1"/>
  <c r="C22" i="60"/>
  <c r="H19" i="59"/>
  <c r="H4" i="59"/>
  <c r="H5" i="59"/>
  <c r="H6" i="59"/>
  <c r="H14" i="59"/>
  <c r="H15" i="59"/>
  <c r="H18" i="59"/>
  <c r="H3" i="59"/>
  <c r="H20" i="59" s="1"/>
  <c r="G4" i="59"/>
  <c r="G5" i="59"/>
  <c r="G6" i="59"/>
  <c r="G14" i="59"/>
  <c r="G15" i="59"/>
  <c r="G18" i="59"/>
  <c r="G19" i="59"/>
  <c r="G3" i="59"/>
  <c r="G20" i="59" s="1"/>
  <c r="F18" i="59"/>
  <c r="F19" i="59"/>
  <c r="B18" i="59"/>
  <c r="B19" i="59"/>
  <c r="F4" i="59"/>
  <c r="F5" i="59"/>
  <c r="F6" i="59"/>
  <c r="F14" i="59"/>
  <c r="F15" i="59"/>
  <c r="F3" i="59"/>
  <c r="F20" i="59" s="1"/>
  <c r="C9" i="59"/>
  <c r="C7" i="59"/>
  <c r="C8" i="59"/>
  <c r="C11" i="59"/>
  <c r="C3" i="59"/>
  <c r="C6" i="59"/>
  <c r="C12" i="59"/>
  <c r="C13" i="59"/>
  <c r="C10" i="59"/>
  <c r="C4" i="59"/>
  <c r="C5" i="59"/>
  <c r="D9" i="59"/>
  <c r="D7" i="59"/>
  <c r="D8" i="59"/>
  <c r="E16" i="59"/>
  <c r="E14" i="59"/>
  <c r="D11" i="59"/>
  <c r="D3" i="59"/>
  <c r="D6" i="59"/>
  <c r="D12" i="59"/>
  <c r="D13" i="59"/>
  <c r="D10" i="59"/>
  <c r="D4" i="59"/>
  <c r="E15" i="59"/>
  <c r="D5" i="59"/>
  <c r="E17" i="59"/>
  <c r="B9" i="59"/>
  <c r="B7" i="59"/>
  <c r="B8" i="59"/>
  <c r="B16" i="59"/>
  <c r="B14" i="59"/>
  <c r="B11" i="59"/>
  <c r="B3" i="59"/>
  <c r="B6" i="59"/>
  <c r="B12" i="59"/>
  <c r="B13" i="59"/>
  <c r="B10" i="59"/>
  <c r="B4" i="59"/>
  <c r="B15" i="59"/>
  <c r="B5" i="59"/>
  <c r="B17" i="59"/>
  <c r="B20" i="59" l="1"/>
  <c r="D20" i="59"/>
  <c r="E20" i="59"/>
  <c r="C20" i="59"/>
  <c r="F41" i="48" l="1"/>
  <c r="G41" i="48"/>
  <c r="H41" i="48"/>
  <c r="E41" i="48" l="1"/>
  <c r="D41" i="48"/>
  <c r="D43" i="48" l="1"/>
  <c r="H20" i="1" l="1"/>
  <c r="F42" i="46"/>
  <c r="E42" i="46"/>
  <c r="E45" i="4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tc={AAC13DF4-6BF8-4337-B71F-8C2B44299593}</author>
    <author>tc={0978AEDB-6EF5-46AB-BC1C-9BD02798CEA0}</author>
    <author>tc={8B6B779A-D1B6-41B9-B641-5A376472FBB9}</author>
    <author>tc={E327A659-3F50-462B-AE8C-F388012995E8}</author>
  </authors>
  <commentList>
    <comment ref="E16" authorId="0" shapeId="0" xr:uid="{AAC13DF4-6BF8-4337-B71F-8C2B44299593}">
      <text>
        <t>[Threaded comment]
Your version of Excel allows you to read this threaded comment; however, any edits to it will get removed if the file is opened in a newer version of Excel. Learn more: https://go.microsoft.com/fwlink/?linkid=870924
Comment:
    No DB, table and field details shared</t>
      </text>
    </comment>
    <comment ref="F16" authorId="1" shapeId="0" xr:uid="{0978AEDB-6EF5-46AB-BC1C-9BD02798CEA0}">
      <text>
        <t>[Threaded comment]
Your version of Excel allows you to read this threaded comment; however, any edits to it will get removed if the file is opened in a newer version of Excel. Learn more: https://go.microsoft.com/fwlink/?linkid=870924
Comment:
    No DB, table and field details shared</t>
      </text>
    </comment>
    <comment ref="E25" authorId="2" shapeId="0" xr:uid="{8B6B779A-D1B6-41B9-B641-5A376472FBB9}">
      <text>
        <t>[Threaded comment]
Your version of Excel allows you to read this threaded comment; however, any edits to it will get removed if the file is opened in a newer version of Excel. Learn more: https://go.microsoft.com/fwlink/?linkid=870924
Comment:
    All fields fetched through API</t>
      </text>
    </comment>
    <comment ref="F25" authorId="3" shapeId="0" xr:uid="{E327A659-3F50-462B-AE8C-F388012995E8}">
      <text>
        <t>[Threaded comment]
Your version of Excel allows you to read this threaded comment; however, any edits to it will get removed if the file is opened in a newer version of Excel. Learn more: https://go.microsoft.com/fwlink/?linkid=870924
Comment:
    All fields fetched through API</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Sunil Kumar (ext)</author>
    <author>tc={5F70D4F1-15D3-4F86-A263-496AE3227BF5}</author>
  </authors>
  <commentList>
    <comment ref="C3" authorId="0" shapeId="0" xr:uid="{029BFC2B-CE43-4C35-A75A-1CEE05A3CE44}">
      <text>
        <r>
          <rPr>
            <sz val="11"/>
            <color theme="1"/>
            <rFont val="Aptos Narrow"/>
            <family val="2"/>
            <scheme val="minor"/>
          </rPr>
          <t xml:space="preserve">Sunil Kumar (ext):
Source system's tables were corrupted and its has been restored from prod again. So reingestion is in progress.   </t>
        </r>
      </text>
    </comment>
    <comment ref="F270" authorId="1" shapeId="0" xr:uid="{5F70D4F1-15D3-4F86-A263-496AE3227BF5}">
      <text>
        <t>[Threaded comment]
Your version of Excel allows you to read this threaded comment; however, any edits to it will get removed if the file is opened in a newer version of Excel. Learn more: https://go.microsoft.com/fwlink/?linkid=870924
Comment:
    Seems incorrect. Alok to check</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tc={E8EC9E1E-87A9-4BD8-A357-7EB5A79F258C}</author>
  </authors>
  <commentList>
    <comment ref="F83" authorId="0" shapeId="0" xr:uid="{E8EC9E1E-87A9-4BD8-A357-7EB5A79F258C}">
      <text>
        <t>[Threaded comment]
Your version of Excel allows you to read this threaded comment; however, any edits to it will get removed if the file is opened in a newer version of Excel. Learn more: https://go.microsoft.com/fwlink/?linkid=870924
Comment:
    Seems incorrect. Alok to check</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tc={9085E5CC-ED7D-4D2B-BC26-859B5429307B}</author>
    <author>tc={807F094B-B40E-489E-8C2D-1F23774C093E}</author>
    <author>tc={5FF75797-BDE3-4C4E-955C-1E6058C6B4FC}</author>
  </authors>
  <commentList>
    <comment ref="F10" authorId="0" shapeId="0" xr:uid="{9085E5CC-ED7D-4D2B-BC26-859B5429307B}">
      <text>
        <t>[Threaded comment]
Your version of Excel allows you to read this threaded comment; however, any edits to it will get removed if the file is opened in a newer version of Excel. Learn more: https://go.microsoft.com/fwlink/?linkid=870924
Comment:
    This is incorrect as well. Who will perform analysis</t>
      </text>
    </comment>
    <comment ref="E14" authorId="1" shapeId="0" xr:uid="{807F094B-B40E-489E-8C2D-1F23774C093E}">
      <text>
        <t>[Threaded comment]
Your version of Excel allows you to read this threaded comment; however, any edits to it will get removed if the file is opened in a newer version of Excel. Learn more: https://go.microsoft.com/fwlink/?linkid=870924
Comment:
    This is incorrect
Reply:
    @Keerthana Rajasekaran checked backlog and found that all fields are part of M3.</t>
      </text>
    </comment>
    <comment ref="E15" authorId="2" shapeId="0" xr:uid="{5FF75797-BDE3-4C4E-955C-1E6058C6B4FC}">
      <text>
        <t>[Threaded comment]
Your version of Excel allows you to read this threaded comment; however, any edits to it will get removed if the file is opened in a newer version of Excel. Learn more: https://go.microsoft.com/fwlink/?linkid=870924
Comment:
    This is incorrect
Reply:
    @Keerthana Rajasekaran not able to find prev backlog so should be part of drop 2</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<sst xmlns="http://schemas.openxmlformats.org/spreadsheetml/2006/main" count="80925" uniqueCount="10898">
  <si>
    <t>*Click on system name to go to the sheet</t>
  </si>
  <si>
    <t>No. of fields</t>
  </si>
  <si>
    <t>*Systems List</t>
  </si>
  <si>
    <t>Hosted in RAKBANK?
Can Data be fetched through Databricks or Can be exposed via API?</t>
  </si>
  <si>
    <t>Appln type</t>
  </si>
  <si>
    <t>Vendor</t>
  </si>
  <si>
    <t>Vendor Spoc</t>
  </si>
  <si>
    <t>Vendor contact</t>
  </si>
  <si>
    <t>Phone</t>
  </si>
  <si>
    <t xml:space="preserve">Technology Owner </t>
  </si>
  <si>
    <t>Engineering SME</t>
  </si>
  <si>
    <t>PM</t>
  </si>
  <si>
    <t>BA</t>
  </si>
  <si>
    <t>Architect</t>
  </si>
  <si>
    <t>Technology owner lead</t>
  </si>
  <si>
    <t>Application link</t>
  </si>
  <si>
    <t>Remarks</t>
  </si>
  <si>
    <t>Finacle</t>
  </si>
  <si>
    <t>In Data Platform Scope</t>
  </si>
  <si>
    <t>ThirdParty</t>
  </si>
  <si>
    <t>Infosys</t>
  </si>
  <si>
    <t>Amruta Anil Wadke</t>
  </si>
  <si>
    <t>Amruta.Wadke@rakbank.ae</t>
  </si>
  <si>
    <t>Mani John</t>
  </si>
  <si>
    <t>Sathiyan Venkatesh</t>
  </si>
  <si>
    <t>Sumat Kumar</t>
  </si>
  <si>
    <t>Prime</t>
  </si>
  <si>
    <t>TSYS</t>
  </si>
  <si>
    <t>Mohamed Sukkari 
Muhammed Ajmal</t>
  </si>
  <si>
    <t>mohamedsukkari@tsys.com
majmal@tsys.com</t>
  </si>
  <si>
    <t>(050) 2100680</t>
  </si>
  <si>
    <t>Sree Rasmi 
Shaik Hussain Shariff</t>
  </si>
  <si>
    <t>Shaik Hussain Shariff</t>
  </si>
  <si>
    <t>Kanhai Kumar Jha</t>
  </si>
  <si>
    <t>Ravish Kumar</t>
  </si>
  <si>
    <t>Gavin Stead</t>
  </si>
  <si>
    <t>WMS</t>
  </si>
  <si>
    <t>Aditya Kulkarni</t>
  </si>
  <si>
    <t>Aditya.Kulkarni@rakbank.ae</t>
  </si>
  <si>
    <t>RLS</t>
  </si>
  <si>
    <t>Nucleus Software</t>
  </si>
  <si>
    <t>Kaushal.misra@nucleussoftware.com</t>
  </si>
  <si>
    <t>0091 9810617822</t>
  </si>
  <si>
    <t>CASMEX</t>
  </si>
  <si>
    <t>Distinct Infotech</t>
  </si>
  <si>
    <t>rajeshkumar.rn@distinctinfotech.com
chacko@distinctinfotech.com</t>
  </si>
  <si>
    <t>Guruprasad Narayan Shetty</t>
  </si>
  <si>
    <t>IDD</t>
  </si>
  <si>
    <t>Internal</t>
  </si>
  <si>
    <t>NA</t>
  </si>
  <si>
    <t>Gaurav Kumar</t>
  </si>
  <si>
    <t>ICCS - Cheque Flow System</t>
  </si>
  <si>
    <t>NewGen technologies</t>
  </si>
  <si>
    <t>Anshu Raj</t>
  </si>
  <si>
    <t>anshu.raj@newgensoft.com</t>
  </si>
  <si>
    <t>0091 9971211909</t>
  </si>
  <si>
    <t>Previous RAKNet Version (Personal Banking)</t>
  </si>
  <si>
    <t>Digital Banking Admin</t>
  </si>
  <si>
    <t>Saranya</t>
  </si>
  <si>
    <t>@Saranya Devi Sankarappan (Ext)</t>
  </si>
  <si>
    <t>Milind Harichandra Gowari</t>
  </si>
  <si>
    <t>Lalit Lekhwani</t>
  </si>
  <si>
    <t>Pay Hub Plus
(NPSS Unity)</t>
  </si>
  <si>
    <t>Unity</t>
  </si>
  <si>
    <t>Veena Vijayan</t>
  </si>
  <si>
    <t>Veena.Kochattil@rakbank.ae</t>
  </si>
  <si>
    <t>CCM</t>
  </si>
  <si>
    <t>Dtech</t>
  </si>
  <si>
    <t>Muhammed Anees</t>
  </si>
  <si>
    <t>Muhammed.anees@dtechsoft.com</t>
  </si>
  <si>
    <t>(054) 4922546</t>
  </si>
  <si>
    <t>CPF</t>
  </si>
  <si>
    <t>RAKRewards Admin</t>
  </si>
  <si>
    <t>ICC</t>
  </si>
  <si>
    <t>ayush@iccfze.com
abhilasha@iccfze.com</t>
  </si>
  <si>
    <t>+971-52-8059072</t>
  </si>
  <si>
    <t>Bank Auth Representative
E-Register(auth rep)</t>
  </si>
  <si>
    <t>Need to check application name</t>
  </si>
  <si>
    <t>MDES (PRIME)</t>
  </si>
  <si>
    <t>Not Identified</t>
  </si>
  <si>
    <t>Cheque Book System</t>
  </si>
  <si>
    <t>Cross Sell</t>
  </si>
  <si>
    <t>pennanttech</t>
  </si>
  <si>
    <t>prasad.s@pennanttech.com
venkatesh.ch@pennanttech.com</t>
  </si>
  <si>
    <t>Prasad -917893940697
Venkatesh - 916305949549</t>
  </si>
  <si>
    <t>Balaji Natarajan</t>
  </si>
  <si>
    <t>?</t>
  </si>
  <si>
    <t>Intellect Collection</t>
  </si>
  <si>
    <t xml:space="preserve">Intellect Design </t>
  </si>
  <si>
    <t>mallikarjuna.chevvu@intellectdesign.com
chelliah.p@intellectdesign.com</t>
  </si>
  <si>
    <t>Digital ON-Boarding Tracking (DEH)</t>
  </si>
  <si>
    <t>Ayesha Siddikha</t>
  </si>
  <si>
    <t xml:space="preserve">@Ayesha Siddikha Mohamed Iqbal (Ext) </t>
  </si>
  <si>
    <t>CPPS</t>
  </si>
  <si>
    <t>VISA Online</t>
  </si>
  <si>
    <t>RAKTRACK</t>
  </si>
  <si>
    <t>Game Change</t>
  </si>
  <si>
    <t>Shailesh Tiwari</t>
  </si>
  <si>
    <t>shailesh.tiwari@gamechangesns.com</t>
  </si>
  <si>
    <t>(050) 4595618</t>
  </si>
  <si>
    <t>3D Secure</t>
  </si>
  <si>
    <t>ThirdParty/Internal</t>
  </si>
  <si>
    <t>Broadcom</t>
  </si>
  <si>
    <t xml:space="preserve">Konrad Karczmarczyk </t>
  </si>
  <si>
    <t>konrad.karczmarczyk@broadcom.com</t>
  </si>
  <si>
    <t>Team Express Portal</t>
  </si>
  <si>
    <t>External systems. Data cannot be ingested and can be fetched through API</t>
  </si>
  <si>
    <t>Team Express</t>
  </si>
  <si>
    <t>Mahesh Kannan</t>
  </si>
  <si>
    <t>Mahes Kannan</t>
  </si>
  <si>
    <t>Infobip</t>
  </si>
  <si>
    <t>Edita Rokša Durić &lt;edita.roksaduric@infobip.com&gt;; Neira Kratovac Akriche &lt;neira.kratovacakriche@infobip.com&gt;; Nedžad Grizović &lt;nedzad.grizovic@infobip.com&gt;</t>
  </si>
  <si>
    <t>IBPS</t>
  </si>
  <si>
    <t>Prospect</t>
  </si>
  <si>
    <t xml:space="preserve">Internal </t>
  </si>
  <si>
    <t>CardNet</t>
  </si>
  <si>
    <t>VAT</t>
  </si>
  <si>
    <t>CAPS</t>
  </si>
  <si>
    <t>RAKFLUX</t>
  </si>
  <si>
    <t>Salary Application</t>
  </si>
  <si>
    <t>FX Rate Calculator</t>
  </si>
  <si>
    <t>Mohammed Shoaib</t>
  </si>
  <si>
    <t>DCR</t>
  </si>
  <si>
    <t>Genesys/ EID/ UAEPASS</t>
  </si>
  <si>
    <t>External systems. Data can be fetched through API</t>
  </si>
  <si>
    <t>Al Futtaim</t>
  </si>
  <si>
    <t>Ghous Sayyed-External</t>
  </si>
  <si>
    <t>ghous.sayyed-external@alfuttaim.com</t>
  </si>
  <si>
    <t>Gaurav Kumar
Mani John</t>
  </si>
  <si>
    <t>CRM Source Systems List</t>
  </si>
  <si>
    <t>MDES</t>
  </si>
  <si>
    <t>Master Card</t>
  </si>
  <si>
    <t>RLS Collection</t>
  </si>
  <si>
    <t>VISA</t>
  </si>
  <si>
    <t>Application Type</t>
  </si>
  <si>
    <t>Approach</t>
  </si>
  <si>
    <t>Tech owner</t>
  </si>
  <si>
    <t>Third Party</t>
  </si>
  <si>
    <t>Procurement reached out</t>
  </si>
  <si>
    <t>Emailed on July 23rd</t>
  </si>
  <si>
    <t>Emailed on July 25th</t>
  </si>
  <si>
    <t>Emailed on Jul 28th</t>
  </si>
  <si>
    <t>Get confirmation from business</t>
  </si>
  <si>
    <t>Contact to be provided by Procurement</t>
  </si>
  <si>
    <t>Getting decommissioned. Need to refer intellect collection</t>
  </si>
  <si>
    <t xml:space="preserve">Internal - CARDS platform </t>
  </si>
  <si>
    <t>ADO ticket created with CARDS platform - 400859</t>
  </si>
  <si>
    <t>CARDS Platform</t>
  </si>
  <si>
    <t>Sree Rasmi
Shaik Hussai Sharif</t>
  </si>
  <si>
    <t>Internal - Non cards applications</t>
  </si>
  <si>
    <t>Aligned Nilkanth and Sathiyan on Friday</t>
  </si>
  <si>
    <t>Internal Applications</t>
  </si>
  <si>
    <t>Sunit Shetty</t>
  </si>
  <si>
    <t xml:space="preserve">Isolated environment </t>
  </si>
  <si>
    <t>https://adb-4467010307787545.5.azuredatabricks.net/?o=4467010307787545</t>
  </si>
  <si>
    <t>source Type</t>
  </si>
  <si>
    <t>Tamanna comments</t>
  </si>
  <si>
    <t>Milestone</t>
  </si>
  <si>
    <t>No.of fields received</t>
  </si>
  <si>
    <t>Status</t>
  </si>
  <si>
    <t>Status as on Oct 20th</t>
  </si>
  <si>
    <t>Pending with</t>
  </si>
  <si>
    <t>RAG</t>
  </si>
  <si>
    <t>Integration Mechanism</t>
  </si>
  <si>
    <t>System Pipeline available</t>
  </si>
  <si>
    <t>IP UAT/Endpoint (Existing)</t>
  </si>
  <si>
    <t>UAT env 
(testing team)</t>
  </si>
  <si>
    <t>Business Owner</t>
  </si>
  <si>
    <t>Technology Owner</t>
  </si>
  <si>
    <t>IP PROD</t>
  </si>
  <si>
    <t>IP DR</t>
  </si>
  <si>
    <t>DB Prod/Endpoint</t>
  </si>
  <si>
    <t>Peak CPU Utilization in Production Current</t>
  </si>
  <si>
    <t>Peak Memory Utilization</t>
  </si>
  <si>
    <t>DB name</t>
  </si>
  <si>
    <t>Have asked Mani</t>
  </si>
  <si>
    <t>M2,M3,M5,M7</t>
  </si>
  <si>
    <t>In Progress</t>
  </si>
  <si>
    <t>Sep 19 - Received 834 fields as on 19/9. 341 to be shared.
Alok reviewing the data. 
Oct 7 - 1069 data received - all 1to1 data fields</t>
  </si>
  <si>
    <t>Surabhi
Alok
Vendor</t>
  </si>
  <si>
    <t>Green</t>
  </si>
  <si>
    <t>Data Platform</t>
  </si>
  <si>
    <t>Yes</t>
  </si>
  <si>
    <t>ok</t>
  </si>
  <si>
    <t>10.15.12.60, 5300</t>
  </si>
  <si>
    <t>UAT2</t>
  </si>
  <si>
    <t>Juzer Netterwala</t>
  </si>
  <si>
    <t>10.17.19.85/86:5300</t>
  </si>
  <si>
    <t>10.16.19.85/86:5300</t>
  </si>
  <si>
    <t>Provided by source system team at field level</t>
  </si>
  <si>
    <t>M2, M6</t>
  </si>
  <si>
    <t>Solution to be discussed for fields that has run time logical values
Aditya - to clarify on fields marked as "Not applicable. Module is not licensed."
Sep 26 - Surabhi scheduled meeting
Oct 7 - BA followed up. NA items to be provided by vendor
Discussion required on API development</t>
  </si>
  <si>
    <t>Dragos
Vendor
Alok, Surabhi</t>
  </si>
  <si>
    <t>Amber</t>
  </si>
  <si>
    <t>Data Platform + API?</t>
  </si>
  <si>
    <t>10.15.13.200,5301</t>
  </si>
  <si>
    <t>Rahul Gian Chandnani</t>
  </si>
  <si>
    <t>10.17.29.120/121:5310</t>
  </si>
  <si>
    <t>10.16.29.120:5310</t>
  </si>
  <si>
    <t>Asked Milind</t>
  </si>
  <si>
    <t>M2,M5,M7</t>
  </si>
  <si>
    <t>44 - database
2 fields - need API
2 fields - require BA inputs</t>
  </si>
  <si>
    <t>Surabhi
Gopi
Alok</t>
  </si>
  <si>
    <t>No</t>
  </si>
  <si>
    <t>CORP5
MCF Database IP:
10.15.25.6
Port: 5300</t>
  </si>
  <si>
    <t xml:space="preserve">
Thomas Baxendale -Corporate
Rahul Singh - Retail</t>
  </si>
  <si>
    <t>M5,M2</t>
  </si>
  <si>
    <t>Front end code base is with Arjun's team
Surabhi to clarify on fields requested from IBPS
Surabhi scheduled meeting with vendor on Sep 26
Oct 13 - Business shared query. Alok to check on DEH tables
Oct 13 - IBPS related fields to be provided by Business</t>
  </si>
  <si>
    <t>Alok
Business</t>
  </si>
  <si>
    <t>server deh-db-dev-01.chgggpswwiss.me-central-1.rds.amazonaws.com:5500;
10.15.12.12:530</t>
  </si>
  <si>
    <t>Milind Harichandra Gowari
Mani John</t>
  </si>
  <si>
    <t>10.17.4.186/187:5300</t>
  </si>
  <si>
    <t>10.16.5.186/187:5300</t>
  </si>
  <si>
    <t>deh-db-production-01.c9ma088winqb.me-central-1.rds.amazonaws.com   :  5500</t>
  </si>
  <si>
    <t>Have asked Sree</t>
  </si>
  <si>
    <t>M2,M3, M5</t>
  </si>
  <si>
    <t>Yet to Start</t>
  </si>
  <si>
    <t>Resourcing estimates shared by TSYS on Sep 25th.
Sep 25 - PM emailed to Alfie to place WO and also included MDES in the scope to vendor
Oct 13 - Awaiting VO/SoW from vendor</t>
  </si>
  <si>
    <t xml:space="preserve">Data Platform? </t>
  </si>
  <si>
    <t>10.15.12.122, 5300</t>
  </si>
  <si>
    <t>Rehan Riaz Ahmad</t>
  </si>
  <si>
    <t xml:space="preserve">
Shaik Hussain Shariff</t>
  </si>
  <si>
    <t>10.17.21.53/55:5300</t>
  </si>
  <si>
    <t>10.16.21.53/55:5300</t>
  </si>
  <si>
    <t>Nucleus</t>
  </si>
  <si>
    <t>M2,M3,M5</t>
  </si>
  <si>
    <t>Aug 12th - RLS is on-prem but DB access cannot be provided. 
Aug 13th - Discusses with RLS. Vendor agreed to provide DB details and come up with solution for other specs.
Sent reminders on Sep 16, 25
Sep 26 - vendor confirmed the specs will be shared on or before Oct 7th - 149 fields provided only DB details. FE details not provided for any of 190 fields. Meeting scheduled on Oct 14th
Oct 14 - Dragos to confirm on the calculated fields solution. Emailed</t>
  </si>
  <si>
    <t>Dragos
Alok</t>
  </si>
  <si>
    <t>10.15.11.165:5300</t>
  </si>
  <si>
    <t xml:space="preserve">
Shibani Mehra</t>
  </si>
  <si>
    <t>10.17.4.229:5300</t>
  </si>
  <si>
    <t>10.16.5.145:5300</t>
  </si>
  <si>
    <t>Intellect Design Arena</t>
  </si>
  <si>
    <t>Yet to start</t>
  </si>
  <si>
    <t>Sep 25 - Business Shared  requirements from Intellect
Surabhi reviewing pending 2 fields</t>
  </si>
  <si>
    <t>Business
Surabhi</t>
  </si>
  <si>
    <t>Red</t>
  </si>
  <si>
    <t>Same DB as of RLS, app IP is different</t>
  </si>
  <si>
    <t>Khadija Sultan Alhammadi</t>
  </si>
  <si>
    <t>Have asked Devi</t>
  </si>
  <si>
    <t>M2,M3</t>
  </si>
  <si>
    <t>Had discussion with Vendor on Sep 1st. Vendor will share the detailes by EOD this month.
Reminder sent on Sep 16 and 25
Sep 26 - vendor assured to provide specs asap. 
Oct 13 - PM sent followup</t>
  </si>
  <si>
    <t>10.15.13.97 &amp; 5300</t>
  </si>
  <si>
    <t>Elcin Yanik</t>
  </si>
  <si>
    <t>10.17.4.147:5300</t>
  </si>
  <si>
    <t>10.16.4.90:5300</t>
  </si>
  <si>
    <t>Have asked Guru</t>
  </si>
  <si>
    <t>NewGen</t>
  </si>
  <si>
    <t>Completed</t>
  </si>
  <si>
    <t>Received on Aug 5th.</t>
  </si>
  <si>
    <t>Alok</t>
  </si>
  <si>
    <t>10.15.25.230; 5301</t>
  </si>
  <si>
    <t>10.17.4.121:5301</t>
  </si>
  <si>
    <t>10.16.4.24:5301</t>
  </si>
  <si>
    <t>Have asked Gaurav</t>
  </si>
  <si>
    <t>Received partially from Nikhil. Nikhil requested clarifications which Surabhi is addressing</t>
  </si>
  <si>
    <t>Surabhi</t>
  </si>
  <si>
    <t>10.15.14.83:5301</t>
  </si>
  <si>
    <t>10.17.4.50:5301</t>
  </si>
  <si>
    <t>10.16.4.50:5301</t>
  </si>
  <si>
    <t>To align with Payments team PM - Khutubuddin.Mohamed@rakbank.ae</t>
  </si>
  <si>
    <t>API</t>
  </si>
  <si>
    <t xml:space="preserve">Had call with vendor on Jul 29th. Data ingestion possible. Anees suggesting to have DB view and proposing a solution that requires development effort.
Call on Sep 23rd - Vendor team to come back with efforts. Some fields may not have one-to-one mapping
DB type - Microsoft
Sep 25 - Vendor confirmed to provide data by Oct 1st. SOW will be shared
Oct 13 - PM requested for SoW and specs asap
Oct 14 - SoW received. </t>
  </si>
  <si>
    <t xml:space="preserve">10.15.13.125 </t>
  </si>
  <si>
    <t>Common env</t>
  </si>
  <si>
    <t>M2,M5</t>
  </si>
  <si>
    <t>Shailesh and Dragos discussed on 3 options. Shailesh team to assess these options and come with efforts and cost. RAKTRACK is on Mongo DB (non RDBMS), hence direct data ingestion will be a challenge though the app is onprem.
18.08 - Received front end specs for all 16 fields
18.09 - Confluent topic or API is proposed by vendor. 
Solution to be finalised by architects on 3 options
Oct 6 - Solution finalised to go with Option 3 - API dev
Oct 13 - PM emailed vendor for SoW and looped procurement</t>
  </si>
  <si>
    <t>Gopi/Dragos/Affan</t>
  </si>
  <si>
    <t>10.15.13.246:5401 (DBA and Linux team unable to find this IP please confirm where is it hosted??)</t>
  </si>
  <si>
    <t>Thomas Baxendale</t>
  </si>
  <si>
    <t>Solution discussion in progress with Infobip. Narek and Gopi discussing. We will be consuming details through API exposed to RAKBANK common platform.
Frontend fields can be fetched from API details as well.
Development of API - will be done by CRM. Ownership will be with Infobip support team - Mani John. 
Narek mentioned that Infobip will share their APIs for our dev to start</t>
  </si>
  <si>
    <t>Naya Kiochou</t>
  </si>
  <si>
    <t>MasterCard</t>
  </si>
  <si>
    <t>Details can be taken from Cards systems per Ravish/Gopi. BA had call with CCO for business justification. BA to provide justification to Ravish .
Sep 25 - PM included MDES in TSYS scope as Velan confirmed these details are from PRIME. Procurement to issue WO
Sep 26 - PM emailed procurement team on establishing project with vendor</t>
  </si>
  <si>
    <t>Procurement</t>
  </si>
  <si>
    <t>Checked with Cards platform, this is not a system &amp; it is only a token data stored in PRIME table.</t>
  </si>
  <si>
    <t>Sep 25 - Velan confirmed Visa tokenization is not working in production due to outdated interface flow. 
Surabhi to check with business on further steps
Sep 26 - PM emailed procurement team on establishing project with vendor</t>
  </si>
  <si>
    <t>M5</t>
  </si>
  <si>
    <t>Scheduled meeting with Stalin. Team Express Portal can expose new API with required details. Data ingestion not possible. Budgeted development effort from the vendor. Front-end details to be provided by the vendor
Front-End specs received
Surabhi to confirm on milestone dates. Solution to be designed, Vendor to be aligned for dev efforts
Not managed by IT Procurement. Mahesh to be contacted</t>
  </si>
  <si>
    <t>Surabhi
Gopi</t>
  </si>
  <si>
    <t>Shibani Mehra</t>
  </si>
  <si>
    <t>Mahesh Kannan Kalarickel Gopalakrishnan ?</t>
  </si>
  <si>
    <t>Discussed with Badusha and Amit. This is new requirement for ICC and existing Digital banking APIs cannot be reused. Data cannot be ingested. 
20.08 - Discussed with vendor - Detailed BRD on fields , API requested by vendor 
Surabhi to provide BRD</t>
  </si>
  <si>
    <t>Mamta Peswani?</t>
  </si>
  <si>
    <t>Pennanttech</t>
  </si>
  <si>
    <t>All details received. In Data Platform scope. 
DB2 can provide only batch. Alternation solution to be provided by architect.
Oct 9 - Solution confirmed by Gopi to go with API.
Oct 13 - PM emailed vendor requesting API development efforts and looped procurement</t>
  </si>
  <si>
    <t>Vendor
Procurement</t>
  </si>
  <si>
    <t>10.15.24.158 - 5302 (DB2 batch only possible)</t>
  </si>
  <si>
    <t>common env</t>
  </si>
  <si>
    <t>Himanshu Tyagi</t>
  </si>
  <si>
    <t>Internal - CARDS</t>
  </si>
  <si>
    <t>ADO ticket created with CARDS platform - 400859
Solution to be provided</t>
  </si>
  <si>
    <t>Gopi</t>
  </si>
  <si>
    <t>10.15.11.79:5322 (DB2 batch only possible)</t>
  </si>
  <si>
    <t>UAT1</t>
  </si>
  <si>
    <t>ADO ticket created with CARDS platform - 400859. Gap analysis WIP</t>
  </si>
  <si>
    <t>10.15.12.26:5310</t>
  </si>
  <si>
    <t>10.17.4.97:5300</t>
  </si>
  <si>
    <t>10.16.5.154:5300</t>
  </si>
  <si>
    <t>10.15.12.26:5310 (DB IP is same, schema is different)</t>
  </si>
  <si>
    <t>Received from Sathiyan on Sep 12th. Solution to be provided</t>
  </si>
  <si>
    <t>M2,M6</t>
  </si>
  <si>
    <t>Oct 6 - Received specs</t>
  </si>
  <si>
    <t>Sathiyan</t>
  </si>
  <si>
    <t>Mohammed Ahmed Siddiqui</t>
  </si>
  <si>
    <t>Sathiyan searching for code base - legacy application</t>
  </si>
  <si>
    <t>API?</t>
  </si>
  <si>
    <t xml:space="preserve">Gaurav Kumar </t>
  </si>
  <si>
    <t>M2,M3,M7</t>
  </si>
  <si>
    <t>10.15.12.194:5301</t>
  </si>
  <si>
    <t xml:space="preserve">Common env </t>
  </si>
  <si>
    <t>Bank Auth Representative E-Register(auth rep)</t>
  </si>
  <si>
    <t>Received from Sathiyan on Aug 7th. Solution to be provided</t>
  </si>
  <si>
    <t>Mona Ibrahim Al Shamsi</t>
  </si>
  <si>
    <t>Manohar Bhoir</t>
  </si>
  <si>
    <t xml:space="preserve">Sathiyan to prioritize the task. </t>
  </si>
  <si>
    <t>https://www.rakbank.ae/en/everyday-banking/send-pay/foreign-exchange-rates
Data is required from this link. Its internal.
Business -&gt; Trade &amp; Forex -&gt; Forex
Exchange rates will be fetched via API. 
Solution to be provided. Gopi to align with Manoj</t>
  </si>
  <si>
    <t>Mohammad Ahteshamoddin</t>
  </si>
  <si>
    <t>External</t>
  </si>
  <si>
    <t>Genesys</t>
  </si>
  <si>
    <t>M2, M7</t>
  </si>
  <si>
    <t>Authentication flag. To receive from API
Solution signed-off by EDA. 
BRD to be issued to Genesys for SOW</t>
  </si>
  <si>
    <t>EID</t>
  </si>
  <si>
    <t>Authentication flag. To receive from API
Solution to be provided</t>
  </si>
  <si>
    <t>Gaurav</t>
  </si>
  <si>
    <t>UAEPASS</t>
  </si>
  <si>
    <t>-</t>
  </si>
  <si>
    <t>Internal Systems requiring API dev</t>
  </si>
  <si>
    <t>no procurement</t>
  </si>
  <si>
    <t>External Systems requiring API Dev</t>
  </si>
  <si>
    <t>Internal Systems through Databricks</t>
  </si>
  <si>
    <t>External Systems through Databricks</t>
  </si>
  <si>
    <t>Systems that require both Databricks &amp; API</t>
  </si>
  <si>
    <t>for now</t>
  </si>
  <si>
    <t>Contact Phone</t>
  </si>
  <si>
    <t>MASTERCARD</t>
  </si>
  <si>
    <t>Field Name</t>
  </si>
  <si>
    <t>CRM Section</t>
  </si>
  <si>
    <t>Core System</t>
  </si>
  <si>
    <t>Mapping</t>
  </si>
  <si>
    <t>Policy Number</t>
  </si>
  <si>
    <t>Basic Details</t>
  </si>
  <si>
    <t>IDD -&gt; Enquiry -&gt; Policy Search -&gt; Policy/ Proposal No.</t>
  </si>
  <si>
    <t>Product Name</t>
  </si>
  <si>
    <t>IDD -&gt; Enquiry -&gt; Policy Search -&gt; Product Name</t>
  </si>
  <si>
    <t>Plan Name</t>
  </si>
  <si>
    <t>IDD -&gt; Enquiry -&gt; Policy Search  -&gt; Plan Name</t>
  </si>
  <si>
    <t>Policy Status</t>
  </si>
  <si>
    <t>IDD -&gt; Enquiry -&gt; Policy Search -&gt; Policy Status</t>
  </si>
  <si>
    <t>Payment Frequency</t>
  </si>
  <si>
    <t>Policy Details</t>
  </si>
  <si>
    <t>IDD -&gt; Enquiry -&gt; Policy Search -&gt; Policy Details -&gt; Policy Details -&gt; Payment Frequency</t>
  </si>
  <si>
    <t>Policy Currency</t>
  </si>
  <si>
    <t>IDD -&gt; Enquiry -&gt; Policy Search -&gt; Policy Details -&gt; Policy Details -&gt; Policy Currency</t>
  </si>
  <si>
    <t>Monthly Premium</t>
  </si>
  <si>
    <t>IDD -&gt; Enquiry -&gt; Policy Search -&gt; Policy Details -&gt; Policy Details -&gt; M Premium</t>
  </si>
  <si>
    <t>Type</t>
  </si>
  <si>
    <t>IDD -&gt; Enquiry -&gt; Policy Search -&gt; Policy Details -&gt; Policy Details -&gt; Type</t>
  </si>
  <si>
    <t>Plan Term (Years)</t>
  </si>
  <si>
    <t>IDD -&gt; Enquiry -&gt; Policy Search -&gt; Policy Details -&gt; Policy Details -&gt;  Plan Terms (Years)</t>
  </si>
  <si>
    <t>Total Premium</t>
  </si>
  <si>
    <t> </t>
  </si>
  <si>
    <t>Effective Policy Date</t>
  </si>
  <si>
    <t>IDD -&gt; Enquiry -&gt; Policy Search -&gt; Policy Details -&gt; Effective Policy Date</t>
  </si>
  <si>
    <t>Fileds/Logic received</t>
  </si>
  <si>
    <t>Fields yet to receive</t>
  </si>
  <si>
    <t>System</t>
  </si>
  <si>
    <t>No. of fields
requested</t>
  </si>
  <si>
    <t>No. of static fields</t>
  </si>
  <si>
    <t>No. of runtime fields</t>
  </si>
  <si>
    <t xml:space="preserve">Is source DB internal to RAKBANK network ? </t>
  </si>
  <si>
    <t>Is System Pipeline available?</t>
  </si>
  <si>
    <t>Integration mechansim suggested by Architects</t>
  </si>
  <si>
    <t>Is API or IL development required from vendor/source team?</t>
  </si>
  <si>
    <t>Action with</t>
  </si>
  <si>
    <t>Action</t>
  </si>
  <si>
    <t>Oxygen, OF</t>
  </si>
  <si>
    <t>Checking with vendor for logic</t>
  </si>
  <si>
    <t>Oxygen</t>
  </si>
  <si>
    <t>Alok to check with vendor for 1 field</t>
  </si>
  <si>
    <t>To be decided</t>
  </si>
  <si>
    <t>Maybe</t>
  </si>
  <si>
    <t>Keerthana</t>
  </si>
  <si>
    <t>PO in approval</t>
  </si>
  <si>
    <t>Dragos</t>
  </si>
  <si>
    <t>Dragos to confirm back to vendor on solution</t>
  </si>
  <si>
    <t>IL table dev required from vendor.</t>
  </si>
  <si>
    <t>Business to provide req</t>
  </si>
  <si>
    <t>Alok to check with vendor for 4 fields</t>
  </si>
  <si>
    <t>DB team</t>
  </si>
  <si>
    <t>Data build to start</t>
  </si>
  <si>
    <t>No action</t>
  </si>
  <si>
    <t>Surabhi to check 18 fields with Nikhil</t>
  </si>
  <si>
    <t>Pay Hub Plus (NPSS Unity)</t>
  </si>
  <si>
    <t>Keerthana to align with Unity PM</t>
  </si>
  <si>
    <t>Architect to provide tech requirement doc</t>
  </si>
  <si>
    <t>Mongo DB (Requires review). DB cannot connect</t>
  </si>
  <si>
    <t>Narek</t>
  </si>
  <si>
    <t>Narek/Nedzad to develop API from vendor</t>
  </si>
  <si>
    <t>Infobip integration. External system</t>
  </si>
  <si>
    <t xml:space="preserve">MDES </t>
  </si>
  <si>
    <t>Surabhi/Gopi</t>
  </si>
  <si>
    <t>Surabhi to provide BRD.</t>
  </si>
  <si>
    <t>DB2 (batch only possible)</t>
  </si>
  <si>
    <t>To align CARDS team for development</t>
  </si>
  <si>
    <t>Data team</t>
  </si>
  <si>
    <t xml:space="preserve">1 field logic to be redone </t>
  </si>
  <si>
    <t>Int. team</t>
  </si>
  <si>
    <t>Existing API to be used</t>
  </si>
  <si>
    <t>Existing API given by team</t>
  </si>
  <si>
    <t>To confirm the integration approach</t>
  </si>
  <si>
    <t>Legacy system</t>
  </si>
  <si>
    <t>Genesys integration</t>
  </si>
  <si>
    <t>EIDA integration</t>
  </si>
  <si>
    <t>UAEPASS integration</t>
  </si>
  <si>
    <t xml:space="preserve">Sample Required information – </t>
  </si>
  <si>
    <t>Type of Field (Frontend)</t>
  </si>
  <si>
    <t>Type of Field (Backend)</t>
  </si>
  <si>
    <t>Length (Frontend)</t>
  </si>
  <si>
    <t>Length (Backend)</t>
  </si>
  <si>
    <t>Format (Frontend)</t>
  </si>
  <si>
    <t>Format (Backend)</t>
  </si>
  <si>
    <t>List of Values (Frontend)</t>
  </si>
  <si>
    <t>List of Values (Backend)</t>
  </si>
  <si>
    <t>Can this data be fetched from DB or can be exposed via API?</t>
  </si>
  <si>
    <t>Database Name</t>
  </si>
  <si>
    <t>Table Name</t>
  </si>
  <si>
    <t>Database Field Name</t>
  </si>
  <si>
    <t>Any custom logic to populate this field</t>
  </si>
  <si>
    <t>dropdown</t>
  </si>
  <si>
    <t>NVARCHAR(10 CHAR)</t>
  </si>
  <si>
    <t>String</t>
  </si>
  <si>
    <t>NVARCHAR2(10 CHAR)</t>
  </si>
  <si>
    <t>-FEMALE
-MALE
-NOT AVAILABLE</t>
  </si>
  <si>
    <t>-F
-M
-O</t>
  </si>
  <si>
    <t>Text</t>
  </si>
  <si>
    <t>NVARCHAR(75)</t>
  </si>
  <si>
    <t>NVARCHAR2(80 CHAR)</t>
  </si>
  <si>
    <t>Priority</t>
  </si>
  <si>
    <t>Application systems</t>
  </si>
  <si>
    <t>Description</t>
  </si>
  <si>
    <t>Technology Owner Manager</t>
  </si>
  <si>
    <t>Business Owner Manager</t>
  </si>
  <si>
    <t>Vendor Contact</t>
  </si>
  <si>
    <t>Finacle (Core Banking)</t>
  </si>
  <si>
    <t>Core Banking System</t>
  </si>
  <si>
    <t>Joy Sunil/ Mani John</t>
  </si>
  <si>
    <t>Chelliah Kumar</t>
  </si>
  <si>
    <t>Yashpaul Jindal, Yashpaul.Jindal@infosys.com</t>
  </si>
  <si>
    <t>+971 565064530</t>
  </si>
  <si>
    <t>Vikram_Ansal@infosys.com</t>
  </si>
  <si>
    <t>Islamic Banking(Flexcube)</t>
  </si>
  <si>
    <t>Islamic Banking System</t>
  </si>
  <si>
    <t>Manjit Kaur</t>
  </si>
  <si>
    <t>Shakeeb Inayatullah Isane/ Mani John</t>
  </si>
  <si>
    <t>Abdul Karim Juma</t>
  </si>
  <si>
    <t>Varghese Mathew , varghese.x.mathew@oracle.com</t>
  </si>
  <si>
    <t>+91 9986874212</t>
  </si>
  <si>
    <t>bikram.nanada@oracle.com</t>
  </si>
  <si>
    <t>Front Arena (FIS) -  Treasury</t>
  </si>
  <si>
    <t>Treasury Application</t>
  </si>
  <si>
    <t>Ruan Chapman</t>
  </si>
  <si>
    <t>Khushbu</t>
  </si>
  <si>
    <t>Vikas Suri</t>
  </si>
  <si>
    <t>Philip E,  philip.hill@fisglobal.com</t>
  </si>
  <si>
    <t>FinOne- RLS</t>
  </si>
  <si>
    <t>Conventional Loan Management System</t>
  </si>
  <si>
    <t>Semeer Cherangathody</t>
  </si>
  <si>
    <t>Shibani , Divya, Archana , Abdullah Farooq</t>
  </si>
  <si>
    <t>+91 9810617822</t>
  </si>
  <si>
    <t>Loan originating System</t>
  </si>
  <si>
    <t>Abdullah Farooq / Roshan/ Archana</t>
  </si>
  <si>
    <t>Collection System is used for tracking  bank collections and used by collection agents.</t>
  </si>
  <si>
    <t>Chelliah Kumar/</t>
  </si>
  <si>
    <t>PRIME4</t>
  </si>
  <si>
    <t>Card Management system</t>
  </si>
  <si>
    <t>majmal@tsys.com</t>
  </si>
  <si>
    <t>+971 50 2100680</t>
  </si>
  <si>
    <t>mohamedsukkari@tsys.com</t>
  </si>
  <si>
    <t>(Provision of Loan System)</t>
  </si>
  <si>
    <t>Sijina, Vijayalakshmi (Viji), Anuj Agarwal</t>
  </si>
  <si>
    <t>Saurabh Kumar Sharma</t>
  </si>
  <si>
    <t>Sumeet Vijay Jain</t>
  </si>
  <si>
    <t>Sree Rasmi Sasikumaran &lt;Sree.Sasikumaran@rakbank.ae&gt;</t>
  </si>
  <si>
    <t>Farzan Dalal</t>
  </si>
  <si>
    <t>EximBills</t>
  </si>
  <si>
    <t>Trade Finance Application</t>
  </si>
  <si>
    <t>Deshika Mani</t>
  </si>
  <si>
    <t>Chelliah Kumar/Balaji Viswalingam / Hemalika</t>
  </si>
  <si>
    <t>Thushara@chinasystems-me.com</t>
  </si>
  <si>
    <t>Antony-antony@chinasystems-me.com</t>
  </si>
  <si>
    <t>MAPS</t>
  </si>
  <si>
    <t>Retail Banking</t>
  </si>
  <si>
    <t>Hadrain Fernando</t>
  </si>
  <si>
    <t>Rajesh Sharma/Sonia Gregory/</t>
  </si>
  <si>
    <t>Rahul Mehta - rahul.mehta@isgdigitalfirst.com</t>
  </si>
  <si>
    <t>Praveen Balusu - praveenb@insolutionsglobal.com</t>
  </si>
  <si>
    <t>ALM (Fund Transfer Pricing-Asset Management Liability)</t>
  </si>
  <si>
    <t>Fund transfer pricing Asset Liabilities Mgmt</t>
  </si>
  <si>
    <t>Charu Saumya/ KRM Support</t>
  </si>
  <si>
    <t>Mridul Ashok Baberwal</t>
  </si>
  <si>
    <t>KamakuraAspacTeam@sas.com</t>
  </si>
  <si>
    <t>+886 919361377</t>
  </si>
  <si>
    <t>WeiBo.Kao@sas.com</t>
  </si>
  <si>
    <t>Remittance Processing System</t>
  </si>
  <si>
    <t>Guruprasad Narayan Shetty/ Jonathan/Hadrian Fernando</t>
  </si>
  <si>
    <t>Ashutosh/Rahul/Manoj</t>
  </si>
  <si>
    <t>rajeshkumar.rn@distinctinfotech.com,  chacko@distinctinfotech.com</t>
  </si>
  <si>
    <t>Kiplot -Project Portfolio System</t>
  </si>
  <si>
    <t>Project Portfolio System</t>
  </si>
  <si>
    <t>Steeve</t>
  </si>
  <si>
    <t>Samil Salim</t>
  </si>
  <si>
    <t>Balpreet Rihal - balpreet.rihal@kiplot.com</t>
  </si>
  <si>
    <t>Milestone 1 tables</t>
  </si>
  <si>
    <t>Milestone 2 tables</t>
  </si>
  <si>
    <t>Milestone 3 tables</t>
  </si>
  <si>
    <t>Milestone 4 tables</t>
  </si>
  <si>
    <t>Milestone 5 tables</t>
  </si>
  <si>
    <t>Milestone 6 tables</t>
  </si>
  <si>
    <t>Milestone 7 tables</t>
  </si>
  <si>
    <t>Milestone 8 tables</t>
  </si>
  <si>
    <t>M1, M2, M3, M4, M5, M6, M7, M8</t>
  </si>
  <si>
    <t>Data Platform + API</t>
  </si>
  <si>
    <t>accounts,
corporate,
ENTITYDOCUMENT,
Person,
PhoneEmail,
categories,
category_lang
Incidents</t>
  </si>
  <si>
    <t>Accounts,
agent_entity_details,
bizcenter,
Corporate,
DEMOGRAPHIC,
ENTITY_INTEREST_TABLE,
ENTITYDOCUMENT,
EXTN_BODATA ,
GENERAL_ACCT_MAST_TABLE,
MiscellaneousInfo,
Person,
PhoneEmail,
SBCA_MAST_TABLE,
TD_ACCT_MASTER_TABLE,</t>
  </si>
  <si>
    <t>ACCT_AUTH_SIGN_TABLE,
Accounts,
Address,
agent_entity_details,
ACH_PAYSYS_REASON_TABLE,
ACCT_STATEMENT_TABLE,
bizcenter,
CUST_LDFEE,
CUST_PAYGEN_ORD_TABLE,
C_PORD_REMIT_INR,
C_PORDM_DELETE,
C_REJECT
CMB_CSIS_GEN_ACCT_TABLE,
CNMA,
Corporate,
CUST_CALBK,
DEMOGRAPHIC,
DAILY_TRAN_DETAIL_TABLE,
ENTITY_INTEREST_TABLE,
ENTITYDOCUMENT,
entityrelationship,
GEN_ACCT_MAST_MOD_TABLE,
GEN_ACCT_CLASS_TABLE,
GENERAL_ACCT_MAST_TABLE,
SOL_GROUP_CONTROL_TABLE,
GEN_SCHM_PARM_TABLE,
LOGIN_TABLE,
memberships,
MiscellaneousInfo,
ML_MMSG_TBL,
MEMO_PAD_TABLE,
OPERATIONSREASONCODES,
Person,
PhoneEmail,
PAYMENT_ORDER_DETAIL_TABLE,
PAYMENT_ORDER_HEADER_TABLE,
preferences,
psychographic,
SWIFT_MSG_HISTORY_TABLE,
SBCA_MAST_TABLE,
SERVICE_OUTLET_TABLE,
users,</t>
  </si>
  <si>
    <t>accounts,
ACCT_AUTH_SIGN_TABLE,
ADM,
ALH,
ALT,
AST,
C_CPVALUE,
C_CRDT,
CBT,
CNC,
corporate,
DTD,
EIT,
entityrelationship,
EXTN_BODATA ,
FinancialDetails,
GAC,
GAM,
GSP,
Incidents,
ITC,
PFT,
Request,
RSTD,
SIH,
TAM,
TBA_RENEWAL_OPTION_TBL,
TBA_TD_ACCT_MASTER_TBL,
TDT,
TSD</t>
  </si>
  <si>
    <t>M2, M3, M7</t>
  </si>
  <si>
    <t>WIGDT</t>
  </si>
  <si>
    <t>M1, M2, M3, M4</t>
  </si>
  <si>
    <t>CORPORATE_USER,
MULTI_LEVEL_WORKFLOW_TABLE</t>
  </si>
  <si>
    <t>CORPORATE_USER</t>
  </si>
  <si>
    <t>M1, M3, M5, M7, M8</t>
  </si>
  <si>
    <t>ILCARDX,
People</t>
  </si>
  <si>
    <t>ILCARDEMBOSSING,
ILCARDX,
ILCACCOUNTS,
lILCURRENCIES,
ILPRODUCTS,
ILCARDSTATUS,
ILCSTATEMENTS
PEOPLE
ILISSUER_AUTHORIZATIONS
iltbalances</t>
  </si>
  <si>
    <t>ILCINSTALMENTS
Cinstalmentamortization
ILACPLINKS
ILACPROFILES
ILAPPLOG
ILBATCHES
lILCURRENCIES
ilcaccounts
ILCACCOUNTSTMT
ILCADDRESSES
ILCARDEMBOSSING
ILCARDS
ILCARDSTATUS
ILCARDX
ILCCUSTOMERS
ILCEXTENSION
ILCSTATEMENTS
ILCISOTRXNS
ILCTRANSACTIONS
ILCURRENCIES
ILTRXNSTATUS
ILGLOBALPARAMETERVALUES
ILGLOBALPARAMETERS
ILGROUPS
ILINSTALMENTPLANS
ILISSUER_AUTHORIZATIONS
ILMEMOS
ILMEMOTYPES
ILPRODUCTS
ILPROFILES
ilTrxntypes
iltBalances
ilarchtBalances</t>
  </si>
  <si>
    <t>M1, M2, M3, M4, M5, M6</t>
  </si>
  <si>
    <t>Data Platform (batch)</t>
  </si>
  <si>
    <t>lea_agreement_dtl	
NBFC_CUSTOMER_M
LEA_APPL_DTL</t>
  </si>
  <si>
    <t>LEA_AGREEMENT_DTL
LEA_APPL_DTL
LEA_REPAYSCH_DTL
NBFC_CUSTOMER_M</t>
  </si>
  <si>
    <t>RLS collection</t>
  </si>
  <si>
    <t>M2, M4, M5</t>
  </si>
  <si>
    <t>M3, M5</t>
  </si>
  <si>
    <t>DX_TRNS_REMITTANCE
DX_REF_ACTIVITY_LOG</t>
  </si>
  <si>
    <t>M3</t>
  </si>
  <si>
    <t>Outward_ICCS
ICCS_TAB_RoutingNumbers
Inward_Ext_Tab</t>
  </si>
  <si>
    <t>wfinstrumenttable
RB_PC_EXTTABLE
RB_CMS_EXTTABLE
RB_ML_EXTTABLE
RB_DAC_EXTTABLE
RB_BSR_EXTTABLE
RB_iRBL_EXTTABLE
RB_CSR_BT_EXTTABLE
RB_CSR_CCB_EXTTABLE
RB_CSR_CCC_EXTTABLE
RB_CSR_MISC_EXTTABLE
RB_CSR_OCC_EXTTABLE
RB_CSR_RR_EXTTABLE
RB_DSR_DCB_EXTTABLE
RB_DSR_MISC_EXTTABLE
RB_DSR_ODC_EXTTABLE
RB_GSR_LCOL_EXTTABLE
RB_ODDD_EXTTABLE
RB_DA_Exttable
RB_TF_EXTTABLE
RB_SRB_EXTTABLE
RB_AO_EXTTABLE
RB_SRM_EXTTABLE
RB_EPP_EXTTABLE
RB_SAR_EXTTABLE
RB_BAIS_EXTTABLE
NG_DCC_EXTTABLE
NG_DAO_EXTTABLE
NG_TT_EXT_TABLE
RB_TL_EXTTABLE
RB_SRO_EXTTABLE
RB_OECD_EXTTABLE
RB_TWC_EXTTABLE
RB_CU_EXTTABLE
NG_DPL_EXTTABLE
RB_DBO_EXTTABLE
RB_CMS_EXTTABLE
NG_TS_EXTTABLE
RB_NBTL_EXTTABLE
NG_EIBOR_EXTTABLE
ng_CourtOrder_exttable
RB_KYC_REM_EXTTABLE
RB_DBS_EXTTABLE
RB_PL_EXTTABLE</t>
  </si>
  <si>
    <t>wfinstrumenttable</t>
  </si>
  <si>
    <t>M3, M4</t>
  </si>
  <si>
    <t>NPSS_PaymentsStatusConfig
NPSS_PmtStatus_ReqHdr
NPSS_RTPaymentsDtl_Inw
NPSS_RTPaymentsDtl_InwExn
NPSS_RTPaymentsDtl_Out
NPSS_RTPaymentsDtl_OutExn
NPSS_RTPaymentsHdr_Inw
NPSS_RTPaymentsHdr_Out
NPSS_RTS_PmtStatusDtl_Dbtr</t>
  </si>
  <si>
    <t>DeliveryRegistration</t>
  </si>
  <si>
    <t>M4</t>
  </si>
  <si>
    <t>M3, M6</t>
  </si>
  <si>
    <t>CARD_GENERAL
CARDS</t>
  </si>
  <si>
    <t>DCR (take from PRIME)</t>
  </si>
  <si>
    <t>M1, M2, M3, M7</t>
  </si>
  <si>
    <t>customer_consent
customer_info 
consent_configs</t>
  </si>
  <si>
    <t>customer_consent
customer_info 
consent_configs
customer_consent_audit</t>
  </si>
  <si>
    <t>3D Secure (take from Infobip)</t>
  </si>
  <si>
    <t>RLS collection (RLS)</t>
  </si>
  <si>
    <t>DCR (from PRIME)</t>
  </si>
  <si>
    <t>3D secure (from Infobip)</t>
  </si>
  <si>
    <t>Source table name</t>
  </si>
  <si>
    <t>CRM ODS table name</t>
  </si>
  <si>
    <r>
      <t xml:space="preserve">Transactional table?
</t>
    </r>
    <r>
      <rPr>
        <sz val="10"/>
        <rFont val="Calibri"/>
        <family val="2"/>
      </rPr>
      <t>If Y, one yr historical datato be loaded (rolling time) Purging to be implemented</t>
    </r>
  </si>
  <si>
    <t>Data ingestion
CRM_DEV
from UAT2</t>
  </si>
  <si>
    <t>Data ingestion
CRM_SIT
from UAT2</t>
  </si>
  <si>
    <t>Data ingestion
CRM_UAT
from UAT2</t>
  </si>
  <si>
    <t>Data ingestion
CRM_DEV</t>
  </si>
  <si>
    <t>Data ingestion
CRM_SIT</t>
  </si>
  <si>
    <t>Data ingestion
CRM_UAT</t>
  </si>
  <si>
    <t>Milestone 1</t>
  </si>
  <si>
    <t>accounts</t>
  </si>
  <si>
    <t>CRM_DEV.finacle.CRMUSER_ACCOUNTS</t>
  </si>
  <si>
    <t>ILCARDX</t>
  </si>
  <si>
    <t>CRM_DEV.prime4.TCTDBS_CARDX</t>
  </si>
  <si>
    <t>WMS_INV_GEN_DTLS_TBL</t>
  </si>
  <si>
    <t>Milestone1</t>
  </si>
  <si>
    <t>LEA_AGREEMENT_DTL</t>
  </si>
  <si>
    <t>CRM_DEV.rls.FIN_LEAM_LEA_AGREEMENT_DTL</t>
  </si>
  <si>
    <t>Milestone 3</t>
  </si>
  <si>
    <t>DX_TRNS_REMITTANCE</t>
  </si>
  <si>
    <t>Milestone3</t>
  </si>
  <si>
    <t>Outward_ICCS</t>
  </si>
  <si>
    <t>NPSS_PaymentsStatusConfig</t>
  </si>
  <si>
    <t>Milestone 2</t>
  </si>
  <si>
    <t>CARD_GENERAL</t>
  </si>
  <si>
    <t>CRM_DEV.caps.CAPSADMIN_CARD_GENERAL</t>
  </si>
  <si>
    <t>Milestone2</t>
  </si>
  <si>
    <t>customer_consent</t>
  </si>
  <si>
    <t>corporate</t>
  </si>
  <si>
    <t>CRM_DEV.finacle.CRMUSER_CORPORATE</t>
  </si>
  <si>
    <t>PEOPLE</t>
  </si>
  <si>
    <t>CRM_DEV.prime4.TCTDBS_PEOPLE</t>
  </si>
  <si>
    <t>MULTI_LEVEL_WORKFLOW_TABLE</t>
  </si>
  <si>
    <t>NBFC_CUSTOMER_M</t>
  </si>
  <si>
    <t>DX_REF_ACTIVITY_LOG</t>
  </si>
  <si>
    <t>ICCS_TAB_RoutingNumbers</t>
  </si>
  <si>
    <t>RB_PC_EXTTABLE</t>
  </si>
  <si>
    <t>NPSS_PmtStatus_ReqHdr</t>
  </si>
  <si>
    <t>CARDS</t>
  </si>
  <si>
    <t>CRM_DEV.caps.CAPSADMIN_CARDS</t>
  </si>
  <si>
    <t>customer_info</t>
  </si>
  <si>
    <t>ENTITYDOCUMENT</t>
  </si>
  <si>
    <t>CRM_DEV.finacle.CRMUSER_ENTITYDOCUMENT</t>
  </si>
  <si>
    <t>ILCARDEMBOSSING</t>
  </si>
  <si>
    <t>TCTDBS_CARDEMBOSSING</t>
  </si>
  <si>
    <t>LEA_APPL_DTL</t>
  </si>
  <si>
    <t>CRM_DEV.rls.FIN_LEAM_LEA_APPL_DTL</t>
  </si>
  <si>
    <t>Milestone 4</t>
  </si>
  <si>
    <t>Inward_Ext_Tab</t>
  </si>
  <si>
    <t>RB_CMS_EXTTABLE</t>
  </si>
  <si>
    <t>NPSS_RTPaymentsDtl_Inw</t>
  </si>
  <si>
    <t>consent_configs</t>
  </si>
  <si>
    <t>Person</t>
  </si>
  <si>
    <t>CRM_DEV.finacle.CRMUSER_PERSON</t>
  </si>
  <si>
    <t>RB_ML_EXTTABLE</t>
  </si>
  <si>
    <t>NPSS_RTPaymentsDtl_InwExn</t>
  </si>
  <si>
    <t>PhoneEmail</t>
  </si>
  <si>
    <t>CRM_DEV.finacle.CRMUSER_PHONEEMAIL</t>
  </si>
  <si>
    <t>ILCACCOUNTS</t>
  </si>
  <si>
    <t>CRM_DEV.prime4.TCTDBS_CACCOUNTS</t>
  </si>
  <si>
    <t>RB_DAC_EXTTABLE</t>
  </si>
  <si>
    <t>NPSS_RTPaymentsDtl_Out</t>
  </si>
  <si>
    <t>categories</t>
  </si>
  <si>
    <t>CRM_DEV.finacle.CRMUSER_CATEGORIES</t>
  </si>
  <si>
    <t>ILCURRENCIES</t>
  </si>
  <si>
    <t>CRM_DEV.prime4.TCTDBS_CURRENCIES</t>
  </si>
  <si>
    <t>LEA_REPAYSCH_DTL</t>
  </si>
  <si>
    <t>CRM_DEV.rls.FIN_LEAM_LEA_REPAYSCH_DTL</t>
  </si>
  <si>
    <t>RB_BSR_EXTTABLE</t>
  </si>
  <si>
    <t>NPSS_RTPaymentsDtl_OutExn</t>
  </si>
  <si>
    <t>category_lang</t>
  </si>
  <si>
    <t>CRM_DEV.finacle.CRMUSER_CATEGORY_LANG</t>
  </si>
  <si>
    <t>ILPRODUCTS</t>
  </si>
  <si>
    <t>RB_iRBL_EXTTABLE</t>
  </si>
  <si>
    <t>NPSS_RTPaymentsHdr_Inw</t>
  </si>
  <si>
    <t>customer_consent_audit</t>
  </si>
  <si>
    <t>Incidents</t>
  </si>
  <si>
    <t>ILCARDSTATUS</t>
  </si>
  <si>
    <t>RB_CSR_BT_EXTTABLE</t>
  </si>
  <si>
    <t>NPSS_RTPaymentsHdr_Out</t>
  </si>
  <si>
    <t>Accounts</t>
  </si>
  <si>
    <t>ILCSTATEMENTS</t>
  </si>
  <si>
    <t>CRM_DEV.prime4.TCTDBS_CSTATEMENTS</t>
  </si>
  <si>
    <t>CRM_DEV.rls.FIN_LEAM_NBFC_CUSTOMER_M</t>
  </si>
  <si>
    <t>RB_CSR_CCB_EXTTABLE</t>
  </si>
  <si>
    <t>NPSS_RTS_PmtStatusDtl_Dbtr</t>
  </si>
  <si>
    <t>agent_entity_details</t>
  </si>
  <si>
    <t>CRM_DEV.finacle.CRMUSER_AGENT_ENTITY_DETAILS</t>
  </si>
  <si>
    <t>RB_CSR_CCC_EXTTABLE</t>
  </si>
  <si>
    <t>bizcenter</t>
  </si>
  <si>
    <t>CRM_DEV.finacle.CRMUSER_BIZCENTER</t>
  </si>
  <si>
    <t>ILISSUER_AUTHORIZATIONS</t>
  </si>
  <si>
    <t>RB_CSR_MISC_EXTTABLE</t>
  </si>
  <si>
    <t>Corporate</t>
  </si>
  <si>
    <t>iltbalances</t>
  </si>
  <si>
    <t>CRM_DEV.prime4.TCTDBS_TBALANCES</t>
  </si>
  <si>
    <t>RB_CSR_OCC_EXTTABLE</t>
  </si>
  <si>
    <t>DEMOGRAPHIC</t>
  </si>
  <si>
    <t>CRM_DEV.finacle.CRMUSER_DEMOGRAPHIC</t>
  </si>
  <si>
    <t>CINSTALMENTS</t>
  </si>
  <si>
    <t>RB_CSR_RR_EXTTABLE</t>
  </si>
  <si>
    <t>ENTITY_INTEREST_TABLE</t>
  </si>
  <si>
    <t>CRM_DEV.finacle.TBAADM_ENTITY_INTEREST_TABLE</t>
  </si>
  <si>
    <t>Cinstalmentamortization</t>
  </si>
  <si>
    <t>CRM_DEV.prime4.TCTDBS_CINSTALMENTAMORTIZATION</t>
  </si>
  <si>
    <t>RB_DSR_DCB_EXTTABLE</t>
  </si>
  <si>
    <t>ACPLINKS</t>
  </si>
  <si>
    <t>RB_DSR_MISC_EXTTABLE</t>
  </si>
  <si>
    <t xml:space="preserve">EXTN_BODATA </t>
  </si>
  <si>
    <t>ACPROFILES</t>
  </si>
  <si>
    <t>RB_DSR_ODC_EXTTABLE</t>
  </si>
  <si>
    <t>GENERAL_ACCT_MAST_TABLE</t>
  </si>
  <si>
    <t>CRM_DEV.finacle.TBAADM_GENERAL_ACCT_MAST_TABLE</t>
  </si>
  <si>
    <t>APPLOG</t>
  </si>
  <si>
    <t>RB_GSR_LCOL_EXTTABLE</t>
  </si>
  <si>
    <t>MiscellaneousInfo</t>
  </si>
  <si>
    <t>CRM_DEV.finacle.CRMUSER_MISCELLANEOUSINFO</t>
  </si>
  <si>
    <t>BATCHES</t>
  </si>
  <si>
    <t>CRM_DEV.prime4.TCTDBS_BATCHES</t>
  </si>
  <si>
    <t>RB_ODDD_EXTTABLE</t>
  </si>
  <si>
    <t>CURRENCIES</t>
  </si>
  <si>
    <t>RB_DA_Exttable</t>
  </si>
  <si>
    <t>caccounts</t>
  </si>
  <si>
    <t>RB_TF_EXTTABLE</t>
  </si>
  <si>
    <t>SBCA_MAST_TABLE</t>
  </si>
  <si>
    <t>CRM_DEV.finacle.TBAADM_SBCA_MAST_TABLE</t>
  </si>
  <si>
    <t>CACCOUNTSTMT</t>
  </si>
  <si>
    <t>CRM_DEV.prime4.TCTDBS_CACCOUNTSTMT</t>
  </si>
  <si>
    <t>RB_SRB_EXTTABLE</t>
  </si>
  <si>
    <t>TD_ACCT_MASTER_TABLE</t>
  </si>
  <si>
    <t>CRM_DEV.finacle.TBAADM_TD_ACCT_MASTER_TABLE</t>
  </si>
  <si>
    <t>CADDRESSES</t>
  </si>
  <si>
    <t>CRM_DEV.prime4.TCTDBS_CADDRESSES</t>
  </si>
  <si>
    <t>RB_AO_EXTTABLE</t>
  </si>
  <si>
    <t>ACCT_AUTH_SIGN_TABLE</t>
  </si>
  <si>
    <t>CRM_DEV.finacle.TBAADM_ACCT_AUTH_SIGN_TABLE</t>
  </si>
  <si>
    <t>CARDEMBOSSING</t>
  </si>
  <si>
    <t>CRM_DEV.prime4.TCTDBS_CARDEMBOSSING</t>
  </si>
  <si>
    <t>RB_SRM_EXTTABLE</t>
  </si>
  <si>
    <t>RB_EPP_EXTTABLE</t>
  </si>
  <si>
    <t>Address</t>
  </si>
  <si>
    <t>CRM_DEV.finacle.CRMUSER_ADDRESS</t>
  </si>
  <si>
    <t>CARDSTATUS</t>
  </si>
  <si>
    <t>RB_SAR_EXTTABLE</t>
  </si>
  <si>
    <t>CARDX</t>
  </si>
  <si>
    <t>RB_BAIS_EXTTABLE</t>
  </si>
  <si>
    <t>ACH_PAYSYS_REASON_TABLE</t>
  </si>
  <si>
    <t>CCUSTOMERS</t>
  </si>
  <si>
    <t>CRM_DEV.prime4.TCTDBS_CCUSTOMERS</t>
  </si>
  <si>
    <t>NG_DCC_EXTTABLE</t>
  </si>
  <si>
    <t>ACCT_STATEMENT_TABLE</t>
  </si>
  <si>
    <t>CRM_DEV.finacle.TBAADM_ACCT_STATEMENT_TABLE</t>
  </si>
  <si>
    <t>CEXTENSION</t>
  </si>
  <si>
    <t>NG_DAO_EXTTABLE</t>
  </si>
  <si>
    <t>CSTATEMENTS</t>
  </si>
  <si>
    <t>NG_TT_EXT_TABLE</t>
  </si>
  <si>
    <t>CUST_LDFEE</t>
  </si>
  <si>
    <t>CISOTRXNS</t>
  </si>
  <si>
    <t>RB_TL_EXTTABLE</t>
  </si>
  <si>
    <t>CUST_PAYGEN_ORD_TABLE</t>
  </si>
  <si>
    <t>CTRANSACTIONS</t>
  </si>
  <si>
    <t>CRM_DEV.prime4.TCTDBS_CTRANSACTIONS</t>
  </si>
  <si>
    <t>RB_SRO_EXTTABLE</t>
  </si>
  <si>
    <t>C_PORD_REMIT_INR</t>
  </si>
  <si>
    <t>TRXNSTATUS</t>
  </si>
  <si>
    <t>CRM_DEV.prime4.TCTDBS_TRXNSTATUS</t>
  </si>
  <si>
    <t>RB_OECD_EXTTABLE</t>
  </si>
  <si>
    <t>CUST_REJECT</t>
  </si>
  <si>
    <t>GLOBALPARAMETERVALUES</t>
  </si>
  <si>
    <t>CRM_DEV.prime4.TCTDBS_GLOBALPARAMETERVALUES</t>
  </si>
  <si>
    <t>RB_TWC_EXTTABLE</t>
  </si>
  <si>
    <t>CMB_CSIS_GEN_ACCT_TABLE</t>
  </si>
  <si>
    <t>GLOBALPARAMETERS</t>
  </si>
  <si>
    <t>CRM_DEV.prime4.TCTDBS_GLOBALPARAMETERS</t>
  </si>
  <si>
    <t>RB_CU_EXTTABLE</t>
  </si>
  <si>
    <t>CNMA</t>
  </si>
  <si>
    <t>GROUPS</t>
  </si>
  <si>
    <t>NG_DPL_EXTTABLE</t>
  </si>
  <si>
    <t>INSTALMENTPLANS</t>
  </si>
  <si>
    <t>CRM_DEV.prime4.TCTDBS_INSTALMENTPLANS</t>
  </si>
  <si>
    <t>RB_DBO_EXTTABLE</t>
  </si>
  <si>
    <t>CUST_CALBK</t>
  </si>
  <si>
    <t>AUTHORIZATIONS</t>
  </si>
  <si>
    <t>MEMOS</t>
  </si>
  <si>
    <t>NG_TS_EXTTABLE</t>
  </si>
  <si>
    <t>DAILY_TRAN_DETAIL_TABLE</t>
  </si>
  <si>
    <t>CRM_DEV.finacle.TBAADM_DAILY_TRAN_DETAIL_TABLE</t>
  </si>
  <si>
    <t>MEMOTYPES</t>
  </si>
  <si>
    <t>CRM_DEV.prime4.TCTDBS_MEMOTYPES</t>
  </si>
  <si>
    <t>RB_NBTL_EXTTABLE</t>
  </si>
  <si>
    <t>PRODUCTS</t>
  </si>
  <si>
    <t>NG_EIBOR_EXTTABLE</t>
  </si>
  <si>
    <t>PROFILES</t>
  </si>
  <si>
    <t>CRM_DEV.prime4.TCTDBS_PROFILES</t>
  </si>
  <si>
    <t>ng_CourtOrder_exttable</t>
  </si>
  <si>
    <t>entityrelationship</t>
  </si>
  <si>
    <t>CRM_DEV.finacle.CRMUSER_ENTITYRELATIONSHIP</t>
  </si>
  <si>
    <t>Trxntypes</t>
  </si>
  <si>
    <t>RB_KYC_REM_EXTTABLE</t>
  </si>
  <si>
    <t>GEN_ACCT_MAST_MOD_TABLE</t>
  </si>
  <si>
    <t>tBalances</t>
  </si>
  <si>
    <t>RB_DBS_EXTTABLE</t>
  </si>
  <si>
    <t>GEN_ACCT_CLASS_TABLE</t>
  </si>
  <si>
    <t>CRM_DEV.finacle.TBAADM_GEN_ACCT_CLASS_TABLE</t>
  </si>
  <si>
    <t>archtBalances</t>
  </si>
  <si>
    <t>CRM_DEV.prime4.TCTDBS_ARCHTBALANCES</t>
  </si>
  <si>
    <t>RB_PL_EXTTABLE</t>
  </si>
  <si>
    <t>SOL_GROUP_CONTROL_TABLE</t>
  </si>
  <si>
    <t>CRM_DEV.finacle.TBAADM_SOL_GROUP_CONTROL_TABLE</t>
  </si>
  <si>
    <t>GEN_SCHM_PARM_TABLE</t>
  </si>
  <si>
    <t>CRM_DEV.finacle.TBAADM_GEN_SCHM_PARM_TABLE</t>
  </si>
  <si>
    <t>LOGIN_TABLE</t>
  </si>
  <si>
    <t>CRM_DEV.finacle.TBAADM_LOGIN_TABLE</t>
  </si>
  <si>
    <t>memberships</t>
  </si>
  <si>
    <t>CRM_DEV.finacle.CRMUSER_MEMBERSHIPS</t>
  </si>
  <si>
    <t>ML_MMSG_TBL</t>
  </si>
  <si>
    <t>CRM_DEV.finacle.TBAADM_ML_MMSG_TBL</t>
  </si>
  <si>
    <t>MEMO_PAD_TABLE</t>
  </si>
  <si>
    <t>CRM_DEV.finacle.TBAADM_MEMO_PAD_TABLE</t>
  </si>
  <si>
    <t>OPERATIONSREASONCODES_DEDUP</t>
  </si>
  <si>
    <t>PAYMENT_ORDER_DETAIL_TABLE</t>
  </si>
  <si>
    <t>PAYMENT_ORDER_HEADER_TABLE</t>
  </si>
  <si>
    <t>preferences</t>
  </si>
  <si>
    <t>CRM_DEV.finacle.CRMUSER_PREFERENCES</t>
  </si>
  <si>
    <t>psychographic</t>
  </si>
  <si>
    <t>CRM_DEV.finacle.CRMUSER_PSYCHOGRAPHIC</t>
  </si>
  <si>
    <t>SWIFT_MSG_HISTORY_TABLE</t>
  </si>
  <si>
    <t>C_PORDM_DELETE</t>
  </si>
  <si>
    <t>SERVICE_OUTLET_TABLE</t>
  </si>
  <si>
    <t>CRM_DEV.finacle.TBAADM_SERVICE_OUTLET_TABLE</t>
  </si>
  <si>
    <t>users</t>
  </si>
  <si>
    <t>CRM_DEV.finacle.CRMUSER_USERS</t>
  </si>
  <si>
    <t>ADM</t>
  </si>
  <si>
    <t>ALH</t>
  </si>
  <si>
    <t>ALT</t>
  </si>
  <si>
    <t>AST</t>
  </si>
  <si>
    <t>C_CPVALUE</t>
  </si>
  <si>
    <t>C_CRDT</t>
  </si>
  <si>
    <t>CBT</t>
  </si>
  <si>
    <t>CNC</t>
  </si>
  <si>
    <t>DTD</t>
  </si>
  <si>
    <t>EIT</t>
  </si>
  <si>
    <t>FinancialDetails</t>
  </si>
  <si>
    <t>GAC</t>
  </si>
  <si>
    <t>GAM</t>
  </si>
  <si>
    <t>GSP</t>
  </si>
  <si>
    <t>CRM_DEV.finacle.CRMUSER_INCIDENTS</t>
  </si>
  <si>
    <t>ITC</t>
  </si>
  <si>
    <t>PFT</t>
  </si>
  <si>
    <t>Request</t>
  </si>
  <si>
    <t>RSTD</t>
  </si>
  <si>
    <t>SIH</t>
  </si>
  <si>
    <t>TAM</t>
  </si>
  <si>
    <t>TBA_RENEWAL_OPTION_TBL</t>
  </si>
  <si>
    <t>TBA_TD_ACCT_MASTER_TBL</t>
  </si>
  <si>
    <t>TDT</t>
  </si>
  <si>
    <t>TSD</t>
  </si>
  <si>
    <t>Scope of testing</t>
  </si>
  <si>
    <t>PowerApps Front End</t>
  </si>
  <si>
    <t>Dataverse</t>
  </si>
  <si>
    <t>SQL DB</t>
  </si>
  <si>
    <t>Source Systems
Data + Microservices</t>
  </si>
  <si>
    <t>Requirement SQL load</t>
  </si>
  <si>
    <t>Unit</t>
  </si>
  <si>
    <t>https://crm-dev.crm15.dynamics.com/</t>
  </si>
  <si>
    <t>CRM-Dev</t>
  </si>
  <si>
    <t>CRM_DEV</t>
  </si>
  <si>
    <t>UAT2
(Databricks DEV)</t>
  </si>
  <si>
    <t>CRM-Dev Dataverse will continue to have limited test data</t>
  </si>
  <si>
    <t>All tables full load except transactional tables . TXN tables should be loaded with 1 yr data only</t>
  </si>
  <si>
    <t>QA (interim)</t>
  </si>
  <si>
    <t>https://crm-sit.crm15.dynamics.com</t>
  </si>
  <si>
    <t>CRM-SIT</t>
  </si>
  <si>
    <t>1. QA is in progress in CRM-SIT FE. Will be eventually moved to CRM-UAT FE once data ingestion is complete. No impact as the Front-end is same and underlying DB is same
2. CRM_DEV SQL has data directly from source thru confluent</t>
  </si>
  <si>
    <t>QA, UAT, RA, VA</t>
  </si>
  <si>
    <t>https://crm-uat.crm15.dynamics.com/</t>
  </si>
  <si>
    <t>CRM-UAT</t>
  </si>
  <si>
    <t>1. Data ingestion to Dataverse UAT (Day0 and CDC) to be started based on new approach once CRM_PT SQL ingestion is complete</t>
  </si>
  <si>
    <t>PT, Data movement testing</t>
  </si>
  <si>
    <t>https://crm-pt.crm15.dynamics.com/</t>
  </si>
  <si>
    <t>CRM-PT</t>
  </si>
  <si>
    <t>CRM_PT</t>
  </si>
  <si>
    <t>1. Dedicated and temp environment for PT
2. Data movement testing can be performed only on the DB where new approach is implemented</t>
  </si>
  <si>
    <t>OAT /Replica</t>
  </si>
  <si>
    <t>https://crm-preprod.crm15.dynamics.com/</t>
  </si>
  <si>
    <t>CRM-Preprod</t>
  </si>
  <si>
    <t>CRM_PREPROD</t>
  </si>
  <si>
    <t>UAT1
(Databricks Test)</t>
  </si>
  <si>
    <t>Pilot</t>
  </si>
  <si>
    <t>https://crm.crm15.dynamics.com</t>
  </si>
  <si>
    <t>CRM-Prod</t>
  </si>
  <si>
    <t>CRM_PROD</t>
  </si>
  <si>
    <t>PROD
(Databricks PROD)</t>
  </si>
  <si>
    <t>DB</t>
  </si>
  <si>
    <t>Environment</t>
  </si>
  <si>
    <t>Load type</t>
  </si>
  <si>
    <t>Source</t>
  </si>
  <si>
    <t>Task</t>
  </si>
  <si>
    <t xml:space="preserve">Priority </t>
  </si>
  <si>
    <t>Owner</t>
  </si>
  <si>
    <t>ETA</t>
  </si>
  <si>
    <t>Data Analysis and modeling remaining stories completion for M2, M3, M4</t>
  </si>
  <si>
    <t>Alok Pradhan</t>
  </si>
  <si>
    <t>Develop the ADF pipelines that will move the data for the Initial load (Data Engineering) from ADLS to ODS (CRM DB)</t>
  </si>
  <si>
    <t>Batch :Sunil , Affan ,Karna &amp; Sai
Real time : Sunil</t>
  </si>
  <si>
    <t>Batch Systems :19-Mar
Realtime systems : 27-Feb</t>
  </si>
  <si>
    <t>Batch is 4step process hence needs time till 19-March
1. Sunil to ingest data in ADLS using Confluent 
2. Affan from ADLS to Databricks
3. Karna will help with design and Sai to  devlopment of Databricks to CRMDB Pipeline
4. Sai to run the pipelines along with DBA</t>
  </si>
  <si>
    <t xml:space="preserve">Develop Confluent pipelines to Dataverse </t>
  </si>
  <si>
    <t>Sunil</t>
  </si>
  <si>
    <t>POC Failed - NO APPROACH NO ETA</t>
  </si>
  <si>
    <t>Requires attention and support from Confluent</t>
  </si>
  <si>
    <t>SETUP CRM_PT, CRM_PREPROD DB instances. Create the DBs, Schemas, Partition logic, Partitions, Tables, Stored procedures, scheduled DB jobs.</t>
  </si>
  <si>
    <t>DBA</t>
  </si>
  <si>
    <t xml:space="preserve">•	export the DDLs for all CRM tables from Dev and apply those in PT
•	create and associate partitions for the transaction tables 
•	Create the stored procedures for automatically provision the partitions and schedule the jobs for the same
•	create the stored procedures for keeping only the 12months rolling period data by purging the old partitions and schedule the associated jobs </t>
  </si>
  <si>
    <t>SQL</t>
  </si>
  <si>
    <t>DEV</t>
  </si>
  <si>
    <t>Day 0</t>
  </si>
  <si>
    <t>Databricks Bronze Dev (UAT2)</t>
  </si>
  <si>
    <t>Data ingestion of remaining tables enabling M1, M2, M3, M4 defects and stories closure</t>
  </si>
  <si>
    <t>Batch is 4step process hence needs time 
1. Sunil to ingest data in ADLS using Confluent 
2. Affan from ADLS to Databricks
3. Karna will help with design and Sai to  devlopment of Databricks to CRMDB Pipeline
4. Sai to run the pipelines along with DBA</t>
  </si>
  <si>
    <t>CDC</t>
  </si>
  <si>
    <t>Source systems UAT2</t>
  </si>
  <si>
    <t>CDC enablement of all tables enabling M1, M2, M3, M4 defects and stories closure</t>
  </si>
  <si>
    <t>Real time Systems : 6-Mar</t>
  </si>
  <si>
    <t>CRM_DEV SQL DB</t>
  </si>
  <si>
    <t>Cleaner Data ingestion of all tables enabling M1, M2, M3, M4 defects and stories closure</t>
  </si>
  <si>
    <t>Karna</t>
  </si>
  <si>
    <t>All systems : 6-Mar</t>
  </si>
  <si>
    <t>Ingestion throufh ADF using Joins</t>
  </si>
  <si>
    <t>DE</t>
  </si>
  <si>
    <t>ASK IS NOT CLEAR</t>
  </si>
  <si>
    <t>PT</t>
  </si>
  <si>
    <t>Execute loading</t>
  </si>
  <si>
    <t xml:space="preserve">This will be stared after Dev &amp; UAT are completed - 
Appoach change on 23-Jan initially SQL Sink connector was devloped to cater this requirement </t>
  </si>
  <si>
    <t>This will be stared after Dev &amp; UAT are completed</t>
  </si>
  <si>
    <t>CRM_PT SQL DB</t>
  </si>
  <si>
    <t>Preprod</t>
  </si>
  <si>
    <t>Databricks Bronze Test (UAT1)</t>
  </si>
  <si>
    <t>PT &amp; Prepod wil be done in parallel</t>
  </si>
  <si>
    <t>Source systems UAT1</t>
  </si>
  <si>
    <t>CRM_PREPROD SQL DB</t>
  </si>
  <si>
    <t>Development completion</t>
  </si>
  <si>
    <t>Data Ingestion Completion</t>
  </si>
  <si>
    <t>Flow</t>
  </si>
  <si>
    <t>ADLS Sink</t>
  </si>
  <si>
    <t>DLT Job</t>
  </si>
  <si>
    <t>ADF pipeline</t>
  </si>
  <si>
    <t>SQL Sink</t>
  </si>
  <si>
    <t>ADF Microbatches</t>
  </si>
  <si>
    <t>CRM_DEV
Source - UAT 2</t>
  </si>
  <si>
    <t>CRM_UAT
Source - UAT 2</t>
  </si>
  <si>
    <t>CRM_PT
Source - UAT 2</t>
  </si>
  <si>
    <t>CRM_PREPROD
Source - UAT 1</t>
  </si>
  <si>
    <t>SQL Day 0</t>
  </si>
  <si>
    <r>
      <rPr>
        <b/>
        <sz val="11"/>
        <color theme="1"/>
        <rFont val="Aptos Narrow"/>
        <family val="2"/>
        <scheme val="minor"/>
      </rPr>
      <t>Source</t>
    </r>
    <r>
      <rPr>
        <sz val="11"/>
        <color theme="1"/>
        <rFont val="Aptos Narrow"/>
        <family val="2"/>
        <scheme val="minor"/>
      </rPr>
      <t xml:space="preserve"> --&gt;( ADLS Sink ) --&gt; </t>
    </r>
    <r>
      <rPr>
        <b/>
        <sz val="11"/>
        <color theme="1"/>
        <rFont val="Aptos Narrow"/>
        <family val="2"/>
        <scheme val="minor"/>
      </rPr>
      <t>ADLS</t>
    </r>
    <r>
      <rPr>
        <sz val="11"/>
        <color theme="1"/>
        <rFont val="Aptos Narrow"/>
        <family val="2"/>
        <scheme val="minor"/>
      </rPr>
      <t xml:space="preserve"> --&gt; (DLT jobs) --&gt; 
</t>
    </r>
    <r>
      <rPr>
        <b/>
        <sz val="11"/>
        <color theme="1"/>
        <rFont val="Aptos Narrow"/>
        <family val="2"/>
        <scheme val="minor"/>
      </rPr>
      <t>Databricks</t>
    </r>
    <r>
      <rPr>
        <sz val="11"/>
        <color theme="1"/>
        <rFont val="Aptos Narrow"/>
        <family val="2"/>
        <scheme val="minor"/>
      </rPr>
      <t xml:space="preserve"> </t>
    </r>
    <r>
      <rPr>
        <b/>
        <sz val="11"/>
        <color theme="1"/>
        <rFont val="Aptos Narrow"/>
        <family val="2"/>
        <scheme val="minor"/>
      </rPr>
      <t>Bronze</t>
    </r>
    <r>
      <rPr>
        <sz val="11"/>
        <color theme="1"/>
        <rFont val="Aptos Narrow"/>
        <family val="2"/>
        <scheme val="minor"/>
      </rPr>
      <t xml:space="preserve"> --&gt; (ADF pipeline) --&gt;</t>
    </r>
    <r>
      <rPr>
        <b/>
        <sz val="11"/>
        <color theme="1"/>
        <rFont val="Aptos Narrow"/>
        <family val="2"/>
        <scheme val="minor"/>
      </rPr>
      <t xml:space="preserve"> MS SQL</t>
    </r>
  </si>
  <si>
    <t>27-Feb
Sunil</t>
  </si>
  <si>
    <t>02-Mar
Sai/Affan</t>
  </si>
  <si>
    <t>02-Mar
Sai</t>
  </si>
  <si>
    <t>03Mar to 04Mar
Sai</t>
  </si>
  <si>
    <t>5 systems are still remaining to start  from source to Confluent,  8 systems are still remaining to start from confluent to ADLS.  we are also working User story and Bug s,  (Sai's comment)-- For development I have enforced primary key is the blocker and and availablity of the tables in ADLS is the blocker</t>
  </si>
  <si>
    <t>SQL Batch systems</t>
  </si>
  <si>
    <r>
      <rPr>
        <b/>
        <sz val="11"/>
        <color theme="1"/>
        <rFont val="Aptos Narrow"/>
        <family val="2"/>
        <scheme val="minor"/>
      </rPr>
      <t>Source</t>
    </r>
    <r>
      <rPr>
        <sz val="11"/>
        <color theme="1"/>
        <rFont val="Aptos Narrow"/>
        <family val="2"/>
        <scheme val="minor"/>
      </rPr>
      <t xml:space="preserve"> --&gt;( ADF ) --&gt;  </t>
    </r>
    <r>
      <rPr>
        <b/>
        <sz val="11"/>
        <color theme="1"/>
        <rFont val="Aptos Narrow"/>
        <family val="2"/>
        <scheme val="minor"/>
      </rPr>
      <t>Databricks</t>
    </r>
    <r>
      <rPr>
        <sz val="11"/>
        <color theme="1"/>
        <rFont val="Aptos Narrow"/>
        <family val="2"/>
        <scheme val="minor"/>
      </rPr>
      <t xml:space="preserve"> </t>
    </r>
    <r>
      <rPr>
        <b/>
        <sz val="11"/>
        <color theme="1"/>
        <rFont val="Aptos Narrow"/>
        <family val="2"/>
        <scheme val="minor"/>
      </rPr>
      <t>Bronze</t>
    </r>
    <r>
      <rPr>
        <sz val="11"/>
        <color theme="1"/>
        <rFont val="Aptos Narrow"/>
        <family val="2"/>
        <scheme val="minor"/>
      </rPr>
      <t xml:space="preserve"> --&gt; (ADF pipeline) --&gt;</t>
    </r>
    <r>
      <rPr>
        <b/>
        <sz val="11"/>
        <color theme="1"/>
        <rFont val="Aptos Narrow"/>
        <family val="2"/>
        <scheme val="minor"/>
      </rPr>
      <t xml:space="preserve"> 
MS SQL</t>
    </r>
  </si>
  <si>
    <t>4-Mar
Syeda &amp; Sunil</t>
  </si>
  <si>
    <t>05-Mar
Sai</t>
  </si>
  <si>
    <t>Syeda just got access</t>
  </si>
  <si>
    <t>SQL Continuous streaming</t>
  </si>
  <si>
    <r>
      <rPr>
        <b/>
        <sz val="11"/>
        <color theme="1"/>
        <rFont val="Aptos Narrow"/>
        <family val="2"/>
        <scheme val="minor"/>
      </rPr>
      <t>Source</t>
    </r>
    <r>
      <rPr>
        <sz val="11"/>
        <color theme="1"/>
        <rFont val="Aptos Narrow"/>
        <family val="2"/>
        <scheme val="minor"/>
      </rPr>
      <t xml:space="preserve"> --&gt; (Confluent Kafka SQL SINK) --&gt;</t>
    </r>
    <r>
      <rPr>
        <b/>
        <sz val="11"/>
        <color theme="1"/>
        <rFont val="Aptos Narrow"/>
        <family val="2"/>
        <scheme val="minor"/>
      </rPr>
      <t xml:space="preserve"> MS SQL</t>
    </r>
  </si>
  <si>
    <t>05-Mar
Sunil</t>
  </si>
  <si>
    <t>06-Mar
Sunil</t>
  </si>
  <si>
    <t>Need to work on CDC bugs to fix issue which are related to SQL Sink</t>
  </si>
  <si>
    <t>Dataverse Day 0</t>
  </si>
  <si>
    <r>
      <rPr>
        <b/>
        <sz val="11"/>
        <color theme="1"/>
        <rFont val="Aptos Narrow"/>
        <family val="2"/>
        <scheme val="minor"/>
      </rPr>
      <t>Source</t>
    </r>
    <r>
      <rPr>
        <sz val="11"/>
        <color theme="1"/>
        <rFont val="Aptos Narrow"/>
        <family val="2"/>
        <scheme val="minor"/>
      </rPr>
      <t xml:space="preserve"> --&gt;( ADLS Sink ) --&gt; </t>
    </r>
    <r>
      <rPr>
        <b/>
        <sz val="11"/>
        <color theme="1"/>
        <rFont val="Aptos Narrow"/>
        <family val="2"/>
        <scheme val="minor"/>
      </rPr>
      <t>ADLS</t>
    </r>
    <r>
      <rPr>
        <sz val="11"/>
        <color theme="1"/>
        <rFont val="Aptos Narrow"/>
        <family val="2"/>
        <scheme val="minor"/>
      </rPr>
      <t xml:space="preserve"> --&gt; (DLT jobs) --&gt; 
</t>
    </r>
    <r>
      <rPr>
        <b/>
        <sz val="11"/>
        <color theme="1"/>
        <rFont val="Aptos Narrow"/>
        <family val="2"/>
        <scheme val="minor"/>
      </rPr>
      <t>Databricks</t>
    </r>
    <r>
      <rPr>
        <sz val="11"/>
        <color theme="1"/>
        <rFont val="Aptos Narrow"/>
        <family val="2"/>
        <scheme val="minor"/>
      </rPr>
      <t xml:space="preserve"> </t>
    </r>
    <r>
      <rPr>
        <b/>
        <sz val="11"/>
        <color theme="1"/>
        <rFont val="Aptos Narrow"/>
        <family val="2"/>
        <scheme val="minor"/>
      </rPr>
      <t>Bronze</t>
    </r>
    <r>
      <rPr>
        <sz val="11"/>
        <color theme="1"/>
        <rFont val="Aptos Narrow"/>
        <family val="2"/>
        <scheme val="minor"/>
      </rPr>
      <t xml:space="preserve"> --&gt; (ADF pipeline) --&gt;</t>
    </r>
    <r>
      <rPr>
        <b/>
        <sz val="11"/>
        <color theme="1"/>
        <rFont val="Aptos Narrow"/>
        <family val="2"/>
        <scheme val="minor"/>
      </rPr>
      <t xml:space="preserve"> Dataverse</t>
    </r>
  </si>
  <si>
    <r>
      <t xml:space="preserve">02-Mar
Sai
</t>
    </r>
    <r>
      <rPr>
        <sz val="11"/>
        <color rgb="FFFF0000"/>
        <rFont val="Aptos Narrow"/>
        <family val="2"/>
        <scheme val="minor"/>
      </rPr>
      <t>Microsoft review required before starting ingestion</t>
    </r>
  </si>
  <si>
    <t>03-Mar
Sai</t>
  </si>
  <si>
    <t>04-Mar
Sai</t>
  </si>
  <si>
    <t>for Contacts entity -- I have asked Alok and powerapps team for duplicated records issue and for Accounts entity I already ingested to DEV env and now working on rest of the three entites code development</t>
  </si>
  <si>
    <t>Dataverse Continuous streaming</t>
  </si>
  <si>
    <r>
      <rPr>
        <b/>
        <sz val="11"/>
        <color theme="1"/>
        <rFont val="Aptos Narrow"/>
        <family val="2"/>
        <scheme val="minor"/>
      </rPr>
      <t>Source</t>
    </r>
    <r>
      <rPr>
        <sz val="11"/>
        <color theme="1"/>
        <rFont val="Aptos Narrow"/>
        <family val="2"/>
        <scheme val="minor"/>
      </rPr>
      <t xml:space="preserve"> --&gt;( ADLS Sink ) --&gt; </t>
    </r>
    <r>
      <rPr>
        <b/>
        <sz val="11"/>
        <color theme="1"/>
        <rFont val="Aptos Narrow"/>
        <family val="2"/>
        <scheme val="minor"/>
      </rPr>
      <t>ADLS</t>
    </r>
    <r>
      <rPr>
        <sz val="11"/>
        <color theme="1"/>
        <rFont val="Aptos Narrow"/>
        <family val="2"/>
        <scheme val="minor"/>
      </rPr>
      <t xml:space="preserve"> --&gt; (DLT jobs) --&gt; </t>
    </r>
    <r>
      <rPr>
        <b/>
        <sz val="11"/>
        <color theme="1"/>
        <rFont val="Aptos Narrow"/>
        <family val="2"/>
        <scheme val="minor"/>
      </rPr>
      <t>Databricks</t>
    </r>
    <r>
      <rPr>
        <sz val="11"/>
        <color theme="1"/>
        <rFont val="Aptos Narrow"/>
        <family val="2"/>
        <scheme val="minor"/>
      </rPr>
      <t xml:space="preserve"> </t>
    </r>
    <r>
      <rPr>
        <b/>
        <sz val="11"/>
        <color theme="1"/>
        <rFont val="Aptos Narrow"/>
        <family val="2"/>
        <scheme val="minor"/>
      </rPr>
      <t>Bronze</t>
    </r>
    <r>
      <rPr>
        <sz val="11"/>
        <color theme="1"/>
        <rFont val="Aptos Narrow"/>
        <family val="2"/>
        <scheme val="minor"/>
      </rPr>
      <t xml:space="preserve"> --&gt; (ADF microbatch pipeline) --&gt;</t>
    </r>
    <r>
      <rPr>
        <b/>
        <sz val="11"/>
        <color theme="1"/>
        <rFont val="Aptos Narrow"/>
        <family val="2"/>
        <scheme val="minor"/>
      </rPr>
      <t xml:space="preserve"> Dataverse
</t>
    </r>
    <r>
      <rPr>
        <sz val="11"/>
        <color theme="1"/>
        <rFont val="Aptos Narrow"/>
        <family val="2"/>
        <scheme val="minor"/>
      </rPr>
      <t>ADF microbatch should pick only delta of only 60+ fields and run every 1 min</t>
    </r>
  </si>
  <si>
    <r>
      <rPr>
        <b/>
        <sz val="11"/>
        <color rgb="FFFF0000"/>
        <rFont val="Aptos Narrow"/>
        <family val="2"/>
        <scheme val="minor"/>
      </rPr>
      <t xml:space="preserve">06-Mar
Sai
</t>
    </r>
    <r>
      <rPr>
        <sz val="11"/>
        <color rgb="FFFF0000"/>
        <rFont val="Aptos Narrow"/>
        <family val="2"/>
        <scheme val="minor"/>
      </rPr>
      <t>Microsoft review required before starting ingestion</t>
    </r>
  </si>
  <si>
    <t>07-Mar
Sai</t>
  </si>
  <si>
    <t>08-Mar
Sai</t>
  </si>
  <si>
    <t>Microsoft review required before starting ingestion</t>
  </si>
  <si>
    <t>Table already available Databricks Bronze DEV/TEST ?</t>
  </si>
  <si>
    <t>Table already available Databricks Bronze PROD ?</t>
  </si>
  <si>
    <t xml:space="preserve">Count of table available in Databricks Bronze DEV/TEST instances </t>
  </si>
  <si>
    <t>Column Labels</t>
  </si>
  <si>
    <t xml:space="preserve">Count of table Available in Databricks Bronze PROD instances </t>
  </si>
  <si>
    <t>Row Labels</t>
  </si>
  <si>
    <t>Grand Total</t>
  </si>
  <si>
    <t>yes</t>
  </si>
  <si>
    <t>Digital Onboarding Tracking</t>
  </si>
  <si>
    <t>ICCS</t>
  </si>
  <si>
    <t>ONLINE</t>
  </si>
  <si>
    <t>PRIME</t>
  </si>
  <si>
    <t>Task Name</t>
  </si>
  <si>
    <t>Duration</t>
  </si>
  <si>
    <t>Start</t>
  </si>
  <si>
    <t>Finish</t>
  </si>
  <si>
    <t>Risk/Dependency</t>
  </si>
  <si>
    <t>ADLS Sink (Source to ADLS) - Data pipeline dev</t>
  </si>
  <si>
    <t>Sunil K</t>
  </si>
  <si>
    <t>IBPS pending - M1
IDD, PROSPECT - WIP - M1</t>
  </si>
  <si>
    <t>31 days</t>
  </si>
  <si>
    <t>Tue 2/10/26</t>
  </si>
  <si>
    <t>Tue 3/24/26</t>
  </si>
  <si>
    <t>DLT jobs (ADLS to Databricks bronze)</t>
  </si>
  <si>
    <t xml:space="preserve">   Milestone 1 - Foundational Capabilities</t>
  </si>
  <si>
    <t>23 days</t>
  </si>
  <si>
    <t>Thu 3/12/26</t>
  </si>
  <si>
    <t>ADF pipeline (Databricks bronze to SQL)</t>
  </si>
  <si>
    <t>SaiPrasad</t>
  </si>
  <si>
    <t xml:space="preserve">   Milestone 2 - Customer-360 Individual</t>
  </si>
  <si>
    <t>ADF batch pipeline (Databricks bronze to SQL)</t>
  </si>
  <si>
    <t xml:space="preserve">   Milestone 3 - Portfolio Drilldown</t>
  </si>
  <si>
    <t>8 days</t>
  </si>
  <si>
    <t>Fri 3/13/26</t>
  </si>
  <si>
    <t>SQL Sink (Source to SQL)</t>
  </si>
  <si>
    <t xml:space="preserve">   Milestone 4 - Enquiries and Interactions</t>
  </si>
  <si>
    <t>ADF pipeline (Databricks bronze to Dataverse)</t>
  </si>
  <si>
    <t>Syeda S</t>
  </si>
  <si>
    <t>Discussion with MS WIP. Country column cannot be populated.
MS recommendations  to be adhered to - Multiple users</t>
  </si>
  <si>
    <t>15 days</t>
  </si>
  <si>
    <t>Mon 3/9/26</t>
  </si>
  <si>
    <t>Fri 3/27/26</t>
  </si>
  <si>
    <t>ADF microbatch pipeline (Databricks bronze to Dataverse)</t>
  </si>
  <si>
    <t>Discussion with MS WIP. Country column cannot be populated</t>
  </si>
  <si>
    <t>4 days</t>
  </si>
  <si>
    <t>CRM_DEV SQL Day 0 load ingestion - strategic approach</t>
  </si>
  <si>
    <t>3 days</t>
  </si>
  <si>
    <t>Tue 3/10/26</t>
  </si>
  <si>
    <t>CRM_DEV SQL Continuous streaming - strategic approach</t>
  </si>
  <si>
    <t>Wed 3/25/26</t>
  </si>
  <si>
    <t>CRM_DEV SQL Batch system ingestion - strategic approach</t>
  </si>
  <si>
    <t>2 days</t>
  </si>
  <si>
    <t>Thu 3/26/26</t>
  </si>
  <si>
    <t>CRM_UAT Dataverse Day 0 load ingestion - strategic approach</t>
  </si>
  <si>
    <t>Reported issue is not resolved yet .  we will work as per Soheb suggestion</t>
  </si>
  <si>
    <t>CRM-UAT Dataverse Continuous streaming (Micro batches)</t>
  </si>
  <si>
    <t>Data movement testing - DEV env - Bronze, SQL (incl. CDC)</t>
  </si>
  <si>
    <t>Amit P</t>
  </si>
  <si>
    <t>Testing cannot complete as per these dates, because
1. Databricks Bronze location was confirmed and reshared on 24th March
2. Delivery package is delayed as per proposed plan on line 11</t>
  </si>
  <si>
    <t>Data movement testing - UAT environment - Dataverse (incl CDC)</t>
  </si>
  <si>
    <t>Rana F</t>
  </si>
  <si>
    <t>CRM_PT SQL Day 0 load ingestion - strategic approach</t>
  </si>
  <si>
    <t>CRM_PT SQL Continuous streaming - strategic approach</t>
  </si>
  <si>
    <t>18 days</t>
  </si>
  <si>
    <t>Thu 4/2/26</t>
  </si>
  <si>
    <t>CRM_PT SQL Batch system ingestion - strategic approach</t>
  </si>
  <si>
    <t>CRM_PT Dataverse Day 0 load ingestion - strategic approach</t>
  </si>
  <si>
    <t>Wed 3/11/26</t>
  </si>
  <si>
    <t>CRM-PT Dataverse Continuous streaming (Micro batches)</t>
  </si>
  <si>
    <t>5 days</t>
  </si>
  <si>
    <t>Tue 3/31/26</t>
  </si>
  <si>
    <t>CRM_PREPROD SQL Day 0 load ingestion - strategic approach</t>
  </si>
  <si>
    <t>7 days</t>
  </si>
  <si>
    <t>CRM_PREPROD SQL Continuous streaming - strategic approach</t>
  </si>
  <si>
    <t>17 days</t>
  </si>
  <si>
    <t>Mon 3/2/26</t>
  </si>
  <si>
    <t>CRM_PREPROD SQL Batch system ingestion - strategic approach</t>
  </si>
  <si>
    <t>9 days</t>
  </si>
  <si>
    <t>CRM_PREPROD Dataverse Day 0 load ingestion - strategic approach</t>
  </si>
  <si>
    <t>Tue 3/3/26</t>
  </si>
  <si>
    <t>CRM_PREPROD Dataverse Continuous streaming (Micro batches)</t>
  </si>
  <si>
    <t>CRM_PROD SQL Day 0 load ingestion - strategic approach</t>
  </si>
  <si>
    <t>Mon 3/23/26</t>
  </si>
  <si>
    <t>CRM_PROD SQL Continuous streaming - strategic approach</t>
  </si>
  <si>
    <t>10 days</t>
  </si>
  <si>
    <t>Wed 3/4/26</t>
  </si>
  <si>
    <t>Tue 3/17/26</t>
  </si>
  <si>
    <t>CRM_PROD SQL Batch system ingestion - strategic approach</t>
  </si>
  <si>
    <t>CRM_PROD Dataverse Day 0 load ingestion - strategic approach</t>
  </si>
  <si>
    <t>CRM-PROD Dataverse Continuous streaming (Micro batches)</t>
  </si>
  <si>
    <t>11 days</t>
  </si>
  <si>
    <t>Wed 3/18/26</t>
  </si>
  <si>
    <t>Data movement testing - PROD env - Bronze, SQL (incl. CDC)</t>
  </si>
  <si>
    <t>Data movement testing - PROD environment - Dataverse (incl CDC)</t>
  </si>
  <si>
    <t>21 days</t>
  </si>
  <si>
    <t>Thu 4/9/26</t>
  </si>
  <si>
    <t>6 days</t>
  </si>
  <si>
    <t>Fri 3/20/26</t>
  </si>
  <si>
    <t>Mon 3/30/26</t>
  </si>
  <si>
    <t>22.4 days</t>
  </si>
  <si>
    <t>Fri 4/17/26</t>
  </si>
  <si>
    <t>Fri 4/10/26</t>
  </si>
  <si>
    <t>19 days</t>
  </si>
  <si>
    <t>Wed 4/8/26</t>
  </si>
  <si>
    <t>Wed 4/1/26</t>
  </si>
  <si>
    <t>Mon 4/6/26</t>
  </si>
  <si>
    <t>Fri 4/3/26</t>
  </si>
  <si>
    <t>Thu 3/19/26</t>
  </si>
  <si>
    <t>Data movement testing - DEV/UAT environment</t>
  </si>
  <si>
    <t>Mon 4/27/26</t>
  </si>
  <si>
    <t xml:space="preserve">   DEV env - Bronze, SQL (incl. CDC)</t>
  </si>
  <si>
    <t xml:space="preserve">      Milestone 1 - Foundational Capabilities</t>
  </si>
  <si>
    <t>1 day</t>
  </si>
  <si>
    <t xml:space="preserve">      Milestone 2 - Customer-360 Individual</t>
  </si>
  <si>
    <t xml:space="preserve">      Milestone 3 - Portfolio Drilldown</t>
  </si>
  <si>
    <t>Mon 4/20/26</t>
  </si>
  <si>
    <t xml:space="preserve">      Milestone 4 - Enquiries and Interactions</t>
  </si>
  <si>
    <t xml:space="preserve">   UAT environment - Dataverse (incl CDC)</t>
  </si>
  <si>
    <t>29.4 days</t>
  </si>
  <si>
    <t>Thu 5/7/26</t>
  </si>
  <si>
    <t>Tue 4/28/26</t>
  </si>
  <si>
    <t>Wed 5/6/26</t>
  </si>
  <si>
    <t>30.4 days</t>
  </si>
  <si>
    <t>Thu 5/14/26</t>
  </si>
  <si>
    <t>Wed 4/15/26</t>
  </si>
  <si>
    <t>Fri 5/8/26</t>
  </si>
  <si>
    <t>Wed 5/13/26</t>
  </si>
  <si>
    <t>25.4 days</t>
  </si>
  <si>
    <t>Fri 5/1/26</t>
  </si>
  <si>
    <t>Tue 4/7/26</t>
  </si>
  <si>
    <t>30 days</t>
  </si>
  <si>
    <t>Sat 5/9/26</t>
  </si>
  <si>
    <t>29 days</t>
  </si>
  <si>
    <t>Mon 5/18/26</t>
  </si>
  <si>
    <t>Thu 4/16/26</t>
  </si>
  <si>
    <t>Mon 5/11/26</t>
  </si>
  <si>
    <t>Fri 5/15/26</t>
  </si>
  <si>
    <t>26 days</t>
  </si>
  <si>
    <t>Tue 5/5/26</t>
  </si>
  <si>
    <t>Mon 5/4/26</t>
  </si>
  <si>
    <t>24 days</t>
  </si>
  <si>
    <t>Mon 4/13/26</t>
  </si>
  <si>
    <t>Tue 4/14/26</t>
  </si>
  <si>
    <t>Data movement testing - PROD environment</t>
  </si>
  <si>
    <t>25 days</t>
  </si>
  <si>
    <t>Thu 5/21/26</t>
  </si>
  <si>
    <t xml:space="preserve">   Bronze, SQL (incl. CDC)</t>
  </si>
  <si>
    <t>Tue 4/21/26</t>
  </si>
  <si>
    <t xml:space="preserve">   Dataverse (incl CDC)</t>
  </si>
  <si>
    <t>Wed 4/22/26</t>
  </si>
  <si>
    <t>STRATEGIC APPROACH - FINAL</t>
  </si>
  <si>
    <t>Source Systems</t>
  </si>
  <si>
    <t>CRM DB (SQL) completion</t>
  </si>
  <si>
    <t>Dataverse completion</t>
  </si>
  <si>
    <t>Count of total tables -
SQL DB</t>
  </si>
  <si>
    <r>
      <rPr>
        <b/>
        <sz val="9"/>
        <color theme="1"/>
        <rFont val="Aptos Narrow"/>
        <family val="2"/>
        <scheme val="minor"/>
      </rPr>
      <t xml:space="preserve">Day-0 load 
in SQL DB 
</t>
    </r>
    <r>
      <rPr>
        <sz val="9"/>
        <color theme="1"/>
        <rFont val="Aptos Narrow"/>
        <family val="2"/>
        <scheme val="minor"/>
      </rPr>
      <t>DB : DEV
Source : UAT 2</t>
    </r>
  </si>
  <si>
    <r>
      <t xml:space="preserve">Continuous load in SQL DB
</t>
    </r>
    <r>
      <rPr>
        <sz val="9"/>
        <color theme="1"/>
        <rFont val="Aptos Narrow"/>
        <family val="2"/>
        <scheme val="minor"/>
      </rPr>
      <t>DB : DEV</t>
    </r>
    <r>
      <rPr>
        <b/>
        <sz val="9"/>
        <color theme="1"/>
        <rFont val="Aptos Narrow"/>
        <family val="2"/>
        <scheme val="minor"/>
      </rPr>
      <t xml:space="preserve">
</t>
    </r>
    <r>
      <rPr>
        <sz val="9"/>
        <color theme="1"/>
        <rFont val="Aptos Narrow"/>
        <family val="2"/>
        <scheme val="minor"/>
      </rPr>
      <t>Source : UAT 2</t>
    </r>
  </si>
  <si>
    <r>
      <t xml:space="preserve">Batch load in SQL DB 
</t>
    </r>
    <r>
      <rPr>
        <sz val="9"/>
        <color theme="1"/>
        <rFont val="Aptos Narrow"/>
        <family val="2"/>
        <scheme val="minor"/>
      </rPr>
      <t>DB</t>
    </r>
    <r>
      <rPr>
        <b/>
        <sz val="9"/>
        <color theme="1"/>
        <rFont val="Aptos Narrow"/>
        <family val="2"/>
        <scheme val="minor"/>
      </rPr>
      <t xml:space="preserve"> : </t>
    </r>
    <r>
      <rPr>
        <sz val="9"/>
        <color theme="1"/>
        <rFont val="Aptos Narrow"/>
        <family val="2"/>
        <scheme val="minor"/>
      </rPr>
      <t>DEV</t>
    </r>
    <r>
      <rPr>
        <b/>
        <sz val="9"/>
        <color theme="1"/>
        <rFont val="Aptos Narrow"/>
        <family val="2"/>
        <scheme val="minor"/>
      </rPr>
      <t xml:space="preserve">
</t>
    </r>
    <r>
      <rPr>
        <sz val="9"/>
        <color theme="1"/>
        <rFont val="Aptos Narrow"/>
        <family val="2"/>
        <scheme val="minor"/>
      </rPr>
      <t xml:space="preserve">Source : UAT2 </t>
    </r>
  </si>
  <si>
    <r>
      <rPr>
        <b/>
        <sz val="9"/>
        <color theme="1"/>
        <rFont val="Aptos Narrow"/>
        <family val="2"/>
        <scheme val="minor"/>
      </rPr>
      <t xml:space="preserve">Day-0 load in SQL DB 
</t>
    </r>
    <r>
      <rPr>
        <sz val="9"/>
        <color theme="1"/>
        <rFont val="Aptos Narrow"/>
        <family val="2"/>
        <scheme val="minor"/>
      </rPr>
      <t>DB : PT
Source : UAT 2</t>
    </r>
  </si>
  <si>
    <r>
      <t xml:space="preserve">Continuous load in SQL DB
</t>
    </r>
    <r>
      <rPr>
        <sz val="9"/>
        <color theme="1"/>
        <rFont val="Aptos Narrow"/>
        <family val="2"/>
        <scheme val="minor"/>
      </rPr>
      <t>DB : PT</t>
    </r>
    <r>
      <rPr>
        <b/>
        <sz val="9"/>
        <color theme="1"/>
        <rFont val="Aptos Narrow"/>
        <family val="2"/>
        <scheme val="minor"/>
      </rPr>
      <t xml:space="preserve">
</t>
    </r>
    <r>
      <rPr>
        <sz val="9"/>
        <color theme="1"/>
        <rFont val="Aptos Narrow"/>
        <family val="2"/>
        <scheme val="minor"/>
      </rPr>
      <t>Source : UAT 2</t>
    </r>
  </si>
  <si>
    <r>
      <t xml:space="preserve">Batch load in SQL DB 
</t>
    </r>
    <r>
      <rPr>
        <sz val="9"/>
        <color theme="1"/>
        <rFont val="Aptos Narrow"/>
        <family val="2"/>
        <scheme val="minor"/>
      </rPr>
      <t>DB</t>
    </r>
    <r>
      <rPr>
        <b/>
        <sz val="9"/>
        <color theme="1"/>
        <rFont val="Aptos Narrow"/>
        <family val="2"/>
        <scheme val="minor"/>
      </rPr>
      <t xml:space="preserve"> : </t>
    </r>
    <r>
      <rPr>
        <sz val="9"/>
        <color theme="1"/>
        <rFont val="Aptos Narrow"/>
        <family val="2"/>
        <scheme val="minor"/>
      </rPr>
      <t>PT</t>
    </r>
    <r>
      <rPr>
        <b/>
        <sz val="9"/>
        <color theme="1"/>
        <rFont val="Aptos Narrow"/>
        <family val="2"/>
        <scheme val="minor"/>
      </rPr>
      <t xml:space="preserve">
</t>
    </r>
    <r>
      <rPr>
        <sz val="9"/>
        <color theme="1"/>
        <rFont val="Aptos Narrow"/>
        <family val="2"/>
        <scheme val="minor"/>
      </rPr>
      <t xml:space="preserve">Source : UAT2 </t>
    </r>
  </si>
  <si>
    <r>
      <rPr>
        <b/>
        <sz val="9"/>
        <color theme="1"/>
        <rFont val="Aptos Narrow"/>
        <family val="2"/>
        <scheme val="minor"/>
      </rPr>
      <t xml:space="preserve">Day-0 load in SQL DB 
</t>
    </r>
    <r>
      <rPr>
        <sz val="9"/>
        <color theme="1"/>
        <rFont val="Aptos Narrow"/>
        <family val="2"/>
        <scheme val="minor"/>
      </rPr>
      <t>DB : PREPROD
Source : UAT 1</t>
    </r>
  </si>
  <si>
    <r>
      <t xml:space="preserve">Continuous load in SQL DB
</t>
    </r>
    <r>
      <rPr>
        <sz val="9"/>
        <color theme="1"/>
        <rFont val="Aptos Narrow"/>
        <family val="2"/>
        <scheme val="minor"/>
      </rPr>
      <t>DB : PREPROD</t>
    </r>
    <r>
      <rPr>
        <b/>
        <sz val="9"/>
        <color theme="1"/>
        <rFont val="Aptos Narrow"/>
        <family val="2"/>
        <scheme val="minor"/>
      </rPr>
      <t xml:space="preserve">
</t>
    </r>
    <r>
      <rPr>
        <sz val="9"/>
        <color theme="1"/>
        <rFont val="Aptos Narrow"/>
        <family val="2"/>
        <scheme val="minor"/>
      </rPr>
      <t>Source : UAT 1</t>
    </r>
  </si>
  <si>
    <r>
      <t xml:space="preserve">Batch load in SQL DB 
</t>
    </r>
    <r>
      <rPr>
        <sz val="9"/>
        <color theme="1"/>
        <rFont val="Aptos Narrow"/>
        <family val="2"/>
        <scheme val="minor"/>
      </rPr>
      <t>DB</t>
    </r>
    <r>
      <rPr>
        <b/>
        <sz val="9"/>
        <color theme="1"/>
        <rFont val="Aptos Narrow"/>
        <family val="2"/>
        <scheme val="minor"/>
      </rPr>
      <t xml:space="preserve"> : </t>
    </r>
    <r>
      <rPr>
        <sz val="9"/>
        <color theme="1"/>
        <rFont val="Aptos Narrow"/>
        <family val="2"/>
        <scheme val="minor"/>
      </rPr>
      <t>PREPROD</t>
    </r>
    <r>
      <rPr>
        <b/>
        <sz val="9"/>
        <color theme="1"/>
        <rFont val="Aptos Narrow"/>
        <family val="2"/>
        <scheme val="minor"/>
      </rPr>
      <t xml:space="preserve">
</t>
    </r>
    <r>
      <rPr>
        <sz val="9"/>
        <color theme="1"/>
        <rFont val="Aptos Narrow"/>
        <family val="2"/>
        <scheme val="minor"/>
      </rPr>
      <t>Source : UAT1</t>
    </r>
  </si>
  <si>
    <t>Count of tables - Dataverse</t>
  </si>
  <si>
    <r>
      <t xml:space="preserve">Day-0 load in Dataverse 
</t>
    </r>
    <r>
      <rPr>
        <sz val="9"/>
        <color theme="1"/>
        <rFont val="Aptos Narrow"/>
        <family val="2"/>
        <scheme val="minor"/>
      </rPr>
      <t xml:space="preserve">DB : DEV </t>
    </r>
    <r>
      <rPr>
        <b/>
        <sz val="9"/>
        <color theme="1"/>
        <rFont val="Aptos Narrow"/>
        <family val="2"/>
        <scheme val="minor"/>
      </rPr>
      <t xml:space="preserve">
</t>
    </r>
    <r>
      <rPr>
        <sz val="9"/>
        <color theme="1"/>
        <rFont val="Aptos Narrow"/>
        <family val="2"/>
        <scheme val="minor"/>
      </rPr>
      <t>Source :  UAT2</t>
    </r>
  </si>
  <si>
    <r>
      <t xml:space="preserve">Continuous load in Dataverse 
</t>
    </r>
    <r>
      <rPr>
        <sz val="9"/>
        <color theme="1"/>
        <rFont val="Aptos Narrow"/>
        <family val="2"/>
        <scheme val="minor"/>
      </rPr>
      <t>DB : DEV
Source : UAT2</t>
    </r>
  </si>
  <si>
    <r>
      <t xml:space="preserve">Day-0 load in Dataverse 
</t>
    </r>
    <r>
      <rPr>
        <sz val="9"/>
        <color theme="1"/>
        <rFont val="Aptos Narrow"/>
        <family val="2"/>
        <scheme val="minor"/>
      </rPr>
      <t xml:space="preserve">DB : UAT </t>
    </r>
    <r>
      <rPr>
        <b/>
        <sz val="9"/>
        <color theme="1"/>
        <rFont val="Aptos Narrow"/>
        <family val="2"/>
        <scheme val="minor"/>
      </rPr>
      <t xml:space="preserve">
</t>
    </r>
    <r>
      <rPr>
        <sz val="9"/>
        <color theme="1"/>
        <rFont val="Aptos Narrow"/>
        <family val="2"/>
        <scheme val="minor"/>
      </rPr>
      <t>Source :  UAT2</t>
    </r>
  </si>
  <si>
    <r>
      <t xml:space="preserve">Continuous load in Dataverse 
</t>
    </r>
    <r>
      <rPr>
        <sz val="9"/>
        <color theme="1"/>
        <rFont val="Aptos Narrow"/>
        <family val="2"/>
        <scheme val="minor"/>
      </rPr>
      <t>DB : UAT
Source : UAT2</t>
    </r>
  </si>
  <si>
    <r>
      <t xml:space="preserve">Day-0 load in Dataverse 
</t>
    </r>
    <r>
      <rPr>
        <sz val="9"/>
        <color theme="1"/>
        <rFont val="Aptos Narrow"/>
        <family val="2"/>
        <scheme val="minor"/>
      </rPr>
      <t xml:space="preserve">DB : PT </t>
    </r>
    <r>
      <rPr>
        <b/>
        <sz val="9"/>
        <color theme="1"/>
        <rFont val="Aptos Narrow"/>
        <family val="2"/>
        <scheme val="minor"/>
      </rPr>
      <t xml:space="preserve">
</t>
    </r>
    <r>
      <rPr>
        <sz val="9"/>
        <color theme="1"/>
        <rFont val="Aptos Narrow"/>
        <family val="2"/>
        <scheme val="minor"/>
      </rPr>
      <t>Source :  UAT2</t>
    </r>
  </si>
  <si>
    <r>
      <t xml:space="preserve">Continuous load in Dataverse 
</t>
    </r>
    <r>
      <rPr>
        <sz val="9"/>
        <color theme="1"/>
        <rFont val="Aptos Narrow"/>
        <family val="2"/>
        <scheme val="minor"/>
      </rPr>
      <t>DB : PT
Source : UAT2</t>
    </r>
  </si>
  <si>
    <r>
      <t xml:space="preserve">Day-0 load in Dataverse 
</t>
    </r>
    <r>
      <rPr>
        <sz val="9"/>
        <color theme="1"/>
        <rFont val="Aptos Narrow"/>
        <family val="2"/>
        <scheme val="minor"/>
      </rPr>
      <t>DB : PREPROD</t>
    </r>
    <r>
      <rPr>
        <b/>
        <sz val="9"/>
        <color theme="1"/>
        <rFont val="Aptos Narrow"/>
        <family val="2"/>
        <scheme val="minor"/>
      </rPr>
      <t xml:space="preserve">
</t>
    </r>
    <r>
      <rPr>
        <sz val="9"/>
        <color theme="1"/>
        <rFont val="Aptos Narrow"/>
        <family val="2"/>
        <scheme val="minor"/>
      </rPr>
      <t>Source :  UAT1</t>
    </r>
  </si>
  <si>
    <r>
      <t xml:space="preserve">Continuous load in Dataverse 
</t>
    </r>
    <r>
      <rPr>
        <sz val="9"/>
        <color theme="1"/>
        <rFont val="Aptos Narrow"/>
        <family val="2"/>
        <scheme val="minor"/>
      </rPr>
      <t>DB : PREPROD
Source : UAT1</t>
    </r>
  </si>
  <si>
    <t>Tech owners</t>
  </si>
  <si>
    <t>TXN tables</t>
  </si>
  <si>
    <t>Aananth</t>
  </si>
  <si>
    <t>Product</t>
  </si>
  <si>
    <t>Srikanth or Abay</t>
  </si>
  <si>
    <t>product</t>
  </si>
  <si>
    <t>Charu</t>
  </si>
  <si>
    <t>Guru shetty</t>
  </si>
  <si>
    <t>Shiju</t>
  </si>
  <si>
    <t>6 months</t>
  </si>
  <si>
    <t>interactions</t>
  </si>
  <si>
    <t>should be NA</t>
  </si>
  <si>
    <t>Mani / Semeer</t>
  </si>
  <si>
    <t>CRM DB (SQL) completion DEV</t>
  </si>
  <si>
    <t>Finacle-M1</t>
  </si>
  <si>
    <t>Finacle-M2</t>
  </si>
  <si>
    <t>Finacle-M3</t>
  </si>
  <si>
    <t>Finacle-M4</t>
  </si>
  <si>
    <t>PRIME-M1</t>
  </si>
  <si>
    <t>PRIME-M2</t>
  </si>
  <si>
    <t>PRIME-M3</t>
  </si>
  <si>
    <t>PRIME-M4</t>
  </si>
  <si>
    <t>Online-M1</t>
  </si>
  <si>
    <t>Online-M2</t>
  </si>
  <si>
    <t>Online-M3</t>
  </si>
  <si>
    <t>Online-M4</t>
  </si>
  <si>
    <t>WMS-M1</t>
  </si>
  <si>
    <t>IBPS-M1</t>
  </si>
  <si>
    <t>IBPS-M2</t>
  </si>
  <si>
    <t>CCM-M1</t>
  </si>
  <si>
    <t>CPF-M2</t>
  </si>
  <si>
    <t>CPF-M3</t>
  </si>
  <si>
    <t>CASMEX-M3</t>
  </si>
  <si>
    <t>NPSS-M3</t>
  </si>
  <si>
    <t>ICCS -M3</t>
  </si>
  <si>
    <t>RLS-M1</t>
  </si>
  <si>
    <t>RLS-M2</t>
  </si>
  <si>
    <t>RLS-M3</t>
  </si>
  <si>
    <t>Count of Source table name</t>
  </si>
  <si>
    <t>TBD</t>
  </si>
  <si>
    <t>(blank)</t>
  </si>
  <si>
    <t>ADF
Batch?</t>
  </si>
  <si>
    <t>Schema Name</t>
  </si>
  <si>
    <t>Data Team Remarks/Data Ingestion Start  Date in DEV</t>
  </si>
  <si>
    <t>Table Size in PROD(inGb)</t>
  </si>
  <si>
    <t>Source Enforced Primary Key</t>
  </si>
  <si>
    <t>Primary key</t>
  </si>
  <si>
    <t>ConfluentKey in Topic</t>
  </si>
  <si>
    <t>Transactional table?</t>
  </si>
  <si>
    <t>Date column</t>
  </si>
  <si>
    <t>CRM DB table name</t>
  </si>
  <si>
    <t xml:space="preserve">Source to Kafka </t>
  </si>
  <si>
    <t>Kafka to ADLS</t>
  </si>
  <si>
    <t>ADLS to Databrick (DLT)</t>
  </si>
  <si>
    <r>
      <rPr>
        <b/>
        <sz val="10"/>
        <color theme="1"/>
        <rFont val="Aptos Narrow"/>
        <family val="2"/>
        <scheme val="minor"/>
      </rPr>
      <t xml:space="preserve">Day-0 load in SQL DB 
</t>
    </r>
    <r>
      <rPr>
        <sz val="10"/>
        <color theme="1"/>
        <rFont val="Aptos Narrow"/>
        <family val="2"/>
        <scheme val="minor"/>
      </rPr>
      <t>DB : DEV
Source : UAT 2
Approach : ADF approach</t>
    </r>
  </si>
  <si>
    <r>
      <t xml:space="preserve">Continuous load in SQL DB
</t>
    </r>
    <r>
      <rPr>
        <sz val="10"/>
        <color theme="1"/>
        <rFont val="Aptos Narrow"/>
        <family val="2"/>
        <scheme val="minor"/>
      </rPr>
      <t>DB : DEV</t>
    </r>
    <r>
      <rPr>
        <b/>
        <sz val="10"/>
        <color theme="1"/>
        <rFont val="Aptos Narrow"/>
        <family val="2"/>
        <scheme val="minor"/>
      </rPr>
      <t xml:space="preserve">
</t>
    </r>
    <r>
      <rPr>
        <sz val="10"/>
        <color theme="1"/>
        <rFont val="Aptos Narrow"/>
        <family val="2"/>
        <scheme val="minor"/>
      </rPr>
      <t>Source : UAT 2
Approach : Confluent RTS 
(SQL Sink)</t>
    </r>
  </si>
  <si>
    <r>
      <t xml:space="preserve">Batch load in SQL DB 
</t>
    </r>
    <r>
      <rPr>
        <sz val="10"/>
        <color theme="1"/>
        <rFont val="Aptos Narrow"/>
        <family val="2"/>
        <scheme val="minor"/>
      </rPr>
      <t>DB</t>
    </r>
    <r>
      <rPr>
        <b/>
        <sz val="10"/>
        <color theme="1"/>
        <rFont val="Aptos Narrow"/>
        <family val="2"/>
        <scheme val="minor"/>
      </rPr>
      <t xml:space="preserve"> : </t>
    </r>
    <r>
      <rPr>
        <sz val="10"/>
        <color theme="1"/>
        <rFont val="Aptos Narrow"/>
        <family val="2"/>
        <scheme val="minor"/>
      </rPr>
      <t>DEV</t>
    </r>
    <r>
      <rPr>
        <b/>
        <sz val="10"/>
        <color theme="1"/>
        <rFont val="Aptos Narrow"/>
        <family val="2"/>
        <scheme val="minor"/>
      </rPr>
      <t xml:space="preserve">
</t>
    </r>
    <r>
      <rPr>
        <sz val="10"/>
        <color theme="1"/>
        <rFont val="Aptos Narrow"/>
        <family val="2"/>
        <scheme val="minor"/>
      </rPr>
      <t>Source : UAT2 
Approach :  ADF</t>
    </r>
  </si>
  <si>
    <r>
      <rPr>
        <b/>
        <sz val="10"/>
        <color theme="1"/>
        <rFont val="Aptos Narrow"/>
        <family val="2"/>
        <scheme val="minor"/>
      </rPr>
      <t xml:space="preserve">Day-0 load in SQL DB 
</t>
    </r>
    <r>
      <rPr>
        <sz val="10"/>
        <color theme="1"/>
        <rFont val="Aptos Narrow"/>
        <family val="2"/>
        <scheme val="minor"/>
      </rPr>
      <t>DB : CRM_PT
Source : UAT 2
Approach :ADF</t>
    </r>
  </si>
  <si>
    <r>
      <t xml:space="preserve">Continuous load in SQL DB
</t>
    </r>
    <r>
      <rPr>
        <sz val="10"/>
        <color theme="1"/>
        <rFont val="Aptos Narrow"/>
        <family val="2"/>
        <scheme val="minor"/>
      </rPr>
      <t>DB : CRM_PT</t>
    </r>
    <r>
      <rPr>
        <b/>
        <sz val="10"/>
        <color theme="1"/>
        <rFont val="Aptos Narrow"/>
        <family val="2"/>
        <scheme val="minor"/>
      </rPr>
      <t xml:space="preserve">
</t>
    </r>
    <r>
      <rPr>
        <sz val="10"/>
        <color theme="1"/>
        <rFont val="Aptos Narrow"/>
        <family val="2"/>
        <scheme val="minor"/>
      </rPr>
      <t>Source : UAT 2
Approach : Confluent RTS 
(SQL Sink)</t>
    </r>
  </si>
  <si>
    <r>
      <t xml:space="preserve">Batch load in SQL DB 
</t>
    </r>
    <r>
      <rPr>
        <sz val="10"/>
        <color theme="1"/>
        <rFont val="Aptos Narrow"/>
        <family val="2"/>
        <scheme val="minor"/>
      </rPr>
      <t>DB</t>
    </r>
    <r>
      <rPr>
        <b/>
        <sz val="10"/>
        <color theme="1"/>
        <rFont val="Aptos Narrow"/>
        <family val="2"/>
        <scheme val="minor"/>
      </rPr>
      <t xml:space="preserve"> : </t>
    </r>
    <r>
      <rPr>
        <sz val="10"/>
        <color theme="1"/>
        <rFont val="Aptos Narrow"/>
        <family val="2"/>
        <scheme val="minor"/>
      </rPr>
      <t>CRM_PT</t>
    </r>
    <r>
      <rPr>
        <b/>
        <sz val="10"/>
        <color theme="1"/>
        <rFont val="Aptos Narrow"/>
        <family val="2"/>
        <scheme val="minor"/>
      </rPr>
      <t xml:space="preserve">
</t>
    </r>
    <r>
      <rPr>
        <sz val="10"/>
        <color theme="1"/>
        <rFont val="Aptos Narrow"/>
        <family val="2"/>
        <scheme val="minor"/>
      </rPr>
      <t>Source : UAT2 
Approach :  ADF</t>
    </r>
  </si>
  <si>
    <r>
      <rPr>
        <b/>
        <sz val="10"/>
        <color theme="1"/>
        <rFont val="Aptos Narrow"/>
        <family val="2"/>
        <scheme val="minor"/>
      </rPr>
      <t xml:space="preserve">Day-0 load in SQL DB 
</t>
    </r>
    <r>
      <rPr>
        <sz val="10"/>
        <color theme="1"/>
        <rFont val="Aptos Narrow"/>
        <family val="2"/>
        <scheme val="minor"/>
      </rPr>
      <t>DB : CRM_PREPROD
Source : UAT 2
Approach :ADF</t>
    </r>
  </si>
  <si>
    <r>
      <t xml:space="preserve">Continuous load in SQL DB
</t>
    </r>
    <r>
      <rPr>
        <sz val="10"/>
        <color theme="1"/>
        <rFont val="Aptos Narrow"/>
        <family val="2"/>
        <scheme val="minor"/>
      </rPr>
      <t>DB : CRM_PREPROD</t>
    </r>
    <r>
      <rPr>
        <b/>
        <sz val="10"/>
        <color theme="1"/>
        <rFont val="Aptos Narrow"/>
        <family val="2"/>
        <scheme val="minor"/>
      </rPr>
      <t xml:space="preserve">
</t>
    </r>
    <r>
      <rPr>
        <sz val="10"/>
        <color theme="1"/>
        <rFont val="Aptos Narrow"/>
        <family val="2"/>
        <scheme val="minor"/>
      </rPr>
      <t>Source : UAT 2
Approach : Confluent RTS 
(SQL Sink)</t>
    </r>
  </si>
  <si>
    <r>
      <t xml:space="preserve">Batch load in SQL DB 
</t>
    </r>
    <r>
      <rPr>
        <sz val="10"/>
        <color theme="1"/>
        <rFont val="Aptos Narrow"/>
        <family val="2"/>
        <scheme val="minor"/>
      </rPr>
      <t>DB</t>
    </r>
    <r>
      <rPr>
        <b/>
        <sz val="10"/>
        <color theme="1"/>
        <rFont val="Aptos Narrow"/>
        <family val="2"/>
        <scheme val="minor"/>
      </rPr>
      <t xml:space="preserve"> : </t>
    </r>
    <r>
      <rPr>
        <sz val="10"/>
        <color theme="1"/>
        <rFont val="Aptos Narrow"/>
        <family val="2"/>
        <scheme val="minor"/>
      </rPr>
      <t>CRM_PREPROD</t>
    </r>
    <r>
      <rPr>
        <b/>
        <sz val="10"/>
        <color theme="1"/>
        <rFont val="Aptos Narrow"/>
        <family val="2"/>
        <scheme val="minor"/>
      </rPr>
      <t xml:space="preserve">
</t>
    </r>
    <r>
      <rPr>
        <sz val="10"/>
        <color theme="1"/>
        <rFont val="Aptos Narrow"/>
        <family val="2"/>
        <scheme val="minor"/>
      </rPr>
      <t>Source : UAT2 
Approach :  ADF</t>
    </r>
  </si>
  <si>
    <t>Was the table available in Databricks Bronze DEV/TEST instances already or being developed for CRM?</t>
  </si>
  <si>
    <t>Was the table Available in Databricks Bronze PROD instances already or being developed for CRM?</t>
  </si>
  <si>
    <t>N</t>
  </si>
  <si>
    <t>TBAADM</t>
  </si>
  <si>
    <t>FINUAT</t>
  </si>
  <si>
    <t>HIST_TRAN_DTL_TABLE</t>
  </si>
  <si>
    <t>01-June to 15-June 2026</t>
  </si>
  <si>
    <t>ACID, TRAN_DATE</t>
  </si>
  <si>
    <t>ACID,REF_NUM,PSTD_DATE</t>
  </si>
  <si>
    <t>Y</t>
  </si>
  <si>
    <t>TRAN_DATE</t>
  </si>
  <si>
    <t>Done</t>
  </si>
  <si>
    <t>Not Done</t>
  </si>
  <si>
    <t>TCTDBS</t>
  </si>
  <si>
    <t>PRIMEDB</t>
  </si>
  <si>
    <t>EODSERNO,TABNAME,COLNAME,ROWSERNO</t>
  </si>
  <si>
    <t>DATETIMESTAMP</t>
  </si>
  <si>
    <t>CRM_DEV.prime4.TCTDBS_APPLOG</t>
  </si>
  <si>
    <t>CHRG_TRAN_LOG_TBL</t>
  </si>
  <si>
    <t>NonPK</t>
  </si>
  <si>
    <t>CUST_ID, TARGET_ACID, CHRG_TRAN_DATE</t>
  </si>
  <si>
    <t>CUST_ID
TARGET_ACID, CHRG_TRAN_DATE
CHRG_TRAN_ID, COMP_B2KID, SYS_NC00054$, BANK_ID</t>
  </si>
  <si>
    <t>CHRG_TRAN_DATE</t>
  </si>
  <si>
    <t>Dealing</t>
  </si>
  <si>
    <t>EmailDetail</t>
  </si>
  <si>
    <t>17-June to 20-June 2026</t>
  </si>
  <si>
    <t>TARGET_ACID, CHRG_TRAN_DATE</t>
  </si>
  <si>
    <t xml:space="preserve"> SERNO , PARTITIONKEY </t>
  </si>
  <si>
    <t>CHRG_TRAN_ID, COMP_B2KID, SYS_NC00054$, BANK_ID</t>
  </si>
  <si>
    <t> I013_TRXN_DATE</t>
  </si>
  <si>
    <t>tbalances</t>
  </si>
  <si>
    <t>SERNO, PARTITIONKEY</t>
  </si>
  <si>
    <t>SERNO</t>
  </si>
  <si>
    <t>Dev Done</t>
  </si>
  <si>
    <t>TRAN_ID, PTRAN_SRL_NUM, TRAN_DATE</t>
  </si>
  <si>
    <t>SW_SRL_NUM</t>
  </si>
  <si>
    <t>LCHG_TIME</t>
  </si>
  <si>
    <t>CRM_DEV.finacle.TBAADM_SWIFT_MSG_HISTORY_TABLE</t>
  </si>
  <si>
    <t>Email</t>
  </si>
  <si>
    <t>I012_TRXN_TIME</t>
  </si>
  <si>
    <t>CRM_DEV.prime4.TCTDBS_CISOTRXNS</t>
  </si>
  <si>
    <t>ACCOUNT_LIEN_HISTORY_TABLE</t>
  </si>
  <si>
    <t>ACID, MODIFY_BOD_DATE, SRL_NUM, BANK_ID</t>
  </si>
  <si>
    <t>ACID,TRAN_ID,TRAN_DATE</t>
  </si>
  <si>
    <t>CRM_DEV.finacle.TBAADM_ACCOUNT_LIEN_HISTORY_TABLE</t>
  </si>
  <si>
    <t>TRAN_REF_NUM, SENDER_CHANNEL, BANK_ID</t>
  </si>
  <si>
    <t>PYMT_REF_NUM</t>
  </si>
  <si>
    <t>CRM_DEV.finacle.TBAADM_PAYMENT_ORDER_DETAIL_TABLE</t>
  </si>
  <si>
    <t>REQ_EXEC_DATE, DR_ACCT, TRAN_DATE, TRAN_ID</t>
  </si>
  <si>
    <t>CRM_DEV.finacle.TBAADM_PAYMENT_ORDER_HEADER_TABLE</t>
  </si>
  <si>
    <t>dbo</t>
  </si>
  <si>
    <t>npss-epayment</t>
  </si>
  <si>
    <t>Due to AWS issue, End point has changed , Requested to FCR to replace with new end point</t>
  </si>
  <si>
    <t>RTH_MsgGenDt,RTH_RefID</t>
  </si>
  <si>
    <t>RTH_MsgGenDt</t>
  </si>
  <si>
    <t>CRM_DEV.npss.DBO_NPSS_RTPAYMENTSHDR_INW</t>
  </si>
  <si>
    <t>ECECUSER</t>
  </si>
  <si>
    <t>CNVGNIB</t>
  </si>
  <si>
    <t>RQSTHISTORYTABLE</t>
  </si>
  <si>
    <t>20-June to 22-June 2026</t>
  </si>
  <si>
    <t>BANK_ID, REQUEST_SRL_NUM</t>
  </si>
  <si>
    <t>REQUEST_SRL_NUM</t>
  </si>
  <si>
    <t>R_cre_time</t>
  </si>
  <si>
    <t>DBO</t>
  </si>
  <si>
    <t>RAKCAS</t>
  </si>
  <si>
    <t>ProcessInstanceID,WorkItemId</t>
  </si>
  <si>
    <t>Createddatetime column under Wfinstrumenttable</t>
  </si>
  <si>
    <t>CRM_DEV.ibps.DBO_WFINSTRUMENTTABLE</t>
  </si>
  <si>
    <t>REMIT_SL</t>
  </si>
  <si>
    <t>REMITPRD</t>
  </si>
  <si>
    <t>refno</t>
  </si>
  <si>
    <t>REFNO</t>
  </si>
  <si>
    <t>Trandate</t>
  </si>
  <si>
    <t>CRM_DEV.casmex.REMIT_SL_DX_TRNS_REMITTANCE</t>
  </si>
  <si>
    <t>FIELDNO,ROWSERNO,TABINDICATOR</t>
  </si>
  <si>
    <t>CRM_DEV.prime4.TCTDBS_CEXTENSION</t>
  </si>
  <si>
    <t>CAPSADMIN</t>
  </si>
  <si>
    <t>DELINQUENCYCALENDAR</t>
  </si>
  <si>
    <t>15-June to 19-June 2026</t>
  </si>
  <si>
    <t>billingdate</t>
  </si>
  <si>
    <t>Authdate</t>
  </si>
  <si>
    <t>CRM_DEV.casmex.REMIT_SL_DX_REF_ACTIVITY_LOG</t>
  </si>
  <si>
    <t>RTD_MsgGenDt,RTD_RefID</t>
  </si>
  <si>
    <t>RTD_MsgGenDt</t>
  </si>
  <si>
    <t>CRM_DEV.npss.DBO_NPSS_RTPAYMENTSDTL_INW</t>
  </si>
  <si>
    <t>CRM_DEV.npss.DBO_NPSS_RTPAYMENTSDTL_OUT</t>
  </si>
  <si>
    <t>BATCHDATE</t>
  </si>
  <si>
    <t>ITEMINDEX,ITEMTYPE</t>
  </si>
  <si>
    <t>CRM_DEV.ibps.DBO_NG_TT_EXT_TABLE</t>
  </si>
  <si>
    <t>DEHUSEROB</t>
  </si>
  <si>
    <t>rakdehsit</t>
  </si>
  <si>
    <t>CREDIT_CARDS_REQUEST_DET</t>
  </si>
  <si>
    <t>20-June to 25-June 2026</t>
  </si>
  <si>
    <t>PROSPECT_ID</t>
  </si>
  <si>
    <t>CRMUSER</t>
  </si>
  <si>
    <t>INCIDENTID, BANK_ID</t>
  </si>
  <si>
    <t>INCIDENTID,BANK_ID</t>
  </si>
  <si>
    <t>BODATEMODIFIED</t>
  </si>
  <si>
    <t>CRM_DEV.npss.DBO_NPSS_RTPAYMENTSDTL_OUTEXN</t>
  </si>
  <si>
    <t>SERVICES</t>
  </si>
  <si>
    <t>ctrxncampaignlinks</t>
  </si>
  <si>
    <t>RAK_JSITPH3</t>
  </si>
  <si>
    <t>RLSPROD</t>
  </si>
  <si>
    <t>CS_CASE_INFO</t>
  </si>
  <si>
    <t>APPL_ID</t>
  </si>
  <si>
    <t>CS_CASE_INFO_ID,  APPL_ID</t>
  </si>
  <si>
    <t>CRM_DEV.cpf.DBO_CUSTOMER_CONSENT_AUDIT</t>
  </si>
  <si>
    <t>CACCOUNTS</t>
  </si>
  <si>
    <t>FIN_LEAM</t>
  </si>
  <si>
    <t>NBFC_CHEQUE_DTL</t>
  </si>
  <si>
    <t>27-June to 01-July 2026</t>
  </si>
  <si>
    <t>CHEQUE_ID</t>
  </si>
  <si>
    <t>CPPUSER</t>
  </si>
  <si>
    <t>CPPSUAT</t>
  </si>
  <si>
    <t>PAYMENT_TRANS_ONLINE_NOTIFY_T</t>
  </si>
  <si>
    <t>Data will be ingested by Control-M job. it is in progress</t>
  </si>
  <si>
    <t>SEQ_NO</t>
  </si>
  <si>
    <t>CIF_ID,CUST_ID,FORACID,POOL_ID,SCHM_CODE, SOL_ID,ACCT_SHORT_NAME, SOL_ID,IBAN_NUMBE,LIMIT_B2KID</t>
  </si>
  <si>
    <t>ACID</t>
  </si>
  <si>
    <t>Agreementid</t>
  </si>
  <si>
    <t>PROPINSTLID</t>
  </si>
  <si>
    <t>CRM_DEV.rls.LOS0909_LEA_REPAYSCH_DTL</t>
  </si>
  <si>
    <t>ADDRESSID, BANK_ID</t>
  </si>
  <si>
    <t>ADDRESSID,BANK_ID</t>
  </si>
  <si>
    <t>TMDATE</t>
  </si>
  <si>
    <t>PAYMENT_DETAILS_V</t>
  </si>
  <si>
    <t>CASE_DETAIL_SEQ, APPL_ID</t>
  </si>
  <si>
    <t>CRM_DEV.infobip._TO BE DECIDED</t>
  </si>
  <si>
    <t>CRM_DEV.npss.DBO_NPSS_RTPAYMENTSHDR_OUT</t>
  </si>
  <si>
    <t>RETAIL_ACCOUNTS_REQUEST_DET</t>
  </si>
  <si>
    <t>CRM_DEV.prime4.TCTDBS_MEMOS</t>
  </si>
  <si>
    <t>CRM_DEV.ibps.DBO_RB_KYC_REM_EXTTABLE</t>
  </si>
  <si>
    <t>ACCOUNTID, BANK_ID</t>
  </si>
  <si>
    <t>org_key</t>
  </si>
  <si>
    <t>CUSTOM</t>
  </si>
  <si>
    <t>pymt_ref_num</t>
  </si>
  <si>
    <t>CRM_DEV.finacle.CUSTOM_CUST_PAYGEN_ORD_TABLE</t>
  </si>
  <si>
    <t>CARDS_ACCOUNTS_MASTER</t>
  </si>
  <si>
    <t>REQUESTID, BANK_ID</t>
  </si>
  <si>
    <t>REQUESTID,BANK_ID</t>
  </si>
  <si>
    <t>CRM_DEV.finacle.CRMUSER_REQUEST</t>
  </si>
  <si>
    <t>MISCELLANEOUSID, BANK_ID</t>
  </si>
  <si>
    <t>MISCELLANEOUSID,BANK_ID</t>
  </si>
  <si>
    <t>SOL_ID, TRAN_CRNCY_CODE, GL_SUB_HEAD_CODE, SI_SRL_NUM, ACID</t>
  </si>
  <si>
    <t>ACID,TRAN_ID, PART_TRAN_SRL_NUM</t>
  </si>
  <si>
    <t xml:space="preserve">TRAN_DATE </t>
  </si>
  <si>
    <t>ORG_ID, BANK_ID, USER_ID</t>
  </si>
  <si>
    <t>CRM_DEV.digital_banking_admin.ECECUSER_CORPORATE_USER</t>
  </si>
  <si>
    <t>CRM_DEV.digital_banking_admin.REQUEST_DETAILS</t>
  </si>
  <si>
    <t>INT_TBL_CODE_TABLE</t>
  </si>
  <si>
    <t>ENTITY_ID, ENTITY_TYPE, START_DATE, INT_TBL_CODE_SRL_NUM</t>
  </si>
  <si>
    <t>ENTITY_ID,RECORD_DATE</t>
  </si>
  <si>
    <t>CRM_DEV.digital_banking_admin.MULTI_LEVEL_WORKFLOW_TABLE</t>
  </si>
  <si>
    <t>CRM_DEV.digital_banking_admin.CUSTOMER_MASTER</t>
  </si>
  <si>
    <t>ENTITY_ID, ENTITY_TYPE, BANK_ID</t>
  </si>
  <si>
    <t>ENTITY_ID</t>
  </si>
  <si>
    <t>REQUEST_DETAILS</t>
  </si>
  <si>
    <t>BANK_ID, FTXN_ID</t>
  </si>
  <si>
    <t>CRM_DEV.digital_banking_admin.ECECUSER_REQUEST_DETAILS</t>
  </si>
  <si>
    <t>CARDTOKENS</t>
  </si>
  <si>
    <t>ENTITYDOCUMENTID, BANK_ID</t>
  </si>
  <si>
    <t>ENTITYDOCUMENTID,BANK_ID</t>
  </si>
  <si>
    <t>RETAIL_ACCOUNTS_MASTER</t>
  </si>
  <si>
    <t>CRM_DEV.npss.DBO_NPSS_RTPAYMENTSDTL_INWEXN</t>
  </si>
  <si>
    <t>CRM_DEV.ibps.DBO_RB_SRO_EXTTABLE</t>
  </si>
  <si>
    <t>PHONEEMAILID, BANK_ID</t>
  </si>
  <si>
    <t>CRM_DEV.prime4.TCTDBS_CINSTALMENTS</t>
  </si>
  <si>
    <t>RAK_USER_ENDI_TABLE</t>
  </si>
  <si>
    <t>STMTNEXTDATE</t>
  </si>
  <si>
    <t>CRM_DEV.ibps.DBO_RB_SRB_EXTTABLE</t>
  </si>
  <si>
    <t>CRM_DEV.ibps.DBO_RB_SRM_EXTTABLE</t>
  </si>
  <si>
    <t>NMA_KEY_ID, CUST_ID, STMT_CUST_ID</t>
  </si>
  <si>
    <t>ACID, ACCT_POA_AS_SRL_NUM, BANK_ID</t>
  </si>
  <si>
    <t>CRM_DEV.ibps.DBO_RB_BSR_EXTTABLE</t>
  </si>
  <si>
    <t>CRM_DEV.ibps.DBO_NG_DCC_EXTTABLE</t>
  </si>
  <si>
    <t>CRM_DEV.ibps.DBO_NG_DAO_EXTTABLE</t>
  </si>
  <si>
    <t>RT_STD_MsgGenDt,RT_STD_RefId</t>
  </si>
  <si>
    <t>RT_STD_MsgGenDt</t>
  </si>
  <si>
    <t>CRM_DEV.npss.DBO_NPSS_RTS_PMTSTATUSDTL_DBTR</t>
  </si>
  <si>
    <t>DEMOGRAPHICID, BANK_ID</t>
  </si>
  <si>
    <t>DEMOGRAPHICID,BANK_ID</t>
  </si>
  <si>
    <t>RETAIL_ONBOARDING_MASTER</t>
  </si>
  <si>
    <t>GL_SUB_HEAD_TABLE</t>
  </si>
  <si>
    <t>SOL_ID, GL_SUB_HEAD_CODE, CRNCY_CODE, BANK_ID</t>
  </si>
  <si>
    <t>CRM_DEV.ibps.DBO_RB_CU_EXTTABLE</t>
  </si>
  <si>
    <t>cpf_platform_dev</t>
  </si>
  <si>
    <t>id</t>
  </si>
  <si>
    <t>consent_config_id,id</t>
  </si>
  <si>
    <t>last_updated_at</t>
  </si>
  <si>
    <t>WRM</t>
  </si>
  <si>
    <t>ID</t>
  </si>
  <si>
    <t>CreationDate</t>
  </si>
  <si>
    <t>CRM_DEV.ccm.DBO_DELIVERYREGISTRATION</t>
  </si>
  <si>
    <t>INT_CR_ACID, INT_DR_ACID, ACID, BANK_ID</t>
  </si>
  <si>
    <t>consent_config_id,customer_id,id</t>
  </si>
  <si>
    <t>CRM_DEV.cpf.DBO_CUSTOMER_CONSENT</t>
  </si>
  <si>
    <t>CRM_DEV.ibps.DBO_RB_TL_EXTTABLE</t>
  </si>
  <si>
    <t>ACCOUNTS</t>
  </si>
  <si>
    <t>ACCOUNTNO</t>
  </si>
  <si>
    <t>CRNNO</t>
  </si>
  <si>
    <t>DEDUPADM</t>
  </si>
  <si>
    <t>REASONCODEID, BANK_ID, BLACKLISTDATASETID, NEGATIVELISTDATASETID</t>
  </si>
  <si>
    <t>reasoncodeid</t>
  </si>
  <si>
    <t>CRM_DEV.finacle.DEDUPADM_OPERATIONSREASONCODES_DEDUP</t>
  </si>
  <si>
    <t>PERSONAL_LOAN_REQUEST_DET</t>
  </si>
  <si>
    <t>PSYCHOGRAPHICID, BANK_ID</t>
  </si>
  <si>
    <t>PSYCHOGRAPHICID,BANK_ID</t>
  </si>
  <si>
    <t>CHQ_BOOK_TABLE</t>
  </si>
  <si>
    <t>BEGIN_CHQ_NUM, ACID, BEGIN_CHQ_ALPHA, BANK_ID</t>
  </si>
  <si>
    <t>ACID,BEGIN_CHQ_NUM</t>
  </si>
  <si>
    <t>CRM_DEV.finacle.TBAADM_CHQ_BOOK_TABLE</t>
  </si>
  <si>
    <t>LIM_HISTORY_TABLE</t>
  </si>
  <si>
    <t>ACID, SERIAL_NUM, BANK_ID</t>
  </si>
  <si>
    <t>PYMT_REF_NUM, BANK_ID</t>
  </si>
  <si>
    <t>CRM_DEV.finacle.CUSTOM_C_PORD_REMIT_INR</t>
  </si>
  <si>
    <t>SECUREIDTABLE</t>
  </si>
  <si>
    <t>ORG_ID, BANK_ID, USER_ID, AUTH_MODE</t>
  </si>
  <si>
    <t>GCDNO</t>
  </si>
  <si>
    <t>CUSTOMERID</t>
  </si>
  <si>
    <t>CRM_DEV.rls.LOS0909_NBFC_CUSTOMER_M</t>
  </si>
  <si>
    <t>ACID, MP_INTENT, MP_FUNC,KEY_WORD, TRAN_DATE, TRAN_ID, PART_TRAN_SRL_NUM</t>
  </si>
  <si>
    <t>MP_SRL_NUM</t>
  </si>
  <si>
    <t>CorpMiscellaneousInfo</t>
  </si>
  <si>
    <t>CORP_MISC_ID, BANK_ID</t>
  </si>
  <si>
    <t>CORP_MISC_ID,BANK_ID</t>
  </si>
  <si>
    <t>CRM_DEV.prime.TCTDBS_CARDSTATUSX</t>
  </si>
  <si>
    <t>PROPOSALID</t>
  </si>
  <si>
    <t>CORP_ID, BANK_ID</t>
  </si>
  <si>
    <t>LOS0909</t>
  </si>
  <si>
    <t>NBFC_ADDRESS_M</t>
  </si>
  <si>
    <t>ADDRESSID</t>
  </si>
  <si>
    <t>LA_DMD_HISTORY_TABLE</t>
  </si>
  <si>
    <t>ACID, SHDL_NUM, DMD_FLOW_ID, DMD_DATE</t>
  </si>
  <si>
    <t>ACID, SHDL_NUM, DMD_FLOW_ID, DMD_DATE, DMD_SRL_NUM, BANK_ID</t>
  </si>
  <si>
    <t>CATEGORYID, BANK_ID</t>
  </si>
  <si>
    <t>CATEGORYID,BANK_ID</t>
  </si>
  <si>
    <t>CRM_DEV.cpf.DBO_CUSTOMER_INFO</t>
  </si>
  <si>
    <t>CRM_DEV.ibps.DBO_RB_BAIS_EXTTABLE</t>
  </si>
  <si>
    <t>ACID, BANK_ID</t>
  </si>
  <si>
    <t>C_CHQ_REJ_DET</t>
  </si>
  <si>
    <t>Composite key column INSTRMNT_ALPHA  has null value which was not allowed to insert/upsert  to CRM Database . So Data has been insert and skipped all those records which has null value.   789,257 null records skipped</t>
  </si>
  <si>
    <t>ACID, INSTRMNT_TYPE, INSTRMNT_NUM, INSTRMNT_ALPHA, REJECTED_DATE, ACID</t>
  </si>
  <si>
    <t>CIF_ID</t>
  </si>
  <si>
    <t>CRM_DEV.finacle.CUSTOM_C_CHQ_REJ_DET</t>
  </si>
  <si>
    <t>LA_REP_SHDL_TABLE</t>
  </si>
  <si>
    <t>ACID, SHDL_NUM, FLOW_ID, FLOW_START_DATE</t>
  </si>
  <si>
    <t>ACID, SHDL_NUM, FLOW_ID, FLOW_START_DATE, BANK_ID</t>
  </si>
  <si>
    <t>FINANCIAL_DETAILS_ID, BANK_ID</t>
  </si>
  <si>
    <t>FINANCIAL_DETAILS_ID,BANK_ID</t>
  </si>
  <si>
    <t>CRM_DEV.finacle.CRMUSER_FINANCIALDETAILS</t>
  </si>
  <si>
    <t>CATEGORYLANGID, BANK_ID</t>
  </si>
  <si>
    <t>CATEGORYLANGID,BANK_ID</t>
  </si>
  <si>
    <t>CRM_DEV.ibps.DBO_RB_NBTL_EXTTABLE</t>
  </si>
  <si>
    <t>CRM_DEV.prime4.TCTDBS_ACPLINKS</t>
  </si>
  <si>
    <t>WMS SIT</t>
  </si>
  <si>
    <t>PORTFOLIO_SUMMARY_TABLE</t>
  </si>
  <si>
    <t>13-June to 17-July 2026</t>
  </si>
  <si>
    <t>INVESTMENT_ID, FROM_DATE, BANK_ID</t>
  </si>
  <si>
    <t>INVESTMENT_ID,FROM_DATE</t>
  </si>
  <si>
    <t>PERSONAL_LOAN_MASTER</t>
  </si>
  <si>
    <t>CRM_DEV.ibps.DBO_RB_PC_EXTTABLE</t>
  </si>
  <si>
    <t>POST_DATED_CHQ_TABLE</t>
  </si>
  <si>
    <t>ACID, FLOW_ID, FLOW_START_DATE, PDC_SRL_NUM</t>
  </si>
  <si>
    <t>PDC_SRL_NUM,START_PDC_NUM</t>
  </si>
  <si>
    <t xml:space="preserve"> Done</t>
  </si>
  <si>
    <t>CRM_DEV.ibps._RB_CSR_RR_EXTTABLE</t>
  </si>
  <si>
    <t>MEMBERSHIPSID, BANK_ID</t>
  </si>
  <si>
    <t>MEMBERSHIPSID,BANK_ID</t>
  </si>
  <si>
    <t>LA_DMD_TABLE</t>
  </si>
  <si>
    <t>ACCOUNT_LIEN_TABLE</t>
  </si>
  <si>
    <t>ACID, B2K_TYPE, B2K_ID, BANK_ID</t>
  </si>
  <si>
    <t>ACID,B2kID</t>
  </si>
  <si>
    <t>CRM_DEV.finacle.TBAADM_ACCOUNT_LIEN_TABLE</t>
  </si>
  <si>
    <t>PAYMENT_TRANS</t>
  </si>
  <si>
    <t>CRM_DEV.ibps.DBO_RB_CSR_MISC_EXTTABLE</t>
  </si>
  <si>
    <t>CRM_DEV.ibps.DBO_RB_DBO_EXTTABLE</t>
  </si>
  <si>
    <t>NAME_AND_ADD_TABLE</t>
  </si>
  <si>
    <t>ADDR_B2KID, ADDR_ID, BANK_ID</t>
  </si>
  <si>
    <t>ADDR_B2KID</t>
  </si>
  <si>
    <t>CRM_DEV.finacle.TBAADM_NAME_AND_ADD_TABLE</t>
  </si>
  <si>
    <t>RAKICCS</t>
  </si>
  <si>
    <t>ItemType</t>
  </si>
  <si>
    <t>ItemIndex,ItemType</t>
  </si>
  <si>
    <t>Scandate</t>
  </si>
  <si>
    <t>CRM_DEV.iccs.DBO_OUTWARD_ICCS</t>
  </si>
  <si>
    <t>BO_CLOSING_PRICE_TBL</t>
  </si>
  <si>
    <t>BOND_CODE, PRICE_DATE, SYMBOL, EXCHANGE_CODE</t>
  </si>
  <si>
    <t>BOND_CODE,PRICE_DATE</t>
  </si>
  <si>
    <t>CRM_DEV.ibps.DBO_RB_EPP_EXTTABLE</t>
  </si>
  <si>
    <t>CRM_DEV.ibps.DBO_RB_CSR_OCC_EXTTABLE</t>
  </si>
  <si>
    <t>CRM_DEV.ibps.DBO_RB_IRBL_EXTTABLE</t>
  </si>
  <si>
    <t>FORACID, PYMT_REF_NUM</t>
  </si>
  <si>
    <t>CRM_DEV.finacle.CUSTOM_CUST_CALBK</t>
  </si>
  <si>
    <t xml:space="preserve">LINK_OPER_ACCOUNT,RELATED_ACID,MASTER_B2K_ID,REPAYMENT_ACID,ACID, BANK_ID,SOL_ID, MATURITY_DATE
</t>
  </si>
  <si>
    <t>CRM_DEV.ibps._RB_CSR_CCC_EXTTABLE</t>
  </si>
  <si>
    <t>TD_DEFN_TABLE</t>
  </si>
  <si>
    <t>ACID, SRL_NUM, BANK_ID</t>
  </si>
  <si>
    <t>ACID,SRL_NUM</t>
  </si>
  <si>
    <t>CRM_DEV.finacle.TBAADM_TD_DEFN_TABLE</t>
  </si>
  <si>
    <t>CUST_CBDSME_DOCDET_TABLE</t>
  </si>
  <si>
    <t>LIMIT_B2KID,DOC_SRL_NUM,BANK_ID</t>
  </si>
  <si>
    <t>DOC_SRL_NUM</t>
  </si>
  <si>
    <t>USER_ID, ROLE_ID, SESSION_ID</t>
  </si>
  <si>
    <t>CUST_CASA_PACKAGE_CHRG_HIS</t>
  </si>
  <si>
    <t>FORACID, EVENT_ID</t>
  </si>
  <si>
    <t>Content</t>
  </si>
  <si>
    <t>CONTENTID</t>
  </si>
  <si>
    <t>npss-customer-mgmt</t>
  </si>
  <si>
    <t>NPSS_MerchantMaster</t>
  </si>
  <si>
    <t>CIFNumber</t>
  </si>
  <si>
    <t>EnrolledOn</t>
  </si>
  <si>
    <t>CRM_DEV.ibps.DBO_RB_AO_EXTTABLE</t>
  </si>
  <si>
    <t>CRM_DEV.ibps.DBO_NG_TS_EXTTABLE</t>
  </si>
  <si>
    <t>SI_DETAILS</t>
  </si>
  <si>
    <t>SI_REFERENCE</t>
  </si>
  <si>
    <t>PREFERENCE_ID, BANK_ID</t>
  </si>
  <si>
    <t>PREFERENCE,BANK_ID</t>
  </si>
  <si>
    <t>ENTITYRELATIONSHIPID, BANK_ID</t>
  </si>
  <si>
    <t>ENTITYRELATIONSHIPID,BANK_ID</t>
  </si>
  <si>
    <t>LIMIT_LIAB_TABLE</t>
  </si>
  <si>
    <t>LIMIT_B2KID, BANK_ID</t>
  </si>
  <si>
    <t>LIMIT_B2KID</t>
  </si>
  <si>
    <t>STANDALONE_COLL_MNT_TABLE</t>
  </si>
  <si>
    <t>SECU_LINKAGE_TYPE, ACID, LIMIT_B2KID, SECU_SRL_NUM</t>
  </si>
  <si>
    <t>SECU_SRL_NUM</t>
  </si>
  <si>
    <t>FINANCIAL</t>
  </si>
  <si>
    <t>FINANCIAL_ID, BANK_ID</t>
  </si>
  <si>
    <t>FINANCIAL_ID,BANK_ID</t>
  </si>
  <si>
    <t>Its a custom table and dependent on PROD/PORH table, mapping field pymt_ref_num</t>
  </si>
  <si>
    <t>CRM_DEV.finacle.CUSTOM_C_PORDM_DELETE</t>
  </si>
  <si>
    <t>CRM_DEV.ibps.DBO_RB_ML_EXTTABLE</t>
  </si>
  <si>
    <t>IN_TRAN_PREMIUM_TABLE</t>
  </si>
  <si>
    <t>TRAN_ID</t>
  </si>
  <si>
    <t>SECU_DETAIL_RGTR_TABLE</t>
  </si>
  <si>
    <t>SECU_LINKAGE_TYPE, ACID, LIMIT_B2KID, SECU_SRL_NUM, BANK_ID</t>
  </si>
  <si>
    <t>LEA_ASSET_M</t>
  </si>
  <si>
    <t>ASSETID</t>
  </si>
  <si>
    <t>LEA_TERMINATION_DTL</t>
  </si>
  <si>
    <t>AGREEMENTID</t>
  </si>
  <si>
    <t>AMT_DRV_METHOD_TBL</t>
  </si>
  <si>
    <t>AMT_DRV_SRL_NUM, BANK_ID</t>
  </si>
  <si>
    <t>AMT_DRV_SRL_NUM</t>
  </si>
  <si>
    <t>CRM_DEV.finacle.TBAADM_AMT_DRV_METHOD_TBL</t>
  </si>
  <si>
    <t>CR_DECISION_M</t>
  </si>
  <si>
    <t>APPID</t>
  </si>
  <si>
    <t>EARLY_SETTLEMENT</t>
  </si>
  <si>
    <t>CRM_DEV.rls.RAK_JSITPH3_CS_CASE_INFO</t>
  </si>
  <si>
    <t>CRM_DEV.ibps._RB_DBS_EXTTABLE</t>
  </si>
  <si>
    <t>LIMIT_DOC_TABLE</t>
  </si>
  <si>
    <t>LIMIT_B2KID,DOC_SRL_NUM</t>
  </si>
  <si>
    <t>ItemIndex, ItemType</t>
  </si>
  <si>
    <t>ecesettlementdate</t>
  </si>
  <si>
    <t>CRM_DEV.iccs.DBO_INWARD_EXT_TAB</t>
  </si>
  <si>
    <t>CRM_DEV.ibps.DBO_RB_TWC_EXTTABLE</t>
  </si>
  <si>
    <t>LA_ACCT_MAST_TABLE</t>
  </si>
  <si>
    <t>BANK_ID,TXN_KEY</t>
  </si>
  <si>
    <t>CRM_DEV.digital_banking_admin.ECECUSER_MULTI_LEVEL_WORKFLOW_TABLE</t>
  </si>
  <si>
    <t>APPLID</t>
  </si>
  <si>
    <t>CRM_DEV.ibps._RB_DSR_ODC_EXTTABLE</t>
  </si>
  <si>
    <t>CRM_DEV.ibps.DBO_NG_DPL_EXTTABLE</t>
  </si>
  <si>
    <t>WrmRequest</t>
  </si>
  <si>
    <t>CRM_DEV.ibps._RB_DA_EXTTABLE</t>
  </si>
  <si>
    <t>cTrxnRewardGifts</t>
  </si>
  <si>
    <t xml:space="preserve">Prime CDC source  connector stopped </t>
  </si>
  <si>
    <t>COMMONCODES</t>
  </si>
  <si>
    <t>MSG_LITERAL, SOURCE_TYPE, MSG_ID</t>
  </si>
  <si>
    <t>MSG_ID</t>
  </si>
  <si>
    <t>CRM_DEV.ibps.DBO_RB_CMS_EXTTABLE</t>
  </si>
  <si>
    <t>BANK_ID, CM_CODE, LANG_ID, CODE_TYPE</t>
  </si>
  <si>
    <t>LEA_ASSET_DTL</t>
  </si>
  <si>
    <t>SI_HEADER_TABLE</t>
  </si>
  <si>
    <t>SI_SRL_NUM, BANK_ID</t>
  </si>
  <si>
    <t>si_srl_num</t>
  </si>
  <si>
    <t>CRM_DEV.finacle.TBAADM_SI_HEADER_TABLE</t>
  </si>
  <si>
    <t>CIF_ID,OPER_ACID,INV_ID</t>
  </si>
  <si>
    <t>INV_ID</t>
  </si>
  <si>
    <t>CRM_DEV.wms.TBAADM_WMS_INV_GEN_DTLS_TBL</t>
  </si>
  <si>
    <t>PNL_INT_TBL_CODE_TABLE</t>
  </si>
  <si>
    <t>Entity_ID, INT_TBL_CODE_SRL_NUM</t>
  </si>
  <si>
    <t>CUST_CASA_PACKAGE_CHRG</t>
  </si>
  <si>
    <t>CIF_ID,Event_ID</t>
  </si>
  <si>
    <t>INS_POLICY_DTLS_TABLE</t>
  </si>
  <si>
    <t>POL_B2K_ID,POLICY_NO</t>
  </si>
  <si>
    <t>LA_RESHDL_HDR_TABLE</t>
  </si>
  <si>
    <t>LEA_PROPERTY_DTL</t>
  </si>
  <si>
    <t>PROPERTYID</t>
  </si>
  <si>
    <t>RENEWAL_OPTION_TABLE</t>
  </si>
  <si>
    <t>CRM_DEV.finacle.TBAADM_RENEWAL_OPTION_TABLE</t>
  </si>
  <si>
    <t>INT_CODE_VERSION_TABLE</t>
  </si>
  <si>
    <t>INT_TBL_CODE, CRNCY_CODE, INT_TBL_VER_NUM, BANK_ID</t>
  </si>
  <si>
    <t>CL_DRAW_DOWN_SCHEDULE_TBL</t>
  </si>
  <si>
    <t>LEA_COLLATERAL_DTL</t>
  </si>
  <si>
    <t>collateralID</t>
  </si>
  <si>
    <t>LEA_GUARANTOR_HIRER_DTL</t>
  </si>
  <si>
    <t>GUARANTOR_HIRER_ID</t>
  </si>
  <si>
    <t>CRM_DEV.finacle.TBAADM_GEN_ACCT_MAST_MOD_TABLE</t>
  </si>
  <si>
    <t>CRM_DEV.ibps.DBO_RB_DAC_EXTTABLE</t>
  </si>
  <si>
    <t>Pmt_SRH_CrtdDt,Pmt_SRH_RefId</t>
  </si>
  <si>
    <t>Pmt_SRH_CrtdDt</t>
  </si>
  <si>
    <t>CRM_DEV.npss.DBO_NPSS_PMTSTATUS_REQHDR</t>
  </si>
  <si>
    <t>GROUPHOUSEHOLD</t>
  </si>
  <si>
    <t>GROUPHOUSEHOLDID, BANK_ID</t>
  </si>
  <si>
    <t>GROUPHOUSEHOLDID,BANK_ID</t>
  </si>
  <si>
    <t>C_CPARAM_VALUE_TABLE</t>
  </si>
  <si>
    <t>Composite key column  MODULE_NAME  has null value which was not allowed to insert/upsert  to CRM Database . So Data has been insert and skipped all those records which has null value.    18 null records skipped</t>
  </si>
  <si>
    <t>PARAMETER_ID, LEVELCODE_1, LEVELCODE_2, MODULE_NAME</t>
  </si>
  <si>
    <t>PARAMETER_ID, LEVELCODE_1, LEVELCODE_2, MODULE_NAME, BANK_ID</t>
  </si>
  <si>
    <t>CRM_DEV.finacle.CUSTOM_C_CPARAM_VALUE_TABLE</t>
  </si>
  <si>
    <t>REMIT_THRU_SI_TD_TABLE</t>
  </si>
  <si>
    <t>PR_SRL_NUM, SERIAL_NUM, BANK_ID</t>
  </si>
  <si>
    <t>pr_srl_num</t>
  </si>
  <si>
    <t>CRM_DEV.finacle.TBAADM_REMIT_THRU_SI_TD_TABLE</t>
  </si>
  <si>
    <t>CRNCY_SCHM_PARM_TBL</t>
  </si>
  <si>
    <t>SCHM_CODE,CRNCY_CODE,BANK_ID</t>
  </si>
  <si>
    <t>IN_NW_PREM_COLL_MAND_TBL</t>
  </si>
  <si>
    <t>MF_TRAN_BAL_SUMMARY_TBL</t>
  </si>
  <si>
    <t>inv_id,fund_cd</t>
  </si>
  <si>
    <t>REFERENCE_CODE_TABLE</t>
  </si>
  <si>
    <t>REF_REC_TYPE, REF_CODE, BANK_ID</t>
  </si>
  <si>
    <t>REF_REC_TYPE,REF_CODE</t>
  </si>
  <si>
    <t>CUST_CASA_HISTDTL</t>
  </si>
  <si>
    <t>CUST_CASA_PACKAGE_MAIN</t>
  </si>
  <si>
    <t>CRM_DEV.ibps._RB_CSR_BT_EXTTABLE</t>
  </si>
  <si>
    <t>BO_BOND_MASTER</t>
  </si>
  <si>
    <t>Bond_code</t>
  </si>
  <si>
    <t>BOND_TRAN_BAL_SUMMARY_TBL</t>
  </si>
  <si>
    <t>Bond_code,INV_ID</t>
  </si>
  <si>
    <t>SP_ORDER_DETAILS_TABLE</t>
  </si>
  <si>
    <t>Order_id</t>
  </si>
  <si>
    <t>WMS_INV_CUST_DTLS_TBL</t>
  </si>
  <si>
    <t>PERSONID</t>
  </si>
  <si>
    <t>GROUPHOUSEHOLDMASTER</t>
  </si>
  <si>
    <t>GROUPHOUSEHOLDMASTERID, BANK_ID</t>
  </si>
  <si>
    <t>GROUPHOUSEHOLDMASTERID,BANK_ID</t>
  </si>
  <si>
    <t>CIF_TYPE, SCHM_CODE, AC_CURRENCY</t>
  </si>
  <si>
    <t>CRM_DEV.finacle.CUSTOM_CUST_LDFEE</t>
  </si>
  <si>
    <t>SCHM_TYPE, SCHM_CODE, BANK_ID</t>
  </si>
  <si>
    <t>SCHM_CODE, BANK_ID</t>
  </si>
  <si>
    <t>PRODUCTID,BANK_ID</t>
  </si>
  <si>
    <t>CRM_DEV.prime4.TCTDBS_PRODUCTS</t>
  </si>
  <si>
    <t>SERNO, INSTITUTION_ID</t>
  </si>
  <si>
    <t>CRM_DEV.prime4.TCTDBS_TRXNTYPES</t>
  </si>
  <si>
    <t>CRM_DEV.ibps._RB_DSR_MISC_EXTTABLE</t>
  </si>
  <si>
    <t>CRM_DEV.ibps._RB_OECD_EXTTABLE</t>
  </si>
  <si>
    <t>CRM_DEV.ibps._RB_PL_EXTTABLE</t>
  </si>
  <si>
    <t>MF_FUND_MASTER_TBL</t>
  </si>
  <si>
    <t>FUND_ID, RULE_EFF_DATE, BANK_ID</t>
  </si>
  <si>
    <t>SERVICELIST</t>
  </si>
  <si>
    <t>LEA_SCHEME_M</t>
  </si>
  <si>
    <t>SCHEMEID</t>
  </si>
  <si>
    <t>NBFC_PARAMETER_M</t>
  </si>
  <si>
    <t>CURRENTDATE</t>
  </si>
  <si>
    <t>DETAIL_RECORD_ID, PERSONID, BANK_ID</t>
  </si>
  <si>
    <t>DETAIL_RECORD_ID,PERSONID,BANK_ID</t>
  </si>
  <si>
    <t>BCID</t>
  </si>
  <si>
    <t>C_LNM_DETAIL_TBL_MOD</t>
  </si>
  <si>
    <t>CRM_DEV.finacle.CUSTOM_C_LNM_DETAIL_TBL_MOD</t>
  </si>
  <si>
    <t>CUST_CASA_PACKAGE</t>
  </si>
  <si>
    <t>Event_ID, Package_ID</t>
  </si>
  <si>
    <t>PAYSYS_ID, REASON_ID, BANK_ID</t>
  </si>
  <si>
    <t>CRM_DEV.finacle.TBAADM_ACH_PAYSYS_REASON_TABLE</t>
  </si>
  <si>
    <t>SOL_ID, CUST_ID, POOL_ID</t>
  </si>
  <si>
    <t>CRM_DEV.finacle.TBAADM_CMB_CSIS_GEN_ACCT_TABLE</t>
  </si>
  <si>
    <t>SOL_GROUP_ID, BANK_ID</t>
  </si>
  <si>
    <t>CRM_DEV.prime4.TCTDBS_ACPROFILES</t>
  </si>
  <si>
    <t>PSERNO</t>
  </si>
  <si>
    <t>Sl No</t>
  </si>
  <si>
    <t>CRM_DEV.iccs.DBO_ICCS_TAB_ROUTINGNUMBERS</t>
  </si>
  <si>
    <t>CRM_DEV.ibps._RB_DSR_DCB_EXTTABLE</t>
  </si>
  <si>
    <t>CRM_DEV.ibps.DBO_NG_COURTORDER_EXTTABLE</t>
  </si>
  <si>
    <t>Id</t>
  </si>
  <si>
    <t>CRM_DEV.npss.DBO_NPSS_PAYMENTSSTATUSCONFIG</t>
  </si>
  <si>
    <t>CRM_DEV.cpf.DBO_CONSENT_CONFIGS</t>
  </si>
  <si>
    <t>SOL_ID, BR_CODE, BANK_CODE</t>
  </si>
  <si>
    <t>SOL_ID</t>
  </si>
  <si>
    <t>CNTRY_CURR_CRNCY_TABLE</t>
  </si>
  <si>
    <t>CRNCY_CODE, BANK_ID</t>
  </si>
  <si>
    <t>CRNCY_CODE</t>
  </si>
  <si>
    <t>CRM_DEV.finacle.TBAADM_CNTRY_CURR_CRNCY_TABLE</t>
  </si>
  <si>
    <t>POOL_OF_FUNDS_TABLE</t>
  </si>
  <si>
    <t>POOL_ID, BANK_ID</t>
  </si>
  <si>
    <t>CRM_DEV.finacle.TBAADM_POOL_OF_FUNDS_TABLE</t>
  </si>
  <si>
    <t>TD_SCHM_DEFN_TABLE</t>
  </si>
  <si>
    <t>SCHM_CODE, SRL_NUM, BANK_ID</t>
  </si>
  <si>
    <t>CRM_DEV.finacle.TBAADM_TD_SCHM_DEFN_TABLE</t>
  </si>
  <si>
    <t>EQ_security_master_tbl</t>
  </si>
  <si>
    <t>LA_FLOW_MNT_TABLE</t>
  </si>
  <si>
    <t>Flow_ID</t>
  </si>
  <si>
    <t>AI_PROD_CODE_DTLS_TBL</t>
  </si>
  <si>
    <t>Product_code</t>
  </si>
  <si>
    <t>EQ_INV_BALANCE_SUMMARY_TBL</t>
  </si>
  <si>
    <t>EQ_SECURITY_MASTER_TBL</t>
  </si>
  <si>
    <t>HA_INV_DTLS_TBL</t>
  </si>
  <si>
    <t>This is held away asset and not using in RAK</t>
  </si>
  <si>
    <t>IN_PRODUCT_MASTER_DTLS_TBL</t>
  </si>
  <si>
    <t>prod_code</t>
  </si>
  <si>
    <t>IN_TRAN_PROP_INSUR_TABLE</t>
  </si>
  <si>
    <t>tran_id,Serial_num</t>
  </si>
  <si>
    <t>MF_FUND_LATEST_DTLS_TBL</t>
  </si>
  <si>
    <t>Fund_ID</t>
  </si>
  <si>
    <t>AI_PEID_BAL_SUMMARY_TBL</t>
  </si>
  <si>
    <t>SP_ACCRUAL_INFO_TABLE</t>
  </si>
  <si>
    <t>Prod_code</t>
  </si>
  <si>
    <t>SP_GEN_DESCRIPTION_TABLE</t>
  </si>
  <si>
    <t>NBFC_CONST_M</t>
  </si>
  <si>
    <t>CONSTID</t>
  </si>
  <si>
    <t>NBFC_INDUSTRY_M</t>
  </si>
  <si>
    <t>INDUSTRYID</t>
  </si>
  <si>
    <t>LEA_CATG_M</t>
  </si>
  <si>
    <t>CATGID</t>
  </si>
  <si>
    <t>FLEXI_FIXED_PARM_TABLE</t>
  </si>
  <si>
    <t>LA_SCHM_PARM_TABLE</t>
  </si>
  <si>
    <t>Campaign</t>
  </si>
  <si>
    <t>CampaignID</t>
  </si>
  <si>
    <t>EXTENSIONFIELDS</t>
  </si>
  <si>
    <t>OnlineDB</t>
  </si>
  <si>
    <t>INTERNALTYPEDESCRIPTIONS</t>
  </si>
  <si>
    <t>CREDIT_CARD_TRAN_V</t>
  </si>
  <si>
    <t>CHEQUE_DETAILS</t>
  </si>
  <si>
    <t>CASE_ID</t>
  </si>
  <si>
    <t>infobip</t>
  </si>
  <si>
    <t>CSV files</t>
  </si>
  <si>
    <t>Received CSV files  have be uploaded to ADLS  by Mon 30th April</t>
  </si>
  <si>
    <t xml:space="preserve">MessageId </t>
  </si>
  <si>
    <t>EXTENSIONID, BANK_ID</t>
  </si>
  <si>
    <t>extensionid</t>
  </si>
  <si>
    <t xml:space="preserve">CRM_DEV.finacle.CRMUSER_EXTN_BODATA </t>
  </si>
  <si>
    <t>VALUE_DATE</t>
  </si>
  <si>
    <t>CRM_DEV.finacle.CUSTOM_CUST_REJECT</t>
  </si>
  <si>
    <t>TBA_COLTRL_GURNT_DTL_TBL</t>
  </si>
  <si>
    <t>SVSUSER</t>
  </si>
  <si>
    <t>SIGNMAINTANENCE</t>
  </si>
  <si>
    <t>SIGNID</t>
  </si>
  <si>
    <t>Valid table name - SIGNMAINTENANCE, CREATEDDATE(Newly created record) or MODIFIEDDATE(Last Modified record)</t>
  </si>
  <si>
    <t>INSTITUTION_ID, CODE, MCCODE, RUPAYCOD</t>
  </si>
  <si>
    <t>CRM_DEV.online.TCTDBS_CARDSTATUS</t>
  </si>
  <si>
    <t>LTIMESTAMP</t>
  </si>
  <si>
    <t>CRM_DEV.online.TCTDBS_AUTHORIZATIONS</t>
  </si>
  <si>
    <t>CARDNUMBER</t>
  </si>
  <si>
    <t>CRM_DEV.online.TCTDBS_CARDS</t>
  </si>
  <si>
    <t>CRM_DEV.online.TCTDBS_GROUPS</t>
  </si>
  <si>
    <t>INCTD</t>
  </si>
  <si>
    <t>TBAADM.INTDT &amp; TBAADM.INTHT table View</t>
  </si>
  <si>
    <t>tran_id</t>
  </si>
  <si>
    <t>PAID_CHQ_RETURN_TABLE</t>
  </si>
  <si>
    <t>RESPCODES</t>
  </si>
  <si>
    <t>CARDSTATUSX</t>
  </si>
  <si>
    <t>archctransactions</t>
  </si>
  <si>
    <t>I013_TRXN_DATE</t>
  </si>
  <si>
    <t>DAILY_TRAN_HEADER_TABLE</t>
  </si>
  <si>
    <t>TRAN_ID, TRAN_DATE, BANK_ID</t>
  </si>
  <si>
    <t>HIST_TRAN_HEADER_TABLE</t>
  </si>
  <si>
    <t>TRAN_DATE, TRAN_ID, BANK_ID</t>
  </si>
  <si>
    <t>EOD_ACCT_BAL_TABLE</t>
  </si>
  <si>
    <t>ACID, EOD_DATE, END_EOD_DATE, BANK_ID</t>
  </si>
  <si>
    <t>processdeftable</t>
  </si>
  <si>
    <t>CRM_DEV.ibps.dbo_processdeftable</t>
  </si>
  <si>
    <t>CCOD_ACCT_MAST_TABLE</t>
  </si>
  <si>
    <t>Agents</t>
  </si>
  <si>
    <t>REMITTDB</t>
  </si>
  <si>
    <t>dx_trns_cashier_pay_details </t>
  </si>
  <si>
    <t>DX_MST_ORG_BRANCH_LANG</t>
  </si>
  <si>
    <t>BRANCHCODE, ORGCODE, LANGCODE</t>
  </si>
  <si>
    <t>DX_MST_PURPOSE</t>
  </si>
  <si>
    <t>PURPCODE, ORGCODE, CORRORGCODE</t>
  </si>
  <si>
    <t>DX_MST_CUSSEGMENTATION</t>
  </si>
  <si>
    <t>ORGCODE, CSID</t>
  </si>
  <si>
    <t>DX_REF_COUNTRY</t>
  </si>
  <si>
    <t>CONTCODE, LANGCODE</t>
  </si>
  <si>
    <t>DX_MST_SERVICE</t>
  </si>
  <si>
    <t xml:space="preserve">
SERVCODE,LANGCODE</t>
  </si>
  <si>
    <t>ICCS_ErrorMaster</t>
  </si>
  <si>
    <t xml:space="preserve">Did  not   receive data from source  table.  </t>
  </si>
  <si>
    <t>caccountrelations</t>
  </si>
  <si>
    <t>cstatementlinks</t>
  </si>
  <si>
    <t>C_CHQ_REJ_CNT</t>
  </si>
  <si>
    <t xml:space="preserve">caddresslinks  </t>
  </si>
  <si>
    <t>PERSONS</t>
  </si>
  <si>
    <t>PERSONNO</t>
  </si>
  <si>
    <t>CRM_DEV.[caps].[CAPSADMIN_PERSONS]</t>
  </si>
  <si>
    <t>INSURANCE_DIRECT_DEBIT</t>
  </si>
  <si>
    <t>IDD_INSURANCE_POLICY_DTL_T</t>
  </si>
  <si>
    <t>ProspectsDB</t>
  </si>
  <si>
    <t>PROSPECT_CALLS</t>
  </si>
  <si>
    <t>y</t>
  </si>
  <si>
    <t>CUSTOMER_MASTER</t>
  </si>
  <si>
    <t>BANK_ID,BAY_USER_ID</t>
  </si>
  <si>
    <t>CRM_DEV.digital_banking_admin.ECECUSER_CUSTOMER_MASTER</t>
  </si>
  <si>
    <t>USR_0_EPP_WIHISTORY</t>
  </si>
  <si>
    <t>As these are newly added tables and we well start  working on these tables after rest all done.</t>
  </si>
  <si>
    <t>USR_0_IRBL_WIHISTORY</t>
  </si>
  <si>
    <t>insertOrderid</t>
  </si>
  <si>
    <t>USR_0_MEROB_WIHISTORY</t>
  </si>
  <si>
    <t>USR_0_ML_WIHISTORY</t>
  </si>
  <si>
    <t>USR_0_NBTL_WIHISTORY</t>
  </si>
  <si>
    <t>USR_0_ODDD_WIHISTORY</t>
  </si>
  <si>
    <t>USR_0_OECD_WIHISTORY</t>
  </si>
  <si>
    <t>USR_0_PC_WIHISTORY</t>
  </si>
  <si>
    <t>USR_0_RBL_WIHISTORY</t>
  </si>
  <si>
    <t>USR_0_SAR_WIHISTORY</t>
  </si>
  <si>
    <t>usr_0_srb_wihistory</t>
  </si>
  <si>
    <t>usr_0_srm_wihistory</t>
  </si>
  <si>
    <t>USR_0_SRO_WIHISTORY</t>
  </si>
  <si>
    <t>USR_0_TAO_WIHISTORY</t>
  </si>
  <si>
    <t>insertionorderid</t>
  </si>
  <si>
    <t>usr_0_tf_wihistory</t>
  </si>
  <si>
    <t>USR_0_TL_WIHISTORY</t>
  </si>
  <si>
    <t>usr_0_tt_wihistory</t>
  </si>
  <si>
    <t>USR_0_TWC_WIHISTORY</t>
  </si>
  <si>
    <t>NG_CCA_DecisionHistory</t>
  </si>
  <si>
    <t>NG_COURTORDER_GR_DECISION_HISTORY</t>
  </si>
  <si>
    <t>NG_CPMS_GR_DECISIONHISTORY</t>
  </si>
  <si>
    <t>NG_DAO_GR_DECISION_HISTORY</t>
  </si>
  <si>
    <t>NG_DCC_GR_DECISION_HISTORY</t>
  </si>
  <si>
    <t>NG_DPL_GR_DECISION_HISTORY</t>
  </si>
  <si>
    <t>NG_EIBOR_GRID_DECISION_HISTORY</t>
  </si>
  <si>
    <t>NG_RF_Decision_History</t>
  </si>
  <si>
    <t>NG_RI_DecisionHistory</t>
  </si>
  <si>
    <t>NG_ROD_Decision_History</t>
  </si>
  <si>
    <t>NG_TS_WIHISTORY</t>
  </si>
  <si>
    <t>usr_0_ao_wihistory</t>
  </si>
  <si>
    <t>USR_0_BAIS_WIHISTORY</t>
  </si>
  <si>
    <t>USR_0_BSR_WIHISTORY</t>
  </si>
  <si>
    <t>USR_0_CMS_WIHISTORY</t>
  </si>
  <si>
    <t>usr_0_cu_wihistory</t>
  </si>
  <si>
    <t>usr_0_da_wihistory</t>
  </si>
  <si>
    <t>USR_0_DAC_WIHISTORY</t>
  </si>
  <si>
    <t>USR_0_DBO_WIHISTORY</t>
  </si>
  <si>
    <t>USR_0_DBS_WIHISTORY</t>
  </si>
  <si>
    <t>Module_Config</t>
  </si>
  <si>
    <t>ID, MODULE, TYPE</t>
  </si>
  <si>
    <t>NPSS_EntityMaster</t>
  </si>
  <si>
    <t>ENT_BICCode</t>
  </si>
  <si>
    <t>NPSS_RTS_PmtStatusDtl_Cdtr</t>
  </si>
  <si>
    <t>mccs</t>
  </si>
  <si>
    <t>CODE</t>
  </si>
  <si>
    <t>Data not ingested yet due to online  CDC  issue</t>
  </si>
  <si>
    <t>INSTITUTION_ID, TABNAME, COLNAME, LTIMESTAMP</t>
  </si>
  <si>
    <t>CRM User</t>
  </si>
  <si>
    <t>OPERATIONSREASONCODES</t>
  </si>
  <si>
    <t xml:space="preserve">	ORGKEY,BANK_ID</t>
  </si>
  <si>
    <t>START_DATE</t>
  </si>
  <si>
    <t>TBA_FLEXI_FIXED_PARM_TBL</t>
  </si>
  <si>
    <t>ACID, BANK_ID,SOL_ID</t>
  </si>
  <si>
    <t>MASTER_ACCT_MAINT_TABLE</t>
  </si>
  <si>
    <t>MASTER_ACCT_NUM,MASTER_B2K_ID, BANK_ID</t>
  </si>
  <si>
    <t>INT_TBL_CODE_MASTER_TABLE</t>
  </si>
  <si>
    <t>INT_TBL_CODE, BANK_ID</t>
  </si>
  <si>
    <t>LA_TRAN_DETAIL_TABLE</t>
  </si>
  <si>
    <t>CUSTOM_TBL_TBLSPC</t>
  </si>
  <si>
    <t>FORACID</t>
  </si>
  <si>
    <t>CUST_CBDSME_DET_TABLE</t>
  </si>
  <si>
    <t>LIMIT_B2KID,BANK_ID</t>
  </si>
  <si>
    <t>APPR_SECU_MAST_TABLE</t>
  </si>
  <si>
    <t>SECU_CODE, BANK_ID</t>
  </si>
  <si>
    <t>COLTRL_GURNT_DTL_TABLE</t>
  </si>
  <si>
    <t>ECU_LINKAGE_TYPE, ACID, LIMIT_B2KID, SECU_SRL_NUM</t>
  </si>
  <si>
    <t>USR_0_SRB_TR_SRB023</t>
  </si>
  <si>
    <t>27-June to 08-July 2026</t>
  </si>
  <si>
    <t>USR_0_SRB_TR_SRB024</t>
  </si>
  <si>
    <t>USR_0_SRB_TR_SRB025</t>
  </si>
  <si>
    <t>USR_0_SRB_TR_SRB026</t>
  </si>
  <si>
    <t>USR_0_SRB_TR_SRB027</t>
  </si>
  <si>
    <t>USR_0_SRB_TR_SRB028</t>
  </si>
  <si>
    <t>USR_0_SRB_TR_SRB029</t>
  </si>
  <si>
    <t>USR_0_SRB_TR_SRB030</t>
  </si>
  <si>
    <t>USR_0_SRB_TR_SRB031</t>
  </si>
  <si>
    <t>USR_0_SRB_TR_SRB032</t>
  </si>
  <si>
    <t>USR_0_SRB_TR_SRB033</t>
  </si>
  <si>
    <t>USR_0_SRB_TR_SRB034</t>
  </si>
  <si>
    <t>USR_0_SRB_TR_SRB035</t>
  </si>
  <si>
    <t>USR_0_SRB_TR_SRB036</t>
  </si>
  <si>
    <t>USR_0_SRB_TR_SRB037</t>
  </si>
  <si>
    <t>USR_0_SRB_TR_SRB040</t>
  </si>
  <si>
    <t>USR_0_SRB_TR_SRB041</t>
  </si>
  <si>
    <t>USR_0_SRB_TR_SRB042</t>
  </si>
  <si>
    <t>USR_0_SRB_TR_SRB043</t>
  </si>
  <si>
    <t>USR_0_SRB_TR_SRB044</t>
  </si>
  <si>
    <t>USR_0_SRB_TR_SRB046</t>
  </si>
  <si>
    <t>USR_0_SRB_TR_SRB047</t>
  </si>
  <si>
    <t>USR_0_SRB_TR_SRB048</t>
  </si>
  <si>
    <t>USR_0_SRB_TR_SRB051</t>
  </si>
  <si>
    <t>USR_0_SRB_TR_SRB064</t>
  </si>
  <si>
    <t>USR_0_SRB_TR_SRB088</t>
  </si>
  <si>
    <t>USR_0_SRB_TR_SRB089</t>
  </si>
  <si>
    <t>USR_0_SRB_TR_SRB090</t>
  </si>
  <si>
    <t>USR_0_SRB_TR_SRB177</t>
  </si>
  <si>
    <t>USR_0_SRB_TR_SRB178</t>
  </si>
  <si>
    <t>USR_0_SRB_TR_SRB179</t>
  </si>
  <si>
    <t>USR_0_SRB_TR_SRB001</t>
  </si>
  <si>
    <t>USR_0_SRB_TR_SRB002</t>
  </si>
  <si>
    <t>USR_0_SRB_TR_SRB004</t>
  </si>
  <si>
    <t>USR_0_SRB_TR_SRB005</t>
  </si>
  <si>
    <t>USR_0_SRB_TR_SRB006</t>
  </si>
  <si>
    <t>USR_0_SRB_TR_SRB007</t>
  </si>
  <si>
    <t>USR_0_SRB_TR_SRB011</t>
  </si>
  <si>
    <t>USR_0_SRB_TR_SRB012</t>
  </si>
  <si>
    <t>USR_0_SRB_TR_SRB013</t>
  </si>
  <si>
    <t>USR_0_SRB_TR_SRB014</t>
  </si>
  <si>
    <t>USR_0_SRB_TR_SRB016</t>
  </si>
  <si>
    <t>USR_0_SRB_TR_SRB017</t>
  </si>
  <si>
    <t>USR_0_SRB_TR_SRB018</t>
  </si>
  <si>
    <t>USR_0_SRB_TR_SRB020</t>
  </si>
  <si>
    <t>USR_0_SRB_TR_SRB021</t>
  </si>
  <si>
    <t>USR_0_SRB_TR_SRB022</t>
  </si>
  <si>
    <t>USR_0_SRB_TR_SRB050</t>
  </si>
  <si>
    <t>USR_0_SRB_TR_SRB053</t>
  </si>
  <si>
    <t>USR_0_SRB_TR_SRB055</t>
  </si>
  <si>
    <t>USR_0_SRB_TR_SRB056</t>
  </si>
  <si>
    <t>USR_0_SRB_TR_SRB057</t>
  </si>
  <si>
    <t>USR_0_SRB_TR_SRB058</t>
  </si>
  <si>
    <t>USR_0_SRB_TR_SRB059</t>
  </si>
  <si>
    <t>USR_0_SRB_TR_SRB060</t>
  </si>
  <si>
    <t>USR_0_SRB_TR_SRB062</t>
  </si>
  <si>
    <t>USR_0_SRB_TR_SRB063</t>
  </si>
  <si>
    <t>USR_0_SRB_TR_SRB086</t>
  </si>
  <si>
    <t>USR_0_SRB_TR_SRB087</t>
  </si>
  <si>
    <t>USR_0_SRB_TR_SRB138</t>
  </si>
  <si>
    <t>USR_0_SRB_TR_SRB146</t>
  </si>
  <si>
    <t>USR_0_SRB_TR_SRB147</t>
  </si>
  <si>
    <t>USR_0_SRB_TR_SRB152</t>
  </si>
  <si>
    <t>USR_0_SRB_TR_SRB153</t>
  </si>
  <si>
    <t>USR_0_SRB_TR_SRB154</t>
  </si>
  <si>
    <t>USR_0_SRB_TR_SRB156</t>
  </si>
  <si>
    <t>USR_0_SRB_TR_SRB165</t>
  </si>
  <si>
    <t>USR_0_SRB_TR_SRB166</t>
  </si>
  <si>
    <t>USR_0_SRB_TR_SRB167</t>
  </si>
  <si>
    <t>USR_0_SRB_TR_SRB171</t>
  </si>
  <si>
    <t>USR_0_SRB_TR_SRB172</t>
  </si>
  <si>
    <t>USR_0_SRB_TR_SRB173</t>
  </si>
  <si>
    <t>USR_0_SRB_TR_SRB174</t>
  </si>
  <si>
    <t>USR_0_SRB_TR_SRB175</t>
  </si>
  <si>
    <t>USR_0_SRB_TR_SRB074</t>
  </si>
  <si>
    <t>USR_0_SRB_TR_SRB075</t>
  </si>
  <si>
    <t>USR_0_SRB_TR_SRB076</t>
  </si>
  <si>
    <t>USR_0_SRB_TR_SRB077</t>
  </si>
  <si>
    <t>USR_0_SRB_TR_SRB078</t>
  </si>
  <si>
    <t>USR_0_SRB_TR_SRB079</t>
  </si>
  <si>
    <t>USR_0_SRB_TR_SRB080</t>
  </si>
  <si>
    <t>USR_0_SRB_TR_SRB081</t>
  </si>
  <si>
    <t>USR_0_SRB_TR_SRB082</t>
  </si>
  <si>
    <t>USR_0_SRB_TR_SRB065</t>
  </si>
  <si>
    <t>USR_0_SRB_TR_SRB066</t>
  </si>
  <si>
    <t>USR_0_SRB_TR_SRB067</t>
  </si>
  <si>
    <t>USR_0_SRB_TR_SRB068</t>
  </si>
  <si>
    <t>USR_0_SRB_TR_SRB069</t>
  </si>
  <si>
    <t>USR_0_SRB_TR_SRB070</t>
  </si>
  <si>
    <t>USR_0_SRB_TR_SRB071</t>
  </si>
  <si>
    <t>USR_0_SRB_TR_SRB072</t>
  </si>
  <si>
    <t>USR_0_SRB_TR_SRB168</t>
  </si>
  <si>
    <t>USR_0_SRB_TR_SRB169</t>
  </si>
  <si>
    <t>USR_0_SRB_TR_SRB083</t>
  </si>
  <si>
    <t>USR_0_SRB_TR_SRB084</t>
  </si>
  <si>
    <t>USR_0_SRB_TR_SRB085</t>
  </si>
  <si>
    <t>USR_0_SRB_TR_SRB091</t>
  </si>
  <si>
    <t>USR_0_SRB_TR_SRB092</t>
  </si>
  <si>
    <t>USR_0_SRB_TR_SRB093</t>
  </si>
  <si>
    <t>USR_0_SRB_TR_SRB094</t>
  </si>
  <si>
    <t>USR_0_SRB_TR_SRB095</t>
  </si>
  <si>
    <t>USR_0_SRB_TR_SRB096</t>
  </si>
  <si>
    <t>USR_0_SRB_TR_SRB097</t>
  </si>
  <si>
    <t>USR_0_SRB_TR_SRB098</t>
  </si>
  <si>
    <t>USR_0_SRB_TR_SRB099</t>
  </si>
  <si>
    <t>USR_0_SRB_TR_SRB100</t>
  </si>
  <si>
    <t>USR_0_SRB_TR_SRB101</t>
  </si>
  <si>
    <t>USR_0_SRB_TR_SRB102</t>
  </si>
  <si>
    <t>USR_0_SRB_TR_SRB103</t>
  </si>
  <si>
    <t>USR_0_SRB_TR_SRB104</t>
  </si>
  <si>
    <t>USR_0_SRB_TR_SRB105</t>
  </si>
  <si>
    <t>USR_0_SRB_TR_SRB106</t>
  </si>
  <si>
    <t>USR_0_SRB_TR_SRB107</t>
  </si>
  <si>
    <t>USR_0_SRB_TR_SRB108</t>
  </si>
  <si>
    <t>USR_0_SRB_TR_SRB109</t>
  </si>
  <si>
    <t>USR_0_SRB_TR_SRB110</t>
  </si>
  <si>
    <t>USR_0_SRB_TR_SRB111</t>
  </si>
  <si>
    <t>USR_0_SRB_TR_SRB112</t>
  </si>
  <si>
    <t>USR_0_SRB_TR_SRB113</t>
  </si>
  <si>
    <t>USR_0_SRB_TR_SRB114</t>
  </si>
  <si>
    <t>USR_0_SRB_TR_SRB115</t>
  </si>
  <si>
    <t>USR_0_SRB_TR_SRB116</t>
  </si>
  <si>
    <t>USR_0_SRB_TR_SRB117</t>
  </si>
  <si>
    <t>USR_0_SRB_TR_SRB118</t>
  </si>
  <si>
    <t>USR_0_SRB_TR_SRB119</t>
  </si>
  <si>
    <t>USR_0_SRB_TR_SRB120</t>
  </si>
  <si>
    <t>USR_0_SRB_TR_SRB121</t>
  </si>
  <si>
    <t>USR_0_SRB_TR_SRB122</t>
  </si>
  <si>
    <t>USR_0_SRB_TR_SRB123</t>
  </si>
  <si>
    <t>USR_0_SRB_TR_SRB124</t>
  </si>
  <si>
    <t>USR_0_SRB_TR_SRB125</t>
  </si>
  <si>
    <t>USR_0_SRB_TR_SRB126</t>
  </si>
  <si>
    <t>USR_0_SRB_TR_SRB127</t>
  </si>
  <si>
    <t>USR_0_SRB_TR_SRB128</t>
  </si>
  <si>
    <t>USR_0_SRB_TR_SRB129</t>
  </si>
  <si>
    <t>USR_0_SRB_TR_SRB130</t>
  </si>
  <si>
    <t>USR_0_SRB_TR_SRB131</t>
  </si>
  <si>
    <t>USR_0_SRB_TR_SRB132</t>
  </si>
  <si>
    <t>USR_0_SRB_TR_SRB133</t>
  </si>
  <si>
    <t>USR_0_SRB_TR_SRB134</t>
  </si>
  <si>
    <t>USR_0_SRB_TR_SRB164</t>
  </si>
  <si>
    <t>USR_0_SRB_TR_SRB170</t>
  </si>
  <si>
    <t>Source system</t>
  </si>
  <si>
    <t>Dataverse Table name</t>
  </si>
  <si>
    <r>
      <t xml:space="preserve">Day-0 load in Dataverse DEV </t>
    </r>
    <r>
      <rPr>
        <sz val="10"/>
        <color theme="1"/>
        <rFont val="Aptos Narrow"/>
        <family val="2"/>
        <scheme val="minor"/>
      </rPr>
      <t>Source :  UAT2
Approach :  ADF</t>
    </r>
  </si>
  <si>
    <r>
      <t xml:space="preserve">Continuous load in Dataverse DEV </t>
    </r>
    <r>
      <rPr>
        <sz val="10"/>
        <color theme="1"/>
        <rFont val="Aptos Narrow"/>
        <family val="2"/>
        <scheme val="minor"/>
      </rPr>
      <t>Source : UAT2</t>
    </r>
    <r>
      <rPr>
        <b/>
        <sz val="10"/>
        <color theme="1"/>
        <rFont val="Aptos Narrow"/>
        <family val="2"/>
        <scheme val="minor"/>
      </rPr>
      <t xml:space="preserve">
</t>
    </r>
    <r>
      <rPr>
        <sz val="10"/>
        <color theme="1"/>
        <rFont val="Aptos Narrow"/>
        <family val="2"/>
        <scheme val="minor"/>
      </rPr>
      <t>Approach</t>
    </r>
    <r>
      <rPr>
        <b/>
        <sz val="10"/>
        <color theme="1"/>
        <rFont val="Aptos Narrow"/>
        <family val="2"/>
        <scheme val="minor"/>
      </rPr>
      <t xml:space="preserve"> :ADF Microbatch</t>
    </r>
  </si>
  <si>
    <r>
      <t xml:space="preserve">Day-0 load in Dataverse UAT
</t>
    </r>
    <r>
      <rPr>
        <sz val="10"/>
        <color theme="1"/>
        <rFont val="Aptos Narrow"/>
        <family val="2"/>
        <scheme val="minor"/>
      </rPr>
      <t>Source :  UAT2
Approach :  ADF</t>
    </r>
  </si>
  <si>
    <r>
      <t xml:space="preserve">Continuous load in Dataverse UAT </t>
    </r>
    <r>
      <rPr>
        <sz val="10"/>
        <color theme="1"/>
        <rFont val="Aptos Narrow"/>
        <family val="2"/>
        <scheme val="minor"/>
      </rPr>
      <t>Source : UAT2</t>
    </r>
    <r>
      <rPr>
        <b/>
        <sz val="10"/>
        <color theme="1"/>
        <rFont val="Aptos Narrow"/>
        <family val="2"/>
        <scheme val="minor"/>
      </rPr>
      <t xml:space="preserve">
</t>
    </r>
    <r>
      <rPr>
        <sz val="10"/>
        <color theme="1"/>
        <rFont val="Aptos Narrow"/>
        <family val="2"/>
        <scheme val="minor"/>
      </rPr>
      <t>Approach</t>
    </r>
    <r>
      <rPr>
        <b/>
        <sz val="10"/>
        <color theme="1"/>
        <rFont val="Aptos Narrow"/>
        <family val="2"/>
        <scheme val="minor"/>
      </rPr>
      <t xml:space="preserve"> : </t>
    </r>
    <r>
      <rPr>
        <sz val="10"/>
        <color theme="1"/>
        <rFont val="Aptos Narrow"/>
        <family val="2"/>
        <scheme val="minor"/>
      </rPr>
      <t>ADF Microbatch</t>
    </r>
  </si>
  <si>
    <r>
      <t xml:space="preserve">Day-0 load in Dataverse PT
</t>
    </r>
    <r>
      <rPr>
        <sz val="10"/>
        <color theme="1"/>
        <rFont val="Aptos Narrow"/>
        <family val="2"/>
        <scheme val="minor"/>
      </rPr>
      <t>Source :  UAT2
Approach :  ADF</t>
    </r>
  </si>
  <si>
    <r>
      <t xml:space="preserve">Continuous load in in Dataverse PT
</t>
    </r>
    <r>
      <rPr>
        <sz val="10"/>
        <color theme="1"/>
        <rFont val="Aptos Narrow"/>
        <family val="2"/>
        <scheme val="minor"/>
      </rPr>
      <t>Source :  UAT2
Approach :  ADF Microbatch</t>
    </r>
  </si>
  <si>
    <r>
      <t xml:space="preserve">Day-0 load in Dataverse Preprod
</t>
    </r>
    <r>
      <rPr>
        <sz val="10"/>
        <color theme="1"/>
        <rFont val="Aptos Narrow"/>
        <family val="2"/>
        <scheme val="minor"/>
      </rPr>
      <t>Source :  UAT1
Approach :  ADF</t>
    </r>
  </si>
  <si>
    <r>
      <t xml:space="preserve">Continuous load inin Dataverse Preprod
</t>
    </r>
    <r>
      <rPr>
        <sz val="10"/>
        <color theme="1"/>
        <rFont val="Aptos Narrow"/>
        <family val="2"/>
        <scheme val="minor"/>
      </rPr>
      <t>Source :  UAT1
Approach :  ADF Microbatch</t>
    </r>
  </si>
  <si>
    <t>Contact</t>
  </si>
  <si>
    <t>Not done</t>
  </si>
  <si>
    <t>Finacle_CRMUser_EntityDocument</t>
  </si>
  <si>
    <t>Finacle_CRMUser_MiscellaneousInfo</t>
  </si>
  <si>
    <t>Account</t>
  </si>
  <si>
    <t>Finacle_CRMUser_PhoneEmail</t>
  </si>
  <si>
    <t>Customer RM</t>
  </si>
  <si>
    <t>Fincale_CRMUser_BizCenter</t>
  </si>
  <si>
    <t>Finacle_CRMUser_Demographic</t>
  </si>
  <si>
    <t>Customer Products</t>
  </si>
  <si>
    <t>Customer Services</t>
  </si>
  <si>
    <r>
      <rPr>
        <b/>
        <sz val="10"/>
        <color theme="1"/>
        <rFont val="Aptos Narrow"/>
        <family val="2"/>
        <scheme val="minor"/>
      </rPr>
      <t>Day-0 load in SQL DB 
DB : DEV
Source : UAT 2
Approach : Confluent snapshot or ADF
(SQL SINK)</t>
    </r>
  </si>
  <si>
    <r>
      <t xml:space="preserve">Continuous load in SQL DB
</t>
    </r>
    <r>
      <rPr>
        <b/>
        <sz val="10"/>
        <color theme="1"/>
        <rFont val="Aptos Narrow"/>
        <family val="2"/>
        <scheme val="minor"/>
      </rPr>
      <t>DB : DEV
Source : UAT 2
Approach : Confluent RTS 
(SQL Sink)</t>
    </r>
  </si>
  <si>
    <r>
      <t xml:space="preserve">Batch load in SQL DB 
</t>
    </r>
    <r>
      <rPr>
        <b/>
        <sz val="10"/>
        <color theme="1"/>
        <rFont val="Aptos Narrow"/>
        <family val="2"/>
        <scheme val="minor"/>
      </rPr>
      <t>DB : DEV
Source : UAT2 
Approach :  ADF</t>
    </r>
  </si>
  <si>
    <t>DONE</t>
  </si>
  <si>
    <t>REF_NUM, LIMIT_PREFIX, LIMIT_SUFFIX, LIST_FUNC</t>
  </si>
  <si>
    <t>ACCOUNT_NUMBER, BANK_ID</t>
  </si>
  <si>
    <t>PACKAGE_TYPE, PROD_PROCESSOR</t>
  </si>
  <si>
    <t>FORACID,EVENT_ID</t>
  </si>
  <si>
    <t>FORACID, CIF_ID</t>
  </si>
  <si>
    <t>STARTDATE</t>
  </si>
  <si>
    <t>ACID,NMA_KEY_ID</t>
  </si>
  <si>
    <t>This is CSIS table and not used in RAK</t>
  </si>
  <si>
    <t>Session_ID</t>
  </si>
  <si>
    <t>Its a user login table</t>
  </si>
  <si>
    <t>Its a message configuration table, it does not have date field</t>
  </si>
  <si>
    <t>WMSSIT</t>
  </si>
  <si>
    <t>CUST_ID_N</t>
  </si>
  <si>
    <t>PROPOSALID,INSTLNUM</t>
  </si>
  <si>
    <t>CRM_DEV.ibps._RB_CSR_CCB_EXTTABLE</t>
  </si>
  <si>
    <t>CRM_DEV.ibps._RB_GSR_LCOL_EXTTABLE</t>
  </si>
  <si>
    <t>CRM_DEV.ibps._RB_ODDD_EXTTABLE</t>
  </si>
  <si>
    <t>CRM_DEV.ibps.DBO_RB_TF_EXTTABLE</t>
  </si>
  <si>
    <t>CRM_DEV.ibps.DBO_RB_SAR_EXTTABLE</t>
  </si>
  <si>
    <t>CRM_DEV.ibps._NG_EIBOR_EXTTABLE</t>
  </si>
  <si>
    <t>DMRAKPHASE3</t>
  </si>
  <si>
    <t>CRM_DEV.finacle.TBAADM_INT_TBL_CODE_TABLE</t>
  </si>
  <si>
    <t>pool_ID</t>
  </si>
  <si>
    <t>SCHM_CODE, CRNCY_CODE, BANK_ID</t>
  </si>
  <si>
    <t>ACID, DISB_SRL_NUM, BANK_ID</t>
  </si>
  <si>
    <t>BANK_ID, SECURITY_CODE</t>
  </si>
  <si>
    <t>OP_ACID, TRANCHE_ID, EMPLOYER_ID</t>
  </si>
  <si>
    <t>FLOW_ID, BANK_ID</t>
  </si>
  <si>
    <t>LIMIT_B2KID, DOC_SRL_NUM, BANK_ID</t>
  </si>
  <si>
    <t>ACID, SHDL_TYPE, SHDL_NUM, BANK_ID</t>
  </si>
  <si>
    <t>BANK_ID, PRODUCT_CODE, PROD_TYPE_MENU</t>
  </si>
  <si>
    <t>BOND_CODE, BANK_ID, BOND_IDENTIFIER_NUM, BOND_IDENTIFIER</t>
  </si>
  <si>
    <t>INV_ID, BOND_CODE, INV_ID_TYPE, BANK_ID</t>
  </si>
  <si>
    <t>BANK_ID, INV_ID, SECURITY_CODE</t>
  </si>
  <si>
    <t>BANK_ID, HA_ID</t>
  </si>
  <si>
    <t>BANK_ID, POLICY_NO, INSURER_CODE, POL_B2K_ID</t>
  </si>
  <si>
    <t>PROD_CODE, BANK_ID</t>
  </si>
  <si>
    <t>BANK_ID, TRAN_ID, SERIAL_NUM, RECORD_TYPE_IND</t>
  </si>
  <si>
    <t>TRAN_ID, BANK_ID</t>
  </si>
  <si>
    <t>TRAN_ID, PREMIUM_TYPE, PREMIUM_SUB_TYPE, BANK_ID</t>
  </si>
  <si>
    <t>FUND_ID, BANK_ID</t>
  </si>
  <si>
    <t>FUND_CD, BANK_ID</t>
  </si>
  <si>
    <t>PE_ID, BANK_ID</t>
  </si>
  <si>
    <t>ORDER_ID, BANK_ID, TRAN_DATE</t>
  </si>
  <si>
    <t>BANK_ID, INV_ID, ASSET_CLASS, CUSTODIAN_ID</t>
  </si>
  <si>
    <t>BRANCHID,APPID</t>
  </si>
  <si>
    <t>INT_VERSION, RECORD_DATE, BASE_INT_TBL_CODE</t>
  </si>
  <si>
    <t>PERSON</t>
  </si>
  <si>
    <t>TACTICAL APPROACH - FOR TESTING</t>
  </si>
  <si>
    <r>
      <rPr>
        <b/>
        <sz val="9"/>
        <color theme="1"/>
        <rFont val="Aptos Narrow"/>
        <family val="2"/>
        <scheme val="minor"/>
      </rPr>
      <t>Day-0 load 
in SQL DB 
DB : DEV
Source : UAT 2</t>
    </r>
  </si>
  <si>
    <r>
      <t xml:space="preserve">Continuous load in SQL DB
</t>
    </r>
    <r>
      <rPr>
        <b/>
        <sz val="9"/>
        <color theme="1"/>
        <rFont val="Aptos Narrow"/>
        <family val="2"/>
        <scheme val="minor"/>
      </rPr>
      <t>DB : DEV
Source : UAT 2</t>
    </r>
  </si>
  <si>
    <r>
      <t xml:space="preserve">Batch load in SQL DB 
</t>
    </r>
    <r>
      <rPr>
        <b/>
        <sz val="9"/>
        <color theme="1"/>
        <rFont val="Aptos Narrow"/>
        <family val="2"/>
        <scheme val="minor"/>
      </rPr>
      <t xml:space="preserve">DB : DEV
Source : UAT2 </t>
    </r>
  </si>
  <si>
    <r>
      <t xml:space="preserve">Day-0 load in Dataverse 
</t>
    </r>
    <r>
      <rPr>
        <b/>
        <sz val="9"/>
        <color theme="1"/>
        <rFont val="Aptos Narrow"/>
        <family val="2"/>
        <scheme val="minor"/>
      </rPr>
      <t>DB : DEV 
Source :  UAT2</t>
    </r>
  </si>
  <si>
    <r>
      <t xml:space="preserve">Day-0 load in Dataverse 
</t>
    </r>
    <r>
      <rPr>
        <b/>
        <sz val="9"/>
        <color theme="1"/>
        <rFont val="Aptos Narrow"/>
        <family val="2"/>
        <scheme val="minor"/>
      </rPr>
      <t>DB : SIT 
Source :  UAT2</t>
    </r>
  </si>
  <si>
    <r>
      <t xml:space="preserve">Day-0 load in Dataverse 
</t>
    </r>
    <r>
      <rPr>
        <b/>
        <sz val="9"/>
        <color theme="1"/>
        <rFont val="Aptos Narrow"/>
        <family val="2"/>
        <scheme val="minor"/>
      </rPr>
      <t>DB : UAT 
Source :  UAT2</t>
    </r>
  </si>
  <si>
    <r>
      <rPr>
        <b/>
        <sz val="10"/>
        <color theme="1"/>
        <rFont val="Aptos Narrow"/>
        <family val="2"/>
        <scheme val="minor"/>
      </rPr>
      <t xml:space="preserve">Day-0 load in SQL DB 
</t>
    </r>
    <r>
      <rPr>
        <sz val="10"/>
        <color theme="1"/>
        <rFont val="Aptos Narrow"/>
        <family val="2"/>
        <scheme val="minor"/>
      </rPr>
      <t>DB : DEV/TEST
Source : UAT 2
Approach : Confluent snapshot 
(SQL SINK)</t>
    </r>
  </si>
  <si>
    <r>
      <t xml:space="preserve">Continuous load in SQL DB
</t>
    </r>
    <r>
      <rPr>
        <sz val="10"/>
        <color theme="1"/>
        <rFont val="Aptos Narrow"/>
        <family val="2"/>
        <scheme val="minor"/>
      </rPr>
      <t>DB : DEV/TEST</t>
    </r>
    <r>
      <rPr>
        <b/>
        <sz val="10"/>
        <color theme="1"/>
        <rFont val="Aptos Narrow"/>
        <family val="2"/>
        <scheme val="minor"/>
      </rPr>
      <t xml:space="preserve">
</t>
    </r>
    <r>
      <rPr>
        <sz val="10"/>
        <color theme="1"/>
        <rFont val="Aptos Narrow"/>
        <family val="2"/>
        <scheme val="minor"/>
      </rPr>
      <t>Source : UAT 2
Approach : Confluent RTS 
(SQL Sink)</t>
    </r>
  </si>
  <si>
    <r>
      <t xml:space="preserve">Batch load in SQL DB 
</t>
    </r>
    <r>
      <rPr>
        <sz val="10"/>
        <color theme="1"/>
        <rFont val="Aptos Narrow"/>
        <family val="2"/>
        <scheme val="minor"/>
      </rPr>
      <t>DB</t>
    </r>
    <r>
      <rPr>
        <b/>
        <sz val="10"/>
        <color theme="1"/>
        <rFont val="Aptos Narrow"/>
        <family val="2"/>
        <scheme val="minor"/>
      </rPr>
      <t xml:space="preserve"> : </t>
    </r>
    <r>
      <rPr>
        <sz val="10"/>
        <color theme="1"/>
        <rFont val="Aptos Narrow"/>
        <family val="2"/>
        <scheme val="minor"/>
      </rPr>
      <t>DEV/TEST</t>
    </r>
    <r>
      <rPr>
        <b/>
        <sz val="10"/>
        <color theme="1"/>
        <rFont val="Aptos Narrow"/>
        <family val="2"/>
        <scheme val="minor"/>
      </rPr>
      <t xml:space="preserve">
</t>
    </r>
    <r>
      <rPr>
        <sz val="10"/>
        <color theme="1"/>
        <rFont val="Aptos Narrow"/>
        <family val="2"/>
        <scheme val="minor"/>
      </rPr>
      <t>Source : UAT2 
Approach :  ADF</t>
    </r>
  </si>
  <si>
    <r>
      <t xml:space="preserve">Day-0 load in Dataverse 
</t>
    </r>
    <r>
      <rPr>
        <sz val="10"/>
        <color theme="1"/>
        <rFont val="Aptos Narrow"/>
        <family val="2"/>
        <scheme val="minor"/>
      </rPr>
      <t xml:space="preserve">DB : DEV/TEST </t>
    </r>
    <r>
      <rPr>
        <b/>
        <sz val="10"/>
        <color theme="1"/>
        <rFont val="Aptos Narrow"/>
        <family val="2"/>
        <scheme val="minor"/>
      </rPr>
      <t xml:space="preserve">
</t>
    </r>
    <r>
      <rPr>
        <sz val="10"/>
        <color theme="1"/>
        <rFont val="Aptos Narrow"/>
        <family val="2"/>
        <scheme val="minor"/>
      </rPr>
      <t>Source :  UAT2
Approach :  ADF</t>
    </r>
  </si>
  <si>
    <r>
      <t xml:space="preserve">Continuous load in Dataverse 
</t>
    </r>
    <r>
      <rPr>
        <sz val="10"/>
        <color theme="1"/>
        <rFont val="Aptos Narrow"/>
        <family val="2"/>
        <scheme val="minor"/>
      </rPr>
      <t>DB : DEV/TEST</t>
    </r>
    <r>
      <rPr>
        <b/>
        <sz val="10"/>
        <color theme="1"/>
        <rFont val="Aptos Narrow"/>
        <family val="2"/>
        <scheme val="minor"/>
      </rPr>
      <t xml:space="preserve"> </t>
    </r>
    <r>
      <rPr>
        <sz val="10"/>
        <color theme="1"/>
        <rFont val="Aptos Narrow"/>
        <family val="2"/>
        <scheme val="minor"/>
      </rPr>
      <t>Source : UAT2</t>
    </r>
    <r>
      <rPr>
        <b/>
        <sz val="10"/>
        <color theme="1"/>
        <rFont val="Aptos Narrow"/>
        <family val="2"/>
        <scheme val="minor"/>
      </rPr>
      <t xml:space="preserve">
</t>
    </r>
    <r>
      <rPr>
        <sz val="10"/>
        <color theme="1"/>
        <rFont val="Aptos Narrow"/>
        <family val="2"/>
        <scheme val="minor"/>
      </rPr>
      <t>Approach</t>
    </r>
    <r>
      <rPr>
        <b/>
        <sz val="10"/>
        <color theme="1"/>
        <rFont val="Aptos Narrow"/>
        <family val="2"/>
        <scheme val="minor"/>
      </rPr>
      <t xml:space="preserve"> : </t>
    </r>
    <r>
      <rPr>
        <sz val="10"/>
        <color theme="1"/>
        <rFont val="Aptos Narrow"/>
        <family val="2"/>
        <scheme val="minor"/>
      </rPr>
      <t>Confluent (HTTPS Sink)</t>
    </r>
  </si>
  <si>
    <t>Spoc</t>
  </si>
  <si>
    <t>Na</t>
  </si>
  <si>
    <t>C_REJECT</t>
  </si>
  <si>
    <r>
      <t xml:space="preserve">Day-0 load in Dataverse DEV/TEST </t>
    </r>
    <r>
      <rPr>
        <sz val="10"/>
        <color theme="1"/>
        <rFont val="Aptos Narrow"/>
        <family val="2"/>
        <scheme val="minor"/>
      </rPr>
      <t>Source :  UAT2
Approach :  ADF</t>
    </r>
  </si>
  <si>
    <r>
      <t xml:space="preserve">Continuous load in Dataverse DEV/TEST </t>
    </r>
    <r>
      <rPr>
        <sz val="10"/>
        <color theme="1"/>
        <rFont val="Aptos Narrow"/>
        <family val="2"/>
        <scheme val="minor"/>
      </rPr>
      <t>Source : UAT2</t>
    </r>
    <r>
      <rPr>
        <b/>
        <sz val="10"/>
        <color theme="1"/>
        <rFont val="Aptos Narrow"/>
        <family val="2"/>
        <scheme val="minor"/>
      </rPr>
      <t xml:space="preserve">
</t>
    </r>
    <r>
      <rPr>
        <sz val="10"/>
        <color theme="1"/>
        <rFont val="Aptos Narrow"/>
        <family val="2"/>
        <scheme val="minor"/>
      </rPr>
      <t>Approach</t>
    </r>
    <r>
      <rPr>
        <b/>
        <sz val="10"/>
        <color theme="1"/>
        <rFont val="Aptos Narrow"/>
        <family val="2"/>
        <scheme val="minor"/>
      </rPr>
      <t xml:space="preserve"> : </t>
    </r>
    <r>
      <rPr>
        <sz val="10"/>
        <color theme="1"/>
        <rFont val="Aptos Narrow"/>
        <family val="2"/>
        <scheme val="minor"/>
      </rPr>
      <t>Confluent (HTTPS Sink)</t>
    </r>
  </si>
  <si>
    <r>
      <t xml:space="preserve">Day-0 load in Dataverse DEV </t>
    </r>
    <r>
      <rPr>
        <b/>
        <sz val="10"/>
        <color theme="1"/>
        <rFont val="Aptos Narrow"/>
        <family val="2"/>
        <scheme val="minor"/>
      </rPr>
      <t>Source :  UAT2
Approach :  ADF</t>
    </r>
  </si>
  <si>
    <r>
      <t xml:space="preserve">Day-0 load in Dataverse SIT
</t>
    </r>
    <r>
      <rPr>
        <b/>
        <sz val="10"/>
        <color theme="1"/>
        <rFont val="Aptos Narrow"/>
        <family val="2"/>
        <scheme val="minor"/>
      </rPr>
      <t>Source :  UAT2
Approach :  ADF</t>
    </r>
  </si>
  <si>
    <r>
      <t xml:space="preserve">Day-0 load in Dataverse UAT
</t>
    </r>
    <r>
      <rPr>
        <b/>
        <sz val="10"/>
        <color theme="1"/>
        <rFont val="Aptos Narrow"/>
        <family val="2"/>
        <scheme val="minor"/>
      </rPr>
      <t>Source :  UAT2
Approach :  ADF</t>
    </r>
  </si>
  <si>
    <t>DB type</t>
  </si>
  <si>
    <t>Systemname</t>
  </si>
  <si>
    <t>Domain Owner</t>
  </si>
  <si>
    <t>Platform/Support Owner</t>
  </si>
  <si>
    <t>Support spoc</t>
  </si>
  <si>
    <t>UAT</t>
  </si>
  <si>
    <t>UAT3</t>
  </si>
  <si>
    <t>UAT4</t>
  </si>
  <si>
    <t>PROD</t>
  </si>
  <si>
    <t>Port</t>
  </si>
  <si>
    <t>Oracle</t>
  </si>
  <si>
    <t>James P</t>
  </si>
  <si>
    <t>Ajinkiya/Joy</t>
  </si>
  <si>
    <t>Joy Sunil</t>
  </si>
  <si>
    <t>FINUAT, COREDB</t>
  </si>
  <si>
    <t>10.15.12.60</t>
  </si>
  <si>
    <t>10.15.14.139</t>
  </si>
  <si>
    <t>10.15.13.54</t>
  </si>
  <si>
    <t>10.15.14.216</t>
  </si>
  <si>
    <t>Prime4</t>
  </si>
  <si>
    <t>Gavin/Shariff</t>
  </si>
  <si>
    <t>Abhay</t>
  </si>
  <si>
    <t>10.15.12.122</t>
  </si>
  <si>
    <t>10.15.11.125</t>
  </si>
  <si>
    <t>10.15.12.139</t>
  </si>
  <si>
    <t>Tapas K M</t>
  </si>
  <si>
    <t>Guruprasad/Hadrian</t>
  </si>
  <si>
    <t>Sunil Umanth</t>
  </si>
  <si>
    <t>ONLINEDB</t>
  </si>
  <si>
    <t>10.15.12.186</t>
  </si>
  <si>
    <t>10.15.11.126</t>
  </si>
  <si>
    <t>10.15.13.198</t>
  </si>
  <si>
    <t>10.15.12.142</t>
  </si>
  <si>
    <t>Umamaheshwar</t>
  </si>
  <si>
    <t>WMSUAT</t>
  </si>
  <si>
    <t>10.15.11.181</t>
  </si>
  <si>
    <t>Lalit</t>
  </si>
  <si>
    <t>Milind</t>
  </si>
  <si>
    <t>10.15.25.6</t>
  </si>
  <si>
    <t>10.15.12.12</t>
  </si>
  <si>
    <t>10.15.13.46</t>
  </si>
  <si>
    <t>10.15.25.168</t>
  </si>
  <si>
    <t>Postgres (AWS)</t>
  </si>
  <si>
    <t>Sumat</t>
  </si>
  <si>
    <t>Mani</t>
  </si>
  <si>
    <t>Moorthy C</t>
  </si>
  <si>
    <r>
      <t xml:space="preserve">deh-db-test-01.c9s044k024op.eu-west-1.rds.amazonaws.com (172.25.128.0/20, port - 5500)
</t>
    </r>
    <r>
      <rPr>
        <strike/>
        <sz val="11"/>
        <color theme="1"/>
        <rFont val="Aptos Narrow"/>
        <family val="2"/>
        <scheme val="minor"/>
      </rPr>
      <t>deh-db-test-01.chgggpswwiss.me-central-1.rds.amazonaws.com(10.85.140.128/25,10.85.141.0/25,10.85.140.0/25)</t>
    </r>
  </si>
  <si>
    <t>Rachit Rai</t>
  </si>
  <si>
    <t>Semeer/Manikandan</t>
  </si>
  <si>
    <t>RLS, RAK_JSITPH3</t>
  </si>
  <si>
    <t>10.15.11.165</t>
  </si>
  <si>
    <t>10.15.12.70</t>
  </si>
  <si>
    <t>10.15.14.29</t>
  </si>
  <si>
    <t>Pradeep N</t>
  </si>
  <si>
    <t>10.15.13.97</t>
  </si>
  <si>
    <t>10.15.13.101</t>
  </si>
  <si>
    <t>Guru</t>
  </si>
  <si>
    <t>Bibin</t>
  </si>
  <si>
    <t>10.15.14.68</t>
  </si>
  <si>
    <t>10.15.14.162</t>
  </si>
  <si>
    <t>Devdutta</t>
  </si>
  <si>
    <t>RAKCAS, CAS</t>
  </si>
  <si>
    <t>10.15.14.83</t>
  </si>
  <si>
    <t>10.15.14.82</t>
  </si>
  <si>
    <t>10.15.14.79</t>
  </si>
  <si>
    <t>SQL (AWS)</t>
  </si>
  <si>
    <t>Praveen</t>
  </si>
  <si>
    <t>NPSS_Database_ePayment</t>
  </si>
  <si>
    <r>
      <rPr>
        <sz val="11"/>
        <color rgb="FF000000"/>
        <rFont val="Aptos Narrow"/>
        <scheme val="minor"/>
      </rPr>
      <t xml:space="preserve">rakbank-npsststdb01.cw2srwe3hbjw.eu-west-1.rds.amazonaws.com,(172.25.64.0/21 port - 5301)
</t>
    </r>
    <r>
      <rPr>
        <strike/>
        <sz val="11"/>
        <color rgb="FF000000"/>
        <rFont val="Aptos Narrow"/>
        <scheme val="minor"/>
      </rPr>
      <t>rakbank-npsststdb01.ctafycw0hsvi.me-central-1.rds.amazonaws.com(10.85.80.0/21)</t>
    </r>
  </si>
  <si>
    <t>Vartika</t>
  </si>
  <si>
    <t>Robin Joseph</t>
  </si>
  <si>
    <t>Dealing, DMRAKPHASE3</t>
  </si>
  <si>
    <t>10.15.13.125</t>
  </si>
  <si>
    <t>10.15.12.26</t>
  </si>
  <si>
    <t>10.15.11.43</t>
  </si>
  <si>
    <t>10.15.12.27</t>
  </si>
  <si>
    <t>Bilal</t>
  </si>
  <si>
    <t>CPF_PLATFORM_DEV</t>
  </si>
  <si>
    <t>10.15.12.194</t>
  </si>
  <si>
    <t>DB2</t>
  </si>
  <si>
    <t>10.15.11.69</t>
  </si>
  <si>
    <t>Kalaiselvi</t>
  </si>
  <si>
    <t>10.15.11.87</t>
  </si>
  <si>
    <t>Prospects</t>
  </si>
  <si>
    <t>Module</t>
  </si>
  <si>
    <t>Milestone where this field is required</t>
  </si>
  <si>
    <t>Type of field</t>
  </si>
  <si>
    <t>DB schema name</t>
  </si>
  <si>
    <t>Join condition</t>
  </si>
  <si>
    <t>Filter condition</t>
  </si>
  <si>
    <t>Query</t>
  </si>
  <si>
    <t>Count</t>
  </si>
  <si>
    <t>previous Table &amp; Column</t>
  </si>
  <si>
    <t>previous Join/filter</t>
  </si>
  <si>
    <t>Support required from Finacle?</t>
  </si>
  <si>
    <t>01.Individual Customer</t>
  </si>
  <si>
    <t>CIF Number</t>
  </si>
  <si>
    <t>Mini 360</t>
  </si>
  <si>
    <t>Finacle CRM -&gt; General -&gt; Basic Info -&gt;CIF ID</t>
  </si>
  <si>
    <t>M1,M2,M3</t>
  </si>
  <si>
    <t>Static field</t>
  </si>
  <si>
    <t>orgkey</t>
  </si>
  <si>
    <t>Master Table(pk=orgkey)</t>
  </si>
  <si>
    <t>entity_create_flg ='Y' and accounts.corp_id is null</t>
  </si>
  <si>
    <t>Confirm or share the data translation logic</t>
  </si>
  <si>
    <t>accounts.corp_id is null</t>
  </si>
  <si>
    <t>NVARCHAR2</t>
  </si>
  <si>
    <t>50 CHAR</t>
  </si>
  <si>
    <t>Customer Name</t>
  </si>
  <si>
    <t>Finacle CRM -&gt; General -&gt; Basic Info -&gt; Full Name</t>
  </si>
  <si>
    <t>NAME</t>
  </si>
  <si>
    <t>Entity_cre_flag = 'Y'</t>
  </si>
  <si>
    <t>100 CHAR</t>
  </si>
  <si>
    <t>KwameChinonsoAdeolaNiaZuberiMakenaOluwaseunTayeAmaraChikeObaSekouMandisa</t>
  </si>
  <si>
    <t>Customer Status</t>
  </si>
  <si>
    <t>Finacle CRM -&gt; General -&gt; Basic Info -&gt; Customer Status</t>
  </si>
  <si>
    <t>M1,M2</t>
  </si>
  <si>
    <t>STATUS(dropdown)</t>
  </si>
  <si>
    <t>Dropdown</t>
  </si>
  <si>
    <t>-ACTIVE
-DECEASED
-INACTIVE
-MIGRATION DEFAULT</t>
  </si>
  <si>
    <t>-ACTVE
-DCSED
-INACT
-MIGR</t>
  </si>
  <si>
    <t>Passport Number</t>
  </si>
  <si>
    <t>Finacle CRM -&gt; General -&gt; Identification Document Details -&gt; Unique ID (Based on Passport; Document Type = PPT)</t>
  </si>
  <si>
    <t>M2</t>
  </si>
  <si>
    <t>ReferenceNumber</t>
  </si>
  <si>
    <t>accounts.orgkey=entitydocument.orgkey</t>
  </si>
  <si>
    <t>docdescr='Passport'</t>
  </si>
  <si>
    <t xml:space="preserve">Text </t>
  </si>
  <si>
    <t>EID Number</t>
  </si>
  <si>
    <t>Finacle CRM -&gt; General -&gt; Identification Document Details -&gt; Unique ID (Based on EIDA; Document Type=EMID)</t>
  </si>
  <si>
    <t>docdescr='EMIRATES ID'</t>
  </si>
  <si>
    <t>Date of Birth</t>
  </si>
  <si>
    <t>Finacle CRM -&gt; General -&gt; Basic Info -&gt; Date of Birth</t>
  </si>
  <si>
    <t>CUST_DOB</t>
  </si>
  <si>
    <t>DATE</t>
  </si>
  <si>
    <t>Preferred Mobile Number</t>
  </si>
  <si>
    <t>Finacle CRM -&gt; General -&gt; Contact -&gt; Phone and E-mail -&gt; Contact Number (Preferred Type)</t>
  </si>
  <si>
    <t>PHONENO</t>
  </si>
  <si>
    <t>accounts.orgkey=phoneemail.orgkry</t>
  </si>
  <si>
    <t>PHONEOREMAIL = 'PHONE' AND PHONEEMAILTYPE = 'CELLPH1' And PREFERREDFLAG = 'Y'</t>
  </si>
  <si>
    <t>TEXT</t>
  </si>
  <si>
    <t>37.5 CHAR</t>
  </si>
  <si>
    <t>Nationality</t>
  </si>
  <si>
    <t>Finacle CRM -&gt; Demographic -&gt; General Details - &gt; Nationality</t>
  </si>
  <si>
    <t xml:space="preserve">NATIONALITY </t>
  </si>
  <si>
    <t>accounts.orgkey=DEMOGRAPHIC.orgkey</t>
  </si>
  <si>
    <t>Filter: accounts.corp_id is null
Description:
select aa.accountid ,bb.* from crmuser.demographic aa
join
(select a.value, b.localetext as fullname from CRMUSER.categories a
join
CRMUSER.category_lang b
on a.categoryid=b.categoryid
where
a.categorytype='NATIONALITY') bb
on aa.nationality=bb.value</t>
  </si>
  <si>
    <t>Lookup</t>
  </si>
  <si>
    <t>Customer Since</t>
  </si>
  <si>
    <t>Finacle CRM -&gt; General -&gt; Basic Info -&gt; CIF Creation Date (Calculated with the current date)</t>
  </si>
  <si>
    <t>RelationshipOpeningDate</t>
  </si>
  <si>
    <t>Preferred Email Address</t>
  </si>
  <si>
    <t>Finacle CRM -&gt; General -&gt; Contact -&gt; Phone and E-mail -&gt; E-mail ID (Preferred Type)</t>
  </si>
  <si>
    <t>EMAIL</t>
  </si>
  <si>
    <t>WHERE PHONEOREMAIL = 'EMAIL' AND PREFERREDFLAG = 'Y'</t>
  </si>
  <si>
    <t>75 CHAR</t>
  </si>
  <si>
    <t>Customer Segment</t>
  </si>
  <si>
    <t>Finacle CRM -&gt; General -&gt; Basic Info -&gt; Customer Segment</t>
  </si>
  <si>
    <t>M1</t>
  </si>
  <si>
    <t>SEGMENTATION_CLASS(dropdown)</t>
  </si>
  <si>
    <t>accounts.corp_id is null and Category_Lang table is used to extract description</t>
  </si>
  <si>
    <t>-CORPORATE BANKING
-HEAD OFFICE
-PERSONAL BANKING
-SMALL MEDIUM ENTERPRISE
-TREASURY</t>
  </si>
  <si>
    <t>-CBD
-HOD
-PBD
-SME
-TRY</t>
  </si>
  <si>
    <t>Customer Sub-Segment</t>
  </si>
  <si>
    <t>Finacle CRM -&gt; General -&gt; Basic Info -&gt; Customer Sub Segment</t>
  </si>
  <si>
    <t>SubSegment</t>
  </si>
  <si>
    <t>-PB - RAKELITE
-PB - NORMAL
-PB - WEALTH MGT
-BB - SME LIABILITIES</t>
  </si>
  <si>
    <t xml:space="preserve"> '-PAM
-PBN
-PRS
-PSL </t>
  </si>
  <si>
    <t>Customer Preferred Language</t>
  </si>
  <si>
    <t>Finacle CRM -&gt; General -&gt; Basic Info -&gt; Customer Preferred Language</t>
  </si>
  <si>
    <t>Cust_Last_Name_Native</t>
  </si>
  <si>
    <t>-ARABIC
-ENGLISH</t>
  </si>
  <si>
    <t>-AR
-EN</t>
  </si>
  <si>
    <t>Title</t>
  </si>
  <si>
    <t>Individual Customer File: Basic Details</t>
  </si>
  <si>
    <t>Finacle CRM -&gt; General -&gt; Basic Info -&gt; Title</t>
  </si>
  <si>
    <t>salutation_code (dropdown)</t>
  </si>
  <si>
    <t>5 CHAR</t>
  </si>
  <si>
    <t>-CAPTAIN
-CHIEF
-COLONEL
-COMMANDER
-DR
-FATHER
-HER EXCELLENCY
-HER HIGHNESS
-HER MAJESTY
-HIS EXCELLENCY
-HIS HIGHNESS
-LT.COMMANDER
-MADAM
-MAJOR
-MASTER
-MESSRS
-MIGRATION DEFAULT
-MISS
-MR
-MRS
-MS.
-PROFESSOR
-SHEIKH
-SHEIKHA
-SIR</t>
  </si>
  <si>
    <t>-COL
-COMDR
-DR.
-FTHER
-HE
-HH
-HREXC
-HRH
-HRM
-LFT
-MADAM
-MESRS
-MIGR
-MJR
-MR.
-MRS.
-CAPT
-CHIEF
-MISS
-PROF
-SH
-SHA
-SIR
-MS.
-MAST.</t>
  </si>
  <si>
    <t>ree</t>
  </si>
  <si>
    <t>First Name</t>
  </si>
  <si>
    <t>Finacle CRM -&gt; General -&gt; Basic Info -&gt; First Name</t>
  </si>
  <si>
    <t>cust_first_name</t>
  </si>
  <si>
    <t>80 CHAR</t>
  </si>
  <si>
    <t>KwameChinonsoAdeolaNiaZuberiMakenaOluwaseunTayeAma</t>
  </si>
  <si>
    <t>Middle Name</t>
  </si>
  <si>
    <t>Finacle CRM -&gt; General -&gt; Basic Info - &gt; Middle Name</t>
  </si>
  <si>
    <t>CUST_MIDDLE_NAME</t>
  </si>
  <si>
    <t>Last Name</t>
  </si>
  <si>
    <t>Finacle CRM -&gt; General -&gt; Basic Info -&gt; Last Name</t>
  </si>
  <si>
    <t>CUST_LAST_NAME</t>
  </si>
  <si>
    <t>100  CHAR</t>
  </si>
  <si>
    <t>raChikeObaSekouMandisa</t>
  </si>
  <si>
    <t>Full Name</t>
  </si>
  <si>
    <t>Finacle CRM -&gt; General -&gt; Basic Info - &gt; Full Name</t>
  </si>
  <si>
    <t>Short Name</t>
  </si>
  <si>
    <t>Finacle CRM -&gt; General -&gt; Basic Info - &gt; Short Name</t>
  </si>
  <si>
    <t>SHORT_NAME</t>
  </si>
  <si>
    <t>10  CHAR</t>
  </si>
  <si>
    <t>Mother's Maiden Name</t>
  </si>
  <si>
    <t>Finacle CRM -&gt; General -&gt; Basic Info -&gt; Mother's Maiden Name</t>
  </si>
  <si>
    <t>MAIDENNAMEOFMOTHER</t>
  </si>
  <si>
    <t>50  CHAR</t>
  </si>
  <si>
    <t>Finacle CRM -&gt; General -&gt; Basic Info -&gt; Date Of Birth</t>
  </si>
  <si>
    <t>.CUST_DOB</t>
  </si>
  <si>
    <t>date picklist</t>
  </si>
  <si>
    <t>Gender</t>
  </si>
  <si>
    <t>Finacle CRM -&gt; General -&gt; Basic Info -&gt; Gender</t>
  </si>
  <si>
    <t>GENDER</t>
  </si>
  <si>
    <t>accounts.corp_id is null and Select - CATEGORY_LANG.LOCALTEXT wit below mapping
CATEGORY_LANG.CATEGORYID = CATEGORIES.CATEGORYID
CATEGORIES.VALUE = ACCOUNTS.GENDER
CATEGORIES.CATEGORYTYPE = 'GENDER'</t>
  </si>
  <si>
    <t>Marital Status</t>
  </si>
  <si>
    <t>Finacle CRM -&gt; Demographic -&gt; General Details - &gt; Marital Status</t>
  </si>
  <si>
    <t>MARITAL_STATUS</t>
  </si>
  <si>
    <t>-DIVORCED
-MARRIED
-OTHERS
-SINGLE
-WIDOW/WIDOWER</t>
  </si>
  <si>
    <t>Domicile Branch</t>
  </si>
  <si>
    <t>Finacle CRM -&gt; General -&gt; Basic Info -&gt; Customer Domicile Branch/SOL</t>
  </si>
  <si>
    <t>PRIMARY_SERVICE_CENTRE</t>
  </si>
  <si>
    <t>Relationship Start Date</t>
  </si>
  <si>
    <t>Finacle CRM -&gt; General -&gt; Basic Info -&gt; CIF Creation Date</t>
  </si>
  <si>
    <t>RELATIONSHIPOPENINGDATE</t>
  </si>
  <si>
    <t>Education</t>
  </si>
  <si>
    <t>Finacle CRM -&gt; Demographic -&gt; General Details -&gt; Highest Educational Qualification</t>
  </si>
  <si>
    <t>strText25</t>
  </si>
  <si>
    <t>accounts.orgkey=MiscellaneousInfo.orgkey</t>
  </si>
  <si>
    <t> accounts.corp_id is null</t>
  </si>
  <si>
    <t> Select - CATEGORY_LANG.LOCALTEXT wit below mapping
CATEGORY_LANG.CATEGORYID = CATEGORIES.CATEGORYID
CATEGORIES.VALUE = MiscellaneousInfo.strText25
CATEGORIES.CATEGORYTYPE = 'QUALIFICATION'</t>
  </si>
  <si>
    <t xml:space="preserve">-DOCTORATE  
-GRADUATE  
-MIGRATION DEFAULT
-NONE  
-POST GRADUATE  
-UNDER GRADUATE    </t>
  </si>
  <si>
    <t xml:space="preserve">-DR                
-Graduate          
-MIGR              
-NONE              
-"Post Graduate"   
-"Under graduate"  </t>
  </si>
  <si>
    <t>VIP Indicator</t>
  </si>
  <si>
    <t>Finacle CRM -&gt; General -&gt; Basic Info -&gt;Privilege 786</t>
  </si>
  <si>
    <t>Flg1</t>
  </si>
  <si>
    <t>-N
-Y</t>
  </si>
  <si>
    <t>Customer File: Status</t>
  </si>
  <si>
    <t>STATUS</t>
  </si>
  <si>
    <t>Customer Type</t>
  </si>
  <si>
    <t>Finacle CRM -&gt; General -&gt; Basic Info -&gt; Customer Type/constitution</t>
  </si>
  <si>
    <t>CUST_TYPE</t>
  </si>
  <si>
    <t xml:space="preserve">accounts.corp_id is null
EK = Royal Family </t>
  </si>
  <si>
    <t>-DSA
-HEIRS OF THE DECEASED
-HIGH NET INDIVIDUAL
-INDIDUAL
-MIGRATION DEFAULT
-POLITICALLY EXPOSED PERSON
-RAKBANK - STAFF
-RAKBANK DIRECTORS
-RAKBANK OUTSOURCED STAFF
-RULING FAMILY</t>
  </si>
  <si>
    <t>-EB
-EK
-EM
-EJ
-MIGR
-EE
-EL
-EN
-PEP
-EO</t>
  </si>
  <si>
    <t>Customer Classification</t>
  </si>
  <si>
    <t>Finacle CRM -&gt; General -&gt; Basic Info -&gt; Customer Classification</t>
  </si>
  <si>
    <t>ISLAMIC_BANKING_CUSTOMER</t>
  </si>
  <si>
    <r>
      <rPr>
        <sz val="11"/>
        <color rgb="FF000000"/>
        <rFont val="Aptos Narrow"/>
        <scheme val="minor"/>
      </rPr>
      <t xml:space="preserve">"Select - CATEGORY_LANG.LOCALTEXT wit below mapping
CATEGORY_LANG.CATEGORYID = CATEGORIES.CATEGORYID
CATEGORIES.VALUE = ACCOUNTS.ISLAMIC_BANKING_CUSTOMER
CATEGORIES.CATEGORYTYPE = 'CLASSIFICATION'"
 </t>
    </r>
    <r>
      <rPr>
        <b/>
        <sz val="11"/>
        <color rgb="FF000000"/>
        <rFont val="Aptos Narrow"/>
        <scheme val="minor"/>
      </rPr>
      <t>accounts.corp_id is null</t>
    </r>
  </si>
  <si>
    <t>1  CHAR</t>
  </si>
  <si>
    <t>-BOTH
-CONVENTIONAL
-ISLAMIC</t>
  </si>
  <si>
    <t>-B
-C
-I</t>
  </si>
  <si>
    <t>Customer Special Status</t>
  </si>
  <si>
    <t>Finacle CRM -&gt; General -&gt; Basic Info -&gt; People Of Determination Selected</t>
  </si>
  <si>
    <t>STRTEXT5</t>
  </si>
  <si>
    <t>Filter condition - Miscellaneousinfo.TYPE = 'GENADD' and accounts.bank_id='RAK'</t>
  </si>
  <si>
    <t>MultiSelect</t>
  </si>
  <si>
    <t>382.5 CHAR</t>
  </si>
  <si>
    <t>Determination Remarks</t>
  </si>
  <si>
    <t>Finacle CRM -&gt; General -&gt; Basic Info -&gt; Determination Remarks</t>
  </si>
  <si>
    <t>strText6</t>
  </si>
  <si>
    <t> Filter condition - Miscellaneousinfo.TYPE = 'GENADD'</t>
  </si>
  <si>
    <t>PEP</t>
  </si>
  <si>
    <t>Finacle CRM -&gt; Psychographic -&gt; KYC Details -&gt; PEP</t>
  </si>
  <si>
    <t>userField3</t>
  </si>
  <si>
    <t>accounts.accountid=psychographic.accountid</t>
  </si>
  <si>
    <t>-FOREIGN PEP
-LOCAL PEP
-NOT PEP</t>
  </si>
  <si>
    <t>-FPEP
-LPEP
-NPEP</t>
  </si>
  <si>
    <t>Blacklisted Flag</t>
  </si>
  <si>
    <t>Finacle CRM -&gt; General -&gt; Basic Info -&gt; Blacklisted Flag</t>
  </si>
  <si>
    <t>BLACKLISTED</t>
  </si>
  <si>
    <t>Overall Blacklisted Status</t>
  </si>
  <si>
    <t>Finacle CRM -&gt; General -&gt; Basic Info -&gt; Overall Blacklisted Status</t>
  </si>
  <si>
    <t>StrUserField19</t>
  </si>
  <si>
    <t>Reason Code</t>
  </si>
  <si>
    <t>Customer File: Status: Blacklisted Details</t>
  </si>
  <si>
    <t>Finacle CRM -&gt; Customer Search Results -&gt; Drilldown on Blacklisted icon -&gt; View Reason Codes -&gt; Reason Codes</t>
  </si>
  <si>
    <t>REASONCODE</t>
  </si>
  <si>
    <t>account.orgkey=OPERATIONSREASONCODES.orgkey</t>
  </si>
  <si>
    <t>Commencement Date</t>
  </si>
  <si>
    <t>Finacle CRM -&gt; Customer Search Results -&gt; Drilldown on Blacklisted icon -&gt; View Reason Codes -&gt; Commencement Date</t>
  </si>
  <si>
    <t>Expiry Date</t>
  </si>
  <si>
    <t>Finacle CRM -&gt; Customer Search Results -&gt; Drilldown on Blacklisted icon -&gt; View Reason Codes -&gt; Expiry Date</t>
  </si>
  <si>
    <t>EXPIRYDATE</t>
  </si>
  <si>
    <t>Finacle CRM -&gt; Customer Search Results -&gt; Drilldown on Blacklisted icon -&gt; View Reason Codes -&gt; Status</t>
  </si>
  <si>
    <t>status</t>
  </si>
  <si>
    <t>Court Order Date</t>
  </si>
  <si>
    <t>Finacle CRM -&gt; Customer Search Results -&gt; Drilldown on Blacklisted icon -&gt; View Reason Codes -&gt; Date of Court Order</t>
  </si>
  <si>
    <t>USERFIELD4</t>
  </si>
  <si>
    <t>Circular Date</t>
  </si>
  <si>
    <t>Finacle CRM -&gt; Customer Search Results -&gt; Drilldown on Blacklisted icon -&gt; View Reason Codes -&gt; Date of Circular</t>
  </si>
  <si>
    <t>USERFIELD5</t>
  </si>
  <si>
    <t>Finacle CRM -&gt; Customer Search Results -&gt; Drilldown on Blacklisted icon -&gt; View Reason Codes -&gt; Unit</t>
  </si>
  <si>
    <t>USERFIELD3</t>
  </si>
  <si>
    <t>150 CHAR</t>
  </si>
  <si>
    <t>Created By</t>
  </si>
  <si>
    <t>Finacle CRM -&gt; Customer Search Results -&gt; Drilldown on Blacklisted icon -&gt; View Reason Codes -&gt; Record Created By</t>
  </si>
  <si>
    <t>LOGINID</t>
  </si>
  <si>
    <t>Finacle CRM -&gt; Customer Search Results -&gt; Drilldown on Blacklisted icon -&gt; View Reason Codes -&gt; Remarks</t>
  </si>
  <si>
    <t>REASONCODEDESCRIPTION</t>
  </si>
  <si>
    <t>2000 CHAR</t>
  </si>
  <si>
    <t>Negated</t>
  </si>
  <si>
    <t>Finacle CRM -&gt; Customer Search Results -&gt; Negated</t>
  </si>
  <si>
    <t>negated</t>
  </si>
  <si>
    <t>1 CHAR</t>
  </si>
  <si>
    <t>Overall Negated Status</t>
  </si>
  <si>
    <t>Finacle CRM -&gt;General -&gt;Basic Info -&gt; Overall Negated Status</t>
  </si>
  <si>
    <t>StrUserField17</t>
  </si>
  <si>
    <t>Customer File: Status: Negated Details</t>
  </si>
  <si>
    <t>Finacle CRM -&gt; Customer Search Results -&gt; Drilldown on Negated icon -&gt; View Reason Codes -&gt; Reason Codes</t>
  </si>
  <si>
    <t>Finacle CRM -&gt; Customer Search Results -&gt; Drilldown on Negated icon -&gt; View Reason Codes -&gt; Commencement Date</t>
  </si>
  <si>
    <t>Finacle CRM -&gt; Customer Search Results -&gt; Drilldown on Negated icon -&gt; View Reason Codes -&gt; Status</t>
  </si>
  <si>
    <t>Finacle CRM -&gt; Customer Search Results -&gt; Drilldown on Negated icon -&gt; View Reason Codes -&gt; Unit</t>
  </si>
  <si>
    <t>Finacle CRM -&gt; Customer Search Results -&gt; Drilldown on Negated icon -&gt; View Reason Codes -&gt; Record Created By</t>
  </si>
  <si>
    <t>Finacle CRM -&gt; Customer Search Results -&gt; Drilldown on Negated icon -&gt; View Reason Codes -&gt; Remarks</t>
  </si>
  <si>
    <t>Minor Indicator</t>
  </si>
  <si>
    <t>Finacle CRM -&gt; General -&gt; Basic Info -&gt; Minor (Y/N)</t>
  </si>
  <si>
    <t>CUSTOMERMINOR</t>
  </si>
  <si>
    <t>-Y
-N</t>
  </si>
  <si>
    <t>Guardian CIF</t>
  </si>
  <si>
    <t>Finacle CRM -&gt; View Customer Details -&gt; Psychographic -&gt; Relationship Details -&gt; Relation = Social -&gt; Relationship with Entity = GUARDIAN -&gt; Social Relationship Details -&gt; Entity ID</t>
  </si>
  <si>
    <t>CHILDCIFID</t>
  </si>
  <si>
    <t>account.orgkey=entityrelationship.orgkey</t>
  </si>
  <si>
    <t>Guardian Name</t>
  </si>
  <si>
    <t>HACI -&gt; Related Party -&gt; Relation Code
Finacle CRM -&gt; View Customer Details -&gt; Psychographic -&gt; Relationship Details -&gt; Relation = Social -&gt; Relationship with Entity = GUARDIAN -&gt; First Name, Last Name</t>
  </si>
  <si>
    <t>Guardian Gender</t>
  </si>
  <si>
    <t>Finacle CRM -&gt; View Customer Details -&gt; Psychographic -&gt; Relationship Details -&gt; Relation = Social -&gt; Relationship with Entity = GUARDIAN -&gt; Social Relationship Details -&gt; Gender</t>
  </si>
  <si>
    <t>10 CHAR</t>
  </si>
  <si>
    <t>-MALE
-FEMALE
-NOT AVAILABLE</t>
  </si>
  <si>
    <t>Guardian Date of Birth</t>
  </si>
  <si>
    <t>Finacle CRM -&gt; View Customer Details -&gt; Psychographic -&gt; Relationship Details -&gt; Relation = Social -&gt; Relationship with Entity = GUARDIAN -&gt; Social Relationship Details -&gt; Date of Birth</t>
  </si>
  <si>
    <t>Date</t>
  </si>
  <si>
    <t>Finacle CRM -&gt; View Customer Details -&gt; Psychographic -&gt; Relationship Details -&gt; Relation = Social -&gt; Relationship with Entity = GUARDIAN -&gt; Social Relationship Details -&gt; Guardian</t>
  </si>
  <si>
    <t>guard_code</t>
  </si>
  <si>
    <t>-FATHER
-LEAGAL GUARDIAN
-MIGR
-PATERNAL GRANDFATHER
-MOTHER</t>
  </si>
  <si>
    <t>Non Resident Indicator</t>
  </si>
  <si>
    <t>Finacle CRM -&gt; General -&gt; Basic Info -&gt; Customer non-Resident Indicator</t>
  </si>
  <si>
    <t>CUSTOMERNREFLG</t>
  </si>
  <si>
    <t>Turned non-Resident On</t>
  </si>
  <si>
    <t>Finacle CRM -&gt; General -&gt; Basic Info -&gt; Turned non-Resident on</t>
  </si>
  <si>
    <t>DATEOFBECOMINGNRE</t>
  </si>
  <si>
    <t>Resident Country</t>
  </si>
  <si>
    <t>Finacle CRM -&gt; Demographic -&gt; General Details -&gt; Resident Country</t>
  </si>
  <si>
    <t>demographic</t>
  </si>
  <si>
    <t>residence_country</t>
  </si>
  <si>
    <t>Staff Flag</t>
  </si>
  <si>
    <t>Finacle CRM -&gt; General -&gt; Basic Info -&gt; Staff Identifier</t>
  </si>
  <si>
    <t>STAFFFLAG</t>
  </si>
  <si>
    <t>25 CHAR</t>
  </si>
  <si>
    <t>-MIGRATION DEFAULT
-N
-Y</t>
  </si>
  <si>
    <t>-MIGR
-N
-Y</t>
  </si>
  <si>
    <t>Staff ID</t>
  </si>
  <si>
    <t>Finacle CRM -&gt; General -&gt; Basic Info -&gt; RAKBANK Employee ID</t>
  </si>
  <si>
    <t>STAFFEMPLOYEEID</t>
  </si>
  <si>
    <t>Illiterate Flag</t>
  </si>
  <si>
    <t>Finacle CRM -&gt; Demographic -&gt; General Details -&gt; Illiterate Flag (Y/N)</t>
  </si>
  <si>
    <t>strText15</t>
  </si>
  <si>
    <t>WAP Banking</t>
  </si>
  <si>
    <t>Channel Subscriptions</t>
  </si>
  <si>
    <t>Finacle CRM -&gt; General -&gt; Basic Info -&gt; E-banking Details -&gt; WAP Banking</t>
  </si>
  <si>
    <t>M2,M4</t>
  </si>
  <si>
    <t>IsWAPBankingEnabled</t>
  </si>
  <si>
    <t>1.5 CHAR</t>
  </si>
  <si>
    <t>SMS Banking</t>
  </si>
  <si>
    <t>Finacle CRM -&gt; General -&gt; Basic Info -&gt; E-banking Details -&gt; SMS Banking</t>
  </si>
  <si>
    <t>IsSMSBankingEnabled</t>
  </si>
  <si>
    <t>Phone Banking</t>
  </si>
  <si>
    <t>Finacle CRM -&gt; General -&gt; Basic Info -&gt; E-banking Details -&gt; Phone Banking</t>
  </si>
  <si>
    <t>userFlag3</t>
  </si>
  <si>
    <t>Email Receipt for ATM</t>
  </si>
  <si>
    <t>Channel Subscriptions: E-Statement Additional Details</t>
  </si>
  <si>
    <t>Finacle Core -&gt; CUINQ -&gt; Channels -&gt; Channel = E-Mail Receipt for ATM -&gt; Subscribed</t>
  </si>
  <si>
    <t>TINYSTRING19</t>
  </si>
  <si>
    <t>EXTN_BODATA.SHORTSTRING1 =  GAM.cif_id &amp; accounts.orgkey=GAM.cif_id</t>
  </si>
  <si>
    <t>EXTN_BODATA.SHORTSTRING2 = 'ATR'</t>
  </si>
  <si>
    <t xml:space="preserve"> NVARCHAR2(15)</t>
  </si>
  <si>
    <t>STRING</t>
  </si>
  <si>
    <t>E-Statement for Loans</t>
  </si>
  <si>
    <t>Finacle Core -&gt; CUINQ -&gt; Channels -&gt; Channel = E-Stmnt for Loans -&gt; Subscribed</t>
  </si>
  <si>
    <t>BOOLEAN5</t>
  </si>
  <si>
    <t>(EXTN_BODATA.SHORTSTRING1 =  GAM.cif_id OR EXTN_BODATA.SHORTSTRING3 =  GAM.cif_id) &amp; accounts.orgkey=GAM.cif_id</t>
  </si>
  <si>
    <t> EXTN_BODATA.TINYSTRING20 = 'FRMUPLOAD' &amp;   EXTN_BODATA.SHORTSTRING2 = 'ELX'</t>
  </si>
  <si>
    <t>NVARCHAR2(1.5)</t>
  </si>
  <si>
    <t>E-Statement for Trade Finance</t>
  </si>
  <si>
    <t>Finacle Core -&gt; CUINQ -&gt; Channels -&gt; Channel = E-Stmnt for TradeFinance -&gt; Subscribed</t>
  </si>
  <si>
    <t>BOOLEAN8</t>
  </si>
  <si>
    <t>Employment Type</t>
  </si>
  <si>
    <t>Customer File: Employment</t>
  </si>
  <si>
    <t>Finacle CRM -&gt; Demographic -&gt; Employment Details -&gt; Employment Type</t>
  </si>
  <si>
    <t>Employment_Status</t>
  </si>
  <si>
    <t>-EMPLOYED
-HOUSEWIFE
-MIGRATION DEFAULT
-OTHER
-PENSIONER
-PENSIONER - SALARIED
-PROFESSIONAL
-RETIRED
-SALARIED
-SALARIED - SIO
-SALARIED - STL
-SALARIED &amp; SELF-EMPLOYED
-SALARIED PRIVATE
-SELF EMP PROF WITH COMMISSION
-SELF EMPLOYED
-SELF EMPLOYED NON PROFESSIONAL
-UNEMPLOYED</t>
  </si>
  <si>
    <t>-EMPLOYED
-HOUSEWIFE
-MIGR
-OTHER
-PENSIONER
-PS
-PFSNL
-RETIRED
-SALARIED
-T
-S
-A
-SP
-O
-SELF EMPLOYED
-E
-UNEMPLOYED</t>
  </si>
  <si>
    <t>Employer Code</t>
  </si>
  <si>
    <t>Finacle CRM -&gt; Demographic -&gt; Employment Details -&gt; Employer Code</t>
  </si>
  <si>
    <t>EMPLOYERID</t>
  </si>
  <si>
    <t>MiscellaneousInfo.TYPE='CURRENT_EMPLOYMENT'</t>
  </si>
  <si>
    <t>Employer Name</t>
  </si>
  <si>
    <t>Finacle CRM -&gt; Demographic -&gt; Employment Details -&gt; Employer Name</t>
  </si>
  <si>
    <t>strText4</t>
  </si>
  <si>
    <t>255 CHAR</t>
  </si>
  <si>
    <t>Total years of Employment</t>
  </si>
  <si>
    <t>Finacle CRM -&gt; Demographic -&gt; Employment Details -&gt; Total Years of Employment</t>
  </si>
  <si>
    <t>strText10</t>
  </si>
  <si>
    <t>Department</t>
  </si>
  <si>
    <t>Finacle CRM -&gt; Demographic -&gt; Employment Details -&gt; Department</t>
  </si>
  <si>
    <t>strText1</t>
  </si>
  <si>
    <t>Employment Status</t>
  </si>
  <si>
    <t>Finacle CRM -&gt; Demographic -&gt; Employment Details -&gt; Employment Status</t>
  </si>
  <si>
    <t>Income_Nature</t>
  </si>
  <si>
    <t>-CONTRACTUAL
-MIGRATION DEFAULT
-PERMANENT
-TEMPORARY</t>
  </si>
  <si>
    <t>-3
-MIGR
-2
-1</t>
  </si>
  <si>
    <t>Date of Joining</t>
  </si>
  <si>
    <t>Finacle CRM -&gt; Demographic -&gt; Employment Details -&gt; Date of Joining</t>
  </si>
  <si>
    <t>dtDate1</t>
  </si>
  <si>
    <t>Occupation</t>
  </si>
  <si>
    <t>Finacle CRM -&gt; Demographic -&gt; Employment Details -&gt; Occupation</t>
  </si>
  <si>
    <t>strText22</t>
  </si>
  <si>
    <t> MiscellaneousInfo.TYPE='CURRENT_EMPLOYMENT' and accounts.corp_id is null</t>
  </si>
  <si>
    <t> Select - CATEGORY_LANG.LOCALTEXT wit below mapping
CATEGORY_LANG.CATEGORYID = CATEGORIES.CATEGORYID
CATEGORIES.VALUE = MiscellaneousInfo.strText22
CATEGORIES.CATEGORYTYPE = 'CONTACT_OCCUPATION'</t>
  </si>
  <si>
    <t>-ACCOUNT RELATIONSHIP MANAGER
-ACCOUNT SERVICE EXECUTIVE
-ACCOUNTANT
-ACCOUNTANT/ADMINIS ASSIST/SUPVR
-ACTOR
-ACTOR/MUSICIAN/DANCER/SINGER
-ADMINIS ASSIST
-ADMINISTRATOR
-ADVISOR
-ANALYST
-ANALYST PROGRAMMER
-ARCHITECT
-ARCHITECT
-ARCHIVES CLERK
-ARTIST
-ARTIST/MUSICIAN/PHOTOGRAPHER
-ASSISTANT
-ASSISTANT BRANCH MANAGER
-ASSISTANT VICE PRESIDENT
-ASST MANAGER
-AUDIT
-BANK MANAGER
-BANK MANAGER/OFFICER
-BAR TENDER
-BARBER
-BARISTA
-BEAUTICIAN
-BRANCH CLERK
-BRANCH MANAGER
-BRANCH OPERATION REPRESENTATIVE
-BRANCH OPERATIONS MANAGER
-BRANCH SUPERVISORS GROUP NOR TH
-BRANCH TELLERS AND BORS
-BRN CLK,CSO,SERVICE AMBASSADOR
-BROKER
-BUILDER
-BUSINESS
-BUSINESS DEVELOPMENT OFFICER
-CABIN CREW
-CALL CENTRE AGENT
-CAPTAIN
-CARGO HANDLER
-CARPENTER
-CASHIER / TELLER
-CENTRAL OPERATIONS CLERK
-CHAIRMAN
-CHANNEL MANAGEMENT EXECUTIVE
-CHARTERED ACCOUNTANT
-CHEMIST
-CHEMIST/PHARMACIST
-CHIEF EXECUTIVE OFFICER
-CHIEF FINANCIAL OFFICER
-CHIEF OPERATIONS OFFICER
-CHIEF RISK OFFICER
-CLEANER
-CLERK
-CLNR/MESSG/LBR/COOK/MAID/WAITER
-CMC CLERK
-CMC OFFICER
-COACH
-COLLECTIONS OFFICER
-COMMERCIAL PILOT
-COMMERCIAL PILOT/SHIP CAPTAIN/CREW
-COMPUTER OPERATOR
-CONSUL TANT
-CONSUL TANT/ADVISOR
-CONTRACTOR
-CONTRACTOR/BUILDER
-CONTRAC TUAL EMPLOYEE
-COOK
-CORPORATE OPERATIONS EXECUTIVE
-CORPORATE OPERATIONS OFFICER
-CORPORATE RELATIONSHIP MANGER
-CORPORATE SUPPORT OFFICER
-CORPORATE TEAM MANAGER
-COSMETIC SURGEON
-CPNTR/PNT/ELECT/MSON/PUMB/WELD/IRON
-CREDIT OFFICER
-CREDIT OPERATIONS OFFICER
-CREW
-CUSTOMER SERVICE EXECUTIVE
-CUSTOMER SERVICE MANAGER
-CUSTOMER SERVICE OFFICER
-DANCER
-DATABASE ADMINISTRATOR
-DEALER
-DEAN
-DEFENSE SOLDERS
-DEFENSE SOLDERS/NCO
-DELIVERY BOY
-DEPAR TMENT CONTROLLER
-DEPUTY MANAGER
-DIPLOMAT
-DIRECTOR
-DOCTOR
-DOCTOR
-DRILLER
-DRIVER
-DRIVERS-NORMAL
-DRIVING INSTRUCTOR
-ECONOMIC RESEARCHER
-ELECTRICIAN
-ENGINEER
-ENGINEER
-ENQUIRY
-EXECUTIVE
-EXECUTIVE ASSISTANT
-EXECUTIVE VICE PRESIDENT
-EXPATRIATE PRE
-EXPATRIATE PRO
-FACTORY WORKER
-FARMER
-FARMER/GARDNER
-FINANCE CONTROLLER
-FINANCIAL ANALYST
-FISHERMAN
-FLIGHT PURSER
-FOLLOWUP CLERK
-GARDNER
-GENERAL MANAGER
-GOLDSMITH
-GOLDSMITH/JEWELLER
-GOVERNOR
-GRAPHIC DESIGNER
-HAIR STYLIST
-HEAD CLERK
-HEAD MASTER
-HEAD OF CORPORATE BANKING
-HEAD OF CREDIT
-HEAD OF DEPT
-HEAD OF FINANCE
-HEAD OF FINANCE &amp; ADMIN
-HEAD OF INTERNAL AUDIT
-HEAD OF IT
-HEAD OF OPERATIONS
-HEAD OF RETAIL BANKING
-HEAD OF TREASURY
-HEAVY VEHICLE DRIVER
-HEAVY VEHICLE INSTRUCTOR
-HELPER
-HO CLERK
-HO FINANCE OFFICER
-HO OFFICER
-HO SENIOR OFFICER
-HOUSEWIFE
-HOUSEWIFE
-HR SPECIALIST
-I.T. PROFESSIONAL
-INSPECTOR
-INTREPRETOR
-INVESTOR
-IRONER
-IT OPERATIONS OFFICER
-IT OPERATOR
-IT SPECALIST
-JEWELLER
-JUDGE
-JUDGE/LAWYER
-JUNIOR EXECUTIVE
-JUNIOR MANAGEMENT
-LABOR
-LANDLORD
-LANDLORD/PROPERTY OWNER
-LASHER
-LAWYER
-LEGAL CONSULTANTS
-LEGAL POSITIONS IN GENERAL
-LIBRARIAN
-LIEUTENANT
-LIGHT VEHICLE DRIVER
-LOAN OFFICER
-LOANS CLERK
-MAID
-MAJOR
-MANAGER
-MANAGER ADMINISTRATION
-MANAGER CORPORATE
-MANAGER CPU
-MANAGER CREDIT OPERATIONS
-MANAGER IT
-MANAGER MARKETING
-MANAGER PREMISES
-MANAGER PRIORITY BANKING
-MANAGER PROJECTS
-MANAGER RAK BRS &amp; AL MOMIAZ
-MANAGER RETAIL
-MANAGER SVC QUALITY &amp; TRAINING
-MANAGER TREASURY
-MANAGER, CORPORATE BANKING
-MANAGER, DIRECT BANKING
-MANAGER, PHONE BANKING
-MANAGER/DIREC TOR/ADMINISTRATOR
-MANAGING DIRECTOR
-MASON
-MECHANIC
-MECHANIC/TECHNICIAN
-MEDICAL TECHNICAL STAFF
-MEMBER OF THE RULING FAMILY
-MERCH/TRADER/BRKR/DLR/SHOP OWN
-MERCHANT
-MESSENGER
-MIDDLE MANAGEMENT
-MIGRATION DEFAULT
-MOD - NON -OFFICER
-MUSICIAN
-NCO
-NETWORK MANAGER
-NETWORK SPECIALIST
-NOKHATHA
-NURSE
-NURSE
-OFFICE ASSISTANT
-OFFICE BOY
-OFFICE CLERK
-OFFICER
-OFFICER- LOCAL GVT
-OFFICER/FEDERAL/LOCAL GVT
-OFFICER/MILITARY
-OFFICER/POLICE/FIRE/CIVIL DEFENSE
-OFFICER-CIVIL DEFENSE
-OFFICER-FEDERAL
-OFFICER-FIRE
-OFFICER-MILITARY
-OFFICER-POLICE
-OFF-SHORE CUSTOMER(NBC)
-OPERATIONS ASSISTANT
-OPERATIONS MANAGER
-OPERATIONS OFFICER
-OPERATOR IT
-OPTICIAN
-OTHER
-PAINTER
-PARTNER
-PHARMACIST
-PHONE BANKING CLERK
-PHONE BANKING SUPERVISOR
-PHOTOGRAPHER
-PILOT
-PLUMBER
-POLICE MAN
-POLICEMAN
-POSITION HELD
-PRESIDENT
-PRINCIPAL
-PRODUCT MANAGER, ASSETS
-PRODUCT REPRESENTATIVE
-PROJECT INCHARGE
-PROPERTY OWNER
-PROPRIETOR
-PROPRIETOR / OWNER
-RECEPTIONIST
-REGIONAL MANAGER ( TREASURY)
-REGIONAL MANAGER (BRANCH)
-REGIONAL MANAGER (CORPORATE)
-REGIONAL MANAGER (RETAIL)
-RELATIONSHIP MANAGER
-RESEARCH ANALYST
-RETIRED
-RETIRED/SENIOR CITIZEN
-RIGGER
-ROUSTABOUT
-SAILOR
-SALES ENGINEER
-SALES EXECUTIVE
-SALES MAN
-SALES STAFF
-SCHOOL MANAGER
-SCHOOL TEACHER
-SEAMAN
-SEC/TEL/CLK/COMOP/TRANSL/INTREP/LIB
-SECRETARY
-SECURITY GUARD
-SECURITY GUARD
-SECURITY OFFICER
-SENIOR ANAL YST
-SENIOR CITIZEN
-SENIOR EXECUTIVE
-SENIOR MANAGER
-SENIOR MGR. CORPORATE BANKING
-SENIOR OFFICER
-SENIOR SUPERVISOR
-SENIOR TELLER
-SENIOR USER COORDINATOR
-SENIOR VICE PRESIDENT
-SERGEANT
-SERVANT
-SERVICE
-SERVICE AMBASSADOR
-SHIP CAPTAIN
-SHIP IN CHARGE
-SHOP FLOOR WORKERS
-SHOP OWNER
-SINGER
-SKILLED LABOR
-SOCIAL WORKER
-SOLDIER
-SPECIALIST DOCTOR
-SPORTSMAN
-SPORTSMAN/COACH
-STEWARD
-STUDENT
-SUPERVISOR
-SUPERVISOR,CSM,BOM
-SURGEON
-SYSTEM ADMIN
-TAILOR
-TAILOR/BARBER
-TAXI DRIVER
-TAXI DRIVER/DRIVER
-TEACHER
-TECHNICIAN
-TECHNICIAN/ MECHANIC
-TECHNOLOGIST
-TELEPHONE OPERATOR
-TELLER
-TRADER
-TRANSLATOR
-TREASURY BANK OFFICE OFFICER
-TRUSTEE
-UNIVERSITY TEACHER
-UNSKILLED LABOR
-VICE PRESIDENT
-WAITER
-WAITER / WAITRESS
-WATCHMAN
-WELDER
-WRITER</t>
  </si>
  <si>
    <t>-01
-02
-03
-04
-05
-06
-07
-08
-09
-10
-11
-12
-13
-14
-15
-16
-17
-18
-19
-20
-21
-22
-23
-24
-25
-26
-27
-28
-29
-30
-31
-32
-33
-34
-35
-36
-37
-38
-39
-40
-41
-MIGR
-SETEL
-SRCO
-SRGNT
-SRVS
-SFWRK
-SLAB
-SOCWK
-SOLDR
-SPDR
-STD
-SUPER
-BSU
-SYSAD
-TALR
-TECHR
-TECM
-TCNGT
-TEL
-TBO
-TRUST
-ULAB
-VP
-WATR
-WCHMN
-WRTR
-ITPR
-INSP
-INV
-ITOO
-ITOPR
-JREXE
-JRMGR
-LAWR
-LT
-LOF
-LCL
-MAJOR
-MGR
-MGRAD
-MANCO
-MANCP
-MGRCO
-MANIT
-MRMKT
-MRPRE
-AUDIT
-BM
-BSN
-BTL
-BCL
-BROK
-BUSS
-CABC
-CCAG
-CAPT
-CASH
-COC
-CHRM
-MGMEX
-CEO
-CFO
-COO
-CLERK
-CCL
-COF
-ACTRM
-ACTEX
-ACCT
-AMDS
-ANST
-PROMR
-ARCH
-ASST
-ASSBM
-ASMG
-MRPBR
-MRPRO
-MRALM
-MANRE
-MRSQ
-MANTR
-MGRCB
-MRDB
-MRPB
-MD
-RUL
-MSGR
-MIMGR
-MODNO
-NETMR
-NETSP
-NURSE
-OFCR
-OPMAN
-OPOFF
-OPIT
-PRTR
-PCL
-PSU
-PILOT
-POLMA
-POST
-PRES
-PRINC
-EXAST
-GM
-GOV
-HECLK
-HM
-HOCB
-HOCR
-HOD
-HOF
-HDFNA
-HOIA
-HDIT
-HOOP
-HDRET
-HOTR
-HOCL
-HOFO
-HOOF
-HOSO
-HSEWF
-PRDMR
-OWN
-RECE
-TRMAN
-MANBR
-COMAN
-REMGR
-SLENG
-SALEX
-SLMAN
-SCMGR
-SEC
-SECGD
-SECOF
-SRAST
-SREXE
-SRMG
-SRMGR
-SROFF
-SRSUP
-COLL
-CONSL
-COEMP
-COE
-COROO
-CORM
-COOFF
-CTM
-CROFF
-CROO
-CSE
-DBA
-DEAN
-DIPL
-DIR
-DR
-ERESR
-ENGG
-ENQ
-EXEC
-ARC
-ASVP
-BARI
-BART
-BEAU
-BOR
-BUDO
-CARG
-CHRO
-COS
-DELB
-DEPC
-DEPM
-DRI
-DRIN
-DRVR
-EXPE
-EXPO
-EXVP
-FINA
-FINC
-FUC
-GRAD
-HAIS
-HELP
-HEVI
-HVD
-LASH
-LEGC
-LEGP
-LVD
-METS
-NOKH
-OFFA
-OFFC
-OFFI
-OFSC
-OPA
-PRJI
-RELM
-RESA
-RIGG
-ROU
-SAIL
-SEAM
-SERV
-SEVP
-SHIC
-SUR
-STEW
-BMGR
-CHEM
-PHRM
-CPLT
-SHCPT
-CREW
-ADVSR
-JDG
-ADMN
-OFML
-OFFED
-OFLG
-OFP
-OFF
-OFCD
-ADAS
-ARTST
-MSCN
-PHGR
-CPNT
-PNTR
-ELCT
-MSN
-PLMB
-WLD
-IRNR
-CLN
-LABR
-CK
-MAID
-CNTR
-BLDR
-DS
-NCO
-FRMR
-GRDN
-GSMT
-JWLR
-LNLD
-PROWN
-TECH
-MECH
-MRCH
-TRDR
-DELR
-SOWN
-RET
-SCIT
-TELOP
-COOP
-TRSL
-INTR
-LBRN
-SPMN
-CH
-BRBR
-TDRV
-DRV
-ACTR
-DNCR
-SNGR
-BRCL
-CSO
-SRAM
-PROP
-CSM
-BOM
-WAITR
-HRS
-FLPU
-PRRE</t>
  </si>
  <si>
    <t>Designation</t>
  </si>
  <si>
    <t>Finacle CRM -&gt; Demographic -&gt; Employment Details -&gt; Designation</t>
  </si>
  <si>
    <t>strText9</t>
  </si>
  <si>
    <t>Staff ID/ Military ID</t>
  </si>
  <si>
    <t>Finacle CRM -&gt; Demographic -&gt; Employment Details -&gt; Staff ID/Military ID</t>
  </si>
  <si>
    <t>UserField9</t>
  </si>
  <si>
    <t>Salary Transfer to RAKBANK</t>
  </si>
  <si>
    <t xml:space="preserve">Finacle CRM -&gt; Demographic -&gt; Employment Details -&gt; Salary Transfer to RAKBANK </t>
  </si>
  <si>
    <t>userFlag2</t>
  </si>
  <si>
    <t>Dealing Countries</t>
  </si>
  <si>
    <t>Finacle CRM -&gt; Demographic -&gt; Employment Details -&gt; Country_Sel</t>
  </si>
  <si>
    <t>str12</t>
  </si>
  <si>
    <t>accounts.orgkey=preferences.orgkey</t>
  </si>
  <si>
    <t>200 CHAR</t>
  </si>
  <si>
    <t>Monthly Income</t>
  </si>
  <si>
    <t>Finacle CRM -&gt; Demographic -&gt; Income and Expense Details -&gt; Monthly Incom / Declared Salary</t>
  </si>
  <si>
    <t>ANNUAL_SALARY_INCOME</t>
  </si>
  <si>
    <t>NUMBER(20,4)</t>
  </si>
  <si>
    <t>Double</t>
  </si>
  <si>
    <t>Segment</t>
  </si>
  <si>
    <t>Individual Customer File: Segment Details</t>
  </si>
  <si>
    <t>SEGMENTATION_CLASS</t>
  </si>
  <si>
    <t>Customer Sub Segment</t>
  </si>
  <si>
    <t>Finacle CRM -&gt; General -&gt; Basic Info -&gt; Customer Sub-Segment</t>
  </si>
  <si>
    <t>SUBSEGMENT</t>
  </si>
  <si>
    <t>-PB- RAKELITE
-PB- NORMAL
-PB- WEALTH MGT
-BB- SME LIABILITIES</t>
  </si>
  <si>
    <t>-PAM
-PBN
-PRS
-PSL</t>
  </si>
  <si>
    <t>Industry Segment</t>
  </si>
  <si>
    <t>Finacle CRM -&gt; General -&gt; Basic Info -&gt; Industry Segment</t>
  </si>
  <si>
    <t>SECTOR</t>
  </si>
  <si>
    <t>-A-GOVERNMENT
-A&amp;A- AGRICULTURE &amp; ALLIED ACTIVITES
-B-PERSONAL
-C-OTHERS
-CONST-CONSTRUCTION
-EWG- ELECTRICITY WATER &amp; GAS
-FI- FINANCIAL INSTITUTION
-MFG- MANUFACTURING
-MQ- MINING AND QUARRYING
-SER- SERVICES
-TRADE-TRADE
-TSC- TRANSPORT, STORAGE &amp; COMMUNICATION</t>
  </si>
  <si>
    <t>-A
-AA
-B
-C
-CONST
-EWG
-FI
-MFG
-MQ
-SER
-TRADE
-TSC</t>
  </si>
  <si>
    <t>Industry Sub segment</t>
  </si>
  <si>
    <t>Finacle CRM -&gt; General -&gt; Basic Info -&gt; Industry Sub Segment</t>
  </si>
  <si>
    <t>Subsector</t>
  </si>
  <si>
    <t>-IZ
-KA
-KC
-KD
-KF
-KG
-KH
-LA
-LB
-LC
-LE
-MA
-MB
-MC
-MD
-ME
-MF
-MG
-MH
-MI
-MJ
-MK
-ML
-MM
-MN
-MO
-MP
-MQ
-MR
-MS
-MT
-MX
-MU
-MV
-MW
-MY
-NA
-NB
-NC
-ND
-NE
-NF
-NG
-NH
-NI
-PB
-PC
-QA
-QB
-QC
-QD
-QE
-QF
-QG
-QH
-QI
-QJ
-QK
-QL
-QM
-QN
-RA
-RB
-RC
-RD
-RE
-RF
-RG
-RH
-RI
-RJ
-RK
-RL
-RM
-RN
-RO
-SA
-SB
-SC
-SD
-SE
-SF
-SG
-SH
-SJ
-SK
-SL
-SM
-SN
-SO
-TA
-TB
-TC
-TD
-TE
-TF
-OA
-PA
-TG
-TH
-TI
-TJ
-TK
-TL
-TM
-TN
-UA
-UB
-UC
-UD
-UE
-UF
-UG
-UH
-UI
-UJ
-VA
-VB
-VC
-VD
-VE
-VF
-VG
-WA
-WB
-WC
-XA
-ZA
-ZC
-VY
-VZ
-RT
-MZ
-CG
-CF
-CC
-RV
-RW
-RX
-AK
-RY
-AB
-AC
-AD
-AE
-AL
-SQ
-ST
-SW
-SU
-SV
-QU
-QW
-BF
-QX
-BG
-QY
-QZ
-BJ
-BD
-BH
-BE
-SX
-SZ
-AF
-AG
-AH
-AI
-AJ
-AM
-AN
-AO
-AP
-AQ
-AR
-AS
-AT
-AU
-BA
-BB
-BC
-BI
-BK
-BL
-CB
-CD
-CE
-CH
-EF
-KB
-KE
-LD
-QO
-QP
-QQ
-QR
-QS
-QT
-QV
-RP
-RS
-RU
-RZ
-SI
-PM
-IF
-SY
-PR
-GT
-TT
-RQ
-AA
-IA
-IB
-IC
-ID
-IE
-IG
-II
-IJ
-IK
-IL
-IM
-IN
-IO
-IP
-IQ
-IR
-IS
-IT
-IU
-IV
-IW
-IX
-ZB
-MJC
-MTA
-MTB
-MTC
-MJA
-MJB
-MJD
-MKA
-MKB
-MKC
-MKE
-MNA
-MNB
-MNC
-TO
-CU
-CV
-DA
-DB
-DC
-OB
-OC
-DEPEN</t>
  </si>
  <si>
    <t>n</t>
  </si>
  <si>
    <t>Drop2</t>
  </si>
  <si>
    <t>select ACCOUNTS.ORGKEY,ACCOUNTS.ISLAMIC_BANKING_CUSTOMER  as  Customer_Classification from crmuser.ACCOUNTS 
 JOIN  CRMUSER.CORPORATE ON ACCOUNTS.ORGKEY = CORPORATE.CORP_KEY
 JOIN CRMUSER.CATEGORIES ON CATEGORIES.VALUE = ACCOUNTS.ISLAMIC_BANKING_CUSTOMER and CATEGORIES.CATEGORYTYPE = 'CLASSIFICATION'
JOIN CRMUSER.CATEGORY_LANG ON CATEGORY_LANG.CATEGORYID = CATEGORIES.CATEGORYID
 where Entity_cre_flag = 'Y'</t>
  </si>
  <si>
    <r>
      <rPr>
        <sz val="11"/>
        <color rgb="FF000000"/>
        <rFont val="Aptos Narrow"/>
        <scheme val="minor"/>
      </rPr>
      <t xml:space="preserve">"Select - CATEGORY_LANG.LOCALTEXT wit below mapping
CATEGORY_LANG.CATEGORYID = CATEGORIES.CATEGORYID
CATEGORIES.VALUE = ACCOUNTS.ISLAMIC_BANKING_CUSTOMER
CATEGORIES.CATEGORYTYPE = 'CLASSIFICATION'"
</t>
    </r>
    <r>
      <rPr>
        <b/>
        <sz val="11"/>
        <color rgb="FF000000"/>
        <rFont val="Aptos Narrow"/>
        <scheme val="minor"/>
      </rPr>
      <t>accounts.corp_id is null</t>
    </r>
  </si>
  <si>
    <t>Primary RM Code</t>
  </si>
  <si>
    <t>Customer File: RM Info</t>
  </si>
  <si>
    <t>Finacle CRM -&gt; General-&gt; Basic Info -&gt; RM Relationship 1</t>
  </si>
  <si>
    <t>manager</t>
  </si>
  <si>
    <t>Primary RM Name</t>
  </si>
  <si>
    <t>Finacle CRM -&gt; View Relationship Manager Details -&gt; User Details -&gt; First Name: Last Name</t>
  </si>
  <si>
    <t xml:space="preserve">FIRSTNAME, LASTNAME </t>
  </si>
  <si>
    <t>PERSON.PERSONID = USERS.PERSONID
USER.LOGINID = ACCOUNTS.MANAGER</t>
  </si>
  <si>
    <t>Primary RM Mobile</t>
  </si>
  <si>
    <t>Finacle CRM -&gt; View Relationship Manager Details -&gt; User Details -&gt; Mobile No.</t>
  </si>
  <si>
    <t>PHONE_CELL</t>
  </si>
  <si>
    <t>Primary RM Work Phone</t>
  </si>
  <si>
    <t>Finacle CRM -&gt; View Relationship Manager Details -&gt; User Details -&gt; Work Phone No.</t>
  </si>
  <si>
    <t>PHONE_WORK</t>
  </si>
  <si>
    <t>Primary RM Email</t>
  </si>
  <si>
    <t>Derived based on the Primary RM contact details.</t>
  </si>
  <si>
    <t>Static Field</t>
  </si>
  <si>
    <t>AGENTS</t>
  </si>
  <si>
    <t> DEFAULTEMAIL</t>
  </si>
  <si>
    <t>AGENTS.PERSONID = USERS.PERSONID
USER.LOGINID = ACCOUNTS.MANAGER</t>
  </si>
  <si>
    <t>1. Confirm whether this is static of runtime
2. Share DB specs with translation logic if it is static
3. Solution support, API dev if it is run-time</t>
  </si>
  <si>
    <t>Primary RM Business Center Name</t>
  </si>
  <si>
    <t>Company Customer File: RM Info</t>
  </si>
  <si>
    <t>Finacle CRM -&gt;  View Relationship Manager Details -&gt; User Details -&gt; Business Center Name</t>
  </si>
  <si>
    <t>BCCODE</t>
  </si>
  <si>
    <t>BIZCENTER.BCID = AGENTS.BCID
AGENTS.PERSONID = USERS.PERSONID
USERS.LOGINID = ACCOUNTS.MANAGER</t>
  </si>
  <si>
    <t>Secondary RM Code</t>
  </si>
  <si>
    <t>Finacle CRM -&gt; General-&gt; Basic Info -&gt; RM Relationship 2</t>
  </si>
  <si>
    <t>secondaryrm_id</t>
  </si>
  <si>
    <t>Secondary RM Name</t>
  </si>
  <si>
    <t>CRMUSER
CRMUSER</t>
  </si>
  <si>
    <t>FIRSTNAME,
LASTNAME</t>
  </si>
  <si>
    <t>AGENTS.PERSONID = USERS.PERSONID
USER.LOGINID = ACCOUNTS.SECONDARYRM_ID</t>
  </si>
  <si>
    <t>Secondary RM Mobile</t>
  </si>
  <si>
    <t>Secondary RM Work Phone</t>
  </si>
  <si>
    <t>Secondary RM Email</t>
  </si>
  <si>
    <t>Derived based on the Secondary RM contact details.</t>
  </si>
  <si>
    <t>Secondary RM Business Center Name</t>
  </si>
  <si>
    <t>BIZCENTER.BCID = AGENTS.BCID
AGENTS.PERSONID = USERS.PERSONID
USERS.LOGINID = ACCOUNTS.SECONDARYRM_ID</t>
  </si>
  <si>
    <t>Unit Head Name</t>
  </si>
  <si>
    <t>Finacle CRM -&gt; View Relationship Manager Details -&gt; User Details -&gt; Manager</t>
  </si>
  <si>
    <t>SUPERVISORID</t>
  </si>
  <si>
    <t>accounts.RELATIONSHIPMGRID = person.PERSONID and person.PERSONID = agent_entity_details.PERSONID</t>
  </si>
  <si>
    <t>NUMBER(38,0)</t>
  </si>
  <si>
    <t>Unit Head Contact</t>
  </si>
  <si>
    <t>Derived field based on the contact details of the Manager</t>
  </si>
  <si>
    <t> PERSON, AGENTS</t>
  </si>
  <si>
    <t>PERSON.PHONE_CELL, PERSON.PHONE_WORK, AGENTS.DEFAULTEMAIL</t>
  </si>
  <si>
    <t>PERSON.PERSONID = AGENT_ENTITY_DETAILS.SUPERVISORID
AGENT_ENTITY_DETAILS.PERSONID = USER.PERSONID
USER.LOGINID = ACCOUNTS.MANAGER
AGENTS.PERSONID = AGENT_ENTITY_DETAILS.SUPERVISORID
AGENT_ENTITY_DETAILS.PERSONID = USER.PERSONID
USER.LOGINID = ACCOUNTS.MANAGER</t>
  </si>
  <si>
    <t>Years Since in UAE</t>
  </si>
  <si>
    <t>Individual Customer File: Additional Details</t>
  </si>
  <si>
    <t>Finacle CRM -&gt; General -&gt; Demographic -&gt; General Details -&gt; Years Since in UAE</t>
  </si>
  <si>
    <t>Residence_Since</t>
  </si>
  <si>
    <t>Customer Deceased Date</t>
  </si>
  <si>
    <t>Finacle CRM -&gt; General -&gt; Basic Info -&gt; Customer Deceased Date</t>
  </si>
  <si>
    <t>DATEUSERFIELD5</t>
  </si>
  <si>
    <t>Reason for making Customer Inactive</t>
  </si>
  <si>
    <t>Finacle CRM -&gt; General -&gt; Basic Info -&gt; Reason for making Customer Inactive</t>
  </si>
  <si>
    <t>Constitution_Code</t>
  </si>
  <si>
    <t>-NO ACTIVE PRODUCTS EXIST</t>
  </si>
  <si>
    <t>-MIGR</t>
  </si>
  <si>
    <t>Customer Sourced By</t>
  </si>
  <si>
    <t>Finacle CRM -&gt; General -&gt; Basic Info -&gt; Customer Sourced By</t>
  </si>
  <si>
    <t>DSA_ID</t>
  </si>
  <si>
    <t>12 CHAR</t>
  </si>
  <si>
    <t>Source Branch/ SOL/ POS</t>
  </si>
  <si>
    <t>Finacle CRM -&gt; General -&gt; Basic Info -&gt; Source Branch/ SOL/ POS</t>
  </si>
  <si>
    <t>PRIMARY_SOL_ID</t>
  </si>
  <si>
    <t>8 CHAR</t>
  </si>
  <si>
    <t>E-CRN Number</t>
  </si>
  <si>
    <t>Finacle CRM -&gt; General -&gt; Basic Info -&gt; E-CRN Number</t>
  </si>
  <si>
    <t>StrUserField6(</t>
  </si>
  <si>
    <t>Vehicle insurance renewal date</t>
  </si>
  <si>
    <t>Finacle CRM -&gt; General -&gt; Basic Info -&gt; Vehicle Insurance Renewal Date</t>
  </si>
  <si>
    <t>DateUserField1</t>
  </si>
  <si>
    <t>Risk Profile</t>
  </si>
  <si>
    <t>Finacle CRM -&gt; General -&gt; Basic Info -&gt; Risk Profile</t>
  </si>
  <si>
    <t>MLUserField4</t>
  </si>
  <si>
    <t>Risk Profile Expiry Date</t>
  </si>
  <si>
    <t>Finacle CRM -&gt; General -&gt; Basic Info -&gt; Risk Profile Expiry Date</t>
  </si>
  <si>
    <t>RiskProfileExpiryDate</t>
  </si>
  <si>
    <t>Credit Grading Code</t>
  </si>
  <si>
    <t>Company Customer File: Additional Details</t>
  </si>
  <si>
    <t>Finacle CRM -&gt; General -&gt; Basic Info-&gt;Credit Grading Code</t>
  </si>
  <si>
    <t>RATING</t>
  </si>
  <si>
    <t>20 CHAR</t>
  </si>
  <si>
    <t>-G1 - CENTRAL GOVERNMENT
-G2 - STATE GOVERNMENT
-G3 - OTHER GOVERNMENT
-MIGRATION DEFAULT
-P1 - PERSONAL - DESIRABLE CREDIT
-P2 - PERSONAL - ACCEPTABLE CREDIT
-P3 - PERSONAL - BELOW AVG CREDIT
-P4 - PERSONAL - PROBLEM CREDIT
-P5 - PERSONAL - PROBLEM/LOSS CREDIT
-P6 - PERSONAL - LOSS
-R1 - BUSINESS - SCORE 90-100
-R2 - BUSINESS - SCORE 80-90
-R3 - BUSINESS - SCORE 65-79
-R4 - BUSINESS - SCORE 50-64
-R5 - BUSINESS - SCORE 35-49
-R6 - BUSINESS - SCORE 20-34
-S7 - BUSINESS - SCORE 19 OR LESS
-S8 - BUSINESS - SUB - STANDARD GRADE 8
-S9 - BUSINESS - SUB - STANDARD GRADE 9
-W1 - WRITE OFF ACCOUNT</t>
  </si>
  <si>
    <t>-G1
-G2
-G3
-MIGR
-P1
-P2
-P3
-P4
-P5
-P6
-R1
-R2
-R3
-R4
-R5
-R6
-S7
-S8
-S9
-W1</t>
  </si>
  <si>
    <t>Group Credit Grading</t>
  </si>
  <si>
    <t>Finacle CRM -&gt; General -&gt; Basic Info-&gt;Group Credit Grading</t>
  </si>
  <si>
    <t>StrUserField26</t>
  </si>
  <si>
    <t>-BUSINEES-SUB-STANDARD GRADE 9
-BUSINESS-SUB-STANDARD GRADE 8
-G2 - STATE GOVERNMENT
-G3 - OTHER GOVERNMENT
-MIGRATION DEFAULT
-P2 - PERSONAL ACCEPTABLE CREDIT
-R1 - BUSINESS - SCORE 90-100
-R2 - BUSINESS - SCORE 80-90
-R3 - BUSINESS - SCORE 65-79
-R4 - BUSINESS - SCORE 50-64
-R5 - BUSINESS - SCORE 35-49
-R6 - BUSINESS - SCORE 20-34
-S7 - BUSINESS -SCORE 19 OR LESS</t>
  </si>
  <si>
    <t>-S9
-S8
-G2
-G3
-MIGR
-P2
-R1
-R2
-R3
-R4
-R5
-R6
-S7</t>
  </si>
  <si>
    <t>Dormant</t>
  </si>
  <si>
    <t>Finacle CRM -&gt; General -&gt; Basic Info -&gt; Dormant</t>
  </si>
  <si>
    <t>Cust_commu_code</t>
  </si>
  <si>
    <t>Pre-Dormant</t>
  </si>
  <si>
    <t>Finacle CRM -&gt; General -&gt; Basic Info -&gt; Pre-Dormant</t>
  </si>
  <si>
    <t>strField8</t>
  </si>
  <si>
    <t>Trade Finance</t>
  </si>
  <si>
    <t>Finacle CRM -&gt; General -&gt; Basic Info -&gt; Trade Finance (Y/N)</t>
  </si>
  <si>
    <t>TFPartyFlag</t>
  </si>
  <si>
    <t>Preference Code</t>
  </si>
  <si>
    <t>Finacle CRM -&gt; General -&gt; Basic Info -&gt; Preference Code</t>
  </si>
  <si>
    <t>Pref_code</t>
  </si>
  <si>
    <t>15 CHAR</t>
  </si>
  <si>
    <t>-3.6600/3.6740</t>
  </si>
  <si>
    <t>Notes</t>
  </si>
  <si>
    <t>Finacle CRM -&gt; Notes</t>
  </si>
  <si>
    <t>MLUserField5</t>
  </si>
  <si>
    <t>300 CHAR</t>
  </si>
  <si>
    <t>No. of Dependents</t>
  </si>
  <si>
    <t>Finacle CRM -&gt; Psychographic -&gt; Individual Profile or Preference Details -&gt; No. of Dependents</t>
  </si>
  <si>
    <t>PSYCHOGRAPHIC</t>
  </si>
  <si>
    <t>NUMBEROFDEPENDANTS</t>
  </si>
  <si>
    <t>Integer</t>
  </si>
  <si>
    <t>NUMBER(38)</t>
  </si>
  <si>
    <t>GCD Number</t>
  </si>
  <si>
    <t>Finacle CRM -&gt; General -&gt; Basic Info-&gt;GCD Number</t>
  </si>
  <si>
    <t>STRUSERFIELD7</t>
  </si>
  <si>
    <t>Total PDC in AED</t>
  </si>
  <si>
    <t>HCUSUM -&gt; Summary Details of a Customer -&gt; Total PDC in AED</t>
  </si>
  <si>
    <t>Specs yet to be received from Finacle team</t>
  </si>
  <si>
    <t>accounts.corp_id is null
select to_char(sum(pdc_amt*DECODE(LENGTH(pdc_lvs_stat) - LENGTH((TRANSLATE(pdc_lvs_stat,' E',' '))) ,'' ,LENGTH(pdc_lvs_stat),LENGTH(pdc_lvs_stat) - LENGTH((TRANSLATE(pdc_lvs_stat,' E',' '))))),'FM999,999,999,999,999,999,999.00') 
from tbaadm.pdct   
where acid in (select acid from tbaadm.gam where cif_id = '0121397' and acct_cls_flg != 'Y' and entity_cre_flg ='Y' and del_flg ='N') 
and next_pdc_date &gt; to_date('16-12-2025','dd-mm-yyyy') 
and pdc_crncy_code = 'AED' 
and entity_cre_flg ='Y' 
and del_flg ='N';</t>
  </si>
  <si>
    <t xml:space="preserve">NUMBER(20,4)  </t>
  </si>
  <si>
    <t>Friend Name</t>
  </si>
  <si>
    <t>Individual Customer File: References</t>
  </si>
  <si>
    <t>Finacle CRM -&gt; Psychographic -&gt; Individual Profile or Preference Details -&gt; References Details Listing -&gt; Membership Details -&gt; Friend's Name</t>
  </si>
  <si>
    <t xml:space="preserve">memberships </t>
  </si>
  <si>
    <t>MEMBERSHIPTYPE</t>
  </si>
  <si>
    <t>accounts.orgkey=memberships.orgkey</t>
  </si>
  <si>
    <t>Office Telephone No.</t>
  </si>
  <si>
    <t>Finacle CRM -&gt; Psychographic -&gt; Individual Profile or Preference Details -&gt; References Details Listing -&gt; Membership Details -&gt; Friend's Office Telephone No.</t>
  </si>
  <si>
    <t>MemberOf</t>
  </si>
  <si>
    <t>Residence Telephone No.</t>
  </si>
  <si>
    <t>Finacle CRM -&gt; Psychographic -&gt; Individual Profile or Preference Details -&gt; References Details Listing -&gt; Membership Details -&gt; Friend's Residence Telephone No.</t>
  </si>
  <si>
    <t>Mobile No.</t>
  </si>
  <si>
    <t>Finacle CRM -&gt; Psychographic -&gt; Individual Profile or Preference Details -&gt; References Details Listing -&gt; Membership Details -&gt; Friend's Mobile No.</t>
  </si>
  <si>
    <t>StrField2</t>
  </si>
  <si>
    <t>Currency</t>
  </si>
  <si>
    <t>Individual Customer File: Currency Preferential Rates</t>
  </si>
  <si>
    <t>Finacle CRM -&gt; General -&gt; Currency -&gt; CCY</t>
  </si>
  <si>
    <t>MiscellaneousInfo.TYPE='CURRENCY'</t>
  </si>
  <si>
    <t>-AED
-AFN
-ALL
-AMD
-ANG
-AOA
-ARS
-AUD
-AWG
-AZN
-BAM
-BBD
-BDT
-BGN
-BHD
-BIF
-BMD
-BND
-BOB
-BRL
-BSD
-BTN
-BWP
-BYN
-BYR
-BZD
-CAD
-CFA
-CHF
-CLP
-CNH
-CNY
-COP
-CRC
-CUP
-CVE
-CZK
-DJF
-DKK
-DOP
-DZD
-EEK
-EGP
-ERN
-ETB
-EUR
-FJD
-FKP
-GBP
-GEL
-GHS
-GIP
-GMD
-GNF
-GRM
-GTQ
-GWP
-GYD
-HKD
-HNL
-HUF
-IDR
-ILS
-INR
-IQD
-IRR
-ISK
-JMD
-JOD
-JPY
-KES
-KGS
-KHR
-KMF
-KPW
-KRW
-KWD
-KYD
-KZT
-LAK
-LBP
-LKR
-LRD
-LTL
-LVL
-LYD
-MAD
-MDL
-MGA
-MIGR
-MKD
-MMK
-MNT
-MOP
-MRO
-MUR
-MVR
-MWK
-MXN
-MYR
-MZN
-NAD
-NGN
-NIO
-NOK
-NPR
-NZD
-OMR
-PEN
-PGK
-PHP
-PKR
-PLN
-PTL
-PYG
-QAR
-RON
-RSD
-RUB
-RWF
-SAR
-SBD
-SCR
-SDD
-SDG
-SEK
-SGD
-SHP
-SLL
-SOS
-SRD
-STD
-SYP
-SZL
-THB
-TJT
-TND
-TOP
-TRL
-TRY
-TTD
-TWD
-TZS
-UAH
-UGX
-USD
-UYU
-UZS
-VEF
-VND
-VUV
-WST
-XAF
-XAG
-XAU
-XCD
-XOF
-XPD
-XPF
-XPT
-XXX
-YER
-ZAR
-ZMK
-ZWL</t>
  </si>
  <si>
    <t>Credit Discount %</t>
  </si>
  <si>
    <t>Finacle CRM -&gt; General -&gt; Currency -&gt; Credit Discount Pcnt.</t>
  </si>
  <si>
    <t>DBFLOAT1</t>
  </si>
  <si>
    <t>Float</t>
  </si>
  <si>
    <t>Debit Discount %</t>
  </si>
  <si>
    <t>Finacle CRM -&gt; General -&gt; Currency -&gt; Debit Discount Pcnt.</t>
  </si>
  <si>
    <t>DBFLOAT2</t>
  </si>
  <si>
    <t>Preferential Expiry Date</t>
  </si>
  <si>
    <t>Finacle CRM -&gt; General -&gt; Currency -&gt; Preferential Expiry Date</t>
  </si>
  <si>
    <t>Consent held to enquire AECB</t>
  </si>
  <si>
    <t>Consents/ FATCA/CRS</t>
  </si>
  <si>
    <t>Finacle CRM -&gt; General -&gt; Basic Info -&gt; Consent held to enquire AECB</t>
  </si>
  <si>
    <t>struserfield22</t>
  </si>
  <si>
    <t>entity_create_flg ='Y'</t>
  </si>
  <si>
    <t>- No
- Yes</t>
  </si>
  <si>
    <t>Consent Source</t>
  </si>
  <si>
    <t>Finacle CRM -&gt; General -&gt; Basic Info -&gt; Consent Source</t>
  </si>
  <si>
    <t>struserfield23</t>
  </si>
  <si>
    <t>Value from crmuser.categories where categorytype = 'CONSENT_SOURCE'</t>
  </si>
  <si>
    <t>CIF
CIF UPDATE
CAPS
INTERNET BANKING
MOBILE BANKING
BID
YAP
CAP
CAS
ATM
BPM</t>
  </si>
  <si>
    <t>Consent Date</t>
  </si>
  <si>
    <t>Finacle CRM -&gt; General -&gt; Basic Info -&gt; Consent Date</t>
  </si>
  <si>
    <t>DateUserField4</t>
  </si>
  <si>
    <t>US Relation</t>
  </si>
  <si>
    <t>Finacle CRM -&gt; Demographic -&gt; General Details -&gt; FATCA -&gt; US Relation</t>
  </si>
  <si>
    <t>Demographic</t>
  </si>
  <si>
    <t>userFlag1</t>
  </si>
  <si>
    <t>-NO
-RECALCITRANT CUSTOMER
-Yes - NOT REPORTABLE
-Yes - REPORTABLE</t>
  </si>
  <si>
    <t>-O
-C
-N
-R</t>
  </si>
  <si>
    <t>TIN Number</t>
  </si>
  <si>
    <t>Finacle CRM -&gt; Demographic -&gt; General Details -&gt; FATCA -&gt; TIN Number</t>
  </si>
  <si>
    <t>UserField5</t>
  </si>
  <si>
    <t>Reason/Type of Relation</t>
  </si>
  <si>
    <t>Finacle CRM -&gt; Demographic -&gt; General Details -&gt; FATCA -&gt; Reason/Type of Relation</t>
  </si>
  <si>
    <t xml:space="preserve">BANK_DEFINED_DEMO_VAR2 </t>
  </si>
  <si>
    <t>select Value from CRMUSER.categories where categorytype = 'FATCA_REASON';
CORP SHAREHOLDER
CURRENT US ADDR
CURRENT US PHONE NO
POA/SIGN US ADDR
SI TO TRANSFER FUND
US CITIZEN/RESIDENT/TAXPAYER/GREENCARD
US PLACE OF BIRTH</t>
  </si>
  <si>
    <t>pick list</t>
  </si>
  <si>
    <t>Pipe separated Selected fields from Available pick list are getting stored 
US CITIZEN/RESIDENT/TAX PAYER/GREEN CARD
US PLACE OF BIRTH
CURRENT US MAILING ADDRESS OR RESIDENCE ADDRESS
CURRENT US TELEPHONE NUMBER
POA/SIGNATORY HAS A US ADDRESS
CORPORATE SHARE HOLDER</t>
  </si>
  <si>
    <t>US CITIZEN/RESIDENT/TAXPAYER/GREENCARD
US PLACE OF BIRTH
CURRENT US ADDR
CURRENT US PHONE NO
SI TO TRANSFER FUND
POA/SIGN US ADDR
CORP SHAREHOLDER</t>
  </si>
  <si>
    <t>Documents Collected</t>
  </si>
  <si>
    <t>Finacle CRM -&gt; Demographic -&gt; General Details -&gt; FATCA -&gt; Documents Collected</t>
  </si>
  <si>
    <t>Signed Date</t>
  </si>
  <si>
    <t>Finacle CRM -&gt; Demographic -&gt; General Details -&gt; FATCA -&gt; Signed Date</t>
  </si>
  <si>
    <t>Bank_Defined_Demo_Date2</t>
  </si>
  <si>
    <t>Finacle CRM -&gt; Demographic -&gt; General Details -&gt; FATCA -&gt; Expiry Date</t>
  </si>
  <si>
    <t>Bank_Defined_Demo_Date1</t>
  </si>
  <si>
    <t>CRS Undocumented Flag</t>
  </si>
  <si>
    <t>Finacle CRM -&gt; Demographic -&gt; General Details -&gt; OECD Details -&gt; CRS Undocumented Flag</t>
  </si>
  <si>
    <t>UserField8</t>
  </si>
  <si>
    <t>CRS Undocumented Flag Reason</t>
  </si>
  <si>
    <t>Finacle CRM -&gt; Demographic -&gt; General Details -&gt; OECD Details -&gt; CRS Undocumented Flag Reason</t>
  </si>
  <si>
    <t>UserField10</t>
  </si>
  <si>
    <t>-CIF UPDATE OUTSIDE UAE
-CIF UPDATE WITHIN UAE
-CLICKNCOLLECT
-GROUP ENTITY/ PROJECT
-INTERNET BANKING ACCESS ONLY
-NOT APPLICABLE -MERCHANT ACQUIRING
-PERSONAL GUARANTOR - NON CONTROLLING
-SHAREHOLDER LESS THAN 10%
-SUPP CREDIT CARD APPL
-UNCOOPERATIVE CXM TO BE REPORTED
-UNSGN CIF
-UNSGNAL CIF
-UNSGNBB</t>
  </si>
  <si>
    <t>Place of Birth</t>
  </si>
  <si>
    <t>Finacle CRM -&gt; Demographic -&gt; General Details -&gt; OECD Details -&gt; Place of Birth</t>
  </si>
  <si>
    <t>Bank_Defined_Demo_var6</t>
  </si>
  <si>
    <t>Country of Birth</t>
  </si>
  <si>
    <t>Finacle CRM -&gt; Demographic -&gt; General Details -&gt; OECD Details -&gt; Country of Birth</t>
  </si>
  <si>
    <t>Bank_Defined_Demo_var5</t>
  </si>
  <si>
    <t>Country of Tax Residence</t>
  </si>
  <si>
    <t>Finacle CRM -&gt; Demographic -&gt; General Details -&gt; OECD Details -&gt; Country of Tax Residence</t>
  </si>
  <si>
    <t>miscellaneousinfo</t>
  </si>
  <si>
    <t>strText11</t>
  </si>
  <si>
    <t>TYPE='OECD'</t>
  </si>
  <si>
    <t>Finacle CRM -&gt; Demographic -&gt; General Details -&gt; OECD Details -&gt; TIN Number</t>
  </si>
  <si>
    <t>strText24</t>
  </si>
  <si>
    <t>No TIN Reason</t>
  </si>
  <si>
    <t>Finacle CRM -&gt; Demographic -&gt; General Details -&gt; OECD Details -&gt; Drilldown to OECD Details -&gt; No TIN Reason</t>
  </si>
  <si>
    <t>strText23</t>
  </si>
  <si>
    <t>-REASON A TIN NOT ISSUED BY RESIDENT COUNTRY
-REASON B UNABLE TO GET TIN
-REASON C NO TIN REQUIRED</t>
  </si>
  <si>
    <t>-A-NOT ISSUED
-B-UNABLE GET TIN
-C-NO TIN REQD</t>
  </si>
  <si>
    <t>Reason for Selecting Option B</t>
  </si>
  <si>
    <t>Finacle CRM -&gt; Demographic -&gt; General Details -&gt; OECD Details -&gt; Drilldown to OECD Details -&gt; Reason for Selecting Option B</t>
  </si>
  <si>
    <t>strText2</t>
  </si>
  <si>
    <t>225 CHAR</t>
  </si>
  <si>
    <t>Preferred Flag</t>
  </si>
  <si>
    <t>Contact Details</t>
  </si>
  <si>
    <t>Finacle CRM -&gt; General -&gt; Contact -&gt; Phone and E-mail -&gt; Preferred Flag (Preferred Contact No. Type)</t>
  </si>
  <si>
    <t>PhoneEmailType</t>
  </si>
  <si>
    <t>PHONEOREMAIL = 'PHONE'</t>
  </si>
  <si>
    <t>-FAX HOME
-CORPORATE PHONE
-FAX OFFICE 1
-FAX OFFICE 2
-HOME PHONE 1
-HOME PHONE 2
-MIGRATION DEFAULT
-MOBILE PHONE 1
-ELIXIR FAX 1
-MOBILE PHONE 2
-OFFICE PHONE 1
-OFFICE PHONE 2
-OVERSEAS HOME PHONE</t>
  </si>
  <si>
    <t>-FAXH
-CPHONE
-FAXO1
-FAXO2
-HOMEPH1
-HOMEPH2
-MIGR
-CELLPH1
-ELFX1
-CELLPH2
-OFFCPH1
-OFFCPH2
-OVHOMEPH</t>
  </si>
  <si>
    <t>Phone No.</t>
  </si>
  <si>
    <t>Finacle CRM -&gt; General -&gt; Contact -&gt; Phone and E-mail -&gt; Phone and E-mail Details -&gt; Phone No.</t>
  </si>
  <si>
    <t xml:space="preserve">PHONEOREMAIL = 'PHONE' </t>
  </si>
  <si>
    <t>Phone Type</t>
  </si>
  <si>
    <t>Finacle CRM -&gt; General -&gt; Contact -&gt; Phone and E-mail -&gt; Phone and E-mail Details -&gt; Type</t>
  </si>
  <si>
    <t>-CORPORATE PHONE
-ELIXIR FAX 1
-FAX HOME
-FAX OFFICE 1
-FAX OFFICE 2
-HOME PHONE 1
-HOME PHONE 2
-MIGRATION DEFAULT
-MOBILE PHONE 1
-MOBILE PHONE 2
-OFFICE PHONE 1
-OFFICE PHONE 2
-OVERSEAS HOME PHONE
-OVERSEAS PHONE OF RELATIVE</t>
  </si>
  <si>
    <t>-CPHONE
-ELFX1
-FAXH
-FAXO1
-FAXO2
-HOMEPH1
-HOMEPH2
-MIGR
-CELLPH1
-CELLPH2
-OFFCPH1
-OFFCPH2
-OVHOMEPH
-OVPHRELAT</t>
  </si>
  <si>
    <t>Country Code</t>
  </si>
  <si>
    <t>Finacle CRM -&gt; General -&gt; Contact -&gt; Phone and E-mail -&gt; Phone and E-mail Details Listing -&gt; Country Code</t>
  </si>
  <si>
    <t>PHONENOCOUNTRYCODE</t>
  </si>
  <si>
    <t>Area Code</t>
  </si>
  <si>
    <t>Finacle CRM -&gt; General -&gt; Contact -&gt; Phone and E-mail -&gt; Phone and E-mail Details Listing -&gt; Area Code</t>
  </si>
  <si>
    <t>PHONENOCITYCODE</t>
  </si>
  <si>
    <t>Contact Number</t>
  </si>
  <si>
    <t>Finacle CRM -&gt; General -&gt; Contact -&gt; Phone and E-mail -&gt; Phone and E-mail Details Listing -&gt; Contact Number</t>
  </si>
  <si>
    <t>Extension Number</t>
  </si>
  <si>
    <t>Finacle CRM -&gt; General -&gt; Contact -&gt; Phone and E-mail -&gt; Phone and E-mail Details -&gt; Extension No.</t>
  </si>
  <si>
    <t>WorkExtension</t>
  </si>
  <si>
    <t>30 CHAR</t>
  </si>
  <si>
    <t>Finacle CRM -&gt; General -&gt; Contact -&gt; Phone and E-mail -&gt; Preferred Flag (Preferred Email ID type)</t>
  </si>
  <si>
    <t>PhoneEmailType1</t>
  </si>
  <si>
    <t>WHERE PHONEOREMAIL = 'EMAIL'</t>
  </si>
  <si>
    <t>-CORPORATE EMAIL
-ELIXIR EMAIL 1
-ELIXIR EMAIL 2
-HOME
-MIGRATION DEFAULT
-WORK</t>
  </si>
  <si>
    <t>-CEMAIL
-ELML1
-ELML2
-HOMEEML
-MIGR
-WORKEML</t>
  </si>
  <si>
    <t>Email Type</t>
  </si>
  <si>
    <t xml:space="preserve">WHERE PHONEOREMAIL = 'EMAIL' </t>
  </si>
  <si>
    <t>Email ID</t>
  </si>
  <si>
    <t>Finacle CRM -&gt; General -&gt; Contact -&gt; Phone and E-mail -&gt; Phone and E-mail Details -&gt; E-mail ID</t>
  </si>
  <si>
    <t>Finacle CRM -&gt; General -&gt; Contact -&gt; Address -&gt; Preferred Flag (Preferred Address Type)</t>
  </si>
  <si>
    <t>preferredAddress</t>
  </si>
  <si>
    <t>accounts.orgkey=address.orgkey</t>
  </si>
  <si>
    <t>-Future/OnSite
-HOME COUNTRY
-MAILING
-OFFICE
-RESIDENCE</t>
  </si>
  <si>
    <t>-Future/OnSite
-Home
-Mailing
-OFFICE
-RESIDENCE</t>
  </si>
  <si>
    <t>Address Type</t>
  </si>
  <si>
    <t>Finacle CRM -&gt; General -&gt; Contact -&gt; Address -&gt;  Address Details -&gt; Address Type</t>
  </si>
  <si>
    <t>addressCategory</t>
  </si>
  <si>
    <t>Flat No/ Designation</t>
  </si>
  <si>
    <t>Finacle CRM -&gt; General -&gt; Contact -&gt; Address -&gt; Address Details -&gt; Flat No/ Designation</t>
  </si>
  <si>
    <t>street_no</t>
  </si>
  <si>
    <t>Building / Employer Name</t>
  </si>
  <si>
    <t>Finacle CRM -&gt; General -&gt; Contact -&gt; Address-&gt; Address Details -&gt; Bldg/ Employer Name</t>
  </si>
  <si>
    <t>premise_name</t>
  </si>
  <si>
    <t>Street/ Employee ID</t>
  </si>
  <si>
    <t>Finacle CRM -&gt; General -&gt; Contact -&gt; Address-&gt; Address Details -&gt; Street/ Dep't + Emp ID</t>
  </si>
  <si>
    <t>street_name</t>
  </si>
  <si>
    <t>Residence Type</t>
  </si>
  <si>
    <t>Finacle CRM -&gt; General -&gt; Contact -&gt; Address-&gt; Address Details -&gt; Residence Type</t>
  </si>
  <si>
    <t>userField7</t>
  </si>
  <si>
    <t xml:space="preserve">-FLAT
-MIGRATION DEFAULT
-OTHERS
-OWNED
-PAYING GUEST
-PROVIDED BY EMPLOYER
-RENTED
-WITH FRIENDS
-WITH PARENTS
-WITH RELATIVES </t>
  </si>
  <si>
    <t xml:space="preserve">-FLT
-MIGR
-OTH
-O
-PG
-B
-R
-WFR
-WPR
-WRL </t>
  </si>
  <si>
    <t>Landmark</t>
  </si>
  <si>
    <t>Finacle CRM -&gt; General -&gt; Contact -&gt; Address-&gt; Address Details -&gt; Landmark</t>
  </si>
  <si>
    <t>locality_name</t>
  </si>
  <si>
    <t>Zip code</t>
  </si>
  <si>
    <t>Finacle CRM -&gt; General -&gt; Contact -&gt; Address-&gt; Address Details -&gt; Zip code</t>
  </si>
  <si>
    <t>userField1</t>
  </si>
  <si>
    <t>PO Box</t>
  </si>
  <si>
    <t>Finacle CRM -&gt; General -&gt; Contact -&gt; Address-&gt; Address Details -&gt; P O Box</t>
  </si>
  <si>
    <t>zip</t>
  </si>
  <si>
    <t>Emirates/City</t>
  </si>
  <si>
    <t>Finacle CRM -&gt; General -&gt; Contact -&gt; Address-&gt; Address Details -&gt; Emirates/City</t>
  </si>
  <si>
    <t>city</t>
  </si>
  <si>
    <t>State</t>
  </si>
  <si>
    <t>Finacle CRM -&gt; General -&gt; Contact -&gt; Address-&gt; Address Details -&gt; State</t>
  </si>
  <si>
    <t>state</t>
  </si>
  <si>
    <t>Country</t>
  </si>
  <si>
    <t>Finacle CRM -&gt; General -&gt; Contact -&gt; Address-&gt; Address Details -&gt; Country</t>
  </si>
  <si>
    <t>COUNTRY</t>
  </si>
  <si>
    <t>Years in current Address</t>
  </si>
  <si>
    <t>Finacle CRM -&gt; General -&gt; Contact -&gt; Address-&gt; Address Details -&gt; Years in current Address</t>
  </si>
  <si>
    <t>Start_Date</t>
  </si>
  <si>
    <t>Return Mail Flag</t>
  </si>
  <si>
    <t>Finacle CRM -&gt; General -&gt; Contact -&gt; Address-&gt; Address Details -&gt; Return Mail Flag</t>
  </si>
  <si>
    <t>userField6</t>
  </si>
  <si>
    <t>Return Mail Reason</t>
  </si>
  <si>
    <t>Finacle CRM -&gt; General -&gt; Contact -&gt; Address-&gt; Address Details -&gt; Return Mail Reason</t>
  </si>
  <si>
    <t>userField5</t>
  </si>
  <si>
    <t>-RETURNED
-UNKNOWN</t>
  </si>
  <si>
    <t>-RETRN
-UNKWN</t>
  </si>
  <si>
    <t>Hold Mail Indicator</t>
  </si>
  <si>
    <t>Finacle CRM -&gt; General -&gt; Contact -&gt; Address-&gt; Address Details -&gt; Hold Mail Indicator</t>
  </si>
  <si>
    <t>HoldMailFlag</t>
  </si>
  <si>
    <t>Hold Mail Reason</t>
  </si>
  <si>
    <t>Finacle CRM -&gt; General -&gt; Contact -&gt; Address-&gt; Address Details -&gt; Hold Mail Reason</t>
  </si>
  <si>
    <t>HoldMailReason</t>
  </si>
  <si>
    <t>-AS PER COURT ORDER
-CUSTOMER INSTRUCTION
-MIGRATION DEFAULT
-WRITTEN OFF</t>
  </si>
  <si>
    <t>-CAT220189
-CSTIN
-MIGR
-WOFF</t>
  </si>
  <si>
    <t>Business Center Name</t>
  </si>
  <si>
    <t>Finacle CRM -&gt; General -&gt; Contact -&gt; Address-&gt; Address Details -&gt; Business Center Name</t>
  </si>
  <si>
    <t>BusinessCenter</t>
  </si>
  <si>
    <t>Document Details</t>
  </si>
  <si>
    <t>Finacle CRM -&gt; General -&gt; Identification Document Details -&gt; IsPreferred</t>
  </si>
  <si>
    <t>PREFERREDUNIQUEID</t>
  </si>
  <si>
    <t>Document Code</t>
  </si>
  <si>
    <t>Finacle CRM -&gt; General -&gt; Identification Document Details -&gt; Document Code</t>
  </si>
  <si>
    <t>DOCCODE</t>
  </si>
  <si>
    <t>Document Name</t>
  </si>
  <si>
    <t>Finacle CRM -&gt; General -&gt; Identification Document Details -&gt; Identification Document Details -&gt; Document Code Description</t>
  </si>
  <si>
    <t>DocDescr</t>
  </si>
  <si>
    <t>Document ID</t>
  </si>
  <si>
    <t>Finacle CRM -&gt; General -&gt; Identification Document Details -&gt; Unique ID</t>
  </si>
  <si>
    <t>M1,M3</t>
  </si>
  <si>
    <t>DOC-2026-ABX9QW7E3T5Y8Z1L0KJHGFDSAMNBVCXZPOIUYTREWQLKJHGFDSAMNBVCXZPOIUYTREWQLKJHGFDSAMNBVCXZ</t>
  </si>
  <si>
    <t>Issue Date</t>
  </si>
  <si>
    <t>Finacle CRM -&gt; General -&gt; Identification Document Details -&gt; Issue Date</t>
  </si>
  <si>
    <t>DocIssueDate</t>
  </si>
  <si>
    <t>Finacle CRM -&gt; General -&gt; Identification Document Details -&gt; Expiry Date</t>
  </si>
  <si>
    <t>DocExpiryDate</t>
  </si>
  <si>
    <t>Document Verified</t>
  </si>
  <si>
    <t>Finacle CRM -&gt; General -&gt; Identification Document Details -&gt; Identification Document Details -&gt; Is Document Verified</t>
  </si>
  <si>
    <t>IS_DOCUMENT_VERIFIED</t>
  </si>
  <si>
    <t>ID Issued Organisation</t>
  </si>
  <si>
    <t>Finacle CRM -&gt; General -&gt; Identification Document Details -&gt; Identification Document Details -&gt; ID issued Organisation</t>
  </si>
  <si>
    <t>IDIssuedOrganisation</t>
  </si>
  <si>
    <t>-ABU DHABI
-ABU DHABI AIRPORT FREE ZONE (ADAFZ)
-ABU DHABI GLOBAL MARKET
-ABU DHABI INDUSTRIAL DEVELOPMENT BUREAU
-ABU DHABI INDUSTRIAL ZONE
-ABU DHABI MEDIA ZONE
-ADPC - KHALIFA PORT AND INDUSTRIAL ZONE (KPIZ)
-AJMAN
-AJMAN FREE ZONE
-AJMAN MEDIA CITY
-AL AWIR FREE ZONE
-CHAMBER OF COMMERCE
-DEPARTMENT OF ECONOMIC DEVELOPMENT
-DEPARTMENT OF NATURALISATION AND RESIDENCY DUBAI
-DUBAI
-DUBAI ACADEMIC CITY
-DUBAI AIRPORT FREE ZONE
-DUBAI AVIATION CITY
-DUBAI BIOTECHNOLOGY &amp; RESEARCH PARK (DUBIOTECH)
-DUBAI CREATIVE CLUSTERS AUTHORITY
-DUBAI DESIGN DISTRICT
-DUBAI DEVELOPMENT AUTHORITY
-DUBAI HEALTH CARE CITY(DHCC)
-DUBAI HUMANITARIAN CITY
-DUBAI INDUSTRIAL CITY (DIC)
-DUBAI INTERNATIONAL ACADEMIC CITY
-DUBAI INTERNET CITY
-DUBAI INTERNET CITY
-DUBAI INTL. FINANCIAL CENTRE
-DUBAI LOGISTICS CITY
-DUBAI MEDIA CITY
-DUBAI OUTSOURCE ZONE
-DUBAI SCIENCE PARK
-DUBAI SILICON OASIS FZ
-DUBAI STUDIO CITY
-DUBAI TECHNO PARK
-DUBAI TECHNOLOGY AND MEDIA FREE ZONE
-DUBAI WORLD CENTRAL
-DUCAMZ
-DXB METAL &amp; COMMODITIES CENTRE
-ECONOMIC ZONES WORLD
-EMIRATES ID AUTHORITY
-FUJAIRAH
-FUJAIRAH CREATIVE CITY
-FUJAIRAH FREE ZONE
-GOLD AND DIAMOND PARK
-GOVT OF RAK - DEPARTMENT OF CIVIL AVIATION
-GOVT. OF UAQ FREE ZONE
-HAMRIYA FREE ZONE
-HIGHER CORPORATION FOR SPECIALIZED ECONOMIC ZONES
-IFZA (INTERNATIONAL FREE ZONE AUTHORITY)
-INDUSTRIAL CITY OF ABU DHABI
-INTERNATIONAL MEDIA PRODUCTION ZONE
-JEBEL ALI FREE ZONE
-JUMEIRAH LAKE TOWERS
-KNOWLEDGE VILLAGE
-MASDAR CITY FREE ZONE
-MEYDAN FREE ZONE
-MIGRATION DEFAULT
-OVERSEAS
-RAK AIRPORT FREE ZONE
-RAK AVIATION FREE ZONE
-RAK FREE ZONE
-RAK ICC
-RAK INVESTMENT AUTHORITY
-RAK KNOWLEDGE VILLAGE
-RAK MARITIME CITY FREE ZONE AUTHORITY (RMCFZA)
-RAK OFFSHORE
-RAK TRADE ZONE
-RAKEZ
-RAS AL KHAIMAH
-RAS AL KHAIMAH MEDIA FREE ZONE
-SAIF ZONE
-SHARJAH
-SHARJAH FREE ZONE
-SHARJAH MEDIA CITY (SHAMS)
-SHARJAH PUBLISHING CITY FREE ZONE
-TECHNO PARK
-TRAKHEES-PORTS,CUSTOMS&amp;FREEZON
-TWOFOUR54
-U.S.A. REGIONAL TRADE CENTER (USARTC) FREE ZONE
-UMM AL QUWAIN
-ZONES CORP</t>
  </si>
  <si>
    <t>-AD
-ADAFZ
-ADGM
-ADIDB
-ADIZ
-ADMZ
-KPIZ
-AJ
-AZ
-AMC
-AA
-COC
-DED
-DNRD
-DU
-DAC
-DA
-DV
-DUBIO
-DCCA
-DDD
-DDA
-DC
-DH
-DIC
-DIAC
-DI
-DF
-DLC
-DM
-DOZ
-DSP
-SO
-DSC
-DTP
-DTMFZ
-DWC
-DUCAMZ
-DG
-EZW
-EIDA
-FJ
-FCC
-FZ
-GD
-RAV
-UZ
-HZ
-HCSEZ
-IFZA
-ICAD
-IMPZ
-JA
-JL
-KV
-MCFZ
-MFZ
-MIGR
-OS
-RA
-RAKAFZ
-RZ
-RAKIC
-RI
-RK
-RMCFZA
-RAKOFF
-RT
-RAKEZ
-RH
-RAKMFZ
-SAIFZ
-SZ
-SHAMS
-SPCFZ
-TP
-TZ
-TF54
-USARTC
-UQ
-ZC</t>
  </si>
  <si>
    <t>KYC Held</t>
  </si>
  <si>
    <t>KYC Details</t>
  </si>
  <si>
    <t xml:space="preserve">Finacle CRM -&gt; Psychographic -&gt; KYC Details -&gt; KYC Held </t>
  </si>
  <si>
    <t>UserFlag1</t>
  </si>
  <si>
    <t>KYC Review Date</t>
  </si>
  <si>
    <t>Finacle CRM -&gt; Psychographic -&gt; KYC Details -&gt; KYC Review Date</t>
  </si>
  <si>
    <t>LastContactedDate</t>
  </si>
  <si>
    <t>Expected Monthly Credit Turnover</t>
  </si>
  <si>
    <t>Finacle CRM -&gt; Psychographic -&gt; KYC Details -&gt; Expected Monthly Credit Turnover</t>
  </si>
  <si>
    <t>prefRelshipDiscount1</t>
  </si>
  <si>
    <t>Expected Monthly Cash Credit Turnover Percentage</t>
  </si>
  <si>
    <t>Finacle CRM -&gt; Psychographic -&gt; KYC Details -&gt; Expected Monthly Cash Credit Turnover Percentage</t>
  </si>
  <si>
    <t>prefRelshipDiscountPercent1</t>
  </si>
  <si>
    <t>NUMBER(9,6)</t>
  </si>
  <si>
    <t>Expected Monthly Non Cash Credit Turnover Percentage</t>
  </si>
  <si>
    <t>Finacle CRM -&gt; Psychographic -&gt; KYC Details -&gt; Expected Monthly Non Cash Credit Turnover Percentage</t>
  </si>
  <si>
    <t>prefRelshipDiscountPercent2</t>
  </si>
  <si>
    <t>Expected Highest Non Cash Credit Transaction</t>
  </si>
  <si>
    <t>Finacle CRM -&gt; Psychographic -&gt; KYC Details -&gt; Expected Highest Non Cash Credit Transaction</t>
  </si>
  <si>
    <t>Amount1</t>
  </si>
  <si>
    <t>Expected Highest Cash Credit Transaction</t>
  </si>
  <si>
    <t>Finacle CRM -&gt; Psychographic -&gt; KYC Details -&gt; Expected Highest Cash Credit Transaction</t>
  </si>
  <si>
    <t>prefRelshipDiscount2</t>
  </si>
  <si>
    <t>01.Non Individual Customer</t>
  </si>
  <si>
    <t xml:space="preserve">corporate </t>
  </si>
  <si>
    <t>CORP_KEY</t>
  </si>
  <si>
    <t>Master Table(pk=CORP_KEY)</t>
  </si>
  <si>
    <t>entity_create_flg = 'Y'</t>
  </si>
  <si>
    <t>Company Name</t>
  </si>
  <si>
    <t>Finacle CRM -&gt; General -&gt; Basic Info -&gt; Name of Company/ Firm</t>
  </si>
  <si>
    <t>corporate_Name</t>
  </si>
  <si>
    <t>status_desc</t>
  </si>
  <si>
    <t>-ACTIVE
-INACTIVE
-MIGRATION DEFAULT</t>
  </si>
  <si>
    <t>-ACTVE
-INACT
-MIGR</t>
  </si>
  <si>
    <t>Trade License Number</t>
  </si>
  <si>
    <t>Finacle CRM -&gt; General -&gt; Identification Document Details -&gt; Unique ID (Based on Trade License Number, Document Type = TDLIC)</t>
  </si>
  <si>
    <t>corporate.corp_key=entitydocument.orgkey</t>
  </si>
  <si>
    <t>Date of Business Establishment</t>
  </si>
  <si>
    <t>Finacle CRM -&gt; General -&gt; Basic Info -&gt; Date of Business Establishment</t>
  </si>
  <si>
    <t>date_Of_Incorporation</t>
  </si>
  <si>
    <t>PREFERREDEMAILTYPE</t>
  </si>
  <si>
    <t>relationship_StartDate</t>
  </si>
  <si>
    <t xml:space="preserve"> select ACCOUNTS.ORGKEY,CORPORATE.relationship_StartDate  as  Customer_Since from crmuser.corporate 
 JOIN  CRMUSER.ACCOUNTS ON ACCOUNTS.ORGKEY = CORPORATE.CORP_KEY
 where entity_create_flg = 'Y'</t>
  </si>
  <si>
    <t>PREFERREDPHONETYPE</t>
  </si>
  <si>
    <t>-CEMAIL 
-ELML1  
-ELML2  
-HOMEEML
-MIGR   
-WORKEML</t>
  </si>
  <si>
    <t>segment</t>
  </si>
  <si>
    <t>Category_Lang table is used to extract description</t>
  </si>
  <si>
    <t>EnterpriseRetailSMBHealthcareFinanceEducationTechnologyManufacturingLogisticsEnergyTelecomGovernmentNonProfitHospitalityTravelAutomotiveRealEstateAgricultureFoodBeveragePharmaceuticalMediaEntertainmentSportsFashionLuxuryConsumerGoodsECommerceInsuranceConsultingLegal</t>
  </si>
  <si>
    <t>subSegment</t>
  </si>
  <si>
    <t>Finacle CRM -&gt; General -&gt; Basic Info -&gt; Preference of Language</t>
  </si>
  <si>
    <t xml:space="preserve">str7 </t>
  </si>
  <si>
    <t>corporate.corp_key=CorpMiscellaneousInfo.orgkey</t>
  </si>
  <si>
    <t>Select  corporate.corp_key, CorpMiscellaneousInfo.str7 as  DNFBP_Declaration_Status from CRMUSER.CorpMiscellaneousInfo
JOIN  CRMUSER.corporate ON corporate.corp_key=CorpMiscellaneousInfo.orgkey
JOIN CRMUSER.CATEGORIES ON CATEGORIES.VALUE = CorpMiscellaneousInfo.str7 and CATEGORIES.CATEGORYTYPE = 'PREF_LANG'
JOIN CRMUSER.CATEGORY_LANG ON CATEGORY_LANG.CATEGORYID = CATEGORIES.CATEGORYID</t>
  </si>
  <si>
    <t xml:space="preserve"> "Select - CATEGORY_LANG.LOCALTEXT wit below mapping
CATEGORY_LANG.CATEGORYID = CATEGORIES.CATEGORYID
CATEGORIES.VALUE = CorpMiscellaneousInfo.str7
CATEGORIES.CATEGORYTYPE = 'PREF_LANG'"
</t>
  </si>
  <si>
    <t>Company Customer File: Basic Details</t>
  </si>
  <si>
    <t>Finacle CRM -&gt; General -&gt; Basic Info -&gt; Short Name</t>
  </si>
  <si>
    <t>short_Name</t>
  </si>
  <si>
    <t xml:space="preserve"> select ACCOUNTS.ORGKEY,CORPORATE.short_Name  as  Short_Name from crmuser.corporate 
 JOIN  CRMUSER.ACCOUNTS ON ACCOUNTS.ORGKEY = CORPORATE.CORP_KEY
 where entity_create_flg = 'Y'</t>
  </si>
  <si>
    <t>Country of Incorporation</t>
  </si>
  <si>
    <t>Finacle CRM -&gt; General -&gt; Basic Info -&gt; Country of Incorporation</t>
  </si>
  <si>
    <t>CountryOfIncorporation</t>
  </si>
  <si>
    <t>select ACCOUNTS.ORGKEY, CORPORATE.CountryOfIncorporation as Country_of_Incorporation, CATEGORY_LANG.LOCALETEXT from CRMUSER.CORPORATE
JOIN CRMUSER.ACCOUNTS ON ACCOUNTS.ORGKEY = CORPORATE.CORP_KEY
JOIN CRMUSER.CATEGORIES ON CATEGORIES.VALUE = corporate.CountryOfIncorporation and CATEGORIES.CATEGORYTYPE = 'COUNTRY'
JOIN CRMUSER.CATEGORY_LANG ON CATEGORY_LANG.CATEGORYID = CATEGORIES.CATEGORYID
where entity_create_flg = 'Y'</t>
  </si>
  <si>
    <t xml:space="preserve"> "Select - CATEGORY_LANG.LOCALTEXT wit below mapping
CATEGORY_LANG.CATEGORYID = CATEGORIES.CATEGORYID
CATEGORIES.VALUE = corporate.CountryOfIncorporation
CATEGORIES.CATEGORYTYPE = 'COUNTRY'"
</t>
  </si>
  <si>
    <t>Principal Place of Operation</t>
  </si>
  <si>
    <t>Finacle CRM -&gt; General -&gt; Basic Info -&gt; Principal Place of Operation</t>
  </si>
  <si>
    <t>CountryOfPrincipalOperation</t>
  </si>
  <si>
    <t>select ACCOUNTS.ORGKEY, CORPORATE.CountryOfPrincipalOperation as Principal_Place_of_Operation, CATEGORY_LANG.LOCALETEXT from CRMUSER.CORPORATE
JOIN CRMUSER.ACCOUNTS ON ACCOUNTS.ORGKEY = CORPORATE.CORP_KEY
JOIN CRMUSER.CATEGORIES ON CATEGORIES.VALUE = corporate.CountryOfIncorporation and CATEGORIES.CATEGORYTYPE = 'COUNTRY'
JOIN CRMUSER.CATEGORY_LANG ON CATEGORY_LANG.CATEGORYID = CATEGORIES.CATEGORYID
where entity_create_flg = 'Y'</t>
  </si>
  <si>
    <t>Country of Origin</t>
  </si>
  <si>
    <t>Finacle CRM -&gt; General -&gt; Basic Info -&gt; Country of Origin</t>
  </si>
  <si>
    <t>CountryOfOrigin</t>
  </si>
  <si>
    <t>select ACCOUNTS.ORGKEY, CORPORATE.CountryOfOrigin as CountryOfOrigin, CATEGORY_LANG.LOCALETEXT from CRMUSER.CORPORATE
JOIN CRMUSER.ACCOUNTS ON ACCOUNTS.ORGKEY = CORPORATE.CORP_KEY
JOIN CRMUSER.CATEGORIES ON CATEGORIES.VALUE = corporate.CountryOfIncorporation and CATEGORIES.CATEGORYTYPE = 'COUNTRY'
JOIN CRMUSER.CATEGORY_LANG ON CATEGORY_LANG.CATEGORYID = CATEGORIES.CATEGORYID where entity_create_flg = 'Y'</t>
  </si>
  <si>
    <t>Select - CATEGORY_LANG.LOCALTEXT wit below mapping
CATEGORY_LANG.CATEGORYID = CATEGORIES.CATEGORYID
CATEGORIES.VALUE = corporate.CountryOfOrigin
CATEGORIES.CATEGORYTYPE = 'COUNTRY'</t>
  </si>
  <si>
    <t>Legal Entity Type</t>
  </si>
  <si>
    <t>Finacle CRM -&gt; General -&gt; Basic Info -&gt; Legal Entity Type</t>
  </si>
  <si>
    <t>LEGALENTITY_TYPE</t>
  </si>
  <si>
    <t>select ACCOUNTS.ORGKEY, CORPORATE.LEGALENTITY_TYPE as Legal_Entity_Type, CATEGORY_LANG.LOCALETEXT from CRMUSER.CORPORATE
JOIN CRMUSER.ACCOUNTS ON ACCOUNTS.ORGKEY = CORPORATE.CORP_KEY
JOIN CRMUSER.CATEGORIES ON CATEGORIES.VALUE = corporate.LEGALENTITY_TYPE and CATEGORIES.CATEGORYTYPE = 'LEGAL_ENTITY'
JOIN CRMUSER.CATEGORY_LANG ON CATEGORY_LANG.CATEGORYID = CATEGORIES.CATEGORYID
where entity_create_flg = 'Y'</t>
  </si>
  <si>
    <t xml:space="preserve"> "Select - CATEGORY_LANG.LOCALTEXT wit below mapping
CATEGORY_LANG.CATEGORYID = CATEGORIES.CATEGORYID
CATEGORIES.VALUE = corporate.LEGALENTITY_TYPE
CATEGORIES.CATEGORYTYPE = 'LEGAL_ENTITY'"
</t>
  </si>
  <si>
    <t>45 CHAR</t>
  </si>
  <si>
    <t>-BRANCH
-CENTRAL BANK
-CENTRAL/FEDERAL GOVERNMT
-COMMERCIAL BANK
-CORPORATE
-CORRESPONDENT BANK
-EDUCATIONAL INSTITUTIONS- GOVERNMENT OWNED
-EDUCATIONAL INSTITUTIONS- PRIVATE OWNED
-EXCHANGE BROKER &amp; DEALER
-EXCHANGE HOUSE
-FINANCE COMPANY
-FOREIGN COMPANY - PRIVATE LIMITED
-FOREIGN COMPANY - PUBLIC LIMITED
-FOREIGN GOVT.EMBASSIES
-FOUNDATIONS
-FREE ZONE - BRANCH OF A FOREIGN COMPANY
-FREE ZONE - FOREIGN COMPANY
-FREE ZONE - LIMITED LIABILITY COMPANY
-FREE ZONE - OFF SHORE COMPANIES
-FREE ZONE - PARTNERSHIP CONCERN
-FREE ZONE - SOLE ESTABLISHMENT
-FREE ZONE - UNDER FORMATION
-GCC GOVERNMENTS
-GOVERNMENT RELATED ENTITIES
-GOVERNMENT/SEMI GOVERNMENT BANK
-GOVT.OWNED OTHER FIN.INST
-HEAD OFFICE
-INSURANCE COMPANY
-INVESTMENT BROKER &amp;DEALER
-JOINT VENTURE
-LEASING / HIRE PURCHASE
-LIMITED LIABILITY COMPANY (LLC)
-LOCAL BR.OF FOREIGN CO.
-LOCAL/MUNICIPAL GOVERNMT
-OFFSHORE BANKING UNIT
-OTHER FINAN.INSTITUTION
-OTHER NON FINANCIAL INSTITUTION
-PARTNERSHIP
-PRIVATE JOINT STOCK COMPANY
-PUB.SECTOR NON-COMM.INSTN
-PUB.SHAREHOLDING CO.PJSC
-PUBLIC SECTOR COMM.INSTN.
-SECURITY BROKER &amp; DEALER
-SOCIETY/TRUSTS/CLUBS
-SOLE PROPRIETORSHIP
-STATE/EMIRATE GOVERNMENT
-STATUTORY AUTHORITY
-SUBSIDIARY
-UNDER FORMATION COMPANIES</t>
  </si>
  <si>
    <t>-AB
-BC
-DA
-BB
-CORP
-BA
-EG
-EP
-BS
-BP
-BR
-CC
-CB
-DF
-FN
-FB
-FF
-FL
-FO
-FP
-FS
-FU
-DG
-DH
-BD
-BE
-AA
-BX
-BU
-CG
-BV
-CF
-CD
-DC
-BF
-BZ
-OF
-CH
-PJ
-DE
-CA
-DD
-BT
-CJ
-CI
-DB
-SA
-AD
-UF</t>
  </si>
  <si>
    <t>StrUserField9</t>
  </si>
  <si>
    <t xml:space="preserve">
select ACCOUNTS.ORGKEY, CORPORATE.StrUserField9 as Domicile_Branch, CATEGORY_LANG.LOCALETEXT from CRMUSER.CORPORATE
JOIN CRMUSER.ACCOUNTS ON ACCOUNTS.ORGKEY = CORPORATE.CORP_KEY
JOIN CRMUSER.CATEGORIES ON CATEGORIES.VALUE = corporate.StrUserField9 and CATEGORIES.CATEGORYTYPE = 'SERVICE_OUTLET'
JOIN CRMUSER.CATEGORY_LANG ON CATEGORY_LANG.CATEGORYID = CATEGORIES.CATEGORYID
where entity_create_flg = 'Y'</t>
  </si>
  <si>
    <t xml:space="preserve"> "Select - CATEGORY_LANG.LOCALTEXT wit below mapping
CATEGORY_LANG.CATEGORYID = CATEGORIES.CATEGORYID
CATEGORIES.VALUE = corporate.StrUserField9
CATEGORIES.CATEGORYTYPE = 'SERVICE_OUTLET'"
</t>
  </si>
  <si>
    <t>Primary Call Back Contact</t>
  </si>
  <si>
    <t>Finacle CRM -&gt; General -&gt; Basic Info -&gt; Primary and Secondary Details -&gt; Primary Call Back Contact</t>
  </si>
  <si>
    <t>StrUserField1</t>
  </si>
  <si>
    <t xml:space="preserve"> select ACCOUNTS.ORGKEY,CORPORATE.StrUserField1  as  Primary_Call_Back_Contact from crmuser.corporate 
 JOIN  CRMUSER.ACCOUNTS ON ACCOUNTS.ORGKEY = CORPORATE.CORP_KEY
 where entity_create_flg = 'Y'</t>
  </si>
  <si>
    <t>Primary Call Back Contact Number</t>
  </si>
  <si>
    <t>Finacle CRM -&gt; General -&gt; Basic Info -&gt; Primary and Secondary Details -&gt; Primary Call Back Contact Number</t>
  </si>
  <si>
    <t>StrUserField2</t>
  </si>
  <si>
    <t xml:space="preserve"> select ACCOUNTS.ORGKEY,CORPORATE.StrUserField2  as  Primary_Call_Back_Contact_Number from crmuser.corporate 
 JOIN  CRMUSER.ACCOUNTS ON ACCOUNTS.ORGKEY = CORPORATE.CORP_KEY
 where entity_create_flg = 'Y'</t>
  </si>
  <si>
    <t>Secondary Call Back Contact</t>
  </si>
  <si>
    <t>Finacle CRM -&gt; General -&gt; Basic Info -&gt; Primary and Secondary Details -&gt; Secondary Call Back Contact</t>
  </si>
  <si>
    <t>StrUserField3</t>
  </si>
  <si>
    <t xml:space="preserve"> select ACCOUNTS.ORGKEY,CORPORATE.StrUserField3  as  Secondary_Call_Back_Contact from crmuser.corporate 
 JOIN  CRMUSER.ACCOUNTS ON ACCOUNTS.ORGKEY = CORPORATE.CORP_KEY
 where entity_create_flg = 'Y'</t>
  </si>
  <si>
    <t>Secondary Call Back Contact Number</t>
  </si>
  <si>
    <t>Finacle CRM -&gt; General -&gt; Basic Info -&gt; Primary and Secondary Details -&gt; Secondary Call Back Contact Number</t>
  </si>
  <si>
    <t>StrUserField4</t>
  </si>
  <si>
    <t xml:space="preserve"> select ACCOUNTS.ORGKEY,CORPORATE.StrUserField4  as  Secondary_Call_Back_Contact_number from crmuser.corporate 
 JOIN  CRMUSER.ACCOUNTS ON ACCOUNTS.ORGKEY = CORPORATE.CORP_KEY
 where entity_create_flg = 'Y'</t>
  </si>
  <si>
    <t>No of Permanent Employees</t>
  </si>
  <si>
    <t>Finacle CRM -&gt;Financial -&gt; Basic Info-&gt;No of Permanent Employees</t>
  </si>
  <si>
    <t>numberOf_Employees</t>
  </si>
  <si>
    <t>corporate.corp_key=financial.orgkey</t>
  </si>
  <si>
    <t>select  corporate.corp_key, FINANCIAL.numberOf_Employees as  No_of_Permanent_Employees from CRMUSER.FINANCIAL
JOIN CRMUSER.corporate ON corporate.corp_key=financial.orgkey</t>
  </si>
  <si>
    <t>Net worth</t>
  </si>
  <si>
    <t>Finacle CRM -&gt;Financial -&gt; Basic Info-&gt;Net worth</t>
  </si>
  <si>
    <t>cust_Net_Worth</t>
  </si>
  <si>
    <t>select  corporate.corp_key, FINANCIAL.cust_Net_Worth as  Net_worth from CRMUSER.FINANCIAL
JOIN CRMUSER.corporate ON corporate.corp_key=financial.orgkey</t>
  </si>
  <si>
    <t>Company Customer File: Status</t>
  </si>
  <si>
    <t>select ACCOUNTS.ORGKEY, CORPORATE.status_desc as Customer_Status, CATEGORY_LANG.LOCALETEXT from CRMUSER.CORPORATE
JOIN CRMUSER.ACCOUNTS ON ACCOUNTS.ORGKEY = CORPORATE.CORP_KEY
JOIN CRMUSER.CATEGORIES ON CATEGORIES.VALUE = corporate.status_desc and CATEGORIES.CATEGORYTYPE = 'CORP_STATUS'
JOIN CRMUSER.CATEGORY_LANG ON CATEGORY_LANG.CATEGORYID = CATEGORIES.CATEGORYID
where entity_create_flg = 'Y'</t>
  </si>
  <si>
    <t xml:space="preserve">"""Select - CATEGORY_LANG.LOCALTEXT wit below mapping
CATEGORY_LANG.CATEGORYID = CATEGORIES.CATEGORYID
CATEGORIES.VALUE = corporate.status_desc
CATEGORIES.CATEGORYTYPE = 'CORP_STATUS'"""
</t>
  </si>
  <si>
    <t>spec to be received</t>
  </si>
  <si>
    <t>islamic_banking_customer</t>
  </si>
  <si>
    <t xml:space="preserve"> "Select - CATEGORY_LANG.LOCALTEXT wit below mapping
CATEGORY_LANG.CATEGORYID = CATEGORIES.CATEGORYID
CATEGORIES.VALUE = corporate.islamic_banking_customer
CATEGORIES.CATEGORYTYPE = 'CLASSIFICATION'"
</t>
  </si>
  <si>
    <t xml:space="preserve">-BOTH
-CONVENTIONAL
-ISLAMIC </t>
  </si>
  <si>
    <t xml:space="preserve">-B
-C
-I </t>
  </si>
  <si>
    <t>Finacle CRM -&gt; Preferences -&gt; KYC Details -&gt; PEP</t>
  </si>
  <si>
    <t>PREFERENCES</t>
  </si>
  <si>
    <t>MLUSERFIELD4</t>
  </si>
  <si>
    <t>corporate.corp_key=preferences.orgkey</t>
  </si>
  <si>
    <t xml:space="preserve">
Select  corporate.corp_key, PREFERENCES.MLUSERFIELD4 as  PEP from CRMUSER.PREFERENCES
JOIN  CRMUSER.corporate ON corporate.corp_key=preferences.orgkey
JOIN CRMUSER.CATEGORIES ON CATEGORIES.VALUE = PREFERENCES.MLUSERFIELD4 and CATEGORIES.CATEGORYTYPE = 'CAT_PEP_CIF'
JOIN CRMUSER.CATEGORY_LANG ON CATEGORY_LANG.CATEGORYID = CATEGORIES.CATEGORYID</t>
  </si>
  <si>
    <t xml:space="preserve"> "Select - CATEGORY_LANG.LOCALTEXT wit below mapping
CATEGORY_LANG.CATEGORYID = CATEGORIES.CATEGORYID
CATEGORIES.VALUE = corporate.MLUSERFIELD4
CATEGORIES.CATEGORYTYPE = 'CAT_PEP_CIF'"
</t>
  </si>
  <si>
    <t>blacklist_Flag</t>
  </si>
  <si>
    <t xml:space="preserve"> select ACCOUNTS.ORGKEY,CORPORATE.StrUserField19  as  Overall_Blacklisted_Status from crmuser.corporate 
 JOIN  CRMUSER.ACCOUNTS ON ACCOUNTS.ORGKEY = CORPORATE.CORP_KEY
 where entity_create_flg = 'Y'</t>
  </si>
  <si>
    <t>Company Customer File: Status: Blacklisted Details</t>
  </si>
  <si>
    <t>Finacle CRM -&gt; Corporate Search Results -&gt; Drilldown on Blacklisted icon -&gt; View Reason Codes -&gt; Reason Codes</t>
  </si>
  <si>
    <t>corporate.corp_key=OPERATIONSREASONCODES.orgkey</t>
  </si>
  <si>
    <t>Operation='Blacklist'</t>
  </si>
  <si>
    <t>select corporate.corp_key, OPERATIONSREASONCODES.REASONCODE as Reason_Code, CATEGORY_LANG.LOCALETEXT from CRMUSER.OPERATIONSREASONCODES
JOIN CRMUSER.corporate ON corporate.corp_key=OPERATIONSREASONCODES.orgkey
JOIN CRMUSER.CATEGORIES ON CATEGORIES.VALUE = operationsreasoncodes.REASONCODE and CATEGORIES.CATEGORYTYPE = 'BLACKLISTREJECTREASONS'
JOIN CRMUSER.CATEGORY_LANG ON CATEGORY_LANG.CATEGORYID = CATEGORIES.CATEGORYID
where Operation = 'Blacklist'</t>
  </si>
  <si>
    <t xml:space="preserve"> "Select - CATEGORY_LANG.LOCALTEXT wit below mapping
CATEGORY_LANG.CATEGORYID = CATEGORIES.CATEGORYID
CATEGORIES.VALUE = operationsreasoncodes.REASONCODE
CATEGORIES.CATEGORYTYPE = 'BLACKLISTREJECTREASONS'"
</t>
  </si>
  <si>
    <t>Finacle CRM -&gt; Corporate Search Results -&gt; Drilldown on Blacklisted icon -&gt; View Reason Codes -&gt; Commencement Date</t>
  </si>
  <si>
    <t>select corporate.corp_key, OPERATIONSREASONCODES.STARTDATE as Commencement_Date from CRMUSER.OPERATIONSREASONCODES
JOIN CRMUSER.corporate ON corporate.corp_key=OPERATIONSREASONCODES.orgkey;</t>
  </si>
  <si>
    <t>Finacle CRM -&gt; Corporate Search Results -&gt; Drilldown on Blacklisted icon -&gt; View Reason Codes -&gt; Expiry Date</t>
  </si>
  <si>
    <t>select corporate.corp_key, OPERATIONSREASONCODES.EXPIRYDATE  as Expiry_Date from CRMUSER.OPERATIONSREASONCODES
JOIN CRMUSER.corporate ON corporate.corp_key=OPERATIONSREASONCODES.orgkey</t>
  </si>
  <si>
    <t>Finacle CRM -&gt; Corporate Search Results -&gt; Drilldown on Blacklisted icon -&gt; View Reason Codes -&gt; Status</t>
  </si>
  <si>
    <t xml:space="preserve"> select ACCOUNTS.ORGKEY,ACCOUNTS.status  as  Status from crmuser.Accounts 
 JOIN  CRMUSER.CORPORATE ON ACCOUNTS.ORGKEY = CORPORATE.CORP_KEY
 where Entity_cre_flag = 'Y'</t>
  </si>
  <si>
    <t>Finacle CRM -&gt; Corporate Search Results -&gt; Drilldown on Blacklisted icon -&gt; View Reason Codes -&gt; Date of Court Order</t>
  </si>
  <si>
    <t>select corporate.corp_key, OPERATIONSREASONCODES.USERFIELD4  as Court_Order_Date from CRMUSER.OPERATIONSREASONCODES
JOIN CRMUSER.corporate ON corporate.corp_key=OPERATIONSREASONCODES.orgkey</t>
  </si>
  <si>
    <t>Finacle CRM -&gt; Corporate Search Results -&gt; Drilldown on Blacklisted icon -&gt; View Reason Codes -&gt; Date of Circular</t>
  </si>
  <si>
    <t>select corporate.corp_key, OPERATIONSREASONCODES.USERFIELD5  as Circular_Date from CRMUSER.OPERATIONSREASONCODES
JOIN CRMUSER.corporate ON corporate.corp_key=OPERATIONSREASONCODES.orgkey</t>
  </si>
  <si>
    <t>Finacle CRM -&gt; Corporate Search Results -&gt; Drilldown on Blacklisted icon -&gt; View Reason Codes -&gt; Unit</t>
  </si>
  <si>
    <t>select corporate.corp_key, OPERATIONSREASONCODES.USERFIELD3  as Unit from CRMUSER.OPERATIONSREASONCODES
JOIN CRMUSER.corporate ON corporate.corp_key=OPERATIONSREASONCODES.orgkey</t>
  </si>
  <si>
    <t>Finacle CRM -&gt; Corporate Search Results -&gt; Drilldown on Blacklisted icon -&gt; View Reason Codes -&gt; Record Created By</t>
  </si>
  <si>
    <t xml:space="preserve">users </t>
  </si>
  <si>
    <t>accounts.orgkey = operationsreasoncodes.orgkey &amp; operationsreasoncodes.userfield6 = users.personid</t>
  </si>
  <si>
    <t>operationsreasoncodes.OPERATION = 'Blacklist' and CORP_ID is not NULL</t>
  </si>
  <si>
    <t>select accounts.orgkey, users.LOGINID as  Created_By from CRMUSER.users
JOIN CRMUSER.operationsreasoncodes ON operationsreasoncodes.userfield6 = users.personid
JOIN CRMUSER.accounts ON  accounts.orgkey = operationsreasoncodes.orgkey
where operationsreasoncodes.OPERATION = 'Blacklist' and operationsreasoncodes.CORP_ID is not NULL</t>
  </si>
  <si>
    <t>Finacle CRM -&gt; Corporate Search Results -&gt; Drilldown on Blacklisted icon -&gt; View Reason Codes -&gt; Remarks</t>
  </si>
  <si>
    <t xml:space="preserve">
select corporate.corp_key, OPERATIONSREASONCODES.REASONCODEDESCRIPTION  as Remarks from CRMUSER.OPERATIONSREASONCODES
JOIN CRMUSER.corporate ON corporate.corp_key=OPERATIONSREASONCODES.orgkey</t>
  </si>
  <si>
    <t>Finacle CRM -&gt; Corporate Search Results -&gt; Negated</t>
  </si>
  <si>
    <t>Finacle CRM -&gt; General -&gt; Basic Info -&gt; Overall Negated Status</t>
  </si>
  <si>
    <t xml:space="preserve"> select ACCOUNTS.ORGKEY,CORPORATE.StrUserField17  as  Overall_Negated_Status from crmuser.corporate 
 JOIN  CRMUSER.ACCOUNTS ON ACCOUNTS.ORGKEY = CORPORATE.CORP_KEY
 where entity_create_flg = 'Y';</t>
  </si>
  <si>
    <t>Company Customer File: Status: Negated Details</t>
  </si>
  <si>
    <t>Finacle CRM -&gt; Corporate Search Results -&gt; Drilldown on Negated icon -&gt; View Reason Codes -&gt; Reason Codes</t>
  </si>
  <si>
    <t>Operation='Negate'</t>
  </si>
  <si>
    <t>select ACCOUNTS.ORGKEY, OPERATIONSREASONCODES.REASONCODE as Reason_Code, CATEGORY_LANG.LOCALETEXT from CRMUSER.OPERATIONSREASONCODES
JOIN CRMUSER.CORPORATE ON CORPORATE.corp_key=OPERATIONSREASONCODES.orgkey
JOIN CRMUSER.ACCOUNTS ON ACCOUNTS.ORGKEY = corporate.CORP_KEY
JOIN CRMUSER.CATEGORIES ON CATEGORIES.VALUE = operationsreasoncodes.REASONCODE and CATEGORIES.CATEGORYTYPE = 'NEGATIVEREJECTREASONS'
JOIN CRMUSER.CATEGORY_LANG ON CATEGORY_LANG.CATEGORYID = CATEGORIES.CATEGORYID
where Operation='Negate'</t>
  </si>
  <si>
    <t>Select - CATEGORY_LANG.LOCALTEXT wit below mapping
CATEGORY_LANG.CATEGORYID = CATEGORIES.CATEGORYID
CATEGORIES.VALUE = operationsreasoncodes.REASONCODE
CATEGORIES.CATEGORYTYPE = 'NEGATIVEREJECTREASONS'</t>
  </si>
  <si>
    <t>Finacle CRM -&gt; Corporate Search Results -&gt; Drilldown on Negated icon -&gt; View Reason Codes -&gt; Commencement Date</t>
  </si>
  <si>
    <t xml:space="preserve">
select corporate.corp_key, OPERATIONSREASONCODES.STARTDATE  as Commencement_Date from CRMUSER.OPERATIONSREASONCODES
JOIN CRMUSER.corporate ON corporate.corp_key=OPERATIONSREASONCODES.orgkey</t>
  </si>
  <si>
    <t>Finacle CRM -&gt; Corporate Search Results -&gt; Drilldown on Negated icon -&gt; View Reason Codes -&gt; Status</t>
  </si>
  <si>
    <t>" select ACCOUNTS.ORGKEY,ACCOUNTS.status  as  Status from crmuser.Accounts 
 JOIN  CRMUSER.CORPORATE ON ACCOUNTS.ORGKEY = CORPORATE.CORP_KEY
 where Entity_cre_flag = 'Y'"</t>
  </si>
  <si>
    <t>Finacle CRM -&gt; Corporate Search Results -&gt; Drilldown on Negated icon -&gt; View Reason Codes -&gt; Unit</t>
  </si>
  <si>
    <t>Finacle CRM -&gt; Corporate Search Results -&gt; Drilldown on Negated icon -&gt; View Reason Codes -&gt; Record Created By</t>
  </si>
  <si>
    <t>operationsreasoncodes.OPERATION = 'Negate' and CORP_ID is not NULL</t>
  </si>
  <si>
    <t>select accounts.orgkey, users.LOGINID as  Created_By from CRMUSER.users
JOIN CRMUSER.operationsreasoncodes ON operationsreasoncodes.userfield6 = users.personid
JOIN CRMUSER.accounts ON  accounts.orgkey = operationsreasoncodes.orgkey
where operationsreasoncodes.OPERATION = 'Negate' and operationsreasoncodes.CORP_ID is not NULL</t>
  </si>
  <si>
    <t>Finacle CRM -&gt; Corporate Search Results -&gt; Drilldown on Negated icon -&gt; View Reason Codes -&gt; Remarks</t>
  </si>
  <si>
    <t>select corporate.corp_key, OPERATIONSREASONCODES.REASONCODEDESCRIPTION  as Remarks from CRMUSER.OPERATIONSREASONCODES
JOIN CRMUSER.corporate ON corporate.corp_key=OPERATIONSREASONCODES.orgkey</t>
  </si>
  <si>
    <t>str2</t>
  </si>
  <si>
    <t xml:space="preserve"> select  orgkey,corp_id as WAP_Banking from CRMUSER.accounts ;
 select ACCOUNTS.ORGKEY,CORPORATE.str2  as from crmuser.corporate 
 JOIN  CRMUSER.ACCOUNTS ON ACCOUNTS.ORGKEY = CORPORATE.CORP_KEY
 where entity_create_flg = 'Y'</t>
  </si>
  <si>
    <t>str3</t>
  </si>
  <si>
    <t xml:space="preserve"> select ACCOUNTS.ORGKEY,CORPORATE.str3  as SMS_Banking from crmuser.corporate 
 JOIN  CRMUSER.ACCOUNTS ON ACCOUNTS.ORGKEY = CORPORATE.CORP_KEY
 where entity_create_flg = 'Y'</t>
  </si>
  <si>
    <t>str4</t>
  </si>
  <si>
    <t xml:space="preserve"> select ACCOUNTS.ORGKEY,CORPORATE.str4  as Phone_Banking from crmuser.corporate 
 JOIN  CRMUSER.ACCOUNTS ON ACCOUNTS.ORGKEY = CORPORATE.CORP_KEY
 where entity_create_flg = 'Y'</t>
  </si>
  <si>
    <t xml:space="preserve">Join is missing and need to check who can helo here </t>
  </si>
  <si>
    <t>Finacle CRM -&gt; General-&gt; Basic Info -&gt; Primary Relationship Manager ID</t>
  </si>
  <si>
    <t>PrimaryRMLogin_ID</t>
  </si>
  <si>
    <t>PRM-2026-ABCDEFGH1234567890JKLMNOPQRSTUVWX9876543210</t>
  </si>
  <si>
    <t>Finacle CRM -&gt; General-&gt; Basic Info -&gt; Primary Relationship Manager ID drilldown -&gt; User Details -&gt; First Name, Last Name</t>
  </si>
  <si>
    <t>corporate.ACCESSOWNERAGENT = person.PERSONID</t>
  </si>
  <si>
    <t>120 CHAR</t>
  </si>
  <si>
    <t>KwameChinonsoAdeolaNiaZuberiMakenaOluwaseunTayeAmaraChikeObaSekouMandisaKofi</t>
  </si>
  <si>
    <t>Finacle CRM -&gt; General-&gt; Basic Info -&gt; Primary Relationship Manager ID drilldown -&gt; User Details -&gt; Mobile No.</t>
  </si>
  <si>
    <t xml:space="preserve">corporate.ACCESSOWNERAGENT = person.PERSONID AND corporate.corp_key=accounts.orgkey
</t>
  </si>
  <si>
    <t>SELECT accounts.orgkey, Person.PHONE_CELL AS Primary_RM_Mobile
FROM CRMUSER.Person 
JOIN CRMUSER.corporate ON corporate.ACCESSOWNERAGENT = person.PERSONID 
JOIN crmuser.accounts  ON corporate.corp_key=accounts.orgkey</t>
  </si>
  <si>
    <t>Finacle CRM -&gt; General-&gt; Basic Info -&gt; Primary Relationship Manager ID drilldown -&gt; User Details -&gt; Work Phone No.</t>
  </si>
  <si>
    <t>corporate.ACCESSOWNERAGENT = person.PERSONID AND corporate.corp_key=accounts.orgkey</t>
  </si>
  <si>
    <t>SELECT accounts.orgkey, Person.PHONE_WORK AS Primary_RM_Work_Phone
FROM CRMUSER.Person 
JOIN CRMUSER.corporate ON corporate.ACCESSOWNERAGENT = person.PERSONID 
JOIN crmuser.accounts  ON corporate.corp_key=accounts.orgkey;</t>
  </si>
  <si>
    <t>Finacle CRM -&gt; General-&gt; Basic Info -&gt; Primary Relationship Manager ID drilldown -&gt; User Details -&gt; Business Center Name</t>
  </si>
  <si>
    <t>BIZCENTER</t>
  </si>
  <si>
    <t>BIZCENTER.BCID = AGENTS.BCID
AGENTS.PERSONID = USERS.PERSONID
USERS.LOGINID = CORPORATE.PRIMARYRMLOGIN_ID
CORPORATE.CORP_KEY = ACCOUNTS.ORGKEY</t>
  </si>
  <si>
    <t>SELECT accounts.orgkey, BIZCENTER.BCCODE as Primary_RM_Business_Center_Name
FROM CRMUSER.BIZCENTER 
JOIN CRMUSER.AGENTS ON BIZCENTER.BCID = AGENTS.BCID
JOIN CRMUSER.USERS ON AGENTS.PERSONID = USERS.PERSONID
JOIN CRMUSER.CORPORATE ON USERS.LOGINID = CORPORATE.PRIMARYRMLOGIN_ID
JOIN crmuser.accounts  ON corporate.corp_key=accounts.orgkey</t>
  </si>
  <si>
    <t> AGENTS</t>
  </si>
  <si>
    <t>DEFAULTEMAIL</t>
  </si>
  <si>
    <t>AGENTS.PERSONID = USERS.PERSONID
USER.LOGINID = CORPORATE.PRIMARYRM_ID 
CORPORATE.CORP_KEY = ACCOUNTS.ORGKEY</t>
  </si>
  <si>
    <t>SELECT accounts.orgkey, AGENTS.DEFAULTEMAIL as Primary_RM_Email
FROM CRMUSER.AGENTS 
JOIN CRMUSER.USERS ON AGENTS.PERSONID = USERS.PERSONID
JOIN CRMUSER.corporate ON USERS.LOGINID = CORPORATE.SECONDARYRM_ID
JOIN crmuser.accounts  ON corporate.corp_key=accounts.orgkey</t>
  </si>
  <si>
    <t>Mapping Title</t>
  </si>
  <si>
    <t>Finacle CRM -&gt; General-&gt; Basic Info -&gt; Secondary Relationship Manager ID</t>
  </si>
  <si>
    <t>SecondRMLogin_ID</t>
  </si>
  <si>
    <t>USERS.LOGINID = CORPORATE.SECONDARYRMLOGIN_ID
CORPORATE.CORP_KEY = ACCOUNTS.ORGKEY</t>
  </si>
  <si>
    <t>SELECT accounts.orgkey, CORPORATE.SecondRMLogin_ID as Secondary_RM_Code
FROM CRMUSER.CORPORATE 
JOIN CRMUSER.USERS ON USERS.LOGINID = CORPORATE.SecondRMLogin_ID
JOIN crmuser.accounts  ON corporate.corp_key=accounts.orgkey
where entity_create_flg = 'Y';</t>
  </si>
  <si>
    <t>Finacle CRM -&gt; General-&gt; Basic Info -&gt; Secondary Relationship Manager ID drilldown -&gt; User Details -&gt; First Name, Last Name</t>
  </si>
  <si>
    <t>corporate.ACCESSOWNERAGENT = person.PERSONID
CORPORATE.CORP_KEY = ACCOUNTS.ORGKEY</t>
  </si>
  <si>
    <t>SELECT accounts.orgkey, Person.FIRSTNAME as Secondary_RM_Name, Person.LASTNAME  AS Secondary_RM_Name
FROM CRMUSER.Person 
JOIN CRMUSER.corporate ON corporate.ACCESSOWNERAGENT = person.PERSONID 
JOIN crmuser.accounts  ON corporate.corp_key=accounts.orgkey</t>
  </si>
  <si>
    <t>accounts.RELATIONSHIPMGRID = person.PERSONID</t>
  </si>
  <si>
    <t>Finacle CRM -&gt; General-&gt; Basic Info -&gt; Secondary Relationship Manager ID drilldown -&gt; User Details -&gt; Mobile No.</t>
  </si>
  <si>
    <t>SELECT accounts.orgkey, Person.PHONE_CELL as Secondary_RM_Mobile
FROM CRMUSER.Person 
JOIN CRMUSER.corporate ON corporate.ACCESSOWNERAGENT = person.PERSONID 
JOIN crmuser.accounts  ON corporate.corp_key=accounts.orgkey</t>
  </si>
  <si>
    <t>Finacle CRM -&gt; General-&gt; Basic Info -&gt; Secondary Relationship Manager ID drilldown -&gt; User Details -&gt; Work Phone No.</t>
  </si>
  <si>
    <t>SELECT accounts.orgkey, Person.PHONE_WORK as Secondary_RM_Work_Phone
FROM CRMUSER.Person 
JOIN CRMUSER.corporate ON corporate.ACCESSOWNERAGENT = person.PERSONID 
JOIN crmuser.accounts  ON corporate.corp_key=accounts.orgkey</t>
  </si>
  <si>
    <t>Finacle CRM -&gt; General-&gt; Basic Info -&gt; Secondary Relationship Manager ID drilldown -&gt; User Details -&gt; Business Center Name</t>
  </si>
  <si>
    <t>BIZCENTER.BCID = AGENTS.BCID
AGENT.PERSONID = USERS.PERSONID
USERS.LOGINID = CORPORATE.SECONDARYRM_ID
CORPORATE.CORP_KEY = ACCOUNTS.ORGKEY</t>
  </si>
  <si>
    <t>SELECT accounts.orgkey, BIZCENTER.BCCODE as Secondary_RM_Business_Center_Name
FROM CRMUSER.BIZCENTER 
JOIN CRMUSER.AGENTS ON BIZCENTER.BCID = AGENTS.BCID
JOIN CRMUSER.USERS ON AGENTS.PERSONID = USERS.PERSONID
JOIN CRMUSER.CORPORATE ON USERS.LOGINID = CORPORATE.SECONDARYRM_ID
JOIN crmuser.accounts  ON corporate.corp_key=accounts.orgkey</t>
  </si>
  <si>
    <t>AGENTS.PERSONID = USERS.PERSONID
USER.LOGINID = ACCOUNTS.SECONDARYRM_ID
CORPORATE.CORP_KEY = ACCOUNTS.ORGKEY</t>
  </si>
  <si>
    <t>SELECT accounts.orgkey, AGENTS.DEFAULTEMAIL as Secondary_RM_Email
FROM CRMUSER.AGENTS 
JOIN CRMUSER.USERS ON AGENTS.PERSONID = USERS.PERSONID
JOIN CRMUSER.corporate ON USERS.LOGINID = CORPORATE.SECONDARYRM_ID
JOIN crmuser.accounts  ON corporate.corp_key=accounts.orgkey</t>
  </si>
  <si>
    <t>Tertiary RM Code</t>
  </si>
  <si>
    <t>Finacle CRM -&gt; General-&gt; Basic Info -&gt; Tertiary Relationship Manager ID</t>
  </si>
  <si>
    <t>TertiaryRMLogin_ID</t>
  </si>
  <si>
    <t>select ACCOUNTS.ORGKEY,CORPORATE.TertiaryRMLogin_ID  as  Tertiary_RM_Code from crmuser.corporate 
 JOIN  CRMUSER.ACCOUNTS ON ACCOUNTS.ORGKEY = CORPORATE.CORP_KEY
 where entity_create_flg = 'Y'</t>
  </si>
  <si>
    <t>Tertiary RM Name</t>
  </si>
  <si>
    <t>Finacle CRM -&gt; General-&gt; Basic Info -&gt; Tertiary Relationship Manager ID drilldown -&gt; User Details -&gt; First Name, Last Name</t>
  </si>
  <si>
    <t>USERS.LOGINID = CORPORATE.TERTIARYRMLOGIN_ID
corporate.ACCESSOWNERAGENT = person.PERSONID
CORPORATE.CORP_KEY = ACCOUNTS.ORGKEY</t>
  </si>
  <si>
    <t xml:space="preserve">SELECT
    corporate.corp_key,
    person.firstname || ' ' || person.lastname AS Tertiary_RM_Name
FROM CRMUSER.person person
JOIN CRMUSER.corporate corporate
    ON corporate.ACCESSOWNERAGENT = person.PERSONID
JOIN CRMUSER.users users
    ON users.loginid = corporate.TERTIARYRMLOGIN_ID
JOIN CRMUSER.accounts accounts
    ON corporate.corp_key = accounts.orgkey;
</t>
  </si>
  <si>
    <t>Tertiary RM Mobile</t>
  </si>
  <si>
    <t>Finacle CRM -&gt; General-&gt; Basic Info -&gt; Tertiary Relationship Manager ID drilldown -&gt; User Details -&gt; Mobile No.</t>
  </si>
  <si>
    <t xml:space="preserve">"USERS.LOGINID = CORPORATE.TERTIARYRMLOGIN_ID
corporate.ACCESSOWNERAGENT = person.PERSONID
CORPORATE.CORP_KEY = ACCOUNTS.ORGKEY"
</t>
  </si>
  <si>
    <t>SELECT accounts.orgkey, Person.PHONE_CELL as Tertiary_RM_Mobile
FROM CRMUSER.Person 
JOIN CRMUSER.corporate ON corporate.ACCESSOWNERAGENT = person.PERSONID 
JOIN CRMUSER.USERS ON USERS.LOGINID = CORPORATE.TERTIARYRMLOGIN_ID
JOIN crmuser.accounts  ON corporate.corp_key=accounts.orgkey</t>
  </si>
  <si>
    <t>Tertiary RM Work Phone</t>
  </si>
  <si>
    <t>Finacle CRM -&gt; General-&gt; Basic Info -&gt; Tertiary Relationship Manager ID drilldown -&gt; User Details -&gt; Work Phone No.</t>
  </si>
  <si>
    <t>SELECT accounts.orgkey, Person.PHONE_WORK as Tertiary_RM_Work_Phone
FROM CRMUSER.Person 
JOIN CRMUSER.corporate ON corporate.ACCESSOWNERAGENT = person.PERSONID 
JOIN CRMUSER.USERS ON USERS.LOGINID = CORPORATE.TERTIARYRMLOGIN_ID
JOIN crmuser.accounts  ON corporate.corp_key=accounts.orgkey</t>
  </si>
  <si>
    <t>Tertiary RM Business Center Name</t>
  </si>
  <si>
    <t>Finacle CRM -&gt; General-&gt; Basic Info -&gt; Tertiary Relationship Manager ID drilldown -&gt; User Details -&gt; Business Center Name</t>
  </si>
  <si>
    <t xml:space="preserve">"BIZCENTER.BCID = AGENTS.BCID
AGENTS.PERSONID = USERS.PERSONID
USERS.LOGINID = CORPORATE.TERTIARYRMLOGIN_ID
CORPORATE.CORP_KEY = ACCOUNTS.ORGKEY"
</t>
  </si>
  <si>
    <t>SELECT accounts.orgkey, BIZCENTER.BCCODE as Tertiary_RM_Business_Center_Name
FROM CRMUSER.BIZCENTER 
JOIN CRMUSER.AGENTS ON BIZCENTER.BCID = AGENTS.BCID
JOIN CRMUSER.USERS ON AGENTS.PERSONID = USERS.PERSONID
JOIN CRMUSER.CORPORATE ON USERS.LOGINID = CORPORATE.TERTIARYRMLOGIN_ID
JOIN crmuser.accounts  ON corporate.corp_key=accounts.orgkey</t>
  </si>
  <si>
    <t>Tertiary RM Email</t>
  </si>
  <si>
    <t>Derived based on the Tertiary RM contact details.</t>
  </si>
  <si>
    <t>AGENTS.PERSONID = USERS.PERSONID
USER.LOGINID = CORPORATE.TERTIARYRMLOGIN_ID
CORPORATE.CORP_KEY = ACCOUNTS.ORGKEY</t>
  </si>
  <si>
    <t>SELECT accounts.orgkey, AGENTS.DEFAULTEMAIL as Tertiary_RM_Email
FROM CRMUSER.AGENTS 
JOIN CRMUSER.USERS ON AGENTS.PERSONID = USERS.PERSONID
JOIN CRMUSER.corporate ON USERS.LOGINID = CORPORATE.TERTIARYRMLOGIN_ID
JOIN crmuser.accounts  ON corporate.corp_key=accounts.orgkey</t>
  </si>
  <si>
    <t>Finacle CRM -&gt; General-&gt; Basic Info -&gt; Primary Relationship Manager ID drilldown -&gt; User Details -&gt; Manager</t>
  </si>
  <si>
    <t>MANAGER</t>
  </si>
  <si>
    <t>BIZCENTER.BCID = AGENTS.BCID
AGENT.PERSONID = USERS.PERSONID
USERS.LOGINID = CORPORATE.PRIMARYRMLOGIN_ID
CORPORATE.CORP_KEY = ACCOUNTS.ORGKEY</t>
  </si>
  <si>
    <t>SELECT accounts.orgkey, BIZCENTER.BCCODE as Secondary_RM_Business_Center_Name
FROM CRMUSER.BIZCENTER 
JOIN CRMUSER.AGENTS ON BIZCENTER.BCID = AGENTS.BCID
JOIN CRMUSER.USERS ON AGENTS.PERSONID = USERS.PERSONID
JOIN CRMUSER.CORPORATE ON USERS.LOGINID = CORPORATE.PRIMARYRMLOGIN_ID
JOIN crmuser.accounts  ON corporate.corp_key=accounts.orgkey</t>
  </si>
  <si>
    <t>Derived based on the Manager contact details.</t>
  </si>
  <si>
    <t> AGENT,PERSON</t>
  </si>
  <si>
    <t>PHONE_CELL, PHONE_WORK, DEFAULTEMAIL</t>
  </si>
  <si>
    <t>PERSON.PERSONID = AGENT_ENTITY_DETAILS.SUPERVISORID
AGENT_ENTITY_DETAILS.PERSONID = USER.PERSONID
USER.LOGINID = ACCOUNTS.MANAGER &amp; ACCOUNTS.ORGKEY
 AGENTS.PERSONID = AGENT_ENTITY_DETAILS.SUPERVISORID
AGENT_ENTITY_DETAILS.PERSONID = USER.PERSONID
USER.LOGINID = ACCOUNTS.MANAGER &amp; ACCOUNTS.ORGKEY"</t>
  </si>
  <si>
    <t>Query shared with Arvind need confirmation</t>
  </si>
  <si>
    <t>SELECT
    accounts.orgkey,
   -- person.phone_cell   AS Unit_Head_Phone_Cell,
  --  person.phone_work   AS Unit_Head_Phone_Work,
    agents.defaultemail AS Unit_Head_Email
FROM crmuser.agent_entity_details agent_entity_details
JOIN crmuser.users users
    ON agent_entity_details.personid = users.personid
JOIN crmuser.accounts accounts
    ON users.loginid = accounts.manager
JOIN crmuser.person person
    ON agent_entity_details.supervisorid = person.personid
JOIN crmuser.agents agents
    ON agents.personid = agent_entity_details.supervisorid;</t>
  </si>
  <si>
    <t>Company Customer File: Segment Details</t>
  </si>
  <si>
    <t>select ACCOUNTS.ORGKEY, CORPORATE.segment as Segment, CATEGORY_LANG.LOCALETEXT from CRMUSER.CORPORATE
JOIN CRMUSER.ACCOUNTS ON ACCOUNTS.ORGKEY = CORPORATE.CORP_KEY
JOIN CRMUSER.CATEGORIES ON CATEGORIES.VALUE = corporate.SEGMENT and CATEGORIES.CATEGORYTYPE = 'CORP_SEGMENTATION_CLASS'
JOIN CRMUSER.CATEGORY_LANG ON CATEGORY_LANG.CATEGORYID = CATEGORIES.CATEGORYID
where entity_create_flg = 'Y'</t>
  </si>
  <si>
    <t>Select - CATEGORY_LANG.LOCALTEXT wit below mapping
CATEGORY_LANG.CATEGORYID = CATEGORIES.CATEGORYID
CATEGORIES.VALUE = corporate.SEGMENT
CATEGORIES.CATEGORYTYPE = 'CORP_SEGMENTATION_CLASS'</t>
  </si>
  <si>
    <t>Sub Segment</t>
  </si>
  <si>
    <t>select ACCOUNTS.ORGKEY, CORPORATE.subSegment as Sub_Segment, CATEGORY_LANG.LOCALETEXT from CRMUSER.CORPORATE
JOIN CRMUSER.ACCOUNTS ON ACCOUNTS.ORGKEY = CORPORATE.CORP_KEY
JOIN CRMUSER.CATEGORIES ON CATEGORIES.VALUE = corporate.subsegment and CATEGORIES.CATEGORYTYPE = 'CORP_SUB_SEGMENT'
JOIN CRMUSER.CATEGORY_LANG ON CATEGORY_LANG.CATEGORYID = CATEGORIES.CATEGORYID
where entity_create_flg = 'Y'</t>
  </si>
  <si>
    <t xml:space="preserve"> "Select - CATEGORY_LANG.LOCALTEXT wit below mapping
CATEGORY_LANG.CATEGORYID = CATEGORIES.CATEGORYID
CATEGORIES.VALUE = corporate.subsegment
CATEGORIES.CATEGORYTYPE = 'CORP_SUB_SEGMENT'"
</t>
  </si>
  <si>
    <t>sector</t>
  </si>
  <si>
    <t>select ACCOUNTS.ORGKEY, CORPORATE.sector as Industry_Segment, CATEGORY_LANG.LOCALETEXT from CRMUSER.CORPORATE
JOIN CRMUSER.ACCOUNTS ON ACCOUNTS.ORGKEY = CORPORATE.CORP_KEY
JOIN CRMUSER.CATEGORIES ON CATEGORIES.VALUE = corporate.sector and CATEGORIES.CATEGORYTYPE = 'SECTOR_CODE'
JOIN CRMUSER.CATEGORY_LANG ON CATEGORY_LANG.CATEGORYID = CATEGORIES.CATEGORYID
where entity_create_flg = 'Y'</t>
  </si>
  <si>
    <t xml:space="preserve"> "Select - CATEGORY_LANG.LOCALTEXT wit below mapping
CATEGORY_LANG.CATEGORYID = CATEGORIES.CATEGORYID
CATEGORIES.VALUE = corporate.subsegment
CATEGORIES.CATEGORYTYPE = 'SECTOR_CODE'"
</t>
  </si>
  <si>
    <t>-A - GOVERNMENT
-A &amp; A - AGRICULTURE &amp; ALLIED ACTIVITIES
-B - PERSONAL
-C - OTHERS
-CONST - CONSTRUCTION
-EWG - ELECTRICITY WATER &amp; GAS
-FI - FINANCIAL INSTITUTIONS
-MFG - MANUFACTURING
-MQ - MINING AND QUARRYING
-SER - SERVICES
-TRADE - TRADE
-TSC - TRANSPORT, STORAGE &amp; COMMUNICATION</t>
  </si>
  <si>
    <t>Subsector_Code</t>
  </si>
  <si>
    <t>select ACCOUNTS.ORGKEY, CORPORATE.Subsector_Code as Industry_Sub_segment, CATEGORY_LANG.LOCALETEXT from CRMUSER.CORPORATE
JOIN CRMUSER.ACCOUNTS ON ACCOUNTS.ORGKEY = CORPORATE.CORP_KEY
JOIN CRMUSER.CATEGORIES ON CATEGORIES.VALUE = corporate.subsector_code and CATEGORIES.CATEGORYTYPE = 'SUB_SECTOR_CODE'
JOIN CRMUSER.CATEGORY_LANG ON CATEGORY_LANG.CATEGORYID = CATEGORIES.CATEGORYID
where entity_create_flg = 'Y';</t>
  </si>
  <si>
    <t>Select - CATEGORY_LANG.LOCALTEXT wit below mapping
CATEGORY_LANG.CATEGORYID = CATEGORIES.CATEGORYID
CATEGORIES.VALUE = corporate.subsector_code
CATEGORIES.CATEGORYTYPE = 'SUB_SECTOR_CODE'</t>
  </si>
  <si>
    <t>7.5 CHAR</t>
  </si>
  <si>
    <t xml:space="preserve">For A - GOVERNMENT
-FEDERAL GOVERNMENT
-EMIRATE GOVERNMENT
-LOCAL GOVERNMENT 
For A &amp; A - AGRICULTURE &amp; ALLIED ACTIVITIES
-A &amp; A-CULTIVATION OF CROPS
-A &amp; A- FISHING HUNTING TRAPPING
-A &amp; A-POULTRY FARMING
-A &amp; A-CATTLE
-A &amp; A-OTHER LIVESTOCK
-A &amp; A-OTHER ACTIVITIES
-A &amp; A-FORESTRY
-A &amp; A-SHEEP
For B - PERSONAL
-AL MOMIAZ - CORPORATE    
-BRIDGE FINANCE-HOUSE PURCHASE    
-OTHER HOUSE PURCHASE    
-INDIVIDUAL    
-LOANS FOR CREDIT CARD ADVANCES   
-LOANS-PURCH.SHARES/MARGIN LEND   
-LOANS TO PURCHASE SHARES    
-OTHER PERSONAL LOANS (NEC)    
-MORT FIN-UNDER CONST. PROPERTY   
-MORTGAGE FINANCE-READY PROPERT   
-AL MOMIAZ - INDIVIDUAL    
-DEPENDENT 
For C - OTHERS
-INVESTMENT &amp; SECURITIES   
-TRANSFER TO HEAD OFFICE
-ALL OTHERS
-IMPERSONAL-MEMORANDUM
For CONST - CONSTRUCTION
-CONSTN-GEN CONTRACTORS-RESIDEN  
-CONSTN-GEN CONTRACTORS-COMMERC  
-CONSTN-GEN CONTRACTORS-RETAIL   
-CONSTN-OTHER BUILDING CONT. WO  
-CONSTN-ROADS &amp; STREETS        
-CONSTN-WATER,SEWERS,GAS PIPELI  
-CONSTN-CIVIL WORK               
-CONSTN-ELECTRICAL WORK          
-CONSTN-OTHER CONSTRUCTION 
For EWG - ELECTRICITY WATER &amp; GAS   
-EWG-ELECTRICITY, GAS &amp; WATER                
-EWG-INDUSTRIAL AND CONSUMER GAS, CNG       
-EWG-WATER PRODUCTION, INCLDG BOTTLED WATER 
For FI - FINANCIAL INSTITUTIONS
-FI - BANKS
-FI - FINANCIAL NON BANKS
-FI - INSURANCE COMPANIES
-FI - REAL ESTATE
-FI - INVESTMENT &amp; TRUSTS
-FI - BROKERS &amp; SERVICES
-FI - STOCK, SHARE &amp; BOND BROKE
-FI - INVESTMENT COMPANIES
-FI - FINANCIAL INSTN &amp; SERV.
-FI - OTHERS
-IMPERSONAL-BALANCE SHEET
For MFG - MANUFACTURING
-MFG-FOOD
-MFG-BEVERAGES
-MFG-TOBACCO
-MFG-TEXTILE, FABRIC  &amp;  CLOTHING
-MFG-LEATHER,LEATHER PROD &amp; FOOTW
-MFG-LUMBER &amp; WOOD PRODUCTS
-MFG-FURNITURE  &amp;  FIXTURES
-MFG-PAPER  &amp;  PAPER PRODUCTS
-MFG-PRINTING &amp; PUBLISHING
-MFG-CHEMICAL PROD (EXCL.PETRO)
-MFG-PETROL. REF  &amp;  CHEM. PROD.
-MFG-RUBBER &amp;  PLASTIC PROD.
-MFG-STONE,CLAY &amp; GLASS PROD.
-MFG-BASIC METAL PRODS.INCL.ALU
-MFG-FABRICATED METAL PROD.
-MFG-MACH &amp; EQUIP EXCEPT ELECT.
-MFG-ELECTRICAL PRODUCTS
-MFG-MOTOR VEHICLES
-MFG-OTHER TRANSPORT. EQUIP.
-MFG-CONSTRUCTION MATERIALS
-MFG-JEWELLERY  &amp;  RELATED ARTS
-MFG-PAINTS, VARNISHES, LACQUER
-MFG-PLASTIC PRODUCTS
-MFG-CEMENT
-MFG-OTHER MANUFACTURING
-MFG-COMPUTER &amp; OFFICE EQUIP
-MFG-ELEC / HOUSEHOLD APPLIANC.
-MFG-PERSONAL GOODS
-MFG-TRANSPORT EQUIP &amp; PETROL
-MFG-MEDICINAL &amp; PHARMA PRODUCTS
-MFG-INDUS  &amp;  AGRI MACH  &amp;  EQUIPT
-MFG-OPTICALS
-MFG-STATIONARY
-MFG-SOAPS, PERFUMES, COSMETICS, ETC
-MFG-GLASS AND GLASS PRODUCTS
-MFG-BASIC IND CHEMICAL (EXCEPT-FERTILIZERS)
-MFG-FERTILIZERS AND PESTICIDES
-MFG-TILES AND STRUCTURAL CLAY PRODUCTS
-MFG-SANITARY, BATHROOM FITTINGS
-MFG-OTHER CHEMICAL PRODUCTS
-MFG-PETROLEUM REFINERY
-MFG-MISCELLANEOUS PRODUCTS OF PETROLEUM
-MFG-TYRE AND TUBES
-MFG-OTHER PETROLEUM (NOT INCLUDED ELSEWHERE)
-MFG-IRON AND BASIC INDUSTRIES
-MFG-NON-FERROUS METAL BASIC INDUSTRIES
-MFG-CUTLERY, HANDTOOLS AND HARDWARE
-MFG-RADIO, TV, COMM EQUIPMENT
-MFG-SHIPBUILDING AND REPAIRING
For MQ - MINING AND QUARRYING
-M &amp; Q-CRUDE PET  &amp;  NATURAL GAS
-M &amp; Q-COAL EXTRACTION
-M &amp; Q-METAL MINING
-M &amp; Q-OTHER MINING
-M &amp; Q-NON METALLIC MINING
For SER - SERVICES
-PUBLIC ADMIN - ADMINISTRATIVE
-PUBLIC ADMIN - UTILITIES
-PUBLIC ADMIN - SERVICES
-SERVICES - MOTELS,HOTELS &amp; RESTA
-SERVICES - PERSONAL
-SERVICES - BUSINESS
-SERVICES - REPAIR
-SERVICES - MEDICAL
-SERVICES - EDUCATIONAL
-SERVICES - RECREATION
-SERVICES - REAL EST. DEV.(RES)
-SERVICES - REAL EST. DEV (IND)
-SERVICES - SOCIAL WELFARE  &amp;  RE
-SERVICES - SOCIAL WELFARE
-SERVICES - COMMUNITY
-SERVICES - TRAVEL AGENTS
-SERVICES - OTHERS
-SERVICES-  GEN CONTRACTORS
-SERVICES  -PETRO REF &amp; CHEM PROD
-SERVICES-INDUS &amp; AGRI MACH EQUIP
-SERVICES-PRINTING AND PUBLISHING
-SERVICES-TRANSPORT EQUIP &amp; PETRO
-SERVICES - ENTERTAINMENT
-SERVICES-CARGO LOGSTCS &amp; FWRDNG
-SERVICES-FURNITRE &amp;  FURNSHINGS
-SERVICES - PACKING  &amp;  PACKAGING
-SERVICES - MOTOR VEHICLES
-SERVICES-METAL PRODS.INCL.ALU
-SERVICES-STONE,CLAY &amp; GLASS PROD
-SERVICES - REAL EST. DEV.(RES)
-MANPOWER  &amp;  RECRUITMENT COMPANY
-SERVICES-CUMPUTER &amp; IT INDUSTRY
-TOURISM  &amp;  TRAVEL COMPANY
-SERVICES - ACCOUNTING AND CONSULTING
-ARCHITECTURAL, CONSULTING ENGINEERING
-SERVICES - ADVERTISING
For TRADE - TRADE
-WST-FOOD, DRINK  &amp;  TOBACCO   
-WST-CONSTRUCTION MATERIALS   
-WST-MOTOR VEHICLES   
-WST-ELECTRICAL GOODS   
-WST-FURNITURE, HOME FURNG, ETC   
-WST-MEDICINAL &amp; PHARMA PROD.   
-WST-INDUST, AGRI MACH  &amp;  EQUIP.   
-WST-TRANSPORT EQUIP.   
-WST-MACHINES  &amp;  EQUIP.   
-WST-ELEC / HOUSEHOLD APPLIANC.   
-WST-PAPER,PAPER PROD  &amp;  STY.   
-WST-SPECIFIC COMMODITIES (NEC)   
-WST-GEN IMPORTERS &amp; EXPORTERS   
-WST-WHOLESALE TRADE-OTHERS(NEC   
-RT-FOOD  &amp;  BEVERAGES   
-RT-TEXTILES  &amp;  WEARING APPAREL   
-RT-PERSONAL GOODS / JEWELLERY   
-RT-FURNITURE,FURNISHINGS &amp; H.HOL   
-RT-TRANSPORT EQUIP &amp; PETROL   
-RT-BOOKS, MAGAZINES &amp; PAPER PROD   
-RT-COMPUTER &amp; OFFICE EQUIP.   
-RT-HARDWARE  &amp;  BUILDERS MAT.   
-RT-SPECIFIC COMMODITIES (NEC)   
-RT-SUPERMARKETS,DEPT. STORES,E   
-RT-PHARMACIES, DRUG STORES, ET   
-RT-HOTELS,LODGING &amp; BOARDING HOU   
-RT-RESTAURANTS  &amp;  CATERING   
-RT-AUTOMOTIVE   
-RT-OTHER RETAIL TRADE   
-RT IN ELECTRONIC  &amp;  ELECT.EQUIP   
-RT-CEMENT   
-RT-BASIC METAL PRODS.INCL.ALU   
-RT-CHEMICAL PROD (EXCL.PETRO)   
-RT-ELEC / HOUSEHOLD APPLIANC.   
-RT-ELECTRICAL PRODUCTS   
-RT-LUMBER &amp; WOOD PRODUCTS   
-RT-MACH &amp; EQUIP EXCEPT ELCTRICAL   
-RT-MOTOR VEHICLES   
-RT-PAINT,VARNISH,LACQUERS ETC   
-RT-STATIONARY   
-WST-BASIC METAL PRODS.INCL.ALU   
-WST-CHEMICAL PROD (EXCL.PETRO)   
-WST-COMPUTER &amp; OFFICE EQUIP   
-WST-FABRICATED METAL PRODUCTS   
-WST-HARDWARE &amp; BUILDRS MATERIALS   
-WST-JEWELLERY  &amp;  RELATED ARTS   
-WST-LEATHER,LEATHR PROD &amp; FOOTWR   
-WST-PERSONAL GOODS   
-WST-STONE,CLAY &amp; GLASS PROD   
-WST-SUPERMRKTS,DEPT.STORES,ETC   
-WST-TEXTILE, FABRIC  &amp;  CLOTHING   
-RT-STONE,CLAY &amp; GLASS PROD   
-RT-PAPER  &amp;  PAPER PRODUCTS   
-RT-RUBBER &amp;  PLASTIC PRODUCTS   
-RT-TOBACCO   
-RT-OPTICALS   
-RT-LEATHER,LEATHER PROD &amp; FOOTW   
-RT-COAL EXTRACTION   
-RT - PLANTS  &amp;  FLOWERS   
-RT-MOBILE PHONES  &amp;  ACCESSORIES   
-WST-LUMBER &amp; WOOD PRODUCTS   
-WST-PAINT,VARNISH,LACQUERS ETC   
-WST-RUBBER &amp;  PLASTIC PRODUCTS   
-WST - PLANTS  &amp;  FLOWERS   
-RT-BOOKS, MAGAZINES &amp; PAPER PROD   
-WST-FISHING HUNTING TRAPPING   
-WST-LIVESTOCK   
-WST-CRUDE PETRO  &amp;  NATURAL GAS   
-WST-SHEEP   
-WST-CATTLE   
-WST-COAL EXTRACTION   
-WST-OPTICALS   
-WST - MOBILE PHONES   
-WST-CEMENT   
-RT-FISHING HUNTING TRAPPING   
-RT-CATTLE   
-RT-CRUDE PETRO  &amp;  NATURAL GAS   
-RT-FABRICATED METAL PRODUCTS   
-GENERAL TRADING COMPANY   
-RENT A CAR   
For TSC - TRANSPORT, STORAGE &amp; COMMUNICATION
-TSC - TAXIS  &amp;  OTHER LAND TRANS
-TSC - FREIGHT TRANSPORT BY ROA  
-TSC - SUPPORT SERVICE LAND TRA  
-TSC - WATER TRANSPORTATION      
-TSC - WATER TRANSPORTATION      
-TSC - SUPPORT SERV. WATER TRAN  
-TSC - SUPPORT SERV.WATER TRANS  
-TSC - POSTAL SERVICES      
-TSC - AIR TRANSPORTATION      
-TSC - SUPPORT SERVICE AIR TRAN  
-TSC - SERVICE ALLIED TRANSP
-TSC - COMMUNICATION SERVICES    
-TSC - WATEHOUSING  &amp;  STORAGE   
-TSC - OTHERS      
-TSC -  INFORMATION TECHNOLOGY    </t>
  </si>
  <si>
    <t xml:space="preserve">For A - GOVERNMENT
-WA 
-WB 
-WC 
For A &amp; A - AGRICULTURE &amp; ALLIED ACTIVITIES
-KA  
-KC  
-KD  
-KF  
-KG  
-KH  
-KB  
-KE  
For B - PERSONAL
-CM       
-VA       
-VB       
-VC       
-VD       
-VE       
-VF       
-VG       
-VY       
-VZ       
-PM       
-DEPEN
For C - OTHERS
-IH 
-IZ 
-XA 
-ZC 
For CONST - CONSTRUCTION
-NA      
-NB      
-NC      
-ND      
-NE      
-NF      
-NG      
-NH      
-NI   
For EWG - ELECTRICITY WATER &amp; GAS
-OA    
-OB 
-OC 
For FI - FINANCIAL INSTITUTIONS
-UA
-UB
-UC
-UD
-UE
-UF
-UG
-UH
-UI
-UJ
-ZA
For MFG - MANUFACTURING
-MA 
-MB 
-MC 
-MD 
-ME 
-MF 
-MG 
-MH 
-MI 
-MJ 
-MK 
-ML 
-MM 
-MN 
-MO 
-MP 
-MQ 
-MR 
-MS 
-MT 
-MX 
-MU 
-MV 
-MW 
-MY 
-MZ 
-CG 
-CF 
-CC 
-CB 
-CD 
-CE 
-CH 
-MJC
-MTC
-MJA
-MJB
-MTA
-MTB
-MJD
-MKA
-MKB
-MKC
-MKE
-MNA
-MNB
-MNC
-CU 
-CV 
For MQ - MINING AND QUARRYING
-LA 
-LB 
-LC 
-LE 
-LD 
For SER - SERVICES
-PA 
-PB 
-PC 
-SA 
-SB 
-SC 
-SD 
-SE 
-SF 
-SG 
-SH 
-SJ 
-SN 
-SK 
-SL 
-SM 
-SO 
-SQ 
-ST 
-SW 
-SU 
-SV 
-SX 
-SZ 
-AO 
-AP 
-AS 
-AT 
-AU 
-SI 
-PR 
-SY 
-TT 
-DC 
-DA 
-DB 
For TRADE - TRADE
-QC
-QA
-QB
-QI
-QD
-QE
-QF
-QG
-QH
-QJ
-QK
-QL
-QM
-QN
-RA
-RB
-RC
-RD
-RE
-RF
-RG
-RH
-RI
-RJ
-RK
-RL
-RM
-RN
-RO
-RT
-RW
-RV
-RX
-AK
-RY
-AB
-AC
-AD
-AE
-AL
-QU
-QW
-BF
-QX
-BG
-QY
-QZ
-BJ
-BD
-BH
-BE
-AH
-AF
-AG
-AI
-AJ
-AM
-AN
-AQ
-AR
-BA
-BB
-BC
-BL
-EF
-QO
-QP
-QT
-QQ
-QR
-QS
-BI
-BK
-QV
-RP
-RS
-RU
-RZ
-GT
-RQ
For TSC - TRANSPORT, STORAGE &amp; COMMUNICATION
-TA  
-TB  
-TC  
-TD  
-TE  
-TF  
-TG  
-TK  
-TH  
-TI  
-TJ  
-TL  
-TM  
-TN  
-TO   </t>
  </si>
  <si>
    <t>select ACCOUNTS.ORGKEY, CORPORATE.islamic_banking_customer as  Customer_Classification, CATEGORY_LANG.LOCALETEXT from CRMUSER.CORPORATE
JOIN CRMUSER.ACCOUNTS ON ACCOUNTS.ORGKEY = CORPORATE.CORP_KEY
JOIN CRMUSER.CATEGORIES ON CATEGORIES.VALUE = corporate.subsector_code and CATEGORIES.CATEGORYTYPE = 'SUB_SECTOR_CODE'
JOIN CRMUSER.CATEGORY_LANG ON CATEGORY_LANG.CATEGORYID = CATEGORIES.CATEGORYID
where entity_create_flg = 'Y'</t>
  </si>
  <si>
    <t xml:space="preserve"> "Select - CATEGORY_LANG.LOCALTEXT wit below mapping
CATEGORY_LANG.CATEGORYID = CATEGORIES.CATEGORYID
CATEGORIES.VALUE = corporate.subsector_code
CATEGORIES.CATEGORYTYPE = 'SUB_SECTOR_CODE'"
</t>
  </si>
  <si>
    <t>StrUserField7</t>
  </si>
  <si>
    <t>select  orgkey,corp_id as  from CRMUSER.accounts ;
 select ACCOUNTS.ORGKEY,CORPORATE.StrUserField7  as GCD_Number from crmuser.corporate 
 JOIN  CRMUSER.ACCOUNTS ON ACCOUNTS.ORGKEY = CORPORATE.CORP_KEY
 where entity_create_flg = 'Y'</t>
  </si>
  <si>
    <t>region</t>
  </si>
  <si>
    <t>select ACCOUNTS.ORGKEY, CORPORATE.region as  Reason_for_making_Customer_Inactive, CATEGORY_LANG.LOCALETEXT from CRMUSER.CORPORATE
JOIN CRMUSER.ACCOUNTS ON ACCOUNTS.ORGKEY = CORPORATE.CORP_KEY
JOIN CRMUSER.CATEGORIES ON CATEGORIES.VALUE = corporate.region and CATEGORIES.CATEGORYTYPE = 'REASON_CORP'
JOIN CRMUSER.CATEGORY_LANG ON CATEGORY_LANG.CATEGORYID = CATEGORIES.CATEGORYID
where entity_create_flg = 'Y'</t>
  </si>
  <si>
    <t>Select - CATEGORY_LANG.LOCALTEXT wit below mapping
CATEGORY_LANG.CATEGORYID = CATEGORIES.CATEGORYID
CATEGORIES.VALUE = corporate.region
CATEGORIES.CATEGORYTYPE = 'REASON_CORP'</t>
  </si>
  <si>
    <t>dsaID</t>
  </si>
  <si>
    <t>select ACCOUNTS.ORGKEY, CORPORATE.dsaID as  Customer_Sourced_By, CATEGORY_LANG.LOCALETEXT from CRMUSER.CORPORATE
JOIN CRMUSER.ACCOUNTS ON ACCOUNTS.ORGKEY = CORPORATE.CORP_KEY
JOIN CRMUSER.CATEGORIES ON CATEGORIES.VALUE = corporate.flag1 and CATEGORIES.CATEGORYTYPE = 'CREDIT_GRADING_CODE'
JOIN CRMUSER.CATEGORY_LANG ON CATEGORY_LANG.CATEGORYID = CATEGORIES.CATEGORYID
where entity_create_flg = 'Y'</t>
  </si>
  <si>
    <t xml:space="preserve"> "Select - CATEGORY_LANG.LOCALTEXT wit below mapping
CATEGORY_LANG.CATEGORYID = CATEGORIES.CATEGORYID
CATEGORIES.VALUE = corporate.flag1
CATEGORIES.CATEGORYTYPE = 'CREDIT_GRADING_CODE'"
</t>
  </si>
  <si>
    <t>primary_Service_Center</t>
  </si>
  <si>
    <t>select ACCOUNTS.ORGKEY, CORPORATE.primary_Service_Center as  Source_Branch_SOL_POS, CATEGORY_LANG.LOCALETEXT from CRMUSER.CORPORATE
JOIN CRMUSER.ACCOUNTS ON ACCOUNTS.ORGKEY = CORPORATE.CORP_KEY
JOIN CRMUSER.CATEGORIES ON CATEGORIES.VALUE = corporate.primary_service_center and CATEGORIES.CATEGORYTYPE = 'SERVICE_OUTLET'
JOIN CRMUSER.CATEGORY_LANG ON CATEGORY_LANG.CATEGORYID = CATEGORIES.CATEGORYID
where entity_create_flg = 'Y'</t>
  </si>
  <si>
    <t>Select - CATEGORY_LANG.LOCALTEXT wit below mapping
CATEGORY_LANG.CATEGORYID = CATEGORIES.CATEGORYID
CATEGORIES.VALUE = corporate.primary_service_center
CATEGORIES.CATEGORYTYPE = 'SERVICE_OUTLET'</t>
  </si>
  <si>
    <t>mlUserField4</t>
  </si>
  <si>
    <t xml:space="preserve"> select ACCOUNTS.ORGKEY,CORPORATE.mlUserField4  as Risk_Profile from crmuser.corporate 
 JOIN  CRMUSER.ACCOUNTS ON ACCOUNTS.ORGKEY = CORPORATE.CORP_KEY
 where entity_create_flg = 'Y'</t>
  </si>
  <si>
    <t>RISK_PROFILE_EXPIRY_DATE</t>
  </si>
  <si>
    <t xml:space="preserve"> select ACCOUNTS.ORGKEY,CORPORATE.RISK_PROFILE_EXPIRY_DATE  as Risk_Profile_Expiry_Date from crmuser.corporate 
 JOIN  CRMUSER.ACCOUNTS ON ACCOUNTS.ORGKEY = CORPORATE.CORP_KEY
 where entity_create_flg = 'Y'</t>
  </si>
  <si>
    <t>flag1</t>
  </si>
  <si>
    <t xml:space="preserve"> select ACCOUNTS.ORGKEY,CORPORATE.flag1  as Credit_Grading_Code from crmuser.corporate 
 JOIN  CRMUSER.ACCOUNTS ON ACCOUNTS.ORGKEY = CORPORATE.CORP_KEY
 where entity_create_flg = 'Y'</t>
  </si>
  <si>
    <t>-BANK
-G1-CENTRAL GOVERNMENT
-G2-STATE GOVERNMENT
-G3-OTHER GOVERNMENT
-P2-PERSONAL ACCEPTABLE CREDIT
-P4-PERSONAL PROBLEM CREDIT
-P6-PERSONAL LOSS
-R1 - BUSINESS - SCORE 90-100
-R2 - BUSINESS - SCORE 80-90
-R3 - BUSINESS - SCORE 65-79
-R4 - BUSINESS - SCORE 50-64
-R5- BUSINESS - SCORE 35-49
-R6 - BUSINESS - SCORE 20-34
-S7 -BUSINESS -SCORE 19 OR LESS
-S8-BUSINESS-SUB-STANDARD GRADE 8
-S9-BUSINEES-SUB-STANDARD GRADE 9
-TECHNICAL DOWNGRADE
-W1-WRITE OFF ACCOUNT</t>
  </si>
  <si>
    <t>-BANK
-G1
-G2
-G3
-P2
-P4
-P6
-R1
-R2
-R3
-R4
-R5
-R6
-S7
-S8
-S9
-S7.1
-W1</t>
  </si>
  <si>
    <t>flag2</t>
  </si>
  <si>
    <t>select ACCOUNTS.ORGKEY, CORPORATE.flag2 as  Group_Credit_Grading, CATEGORY_LANG.LOCALETEXT from CRMUSER.CORPORATE
JOIN CRMUSER.ACCOUNTS ON ACCOUNTS.ORGKEY = CORPORATE.CORP_KEY
JOIN CRMUSER.CATEGORIES ON CATEGORIES.VALUE = corporate.flag2 and CATEGORIES.CATEGORYTYPE = 'GROUP_CREDIT_GRADING'
JOIN CRMUSER.CATEGORY_LANG ON CATEGORY_LANG.CATEGORYID = CATEGORIES.CATEGORYID
where entity_create_flg = 'Y'</t>
  </si>
  <si>
    <t>Select - CATEGORY_LANG.LOCALTEXT wit below mapping
CATEGORY_LANG.CATEGORYID = CATEGORIES.CATEGORYID
CATEGORIES.VALUE = corporate.flag2
CATEGORIES.CATEGORYTYPE = 'GROUP_CREDIT_GRADING'</t>
  </si>
  <si>
    <t>str5</t>
  </si>
  <si>
    <t>select ACCOUNTS.ORGKEY,CORPORATE.str5  as Dormant from crmuser.corporate 
 JOIN  CRMUSER.ACCOUNTS ON ACCOUNTS.ORGKEY = CORPORATE.CORP_KEY
 where entity_create_flg = 'Y</t>
  </si>
  <si>
    <t>StrUserField5</t>
  </si>
  <si>
    <t>select ACCOUNTS.ORGKEY,CORPORATE.StrUserField5 as Pre_Dormantfrom crmuser.corporate 
 JOIN  CRMUSER.ACCOUNTS ON ACCOUNTS.ORGKEY = CORPORATE.CORP_KEY
 where entity_create_flg = 'Y'</t>
  </si>
  <si>
    <t>trade_Services_Availed</t>
  </si>
  <si>
    <t>select ACCOUNTS.ORGKEY,CORPORATE.trade_Services_Availed  as Trade_Finance from crmuser.corporate 
 JOIN  CRMUSER.ACCOUNTS ON ACCOUNTS.ORGKEY = CORPORATE.CORP_KEY
 where entity_create_flg = 'Y'</t>
  </si>
  <si>
    <t>Primary Parent Company</t>
  </si>
  <si>
    <t>Finacle CRM -&gt; General -&gt; Basic Info -&gt; Primary Parent Company</t>
  </si>
  <si>
    <t>PrimaryParentCompany</t>
  </si>
  <si>
    <t xml:space="preserve"> select ACCOUNTS.ORGKEY,CORPORATE.PrimaryParentCompany  as  Primary_Parent_Company from crmuser.corporate 
 JOIN  CRMUSER.ACCOUNTS ON ACCOUNTS.ORGKEY = CORPORATE.CORP_KEY
 where entity_create_flg = 'Y';</t>
  </si>
  <si>
    <t>Finacle CRM -&gt; General -&gt; Basic Info -&gt; Notes</t>
  </si>
  <si>
    <t>mlUserField8</t>
  </si>
  <si>
    <t xml:space="preserve"> select ACCOUNTS.ORGKEY,CORPORATE.mlUserField8  as  Notes from crmuser.corporate 
 JOIN  CRMUSER.ACCOUNTS ON ACCOUNTS.ORGKEY = CORPORATE.CORP_KEY
 where entity_create_flg = 'Y'</t>
  </si>
  <si>
    <t>PREF_CODE</t>
  </si>
  <si>
    <t>select ACCOUNTS.ORGKEY,CORPORATE.PREF_CODE  as  Preference_Code from crmuser.corporate 
 JOIN  CRMUSER.ACCOUNTS ON ACCOUNTS.ORGKEY = CORPORATE.CORP_KEY
 where entity_create_flg = 'Y'</t>
  </si>
  <si>
    <t xml:space="preserve">-3.6600/3.6735     
-3.6600/3.6740     
-3.6600/3.6745     
-3.6600/3.6750     
-3.6600/3.6760     
-3.6600/3.6770     
-3.6670/3.6735     
-3.6670/3.6740     
-3.6670/3.6745     
-3.6670/3.6750     
-3.6670/3.6770     
-3.6680/3.6780     
-3.6690/3.6735     
-3.6690/3.6740     
-3.6690/3.6745     
-3.6690/3.6750     
-3.6690/3.6760     
-3.6690/3.6780     
-3.6700/3.6740     
-3.6700/3.6741     
-3.6700/3.6745     
-3.6700/3.6750     
-3.6705/3.6745     
-3.6705/3.6750     
-3.6710/3.6734     
-3.6710/3.6735     
-3.6710/3.6739     
-3.6710/3.6740     
-3.6710/3.6741     
-3.6710/3.6745     
-3.6710/3.6750     
-3.6715/3.6735     
-3.6715/3.6737     
-3.6715/3.6740     
-3.6715/3.6750     
-3.6720/3.6730     
-3.6720/3.6731     
-3.6720/3.6732     
-3.6720/3.6733     
-3.6720/3.6734     
-3.6720/3.6735     
-3.6720/3.6740     
-3.6720/3.6750     
-3.6725/3.6735     
-BB3.6600/3.6735   
-BB3.6600/3.6740   
-BB3.6600/3.6745   
-BB3.6600/3.6750   
-BB3.6600/3.6760   
-BB3.6600/3.6770   
-BB3.6670/3.6735   
-BB3.6670/3.6740   
-BB3.6670/3.6745   
-BB3.6670/3.6750   
-BB3.6670/3.6770   
-BB3.6680/3.6780   
-BB3.6690/3.6735   
-BB3.6690/3.6740   
-BB3.6690/3.6745   
-BB3.6690/3.6750   
-BB3.6690/3.6760   
-BB3.6690/3.6780   
-BB3.6700/3.6735   
-BB3.6700/3.6740   
-BB3.6700/3.6741   
-BB3.6700/3.6745   
-BB3.6700/3.6750   
-BB3.6705/3.6745   
-BB3.6705/3.6750   
-BB3.6710/3.6734   
-BB3.6710/3.6735   
-BB3.6710/3.6739   
-BB3.6710/3.6740   
-BB3.6710/3.6741   
-BB3.6710/3.6745   
-BB3.6710/3.6750   
-BB3.6715/3.6735   
-BB3.6715/3.6737   
-BB3.6715/3.6740   
-BB3.6715/3.6750   
-BB3.6720/3.6730   
-BB3.6720/3.6731   
-BB3.6720/3.6732   
-BB3.6720/3.6733   
-BB3.6720/3.6734   
-BB3.6720/3.6735   
-BB3.6720/3.6740   
-BB3.6720/3.6750   
-BB3.6725/3.6735   
-BBCMSRVC1         
-BBCMSRVC2         
-BBCMSRVC3         
-BBRVC             
-BE3.6600/3.6735   
-BE3.6600/3.6740   
-BE3.6600/3.6745   
-BE3.6600/3.6750   
-BE3.6600/3.6760   
-BE3.6600/3.6770   
-BE3.6670/3.6735   
-BE3.6670/3.6740   
-BE3.6670/3.6745   
-BE3.6670/3.6750   
-BE3.6670/3.6770   
-BE3.6680/3.6780   
-BE3.6690/3.6735   
-BE3.6690/3.6740   
-BE3.6690/3.6745   
-BE3.6690/3.6750   
-BE3.6690/3.6760   
-BE3.6690/3.6780   
-BE3.6700/3.6735   
-BE3.6700/3.6740   
-BE3.6700/3.6741   
-BE3.6700/3.6745   
-BE3.6700/3.6750   
-BE3.6705/3.6745   
-BE3.6705/3.6750   
-BE3.6710/3.6734   
-BE3.6710/3.6735   
-BE3.6710/3.6739   
-BE3.6710/3.6740   
-BE3.6710/3.6741   
-BE3.6710/3.6745   
-BE3.6710/3.6750   
-BE3.6715/3.6735   
-BE3.6715/3.6737   
-BE3.6715/3.6740   
-BE3.6715/3.6750   
-BE3.6720/3.6730   
-BE3.6720/3.6731   
-BE3.6720/3.6732   
-BE3.6720/3.6733   
-BE3.6720/3.6734   
-BE3.6720/3.6735   
-BE3.6720/3.6740   
-BE3.6720/3.6750   
-BE3.6725/3.6735   
-BEPREF            
-CEPREF            
-EL3.6690/3.6745   
-EL3.6700/3.6741   
-EL3.6710/3.6739   
-EL3.6720/3.6730   
-EL3.6720/3.6732   
-EL3.6720/3.6735   
-HEMLM             
-CMSRVC3           
-CMSRVC2           
-CMSRVC1           
-RVC               
-SRALM             
-SRSME             
-STAFFPR            </t>
  </si>
  <si>
    <t xml:space="preserve">-3.6600/3.6735
-3.6600/3.6740
-3.6600/3.6745
-3.6600/3.6750
-3.6600/3.6760
-3.6600/3.6770
-3.6670/3.6735
-3.6670/3.6740
-3.6670/3.6745
-3.6670/3.6750
-3.6670/3.6770
-3.6680/3.6780
-3.6690/3.6735
-3.6690/3.6740
-3.6690/3.6745
-3.6690/3.6750
-3.6690/3.6760
-3.6690/3.6780
-3.6700/3.6740
-3.6700/3.6741
-3.6700/3.6745
-3.6700/3.6750
-3.6705/3.6745
-3.6705/3.6750
-3.6710/3.6734
-3.6710/3.6735
-3.6710/3.6739
-3.6710/3.6740
-3.6710/3.6741
-3.6710/3.6745
-3.6710/3.6750
-3.6715/3.6735
-3.6715/3.6737
-3.6715/3.6740
-3.6715/3.6750
-3.6720/3.6730
-3.6720/3.6731
-3.6720/3.6732
-3.6720/3.6733
-3.6720/3.6734
-3.6720/3.6735
-3.6720/3.6740
-3.6720/3.6750
-3.6725/3.6735
-BB3.6600/3.6735
-BB3.6600/3.6740
-BB3.6600/3.6745
-BB3.6600/3.6750
-BB3.6600/3.6760
-BB3.6600/3.6770
-BB3.6670/3.6735
-BB3.6670/3.6740
-BB3.6670/3.6745
-BB3.6670/3.6750
-BB3.6670/3.6770
-BB3.6680/3.6780
-BB3.6690/3.6735
-BB3.6690/3.6740
-BB3.6690/3.6745
-BB3.6690/3.6750
-BB3.6690/3.6760
-BB3.6690/3.6780
-BB3.6700/3.6735
-BB3.6700/3.6740
-BB3.6700/3.6741
-BB3.6700/3.6745
-BB3.6700/3.6750
-BB3.6705/3.6745
-BB3.6705/3.6750
-BB3.6710/3.6734
-BB3.6710/3.6735
-BB3.6710/3.6739
-BB3.6710/3.6740
-BB3.6710/3.6741
-BB3.6710/3.6745
-BB3.6710/3.6750
-BB3.6715/3.6735
-BB3.6715/3.6737
-BB3.6715/3.6740
-BB3.6715/3.6750
-BB3.6720/3.6730
-BB3.6720/3.6731
-BB3.6720/3.6732
-BB3.6720/3.6733
-BB3.6720/3.6734
-BB3.6720/3.6735
-BB3.6720/3.6740
-BB3.6720/3.6750
-BB3.6725/3.6735
-BBCMSRVC1
-BBCMSRVC2
-BBCMSRVC3
-BBRVC
-BE3.6600/3.6735
-BE3.6600/3.6740
-BE3.6600/3.6745
-BE3.6600/3.6750
-BE3.6600/3.6760
-BE3.6600/3.6770
-BE3.6670/3.6735
-BE3.6670/3.6740
-BE3.6670/3.6745
-BE3.6670/3.6750
-BE3.6670/3.6770
-BE3.6680/3.6780
-BE3.6690/3.6735
-BE3.6690/3.6740
-BE3.6690/3.6745
-BE3.6690/3.6750
-BE3.6690/3.6760
-BE3.6690/3.6780
-BE3.6700/3.6735
-BE3.6700/3.6740
-BE3.6700/3.6741
-BE3.6700/3.6745
-BE3.6700/3.6750
-BE3.6705/3.6745
-BE3.6705/3.6750
-BE3.6710/3.6734
-BE3.6710/3.6735
-BE3.6710/3.6739
-BE3.6710/3.6740
-BE3.6710/3.6741
-BE3.6710/3.6745
-BE3.6710/3.6750
-BE3.6715/3.6735
-BE3.6715/3.6737
-BE3.6715/3.6740
-BE3.6715/3.6750
-BE3.6720/3.6730
-BE3.6720/3.6731
-BE3.6720/3.6732
-BE3.6720/3.6733
-BE3.6720/3.6734
-BE3.6720/3.6735
-BE3.6720/3.6740
-BE3.6720/3.6750
-BE3.6725/3.6735
-BUSINESS ELITE PREF
-CEPREF
-EL3.6690/3.6745
-EL3.6700/3.6741
-EL3.6710/3.6739
-EL3.6720/3.6730
-EL3.6720/3.6732
-EL3.6720/3.6735
-HEMLM
-RV SME CASH MAX PREF
-RV SME CASH PLUS PREF
-RV SME CASH PREF
-RVC PREF RATE
-SRALM
-SRSME
-STAFFPR                </t>
  </si>
  <si>
    <t>Privilege Type</t>
  </si>
  <si>
    <t>Finacle CRM -&gt; General -&gt; Basic Info -&gt; Privilege Type</t>
  </si>
  <si>
    <t>mlUserField1</t>
  </si>
  <si>
    <t>select ACCOUNTS.ORGKEY, CORPORATE.mlUserField1 as  Privilege_Type, CATEGORY_LANG.LOCALETEXT from CRMUSER.CORPORATE
JOIN CRMUSER.ACCOUNTS ON ACCOUNTS.ORGKEY = CORPORATE.CORP_KEY
JOIN CRMUSER.CATEGORIES ON CATEGORIES.VALUE = corporate.mlUserField1 and CATEGORIES.CATEGORYTYPE = 'PRIVILEGE_TYPE'
JOIN CRMUSER.CATEGORY_LANG ON CATEGORY_LANG.CATEGORYID = CATEGORIES.CATEGORYID
where entity_create_flg = 'Y'</t>
  </si>
  <si>
    <t>Select - CATEGORY_LANG.LOCALTEXT wit below mapping
CATEGORY_LANG.CATEGORYID = CATEGORIES.CATEGORYID
CATEGORIES.VALUE = corporate.mlUserField1
CATEGORIES.CATEGORYTYPE = 'PRIVILEGE_TYPE'</t>
  </si>
  <si>
    <t>-Business Elite
-Commercial Elite
-Normal</t>
  </si>
  <si>
    <t>-B
-C
-N</t>
  </si>
  <si>
    <t>Business Relationship Segment</t>
  </si>
  <si>
    <t>Finacle CRM -&gt; General -&gt; Basic Info -&gt; Business Relationship Segment</t>
  </si>
  <si>
    <t>mlUserField2</t>
  </si>
  <si>
    <t>select ACCOUNTS.ORGKEY, CORPORATE.mlUserField2 as  Privilege_Type, CATEGORY_LANG.LOCALETEXT from CRMUSER.CORPORATE
JOIN CRMUSER.ACCOUNTS ON ACCOUNTS.ORGKEY = CORPORATE.CORP_KEY
JOIN CRMUSER.CATEGORIES ON CATEGORIES.VALUE = corporate.mlUserField2 and CATEGORIES.CATEGORYTYPE = 'BBG_CORP_REL_SEG'
JOIN CRMUSER.CATEGORY_LANG ON CATEGORY_LANG.CATEGORYID = CATEGORIES.CATEGORYID
where entity_create_flg = 'Y'</t>
  </si>
  <si>
    <t>Select - CATEGORY_LANG.LOCALTEXT wit below mapping
CATEGORY_LANG.CATEGORYID = CATEGORIES.CATEGORYID
CATEGORIES.VALUE = corporate.mlUserField2
CATEGORIES.CATEGORYTYPE = 'BBG_CORP_REL_SEG'</t>
  </si>
  <si>
    <t>-ELITE
-PRIME
-SELECT</t>
  </si>
  <si>
    <t>-P
-R
-S</t>
  </si>
  <si>
    <t>Merchant Acquired</t>
  </si>
  <si>
    <t>Finacle CRM -&gt; General -&gt; Basic Info -&gt; Merchant Acquired</t>
  </si>
  <si>
    <t>StrUserField12</t>
  </si>
  <si>
    <t xml:space="preserve"> select ACCOUNTS.ORGKEY,CORPORATE.StrUserField12  as  Merchant_Acquired from crmuser.corporate 
 JOIN  CRMUSER.ACCOUNTS ON ACCOUNTS.ORGKEY = CORPORATE.CORP_KEY
 where entity_create_flg = 'Y'</t>
  </si>
  <si>
    <t>Standalone Cheque Direct</t>
  </si>
  <si>
    <t>Finacle CRM -&gt; General -&gt; Basic Info -&gt; Standalone Cheque Direct</t>
  </si>
  <si>
    <t>str1</t>
  </si>
  <si>
    <t> TYPE='GENADD'</t>
  </si>
  <si>
    <t>select  corporate.corp_key, CorpMiscellaneousInfo.str1 as  Standalone_Cheque_Direct from CRMUSER.CorpMiscellaneousInfo
JOIN CRMUSER.corporate ON corporate.corp_key=CorpMiscellaneousInfo.orgkey
where  CorpMiscellaneousInfo.TYPE='GENADD';</t>
  </si>
  <si>
    <t>-No
-Not Availed
-Yes</t>
  </si>
  <si>
    <t>-No
-NA
Yes</t>
  </si>
  <si>
    <t>Standalone CDM</t>
  </si>
  <si>
    <t>Finacle CRM -&gt; General -&gt; Basic Info -&gt; Standalone CDM</t>
  </si>
  <si>
    <t>select  corporate.corp_key, CorpMiscellaneousInfo.str2 as  Standalone_CDM from CRMUSER.CorpMiscellaneousInfo
JOIN CRMUSER.corporate ON corporate.corp_key=CorpMiscellaneousInfo.orgkey</t>
  </si>
  <si>
    <t>Standalone Cash pickup</t>
  </si>
  <si>
    <t>Finacle CRM -&gt; General -&gt; Basic Info -&gt; Standalone Cash pickup</t>
  </si>
  <si>
    <t>select  corporate.corp_key, CorpMiscellaneousInfo.str3 as  Standalone_Cash_pickup from CRMUSER.CorpMiscellaneousInfo
JOIN CRMUSER.corporate ON corporate.corp_key=CorpMiscellaneousInfo.orgkey
where  CorpMiscellaneousInfo.TYPE='GENADD';</t>
  </si>
  <si>
    <t>-No
-NOT AVAILED
-Yes</t>
  </si>
  <si>
    <t>Has the business name changed in last 3 years</t>
  </si>
  <si>
    <t>Finacle CRM -&gt; General -&gt; Basic Info-&gt; Has the business name changed in last 3 years</t>
  </si>
  <si>
    <t>flag3</t>
  </si>
  <si>
    <t xml:space="preserve"> select ACCOUNTS.ORGKEY,CORPORATE.flag3  as  Has_the_business_name_changed_in_last_3_years from crmuser.corporate 
 JOIN  CRMUSER.ACCOUNTS ON ACCOUNTS.ORGKEY = CORPORATE.CORP_KEY
 where entity_create_flg = 'Y'</t>
  </si>
  <si>
    <t>PDCT</t>
  </si>
  <si>
    <t>PDC_AMT</t>
  </si>
  <si>
    <t xml:space="preserve">SMT.ACID=GAM.ACID &amp; corporate.corp_key=GAM.cif_id </t>
  </si>
  <si>
    <t>SELECT TO_CHAR(
         SUM(
           pdc_amt *
           DECODE(
             LENGTH(pdc_lvs_stat) - 
             LENGTH(TRANSLATE(pdc_lvs_stat, ' E', ' ')),
             '',
             LENGTH(pdc_lvs_stat),
             LENGTH(pdc_lvs_stat) - 
             LENGTH(TRANSLATE(pdc_lvs_stat, ' E', ' '))
           )
         ),
         'FM999,999,999,999,999,999,999.00'
       )
FROM tbaadm.pdct
WHERE acid IN (
        SELECT g.acid
        FROM tbaadm.gam g
        JOIN crmuser.accounts a
          ON g.cif_id = a.orgkey
        WHERE g.acct_cls_flg != 'Y'
          AND g.entity_cre_flg = 'Y'
          AND g.del_flg = 'N'
      )
  AND next_pdc_date &gt; SYSDATE
  AND pdc_crncy_code = 'AED'
  AND entity_cre_flg = 'Y'
  AND del_flg = 'N';</t>
  </si>
  <si>
    <t xml:space="preserve"> select to_char(sum(pdc_amt*DECODE(LENGTH(pdc_lvs_stat) - LENGTH((TRANSLATE(pdc_lvs_stat,' E',' '))) ,'' ,LENGTH(pdc_lvs_stat),LENGTH(pdc_lvs_stat) - LENGTH((TRANSLATE(pdc_lvs_stat,' E',' '))))),'FM999,999,999,999,999,999,999.00') from tbaadm.pdct   where acid in (select acid  from tbaadm.gam  
 where cif_id = accounts.orgkey   and acct_cls_flg != 'Y'   and entity_cre_flg ='Y' and del_flg ='N')   and 
 next_pdc_date &gt; to_date('system date','dd-mm-yyyy') and pdc_crncy_code = 'AED' and entity_cre_flg ='Y' and del_flg ='N';
 </t>
  </si>
  <si>
    <t>Group ID</t>
  </si>
  <si>
    <t>Company Customer File: Additional Details: Group Details</t>
  </si>
  <si>
    <t>Finacle CRM -&gt; General -&gt; Group Details-&gt;Group ID</t>
  </si>
  <si>
    <t>GROUPMASTERID</t>
  </si>
  <si>
    <t>GROUPHOUSEHOLDMASTER.code=grouphousehold.grouphouseholdcode &amp; corporate.corp_key=GROUPHOUSEHOLD.orgkey &amp; CORPORATE.CORP_KEY = ACCOUNTS.ORGKEY</t>
  </si>
  <si>
    <t>select accounts.orgkey,GRP.code,GRP.GROUPMASTERID as Group_ID  from CRMUSER.GROUPHOUSEHOLDMASTER GRP 
JOIN CRMUSER.grouphousehold ON GRP.code=grouphousehold.grouphouseholdcode
JOIN CRMUSER.corporate ON corporate.corp_key=GROUPHOUSEHOLD.orgkey 
JOIN CRMUSER.ACCOUNTS ON CORPORATE.CORP_KEY = ACCOUNTS.ORGKEY;</t>
  </si>
  <si>
    <t xml:space="preserve"> - LENGTH((TRANSLATE(pdc_lvs_stat,' E',' '))))),'FM999,999,999,999,999,999,999.00') from tbaadm.pdct   where acid in (select acid  from tbaadm.gam  </t>
  </si>
  <si>
    <t>Group Code</t>
  </si>
  <si>
    <t>Finacle CRM -&gt; General -&gt; Group Details-&gt;Group Code</t>
  </si>
  <si>
    <t>select accounts.orgkey,GRP.CODE as Group_Code  from CRMUSER.GROUPHOUSEHOLDMASTER GRP 
JOIN CRMUSER.grouphousehold ON GRP.code=grouphousehold.grouphouseholdcode
JOIN CRMUSER.corporate ON corporate.corp_key=GROUPHOUSEHOLD.orgkey 
JOIN CRMUSER.ACCOUNTS ON CORPORATE.CORP_KEY = ACCOUNTS.ORGKEY;</t>
  </si>
  <si>
    <t xml:space="preserve"> where cif_id = '0234090'    and acct_cls_flg != 'Y'   and entity_cre_flg ='Y' and del_flg ='N')   and </t>
  </si>
  <si>
    <t>Group Name</t>
  </si>
  <si>
    <t>Finacle CRM -&gt; General -&gt; Group Details-&gt;Group Name</t>
  </si>
  <si>
    <t>GROUPHOUSEHOLDNAME</t>
  </si>
  <si>
    <t>select accounts.orgkey,GRP.code,GRP.GROUPHOUSEHOLDNAME as Group_Name  from CRMUSER.GROUPHOUSEHOLDMASTER GRP 
JOIN CRMUSER.grouphousehold ON GRP.code=grouphousehold.grouphouseholdcode
JOIN CRMUSER.corporate ON corporate.corp_key=GROUPHOUSEHOLD.orgkey 
JOIN CRMUSER.ACCOUNTS ON CORPORATE.CORP_KEY = ACCOUNTS.ORGKEY</t>
  </si>
  <si>
    <t xml:space="preserve"> next_pdc_date &gt; to_date('03-06-2025','dd-mm-yyyy') and pdc_crncy_code = 'AED' and entity_cre_flg ='Y' and del_flg ='N';</t>
  </si>
  <si>
    <t>Primary Grp Indicator</t>
  </si>
  <si>
    <t>Finacle CRM -&gt; General -&gt; Group Details-&gt;Primary Grp Indicator</t>
  </si>
  <si>
    <t>PRIMARY_GROUP_INDICATOR</t>
  </si>
  <si>
    <t>corporate.corp_key=GROUPHOUSEHOLD.orgkey</t>
  </si>
  <si>
    <t>select accounts.orgkey,GRP.PRIMARY_GROUP_INDICATOR as Primary_Grp_Indicator  from CRMUSER.GROUPHOUSEHOLD GRP 
JOIN CRMUSER.corporate ON corporate.corp_key=GRP.orgkey 
JOIN CRMUSER.ACCOUNTS ON CORPORATE.CORP_KEY = ACCOUNTS.ORGKEY;</t>
  </si>
  <si>
    <t>Shareholding Pcnt.</t>
  </si>
  <si>
    <t>Finacle CRM -&gt; General -&gt; Group Details-&gt;Shareholding Pcnt.</t>
  </si>
  <si>
    <t>GroupHouseHold</t>
  </si>
  <si>
    <t>Shareholding_in_percentage</t>
  </si>
  <si>
    <t xml:space="preserve">select accounts.orgkey,GRP.Shareholding_in_percentage as Shareholding_Pcnt  from CRMUSER.GROUPHOUSEHOLD GRP 
JOIN CRMUSER.corporate ON corporate.corp_key=GRP.orgkey 
JOIN CRMUSER.ACCOUNTS ON CORPORATE.CORP_KEY = ACCOUNTS.ORGKEY;
</t>
  </si>
  <si>
    <t>Company Customer File: Currency Preferential Rates</t>
  </si>
  <si>
    <t>select  corporate.corp_key, CorpMiscellaneousInfo.str1 as  Currency from CRMUSER.CorpMiscellaneousInfo
JOIN CRMUSER.corporate ON corporate.corp_key=CorpMiscellaneousInfo.orgkey</t>
  </si>
  <si>
    <t xml:space="preserve">-AED
-AFN
-ALL
-AMD
-ANG
-AOA
-ARS
-AUD
-AWG
-AZN
-BAM
-BBD
-BDT
-BGN
-BHD
-BIF
-BMD
-BND
-BOB
-BRL
-BSD
-BTN
-BWP
-BYN
-BYR
-BZD
-CAD
-CFA
-CHF
-CLP
-CNH
-CNY
-COP
-CRC
-CUP
-CVE
-CZK
-DJF
-DKK
-DOP
-DZD
-EEK
-EGP
-ERN
-ETB
-EUR
-FJD
-FKP
-GBP
-GEL
-GHS
-GIP
-GMD
-GNF
-GRM
-GTQ
-GWP
-GYD
-HKD
-HNL
-HUF
-IDR
-ILS
-INR
-IQD
-IRR
-ISK
-JMD
-JOD
-JPY
-KES
-KGS
-KHR
-KMF
-KPW
-KRW
-KWD
-KYD
-KZT
-LAK
-LBP
-LKR
-LRD
-LTL
-LVL
-LYD
-MAD
-MDL
-MGA
-MIGR
-MKD
-MMK
-MNT
-MOP
-MRO
-MUR
-MVR
-MWK
-MXN
-MYR
-MZN
-NAD
-NGN
-NIO
-NOK
-NPR
-NZD
-OMR
-PEN
-PGK
-PHP
-PKR
-PLN
-PTL
-PYG
-QAR
-RON
-RSD
-RUB
-RWF
-SAR
-SBD
-SCR
-SDD
-SDG
-SEK
-SGD
-SHP
-SLL
-SOS
-SRD
-STD
-SYP
-SZL
-THB
-TJT
-TND
-TOP
-TRL
-TRY
-TTD
-TWD
-TZS
-UAH
-UGX
-USD
-UYU
-UZS
-VEF
-VND
-VUV
-WST
-XAF
-XAG
-XAU
-XCD
-XOF
-XPD
-XPF
-XPT
-XXX
-YER
-ZAR
-ZMK
-ZWL </t>
  </si>
  <si>
    <t xml:space="preserve">-AED
-AFN
-ALL
-AMD
-ANG
-AOA
-ARS
-AUD
-AWG
-AZN
-BAM
-BBD
-BDT
-BGN
-BHD
-BIF
-BMD
-BND
-BOB
-BRL
-BSD
-BTN
-BWP
-BYN
-BYR
-BZD
-CAD
-CFA
-CHF
-CLP
-CNH
-CNY
-COP
-CRC
-CUP
-CVE
-CZK
-DJF
-DKK
-DOP
-DZD
-EEK
-EGP
-ERN
-ETB
-EUR
-FJD
-FKP
-GBP
-GEL
-GHS
-GIP
-GMD
-GNF
-GRM
-GTQ
-GWP
-GYD
-HKD
-HNL
-HUF
-IDR
-ILS
-INR
-IQD
-IRR
-ISK
-JMD
-JOD
-JPY
-KES
-KGS
-KHR
-KMF
-KPW
-KRW
-KWD
-KYD
-KZT
-LAK
-LBP
-LKR
-LRD
-LTL
-LVL
-LYD
-MAD
-MDL
-MGA
- MIGRATION DEFAULT
-MKD
-MMK
-MNT
-MOP
-MRO
-MUR
-MVR
-MWK
-MXN
-MYR
-MZN
-NAD
-NGN
-NIO
-NOK
-NPR
-NZD
-OMR
-PEN
-PGK
-PHP
-PKR
-PLN
-PTL
-PYG
-QAR
-RON
-RSD
-RUB
-RWF
-SAR
-SBD
-SCR
-SDD
-SDG
-SEK
-SGD
-SHP
-SLL
-SOS
-SRD
-STD
-SYP
-SZL
-THB
-TJT
-TND
-TOP
-TRL
-TRY
-TTD
-TWD
-TZS
-UAH
-UGX
-USD
-UYU
-UZS
-VEF
-VND
-VUV
-WST
-XAF
-XAG
-XAU
-XCD
-XOF
-XPD
-XPF
-XPT
-XXX
-YER
-ZAR
-ZMK
-ZWL                  </t>
  </si>
  <si>
    <t>percentage1</t>
  </si>
  <si>
    <t>select  corporate.corp_key, CorpMiscellaneousInfo.percentage1 as  Credit_Discount from CRMUSER.CorpMiscellaneousInfo
JOIN CRMUSER.corporate ON corporate.corp_key=CorpMiscellaneousInfo.orgkey</t>
  </si>
  <si>
    <t xml:space="preserve">Double </t>
  </si>
  <si>
    <t>percentage2</t>
  </si>
  <si>
    <t>select  corporate.corp_key, CorpMiscellaneousInfo.percentage2 as  Debit_Discount from CRMUSER.CorpMiscellaneousInfo
JOIN CRMUSER.corporate ON corporate.corp_key=CorpMiscellaneousInfo.orgkey</t>
  </si>
  <si>
    <t>date1</t>
  </si>
  <si>
    <t>select  corporate.corp_key, CorpMiscellaneousInfo.date1 as  Preferential_Expiry_Date from CRMUSER.CorpMiscellaneousInfo
JOIN CRMUSER.corporate ON corporate.corp_key=CorpMiscellaneousInfo.orgkey</t>
  </si>
  <si>
    <t>StrUserField20</t>
  </si>
  <si>
    <t xml:space="preserve"> select ACCOUNTS.ORGKEY,CORPORATE.StrUserField20  as  Consent_held_to_enquire_AECB from crmuser.corporate 
 JOIN  CRMUSER.ACCOUNTS ON ACCOUNTS.ORGKEY = CORPORATE.CORP_KEY
 where entity_create_flg = 'Y'</t>
  </si>
  <si>
    <t>-NO
-YES</t>
  </si>
  <si>
    <t>StrUserField21</t>
  </si>
  <si>
    <t>select ACCOUNTS.ORGKEY,CORPORATE.StrUserField21  as  Consent_Source from crmuser.corporate 
 JOIN  CRMUSER.ACCOUNTS ON ACCOUNTS.ORGKEY = CORPORATE.CORP_KEY
 where entity_create_flg = 'Y'</t>
  </si>
  <si>
    <t>-ATM
-BID
-BPM
-CAP
-CAPS
-CAS
-CIF
-CIF UPDATE
-INTERNET BANKING
-MOBILE BANKING
-YAP</t>
  </si>
  <si>
    <t xml:space="preserve">-ATM                
-BID                
-BPM                
-CAP                
-CAPS               
-CAS                
-CIF                
-"CIF UPDATE"       
-"INTERNET BANKING" 
-"MOBILE BANKING"   
-YAP                 </t>
  </si>
  <si>
    <t xml:space="preserve"> select ACCOUNTS.ORGKEY,CORPORATE.StrUserField1  as  Consent_Date from crmuser.corporate 
 JOIN  CRMUSER.ACCOUNTS ON ACCOUNTS.ORGKEY = CORPORATE.CORP_KEY
 where entity_create_flg = 'Y'</t>
  </si>
  <si>
    <t>Category</t>
  </si>
  <si>
    <t>Finacle CRM -&gt; Preferences -&gt; Basic Preference -&gt; FATCA Details -&gt; Category</t>
  </si>
  <si>
    <t>select  corporate.corp_key, PREFERENCES.str4 as  Category from CRMUSER.PREFERENCES
JOIN  CRMUSER.corporate ON corporate.corp_key=preferences.orgkey
JOIN CRMUSER.CATEGORIES ON CATEGORIES.VALUE = corporate.str4 and CATEGORIES.CATEGORYTYPE = 'FATCA_CATEGORY'
JOIN CRMUSER.CATEGORY_LANG ON CATEGORY_LANG.CATEGORYID = CATEGORIES.CATEGORYID</t>
  </si>
  <si>
    <t>Select - CATEGORY_LANG.LOCALTEXT wit below mapping
CATEGORY_LANG.CATEGORYID = CATEGORIES.CATEGORYID
CATEGORIES.VALUE = corporate.str4
CATEGORIES.CATEGORYTYPE = 'FATCA_CATEGORY'</t>
  </si>
  <si>
    <t>Criteria for US Entity</t>
  </si>
  <si>
    <t>Finacle CRM -&gt; Preferences -&gt; Basic Preference -&gt; FATCA Details -&gt; Criteria for US Entity</t>
  </si>
  <si>
    <t>Preferences</t>
  </si>
  <si>
    <t>int1</t>
  </si>
  <si>
    <t>select  corporate.corp_key, PREFERENCES.int1 as  Criteria_for_US_Entity from CRMUSER.PREFERENCES
JOIN  CRMUSER.corporate ON corporate.corp_key=preferences.orgkey
JOIN CRMUSER.CATEGORIES ON CATEGORIES.VALUE = corporate.int1 and CATEGORIES.CATEGORYTYPE = 'FATCA_USENTITY'
JOIN CRMUSER.CATEGORY_LANG ON CATEGORY_LANG.CATEGORYID = CATEGORIES.CATEGORYID</t>
  </si>
  <si>
    <t>Select - CATEGORY_LANG.LOCALTEXT wit below mapping
CATEGORY_LANG.CATEGORYID = CATEGORIES.CATEGORYID
CATEGORIES.VALUE = corporate.int1
CATEGORIES.CATEGORYTYPE = 'FATCA_USENTITY'</t>
  </si>
  <si>
    <t>-ADDRESS
-PLACE OF INCORPORATION</t>
  </si>
  <si>
    <t>-2
-1</t>
  </si>
  <si>
    <t>Exempted US Entity</t>
  </si>
  <si>
    <t>Finacle CRM -&gt; Preferences -&gt; Basic Preference -&gt; FATCA Details -&gt; Exempted US Entity</t>
  </si>
  <si>
    <t>select  corporate.corp_key, PREFERENCES.flag3 as  Exempted_US_Entity from CRMUSER.PREFERENCES
JOIN  CRMUSER.corporate ON corporate.corp_key=preferences.orgkey
JOIN CRMUSER.CATEGORIES ON CATEGORIES.VALUE = corporate.flag3 and CATEGORIES.CATEGORYTYPE = 'FATCA_FLAG'
JOIN CRMUSER.CATEGORY_LANG ON CATEGORY_LANG.CATEGORYID = CATEGORIES.CATEGORYID</t>
  </si>
  <si>
    <t>Select - CATEGORY_LANG.LOCALTEXT wit below mapping
CATEGORY_LANG.CATEGORYID = CATEGORIES.CATEGORYID
CATEGORIES.VALUE = corporate.flag3
CATEGORIES.CATEGORYTYPE = 'FATCA_FLAG'</t>
  </si>
  <si>
    <t>-No
-Yes</t>
  </si>
  <si>
    <t>-N
-'Y</t>
  </si>
  <si>
    <t>Finacle CRM -&gt; Preferences -&gt; Basic Preference -&gt; FATCA Details -&gt; Documents Collected</t>
  </si>
  <si>
    <t>select  accounts.orgkey, DEMOGRAPHIC.USERFIELD4 as  Documents_Collected from CRMUSER.DEMOGRAPHIC
JOIN  CRMUSER.accounts ON accounts.orgkey=DEMOGRAPHIC.orgkey</t>
  </si>
  <si>
    <t>Select - CATEGORY_LANG.LOCALTEXT wit below mapping
CATEGORY_LANG.CATEGORYID = CATEGORIES.CATEGORYID
CATEGORIES.VALUE = preferences.int2
CATEGORIES.CATEGORYTYPE = 'FATCA_CORPDOCCOLLECT'</t>
  </si>
  <si>
    <t>Finacle CRM -&gt; Preferences -&gt; Basic Preference -&gt; FATCA Details -&gt; TIN Number</t>
  </si>
  <si>
    <t>select  corporate.corp_key, PREFERENCES.mlUserField1 as  TIN_Number from CRMUSER.PREFERENCES
JOIN  CRMUSER.corporate ON corporate.corp_key=preferences.orgkey</t>
  </si>
  <si>
    <t>Finacle CRM -&gt; Preferences -&gt; Basic Preference -&gt; FATCA Details -&gt; Type</t>
  </si>
  <si>
    <t>flag5</t>
  </si>
  <si>
    <t>select  corporate.corp_key, PREFERENCES.flag5 as  Type from CRMUSER.PREFERENCES
JOIN  CRMUSER.corporate ON corporate.corp_key=preferences.orgkey
JOIN CRMUSER.CATEGORIES ON CATEGORIES.VALUE = preferences.flag5 and CATEGORIES.CATEGORYTYPE = 'FATCA_TYPE'
JOIN CRMUSER.CATEGORY_LANG ON CATEGORY_LANG.CATEGORYID = CATEGORIES.CATEGORYID</t>
  </si>
  <si>
    <t>Select - CATEGORY_LANG.LOCALTEXT wit below mapping
CATEGORY_LANG.CATEGORYID = CATEGORIES.CATEGORYID
CATEGORIES.VALUE = corporate.flag5
CATEGORIES.CATEGORYTYPE = 'FATCA_TYPE'</t>
  </si>
  <si>
    <t>FATCA Entity Type</t>
  </si>
  <si>
    <t>Finacle CRM -&gt; Preferences -&gt; Basic Preference -&gt; FATCA Details -&gt; Fatca Entity Type</t>
  </si>
  <si>
    <t>str11</t>
  </si>
  <si>
    <t>select  corporate.corp_key, PREFERENCES.str11 as  FATCA_Entity_Type from CRMUSER.PREFERENCES
JOIN  CRMUSER.corporate ON corporate.corp_key=preferences.orgkey
JOIN CRMUSER.CATEGORIES ON CATEGORIES.VALUE = PREFERENCES.str11 and CATEGORIES.CATEGORYTYPE = 'FATCA_ENTITY_TYPE'
JOIN CRMUSER.CATEGORY_LANG ON CATEGORY_LANG.CATEGORYID = CATEGORIES.CATEGORYID</t>
  </si>
  <si>
    <t>Select - CATEGORY_LANG.LOCALTEXT wit below mapping
CATEGORY_LANG.CATEGORYID = CATEGORIES.CATEGORYID
CATEGORIES.VALUE = PREFERENCES.str11
CATEGORIES.CATEGORYTYPE = 'FATCA_ENTITY_TYPE'</t>
  </si>
  <si>
    <t>-A CORPORATION
-A GOVERNMENT ENTITY OR CENTRAL BANK
-AN INTERNATIONAL ORGANIZATION
-OTHER</t>
  </si>
  <si>
    <t xml:space="preserve">-CORP     
-GOVT_BANK
-INTORG   
-OTH      </t>
  </si>
  <si>
    <t>Name of Security Market</t>
  </si>
  <si>
    <t>Finacle CRM -&gt; Preferences -&gt; Basic Preference -&gt; FATCA Details -&gt; Name of Security Market</t>
  </si>
  <si>
    <t>str14</t>
  </si>
  <si>
    <t>select  corporate.corp_key, PREFERENCES.str14 as  Name_of_Security_Market from CRMUSER.PREFERENCES
JOIN  CRMUSER.corporate ON corporate.corp_key=preferences.orgkey</t>
  </si>
  <si>
    <t>Name of Traded Corporation</t>
  </si>
  <si>
    <t>Finacle CRM -&gt; Preferences -&gt; Basic Preference -&gt; FATCA Details -&gt; Name of Traded Corporation</t>
  </si>
  <si>
    <t>str15</t>
  </si>
  <si>
    <t>select  corporate.corp_key, PREFERENCES.str15 as  Name_of_Traded_Corporation from CRMUSER.PREFERENCES
JOIN  CRMUSER.corporate ON corporate.corp_key=preferences.orgkey</t>
  </si>
  <si>
    <t>Financial Entity</t>
  </si>
  <si>
    <t>Finacle CRM -&gt; Preferences -&gt; Basic Preference -&gt; FATCA Details -&gt; Financial Entity</t>
  </si>
  <si>
    <t>int2</t>
  </si>
  <si>
    <t>Select  corporate.corp_key, PREFERENCES.int2 as  Financial_Entity from CRMUSER.PREFERENCES
JOIN  CRMUSER.corporate ON corporate.corp_key=preferences.orgkey
JOIN CRMUSER.CATEGORIES ON CATEGORIES.VALUE = corporate.int2 and CATEGORIES.CATEGORYTYPE = 'FATCA_FINANENTITY'
JOIN CRMUSER.CATEGORY_LANG ON CATEGORY_LANG.CATEGORYID = CATEGORIES.CATEGORYID</t>
  </si>
  <si>
    <t>Select - CATEGORY_LANG.LOCALTEXT wit below mapping
CATEGORY_LANG.CATEGORYID = CATEGORIES.CATEGORYID
CATEGORIES.VALUE = preferences.int2
CATEGORIES.CATEGORYTYPE = 'FATCA_FINANENTITY'</t>
  </si>
  <si>
    <t>-FOREIGN FINANCIAL ENTITY
-LOCAL FINANCIAL ENTITY</t>
  </si>
  <si>
    <t>GIIN Number</t>
  </si>
  <si>
    <t>Finacle CRM -&gt; Preferences -&gt; Basic Preference -&gt; FATCA Details -&gt; GIIN Number</t>
  </si>
  <si>
    <t xml:space="preserve">
select  corporate.corp_key, PREFERENCES.mlUserField2 as  GIIN_Number from CRMUSER.PREFERENCES
JOIN  CRMUSER.corporate ON corporate.corp_key=preferences.orgkey</t>
  </si>
  <si>
    <t>Finacle CRM -&gt; Preferences -&gt; Basic Preference -&gt; FATCA Details -&gt; US Relation</t>
  </si>
  <si>
    <t>int3</t>
  </si>
  <si>
    <t>select  corporate.corp_key, PREFERENCES.int3 as  US_Relation from CRMUSER.PREFERENCES
JOIN  CRMUSER.corporate ON corporate.corp_key=preferences.orgkey
JOIN CRMUSER.CATEGORIES ON CATEGORIES.VALUE = PREFERENCES.int3 and CATEGORIES.CATEGORYTYPE = 'FATCA_CORP_USREL'
JOIN CRMUSER.CATEGORY_LANG ON CATEGORY_LANG.CATEGORYID = CATEGORIES.CATEGORYID;</t>
  </si>
  <si>
    <t>Select - CATEGORY_LANG.LOCALTEXT wit below mapping
CATEGORY_LANG.CATEGORYID = CATEGORIES.CATEGORYID
CATEGORIES.VALUE = preferences.int3
CATEGORIES.CATEGORYTYPE = 'FATCA_CORP_USREL'</t>
  </si>
  <si>
    <t>-NO
-RECALCITRANT CUSTOMER
-YES - NOT REPORTABLE
-YES - REPORTABLE</t>
  </si>
  <si>
    <t>-3
-4
-2
-1</t>
  </si>
  <si>
    <t>Controlling person have US Relation</t>
  </si>
  <si>
    <t>Finacle CRM -&gt; Preferences -&gt; Basic Preference -&gt; FATCA Details -&gt; Controlling person have US Relation</t>
  </si>
  <si>
    <t>int5</t>
  </si>
  <si>
    <t>select  corporate.corp_key, PREFERENCES.int5 as  Controlling_person_have_US_Relation from CRMUSER.PREFERENCES
JOIN  CRMUSER.corporate ON corporate.corp_key=preferences.orgkey
JOIN CRMUSER.CATEGORIES ON CATEGORIES.VALUE = PREFERENCES.int5 and CATEGORIES.CATEGORYTYPE = 'FATCA_CORP_USREL'
JOIN CRMUSER.CATEGORY_LANG ON CATEGORY_LANG.CATEGORYID = CATEGORIES.CATEGORYID;</t>
  </si>
  <si>
    <t>Select - CATEGORY_LANG.LOCALTEXT wit below mapping
CATEGORY_LANG.CATEGORYID = CATEGORIES.CATEGORYID
CATEGORIES.VALUE = preferences.int5
CATEGORIES.CATEGORYTYPE = 'FATCA_CORP_USREL'</t>
  </si>
  <si>
    <t xml:space="preserve">-NO
-RECALCITRANT CUSTOMER
-YES </t>
  </si>
  <si>
    <t>-2
-3
-1</t>
  </si>
  <si>
    <t>Finacle CRM -&gt; Preferences -&gt; Basic Preference -&gt; FATCA Details -&gt; Signed Date</t>
  </si>
  <si>
    <t>date4</t>
  </si>
  <si>
    <t>"select  corporate.corp_key, PREFERENCES.mlUserField2 as  Signed_Date from CRMUSER.PREFERENCES
JOIN  CRMUSER.corporate ON corporate.corp_key=preferences.orgkey"</t>
  </si>
  <si>
    <t>Finacle CRM -&gt; Preferences -&gt; Basic Preference -&gt; FATCA Details -&gt; Expiry Date</t>
  </si>
  <si>
    <t>date5</t>
  </si>
  <si>
    <t>select  corporate.corp_key, PREFERENCES.DATE5 as  Expiry_Date from CRMUSER.PREFERENCES
JOIN  CRMUSER.corporate ON corporate.corp_key=preferences.orgkey</t>
  </si>
  <si>
    <t>Finacle CRM -&gt; Preferences -&gt; Basic Preference -&gt; OECD Details -&gt; CRS Undocumented Flag</t>
  </si>
  <si>
    <t>"select  corporate.corp_key, PREFERENCES.str1 as  CRS_Undocumented_Flag from CRMUSER.PREFERENCES
JOIN  CRMUSER.corporate ON corporate.corp_key=preferences.orgkey"</t>
  </si>
  <si>
    <t>Finacle CRM -&gt; Preferences -&gt; Basic Preference -&gt; OECD Details -&gt; CRS Undocumented Flag Reason</t>
  </si>
  <si>
    <t>str13</t>
  </si>
  <si>
    <t>Select  corporate.corp_key, PREFERENCES.str13 as  CRS_Undocumented_Flag_Reason from CRMUSER.PREFERENCES
JOIN  CRMUSER.corporate ON corporate.corp_key=preferences.orgkey
JOIN CRMUSER.CATEGORIES ON CATEGORIES.VALUE = PREFERENCES.str13 and CATEGORIES.CATEGORYTYPE = 'OECDCRSREASON'
JOIN CRMUSER.CATEGORY_LANG ON CATEGORY_LANG.CATEGORYID = CATEGORIES.CATEGORYID</t>
  </si>
  <si>
    <t>Select - CATEGORY_LANG.LOCALTEXT wit below mapping
CATEGORY_LANG.CATEGORYID = CATEGORIES.CATEGORYID
CATEGORIES.VALUE = preferences.str13
CATEGORIES.CATEGORYTYPE = 'OECDCRSREASON'</t>
  </si>
  <si>
    <t xml:space="preserve">-"CIF UPDATE OUTSIDE UAE"              
-"CIF UPDATE WITHIN UAE"               
-CLICKNCOLLECT                         
-"GROUP ENTITY/ PROJECT"               
-"INTERNET BANKING ACCESS ONLY"        
-"NOT APPLICABLE -MERCHANT ACQUIRING"  
-"PERSONAL GUARANTOR - NON CONTROLLING"
-"SHAREHOLDER LESS THAN 10%"           
-"SUPP CREDIT CARD APPL"               
-"UNCOOPERATIVE CXM TO BE REPORTED"    
-"UNSGN CIF"                           
-"UNSGNAL CIF"                         
-UNSGNBB                               </t>
  </si>
  <si>
    <t>Finacle CRM -&gt; Preferences -&gt; Basic Preference -&gt; OECD Details -&gt; Country of Tax Residence</t>
  </si>
  <si>
    <t> TYPE='OECD'</t>
  </si>
  <si>
    <t>select corporate.corp_key, CorpMiscellaneousInfo.str3  as Country_of_Tax_Residence from CRMUSER.CorpMiscellaneousInfo
JOIN CRMUSER.corporate ON corporate.corp_key=CorpMiscellaneousInfo.orgkey
JOIN CRMUSER.CATEGORIES ON CATEGORIES.VALUE = CorpMiscellaneousInfo.str3 and CATEGORIES.CATEGORYTYPE = 'COUNTRY'
JOIN CRMUSER.CATEGORY_LANG ON CATEGORY_LANG.CATEGORYID = CATEGORIES.CATEGORYID
where TYPE='OECD'</t>
  </si>
  <si>
    <t>Select - CATEGORY_LANG.LOCALTEXT wit below mapping
CATEGORY_LANG.CATEGORYID = CATEGORIES.CATEGORYID
CATEGORIES.VALUE = CorpMiscellaneousInfo.str3
CATEGORIES.CATEGORYTYPE = 'COUNTRY'</t>
  </si>
  <si>
    <t>Finacle CRM -&gt; Preferences -&gt; Basic Preference -&gt; OECD Details -&gt; TIN Number</t>
  </si>
  <si>
    <t>select corporate.corp_key, CorpMiscellaneousInfo.str4  as TIN_Number from CRMUSER.CorpMiscellaneousInfo
JOIN CRMUSER.corporate ON corporate.corp_key=CorpMiscellaneousInfo.orgkey
where TYPE='OECD'</t>
  </si>
  <si>
    <t>Finacle CRM -&gt; Preferences -&gt; Basic Preference -&gt; OECD Details -&gt; Drilldown to OECD Details -&gt; No TIN Reason</t>
  </si>
  <si>
    <t>select corporate.corp_key, CorpMiscellaneousInfo.str5  as No_TIN_Reason from CRMUSER.CorpMiscellaneousInfo
JOIN CRMUSER.corporate ON corporate.corp_key=CorpMiscellaneousInfo.orgkey
JOIN CRMUSER.CATEGORIES ON CATEGORIES.VALUE = CorpMiscellaneousInfo.str5 and CATEGORIES.CATEGORYTYPE = 'NOTINSREASON'
JOIN CRMUSER.CATEGORY_LANG ON CATEGORY_LANG.CATEGORYID = CATEGORIES.CATEGORYID
where TYPE='OECD';</t>
  </si>
  <si>
    <t>Select - CATEGORY_LANG.LOCALTEXT wit below mapping
CATEGORY_LANG.CATEGORYID = CATEGORIES.CATEGORYID
CATEGORIES.VALUE = CorpMiscellaneousInfo.str5
CATEGORIES.CATEGORYTYPE = 'NOTINSREASON'</t>
  </si>
  <si>
    <t xml:space="preserve">-"A-NOT ISSUED"    
-"B-UNABLE GET TIN"
-"C-NO TIN REQD"   </t>
  </si>
  <si>
    <t>Finacle CRM -&gt; Preferences -&gt; Basic Preference -&gt; OECD Details -&gt; Drilldown to OECD Details -&gt; Reason for Selecting Option B</t>
  </si>
  <si>
    <t>str6</t>
  </si>
  <si>
    <t>select corporate.corp_key, CorpMiscellaneousInfo.str6  as Reason_for_Selecting_Option_B from CRMUSER.CorpMiscellaneousInfo
JOIN CRMUSER.corporate ON corporate.corp_key=CorpMiscellaneousInfo.orgkey
where TYPE='OECD'</t>
  </si>
  <si>
    <t>PHONEEMAIL</t>
  </si>
  <si>
    <t xml:space="preserve">"corporate.corp_ID = phoneemail.corp_ID
CORPORATE.CORP_KEY = ACCOUNTS.ORGKEY"
</t>
  </si>
  <si>
    <t xml:space="preserve"> PREFERREDUNIQUEID = 'Y' and DOCTYPECODE = 'CORPORATE'
</t>
  </si>
  <si>
    <t>SELECT
    accounts.orgkey,
    phoneemail.PhoneEmailType AS PhoneEmail_Type
FROM crmuser.phoneemail phoneemail
JOIN crmuser.corporate corporate
    ON corporate.corp_id = phoneemail.corp_id
JOIN crmuser.accounts accounts
    ON corporate.corp_key = accounts.orgkey;</t>
  </si>
  <si>
    <t>Table:PHONEEMAIL,Col:PhoneEmailType</t>
  </si>
  <si>
    <t>corporate.corp_ID = phoneemail.corp_ID, filter:PHONEOREMAIL = 'PHONE',</t>
  </si>
  <si>
    <t>-CPHONE   
-ELFX1    
-FAXH     
-FAXO1    
-FAXO2    
-HOMEPH1  
-HOMEPH2  
-MIGR     
-CELLPH1  
-CELLPH2  
-OFFCPH1  
-OFFCPH2  
-OVHOMEPH 
-OVPHRELAT</t>
  </si>
  <si>
    <t>PHONENOLOCALCODE</t>
  </si>
  <si>
    <t>corporate.corp_ID = phoneemail.corp_ID</t>
  </si>
  <si>
    <t>PHONEOREMAIL = 'PHONE' AND PREFERREDFLAG = 'Y'</t>
  </si>
  <si>
    <t>select  accounts.ORGKEY,  PHONEEMAIL.PHONENOLOCALCODE as  Phone_No from CRMUSER. PHONEEMAIL
JOIN CRMUSER.corporate  ON corporate.corp_ID = phoneemail.corp_ID
JOIN CRMUSER.ACCOUNTS ON ACCOUNTS.ORGKEY = CORPORATE.CORP_KEY where PHONEOREMAIL = 'PHONE' AND PREFERREDFLAG = 'Y'</t>
  </si>
  <si>
    <t>Finacle CRM -&gt; General -&gt; Contact -&gt; Phone &amp; E-mail -&gt; Phone and E-mail Listing -&gt; Type</t>
  </si>
  <si>
    <t>select  accounts.ORGKEY,  PHONEEMAIL.PhoneEmailType as  Phone_Type from CRMUSER. PHONEEMAIL
JOIN CRMUSER.corporate  ON corporate.corp_ID = phoneemail.corp_ID
JOIN CRMUSER.ACCOUNTS ON ACCOUNTS.ORGKEY = CORPORATE.CORP_KEY where PHONEOREMAIL = 'PHONE' AND PREFERREDFLAG = 'Y'</t>
  </si>
  <si>
    <t xml:space="preserve"> -CORPORATE PHONE
 -ELIXIR FAX 1
 -FAX HOME
 -FAX OFFICE 1
 -FAX OFFICE 2
 -HOME PHONE 1
 -HOME PHONE 2
 -MIGRATION DEFAULT
 -MOBILE PHONE 1
 -MOBILE PHONE 2
 -OFFICE PHONE 1
 -OFFICE PHONE 2
 -OVERSEAS HOME PHONE
 -OVERSEAS PHONE OF RELATIVE</t>
  </si>
  <si>
    <t xml:space="preserve">-CPHONE    
-ELFX1     
-FAXH      
-FAXO1     
-FAXO2     
-HOMEPH1   
-HOMEPH2   
-MIGR      
-CELLPH1   
-CELLPH2   
-OFFCPH1   
-OFFCPH2   
-OVHOMEPH  
-OVPHRELAT  </t>
  </si>
  <si>
    <t>Finacle CRM -&gt; General -&gt; Contact -&gt; Phone &amp; E-mail -&gt; Phone and E-mail Listing -&gt; Country Code</t>
  </si>
  <si>
    <t>select  accounts.ORGKEY,  PHONEEMAIL.PHONENOCOUNTRYCODE as  Country_Code from CRMUSER. PHONEEMAIL
JOIN CRMUSER.corporate  ON corporate.corp_ID = phoneemail.corp_ID
JOIN CRMUSER.ACCOUNTS ON ACCOUNTS.ORGKEY = CORPORATE.CORP_KEY where PHONEOREMAIL = 'PHONE' AND PREFERREDFLAG = 'Y'</t>
  </si>
  <si>
    <t>Finacle CRM -&gt; General -&gt; Contact -&gt; Phone &amp; E-mail -&gt; Phone and E-mail Listing -&gt; Area Code</t>
  </si>
  <si>
    <t>select  accounts.ORGKEY,  PHONEEMAIL.PHONENOCITYCODE as  Area_Code from CRMUSER. PHONEEMAIL
JOIN CRMUSER.corporate  ON corporate.corp_ID = phoneemail.corp_ID
JOIN CRMUSER.ACCOUNTS ON ACCOUNTS.ORGKEY = CORPORATE.CORP_KEY where PHONEOREMAIL = 'PHONE' AND PREFERREDFLAG = 'Y'</t>
  </si>
  <si>
    <t>Finacle CRM -&gt; General -&gt; Contact -&gt; Phone &amp; E-mail -&gt; Phone and E-mail Listing -&gt; Contact Number</t>
  </si>
  <si>
    <t>PhoneNo</t>
  </si>
  <si>
    <t>select  accounts.ORGKEY,  PHONEEMAIL.PhoneNo as  Contact_Number from CRMUSER. PHONEEMAIL
JOIN CRMUSER.corporate  ON corporate.corp_ID = phoneemail.corp_ID
JOIN CRMUSER.ACCOUNTS ON ACCOUNTS.ORGKEY = CORPORATE.CORP_KEY where PHONEOREMAIL = 'PHONE' AND PREFERREDFLAG = 'Y'</t>
  </si>
  <si>
    <t>select  accounts.ORGKEY,  PHONEEMAIL.WorkExtension as  Extension_Number from CRMUSER. PHONEEMAIL
JOIN CRMUSER.corporate  ON corporate.corp_ID = phoneemail.corp_ID
JOIN CRMUSER.ACCOUNTS ON ACCOUNTS.ORGKEY = CORPORATE.CORP_KEY where PHONEOREMAIL = 'PHONE' AND PREFERREDFLAG = 'Y'</t>
  </si>
  <si>
    <t>PHONEEMAILTYPE</t>
  </si>
  <si>
    <t>PHONEOREMAIL = 'EMAIL' AND PREFERREDFLAG = 'Y'</t>
  </si>
  <si>
    <t>select  accounts.ORGKEY,  PHONEEMAIL.PHONEEMAILTYPE as  Preferred_Flag from CRMUSER. PHONEEMAIL
JOIN CRMUSER.corporate  ON corporate.corp_ID = phoneemail.corp_ID
JOIN CRMUSER.ACCOUNTS ON ACCOUNTS.ORGKEY = CORPORATE.CORP_KEY where PHONEOREMAIL = 'EMAIL' AND PREFERREDFLAG = 'Y'</t>
  </si>
  <si>
    <t>-ELIXIR EMAIL 1
-ELIXIR EMAIL 2
-EMAIL 1
-EMAIL 2
-MIGR</t>
  </si>
  <si>
    <t xml:space="preserve">-ELML1   
-ELML2   
-HOMEEML 
-WORKEML 
-MIGR     </t>
  </si>
  <si>
    <t>select  accounts.ORGKEY,  PHONEEMAIL.PhoneEmailType as  Email_Type from CRMUSER. PHONEEMAIL
JOIN CRMUSER.corporate  ON corporate.corp_ID = phoneemail.corp_ID
JOIN CRMUSER.ACCOUNTS ON ACCOUNTS.ORGKEY = CORPORATE.CORP_KEY where PHONEOREMAIL = 'EMAIL' AND PREFERREDFLAG = 'Y'</t>
  </si>
  <si>
    <t xml:space="preserve">-ELIXIR EMAIL 1
-ELIXIR EMAIL 2
-EMAIL 1
-EMAIL 2
-MIGR </t>
  </si>
  <si>
    <t xml:space="preserve">-ELML1  
-ELML2  
-HOMEEML
-WORKEML
-MIGR    </t>
  </si>
  <si>
    <t>Finacle CRM -&gt; General -&gt; Contact -&gt; Phone and E-mail -&gt; E-mail ID</t>
  </si>
  <si>
    <t>select  accounts.ORGKEY,  PHONEEMAIL.Email as  Email_ID from CRMUSER. PHONEEMAIL
JOIN CRMUSER.corporate  ON corporate.corp_ID = phoneemail.corp_ID
JOIN CRMUSER.ACCOUNTS ON ACCOUNTS.ORGKEY = CORPORATE.CORP_KEY where PHONEOREMAIL = 'EMAIL' AND PREFERREDFLAG = 'Y'</t>
  </si>
  <si>
    <t>corporate.corp_key=address.orgkey</t>
  </si>
  <si>
    <t>select  corporate.corp_key,  address.preferredAddress as  Email_ID from CRMUSER. address
JOIN CRMUSER.corporate  ON corporate.corp_key=address.orgkey;
where PHONEOREMAIL = 'EMAIL' AND PREFERREDFLAG = 'Y'</t>
  </si>
  <si>
    <t>-HEAD OFFICE
-OFFICE
-OVERSEAS
-PARENT COMPANY
-REGISTERED</t>
  </si>
  <si>
    <t xml:space="preserve">-"Head Office"   
-OFFICE          
-OVERSEAS        
-"PARENT COMPANY"
-Registered       </t>
  </si>
  <si>
    <t>Finacle CRM -&gt; General -&gt; Contact -&gt; Address -&gt;  Address Type</t>
  </si>
  <si>
    <t>select  corporate.corp_key,  address.addressCategory as  Address_Type from CRMUSER. address
JOIN CRMUSER.corporate  ON corporate.corp_key=address.orgkey</t>
  </si>
  <si>
    <t>select  corporate.corp_key,  address.street_no as  Flat_No_Designation from CRMUSER. address
JOIN CRMUSER.corporate  ON corporate.corp_key=address.orgkey;</t>
  </si>
  <si>
    <t>select  corporate.corp_key,  address.premise_name as  Building_Employer_Name from CRMUSER. address
JOIN CRMUSER.corporate  ON corporate.corp_key=address.orgkey</t>
  </si>
  <si>
    <t>select  corporate.corp_key,  address.street_name as  Street_Employee_ID from CRMUSER. address
JOIN CRMUSER.corporate  ON corporate.corp_key=address.orgkey</t>
  </si>
  <si>
    <t>select corporate.corp_key, Address.userField7 as Residence_Type from crmuser.Address
JOIN CRMUSER.corporate ON  corporate.corp_key=address.orgkey
JOIN CRMUSER.CATEGORIES ON CATEGORIES.VALUE = Address.userField7 and CATEGORIES.CATEGORYTYPE = 'RES_TYPE'
JOIN CRMUSER.CATEGORY_LANG ON CATEGORY_LANG.CATEGORYID = CATEGORIES.CATEGORYID</t>
  </si>
  <si>
    <t>Select - CATEGORY_LANG.LOCALTEXT wit below mapping
CATEGORY_LANG.CATEGORYID = CATEGORIES.CATEGORYID
CATEGORIES.VALUE = Address.userField7
CATEGORIES.CATEGORYTYPE = 'RES_TYPE'</t>
  </si>
  <si>
    <t xml:space="preserve">-FLAT                
-MIGRATION DEFAULT   
-OTHERS              
-OWNED               
-PAYING GUEST        
-PROVIDED BY EMPLOYER
-RENTED              
-WITH FRIENDS        
-WITH PARENTS        
-WITH RELATIVES       </t>
  </si>
  <si>
    <t xml:space="preserve">-FL 
-MIGR
-OTH
-O  
-PG 
-B  
-R  
-WFR
-WPR
-WRL </t>
  </si>
  <si>
    <t>select  corporate.corp_key,  address.locality_name as  Landmark from CRMUSER. address
JOIN CRMUSER.corporate  ON corporate.corp_key=address.orgkey</t>
  </si>
  <si>
    <t>select  corporate.corp_key,  address.userField1 as  Zip_code from CRMUSER. address
JOIN CRMUSER.corporate  ON corporate.corp_key=address.orgkey;</t>
  </si>
  <si>
    <t>select  corporate.corp_key,  address.zip as  PO_Box from CRMUSER. address
JOIN CRMUSER.corporate  ON corporate.corp_key=address.orgkey</t>
  </si>
  <si>
    <t>select corporate.corp_key, Address.city as Emirates_City from crmuser.Address
JOIN CRMUSER.corporate ON  corporate.corp_key=address.orgkey
JOIN CRMUSER.CATEGORIES ON CATEGORIES.VALUE = Address.city and CATEGORIES.CATEGORYTYPE = 'CITY'
JOIN CRMUSER.CATEGORY_LANG ON CATEGORY_LANG.CATEGORYID = CATEGORIES.CATEGORYID</t>
  </si>
  <si>
    <t>Select - CATEGORY_LANG.LOCALTEXT wit below mapping
CATEGORY_LANG.CATEGORYID = CATEGORIES.CATEGORYID
CATEGORIES.VALUE = Address.city
CATEGORIES.CATEGORYTYPE = 'CITY'</t>
  </si>
  <si>
    <t>select corporate.corp_key, Address.state as State from crmuser.Address
JOIN CRMUSER.corporate ON  corporate.corp_key=address.orgkey
JOIN CRMUSER.CATEGORIES ON CATEGORIES.VALUE = Address.state and CATEGORIES.CATEGORYTYPE = 'STATE'
JOIN CRMUSER.CATEGORY_LANG ON CATEGORY_LANG.CATEGORYID = CATEGORIES.CATEGORYID</t>
  </si>
  <si>
    <t>Select - CATEGORY_LANG.LOCALTEXT wit below mapping
CATEGORY_LANG.CATEGORYID = CATEGORIES.CATEGORYID
CATEGORIES.VALUE = Address.state
CATEGORIES.CATEGORYTYPE = 'STATE'</t>
  </si>
  <si>
    <t>country</t>
  </si>
  <si>
    <t>select corporate.corp_key, Address.country as Country from crmuser.Address
JOIN CRMUSER.corporate ON  corporate.corp_key=address.orgkey
JOIN CRMUSER.CATEGORIES ON CATEGORIES.VALUE = Address.country and CATEGORIES.CATEGORYTYPE = 'COUNTRY'
JOIN CRMUSER.CATEGORY_LANG ON CATEGORY_LANG.CATEGORYID = CATEGORIES.CATEGORYID</t>
  </si>
  <si>
    <t>Select - CATEGORY_LANG.LOCALTEXT wit below mapping
CATEGORY_LANG.CATEGORYID = CATEGORIES.CATEGORYID
CATEGORIES.VALUE = Address.country
CATEGORIES.CATEGORYTYPE = 'COUNTRY'</t>
  </si>
  <si>
    <t>select  corporate.corp_key,  address.Start_Date as  Years_in_current_Address from CRMUSER. address
JOIN CRMUSER.corporate  ON corporate.corp_key=address.orgkey</t>
  </si>
  <si>
    <t>select  corporate.corp_key,  address.userField6 as  Return_Mail_Flag from CRMUSER. address
JOIN CRMUSER.corporate  ON corporate.corp_key=address.orgkey</t>
  </si>
  <si>
    <t>select corporate.corp_key, Address.userField5 as Return_Mail_Reason from crmuser.Address
JOIN CRMUSER.corporate ON  corporate.corp_key=address.orgkey
JOIN CRMUSER.CATEGORIES ON CATEGORIES.VALUE = Address.userField5 and CATEGORIES.CATEGORYTYPE = 'RETURN_MAIL_REASON'
JOIN CRMUSER.CATEGORY_LANG ON CATEGORY_LANG.CATEGORYID = CATEGORIES.CATEGORYID</t>
  </si>
  <si>
    <t>Select - CATEGORY_LANG.LOCALTEXT wit below mapping
CATEGORY_LANG.CATEGORYID = CATEGORIES.CATEGORYID
CATEGORIES.VALUE = Address.userfield5
CATEGORIES.CATEGORYTYPE = 'RETURN_MAIL_REASON'</t>
  </si>
  <si>
    <t>-Returned
-Unknown</t>
  </si>
  <si>
    <t>select  corporate.corp_key,  address.HoldMailFlag as  Hold_Mail_Indicator from CRMUSER. address
JOIN CRMUSER.corporate  ON corporate.corp_key=address.orgkey</t>
  </si>
  <si>
    <t>select corporate.corp_key, Address.HoldMailReason as Hold_Mail_Reason from crmuser.Address
JOIN CRMUSER.corporate ON  corporate.corp_key=address.orgkey
JOIN CRMUSER.CATEGORIES ON CATEGORIES.VALUE = Address.HoldMailReason and CATEGORIES.CATEGORYTYPE = 'HOLD_MAIL_REASON'
JOIN CRMUSER.CATEGORY_LANG ON CATEGORY_LANG.CATEGORYID = CATEGORIES.CATEGORYID</t>
  </si>
  <si>
    <t>Select - CATEGORY_LANG.LOCALTEXT wit below mapping
CATEGORY_LANG.CATEGORYID = CATEGORIES.CATEGORYID
CATEGORIES.VALUE = Address.HoldMailReason
CATEGORIES.CATEGORYTYPE = 'HOLD_MAIL_REASON'</t>
  </si>
  <si>
    <t>select corporate.corp_key, Address.BusinessCenter as Business_Center_Name from crmuser.Address
JOIN CRMUSER.corporate ON  corporate.corp_key=address.orgkey
JOIN CRMUSER.CATEGORIES ON CATEGORIES.VALUE = Address.BusinessCenter and CATEGORIES.CATEGORYTYPE = 'SERVICE_OUTLET'
JOIN CRMUSER.CATEGORY_LANG ON CATEGORY_LANG.CATEGORYID = CATEGORIES.CATEGORYID</t>
  </si>
  <si>
    <t>Select - CATEGORY_LANG.LOCALTEXT wit below mapping
CATEGORY_LANG.CATEGORYID = CATEGORIES.CATEGORYID
CATEGORIES.VALUE = Address.BusinessCenter
CATEGORIES.CATEGORYTYPE = 'SERVICE_OUTLET'</t>
  </si>
  <si>
    <t>Finacle CRM -&gt; General -&gt; Identification Document Details -&gt; TBD</t>
  </si>
  <si>
    <t>ENTITYDOCUMENT.ORGKEY = ACCOUNTS.ORGKEY</t>
  </si>
  <si>
    <t>select ACCOUNTS.ORGKEY, ENTITYDOCUMENT.PREFERREDUNIQUEID as Preferred_Flag from CRMUSER.ENTITYDOCUMENT
JOIN CRMUSER.ACCOUNTS ON ENTITYDOCUMENT.ORGKEY = ACCOUNTS.ORGKEY</t>
  </si>
  <si>
    <t>DocCode</t>
  </si>
  <si>
    <t>select ACCOUNTS.ORGKEY, ENTITYDOCUMENT.DocCode as Document_Code from CRMUSER.ENTITYDOCUMENT
JOIN CRMUSER.ACCOUNTS ON ENTITYDOCUMENT.ORGKEY = ACCOUNTS.ORGKEY</t>
  </si>
  <si>
    <t xml:space="preserve">select ACCOUNTS.ORGKEY, ENTITYDOCUMENT.DocDescr as Document_Name from CRMUSER.ENTITYDOCUMENT
JOIN CRMUSER.ACCOUNTS ON ENTITYDOCUMENT.ORGKEY = ACCOUNTS.ORGKEY
</t>
  </si>
  <si>
    <t>select ACCOUNTS.ORGKEY, ENTITYDOCUMENT.ReferenceNumber as Document_ID from CRMUSER.ENTITYDOCUMENT
JOIN CRMUSER.ACCOUNTS ON ENTITYDOCUMENT.ORGKEY = ACCOUNTS.ORGKEY</t>
  </si>
  <si>
    <t>select ACCOUNTS.ORGKEY, ENTITYDOCUMENT.DocIssueDate as Issue_Date from CRMUSER.ENTITYDOCUMENT
JOIN CRMUSER.ACCOUNTS ON ENTITYDOCUMENT.ORGKEY = ACCOUNTS.ORGKEY</t>
  </si>
  <si>
    <t>Finacle CRM -&gt; General -&gt; Identification Document Details - Expiry Date</t>
  </si>
  <si>
    <t>select ACCOUNTS.ORGKEY, ENTITYDOCUMENT.DocExpiryDate as Expiry_Date from CRMUSER.ENTITYDOCUMENT
JOIN CRMUSER.ACCOUNTS ON ENTITYDOCUMENT.ORGKEY = ACCOUNTS.ORGKEY</t>
  </si>
  <si>
    <t>select ACCOUNTS.ORGKEY, ENTITYDOCUMENT.IS_DOCUMENT_VERIFIED as Document_Verified from CRMUSER.ENTITYDOCUMENT
JOIN CRMUSER.ACCOUNTS ON ENTITYDOCUMENT.ORGKEY = ACCOUNTS.ORGKEY</t>
  </si>
  <si>
    <t xml:space="preserve">1 CHAR </t>
  </si>
  <si>
    <t>ID Issued Organization</t>
  </si>
  <si>
    <t>Finacle CRM -&gt; General -&gt; Identification Document Details -&gt; Identification Document Details -&gt; ID issued Organization</t>
  </si>
  <si>
    <t xml:space="preserve">
select ACCOUNTS.ORGKEY, ENTITYDOCUMENT.IDIssuedOrganisation as ID_Issued_Organization from CRMUSER.ENTITYDOCUMENT
JOIN CRMUSER.ACCOUNTS ON ENTITYDOCUMENT.ORGKEY = ACCOUNTS.ORGKEY</t>
  </si>
  <si>
    <t xml:space="preserve">-ABU DHABI
-ABU DHABI AIRPORT FREE ZONE (ADAFZ)
-ABU DHABI GLOBAL MARKET
-ABU DHABI INDUSTRIAL DEVELOPMENT BUREAU
-ABU DHABI INDUSTRIAL ZONE
-ABU DHABI MEDIA ZONE
-ADPC - KHALIFA PORT AND INDUSTRIAL ZONE (KPIZ)
-AJMAN
-AJMAN FREE ZONE
-AJMAN MEDIA CITY
-AL AWIR FREE ZONE
-CHAMBER OF COMMERCE
-DEPARTMENT OF ECONOMIC DEVELOPMENT
-DEPARTMENT OF NATURALISATION AND RESIDENCY DUBAI
-DUBAI
-DUBAI ACADEMIC CITY
-DUBAI AIRPORT FREE ZONE
-DUBAI AVIATION CITY
-DUBAI BIOTECHNOLOGY &amp;amp; RESEARCH PARK (DUBIOTECH)
-DUBAI CREATIVE CLUSTERS AUTHORITY
-DUBAI DESIGN DISTRICT
-DUBAI DEVELOPMENT AUTHORITY
-DUBAI HEALTH CARE CITY(DHCC)
-DUBAI HUMANITARIAN CITY
-DUBAI INDUSTRIAL CITY (DIC)
-DUBAI INTERNATIONAL ACADEMIC CITY
-DUBAI INTERNET CITY
-DUBAI INTL. FINANCIAL CENTRE
-DUBAI LOGISTICS CITY
-DUBAI MEDIA CITY
-DUBAI OUTSOURCE ZONE
-DUBAI SCIENCE PARK
-DUBAI SILICON OASIS FZ
-DUBAI STUDIO CITY
-DUBAI TECHNO PARK
-DUBAI TECHNOLOGY AND MEDIA FREE ZONE
-DUBAI WORLD CENTRAL
-DUCAMZ
-DXB METAL &amp;amp; COMMODITIES CENTRE
-ECONOMIC ZONES WORLD
-EMIRATES ID AUTHORITY
-FUJAIRAH
-FUJAIRAH CREATIVE CITY
-FUJAIRAH FREE ZONE
-GOLD AND DIAMOND PARK
-GOVT OF RAK - DEPARTMENT OF CIVIL AVIATION
-GOVT. OF UAQ FREE ZONE
-HAMRIYA FREE ZONE
-HIGHER CORPORATION FOR SPECIALIZED ECONOMIC ZONES
-IFZA (INTERNATIONAL FREE ZONE AUTHORITY)
-INDUSTRIAL CITY OF ABU DHABI
-INTERNATIONAL MEDIA PRODUCTION ZONE
-JEBEL ALI FREE ZONE
-JUMEIRAH LAKE TOWERS
-KNOWLEDGE VILLAGE
-MASDAR CITY FREE ZONE
-MEYDAN FREE ZONE
-MIGRATION DEFAULT
-OVERSEAS
-RAK AIRPORT FREE ZONE
-RAK AVIATION FREE ZONE
-RAK FREE ZONE
-RAK ICC
-RAK INVESTMENT AUTHORITY
-RAK KNOWLEDGE VILLAGE
-RAK MARITIME CITY FREE ZONE AUTHORITY (RMCFZA)
-RAK OFFSHORE
-RAK TRADE ZONE
-RAKEZ
-RAS AL KHAIMAH
-RAS AL KHAIMAH MEDIA FREE ZONE
-SAIF ZONE
-SHARJAH
-SHARJAH FREE ZONE
-SHARJAH MEDIA CITY (SHAMS)
-SHARJAH PUBLISHING CITY FREE ZONE
-TECHNO PARK
-TRAKHEES-PORTS,CUSTOMS&amp;amp;FREEZON
-TWOFOUR54
-U.S.A. REGIONAL TRADE CENTER (USARTC) FREE ZONE
-UMM AL QUWAIN
-ZONES CORP                                               </t>
  </si>
  <si>
    <t xml:space="preserve">-AD    
-ADAFZ 
-ADGM  
-ADIDB 
-ADIZ  
-ADMZ  
-KPIZ  
-AJ    
-AZ    
-AMC   
-AA    
-COC   
-DED   
-DNRD  
-DU    
-DAC   
-DA    
-DV    
-DUBIO 
-DCCA  
-DDD   
-DDA   
-DC    
-DH    
-DIC   
-DIAC  
-DI    
-DF    
-DLC   
-DM    
-DOZ   
-DSP   
-SO    
-DSC   
-DTP   
-DTMFZ 
-DWC   
-DUCAMZ
-DG    
-EZW   
-EIDA  
-FJ    
-FCC   
-FZ    
-GD    
-RAV   
-UZ    
-HZ    
-HCSEZ 
-IFZA  
-ICAD  
-IMPZ  
-JA    
-JL    
-KV    
-MCFZ  
-MFZ   
-MIGR  
-OS    
-RA    
-RAKAFZ
-RZ    
-RAKIC 
-RI    
-RK    
-RMCFZA
-RAKOFF
-RT    
-RAKEZ 
-RH    
-RAKMFZ
-SAIFZ 
-SH    
-SZ    
-SHAMS 
-SPCFZ 
-TP    
-TZ    
-TF54  
-USARTC
-UQ    
-ZC    </t>
  </si>
  <si>
    <t>Trade License Source</t>
  </si>
  <si>
    <t>Finacle CRM -&gt; General -&gt; Identification Document Details -&gt; Identification Document Details -&gt; Trade License Source</t>
  </si>
  <si>
    <t>select ACCOUNTS.ORGKEY, ENTITYDOCUMENT.USERFIELD3 as Trade_License_Source from CRMUSER.ENTITYDOCUMENT
JOIN CRMUSER.ACCOUNTS ON ENTITYDOCUMENT.ORGKEY = ACCOUNTS.ORGKEY</t>
  </si>
  <si>
    <t>-NORBLOC
-NORBLOC1</t>
  </si>
  <si>
    <t>-NORBLOC
-NRB</t>
  </si>
  <si>
    <t>Trade License Update Status</t>
  </si>
  <si>
    <t>Finacle CRM -&gt; General -&gt; Identification Document Details -&gt; Identification Document Details -&gt; Trade License Update Status</t>
  </si>
  <si>
    <t xml:space="preserve">select ACCOUNTS.ORGKEY, ENTITYDOCUMENT.USERFIELD4 as Trade_License_Update_Status from CRMUSER.ENTITYDOCUMENT
JOIN CRMUSER.ACCOUNTS ON ENTITYDOCUMENT.ORGKEY = ACCOUNTS.ORGKEY
</t>
  </si>
  <si>
    <t>-APPROVED
-HELD FOR APPROVAL</t>
  </si>
  <si>
    <t xml:space="preserve">Finacle CRM -&gt; Preferences -&gt; KYC Details -&gt; KYC Held </t>
  </si>
  <si>
    <t>flag4</t>
  </si>
  <si>
    <t>select corporate.corp_key, preferences.flag4 as  KYC_Held from CRMUSER.preferences
JOIN CRMUSER.corporate ON  corporate.corp_key=preferences.orgkey</t>
  </si>
  <si>
    <t>Finacle CRM -&gt; Preferences -&gt; KYC Details -&gt; KYC Review Date</t>
  </si>
  <si>
    <t>tds_Exmpt_Submit_Date</t>
  </si>
  <si>
    <t>SELECT
    corporate.corp_key,
    preferences.tds_Exmpt_Submit_Date AS KYC_Review_Date
FROM CRMUSER.preferences
JOIN CRMUSER.corporate
    ON corporate.corp_key = preferences.orgkey;</t>
  </si>
  <si>
    <t>Finacle CRM -&gt; Preferences -&gt; KYC Details -&gt; Expected Monthly Credit Turnover</t>
  </si>
  <si>
    <t>amount1</t>
  </si>
  <si>
    <t>SELECT
    corporate.corp_key,
    preferences.amount1 AS Expected_Monthly_Credit_Turnover
FROM CRMUSER.preferences
JOIN CRMUSER.corporate
    ON corporate.corp_key = preferences.orgkey;</t>
  </si>
  <si>
    <t>Finacle CRM -&gt; Preferences -&gt; KYC Details -&gt; Expected Monthly Cash Credit Turnover Percentage</t>
  </si>
  <si>
    <t>amount2</t>
  </si>
  <si>
    <t>SELECT
    corporate.corp_key,
    preferences.amount2 AS Expected_Monthly_Cash_Credit_Turnover_Percentage
FROM CRMUSER.preferences
JOIN CRMUSER.corporate
    ON corporate.corp_key = preferences.orgkey;</t>
  </si>
  <si>
    <t>Finacle CRM -&gt; Preferences -&gt; KYC Details -&gt; Expected Monthly Non Cash Credit Turnover Percentage</t>
  </si>
  <si>
    <t>amount3</t>
  </si>
  <si>
    <t>SELECT
    corporate.corp_key,
    preferences.amount3 AS Expected_Monthly_Non_Cash_Credit_Turnover_Percentage
FROM CRMUSER.preferences
JOIN CRMUSER.corporate
    ON corporate.corp_key = preferences.orgkey;</t>
  </si>
  <si>
    <t>Finacle CRM -&gt; Preferences -&gt; KYC Details -&gt; Expected Highest Non Cash Credit Transaction</t>
  </si>
  <si>
    <t xml:space="preserve"> AMOUNT5</t>
  </si>
  <si>
    <t>SELECT
    corporate.corp_key,
    preferences.amount5 AS Expected_Highest_Non_Cash_Credit_Transaction
FROM CRMUSER.preferences
JOIN CRMUSER.corporate
    ON corporate.corp_key = preferences.orgkey;</t>
  </si>
  <si>
    <t>Finacle CRM -&gt; Preferences -&gt; KYC Details -&gt; Expected Highest Cash Credit Transaction</t>
  </si>
  <si>
    <t xml:space="preserve"> AMOUNT4</t>
  </si>
  <si>
    <t>SELECT
    corporate.corp_key,
    preferences.amount4 AS Expected_Highest_Cash_Credit_Transaction
FROM CRMUSER.preferences
JOIN CRMUSER.corporate
    ON corporate.corp_key = preferences.orgkey;</t>
  </si>
  <si>
    <t>Sanction Declaration Status</t>
  </si>
  <si>
    <t>Finacle CRM -&gt; Preferences -&gt; KYC Details -&gt; Sanction Declaration Status</t>
  </si>
  <si>
    <t>str7</t>
  </si>
  <si>
    <t xml:space="preserve">SELECT
    corporate.corp_key,
    preferences.str7 AS Sanction_Declaration_Status
FROM CRMUSER.preferences
JOIN CRMUSER.corporate
    ON corporate.corp_key = preferences.orgkey;
</t>
  </si>
  <si>
    <t>DNFBP Declaration Status</t>
  </si>
  <si>
    <t>Finacle CRM -&gt; Preferences -&gt; KYC Details -&gt; DNFBP Declaration Status</t>
  </si>
  <si>
    <t>holdMail_Flag</t>
  </si>
  <si>
    <t>Select  corporate.corp_key, PREFERENCES.holdMail_Flag as  DNFBP_Declaration_Status from CRMUSER.PREFERENCES
JOIN  CRMUSER.corporate ON corporate.corp_key=preferences.orgkey
JOIN CRMUSER.CATEGORIES ON CATEGORIES.VALUE = PREFERENCES.holdMail_Flag and CATEGORIES.CATEGORYTYPE = 'DNFBP_STATUS'
JOIN CRMUSER.CATEGORY_LANG ON CATEGORY_LANG.CATEGORYID = CATEGORIES.CATEGORYID</t>
  </si>
  <si>
    <t>Select - CATEGORY_LANG.LOCALTEXT wit below mapping
CATEGORY_LANG.CATEGORYID = CATEGORIES.CATEGORYID
CATEGORIES.VALUE = preferences.holdMail_Flag
CATEGORIES.CATEGORYTYPE = 'DNFBP_STATUS'</t>
  </si>
  <si>
    <t>-CONDUCT
-DOES NOT CONDUCT</t>
  </si>
  <si>
    <t>-C
-NC</t>
  </si>
  <si>
    <t>01. Relationships</t>
  </si>
  <si>
    <t>CIF ID</t>
  </si>
  <si>
    <t>Relationship</t>
  </si>
  <si>
    <t>Finacle CRM -&gt; View Related Entities -&gt; Entity Relations -&gt; CIF ID</t>
  </si>
  <si>
    <t>ENTITYRELATIONSHIP</t>
  </si>
  <si>
    <t>Finacle CRM -&gt; View Related Entities -&gt; Entity Relations -&gt; First Name, Last Name</t>
  </si>
  <si>
    <t>CUST_FIRST_NAME, CUST_LAST_NAME</t>
  </si>
  <si>
    <t>Finacle CRM -&gt; View Related Entities -&gt; Entity Relations -&gt; Date of Birth</t>
  </si>
  <si>
    <t>Bank Relation Type</t>
  </si>
  <si>
    <t>Finacle CRM -&gt; View Related Entities -&gt; Entity Relations -&gt; Bank Relation Type</t>
  </si>
  <si>
    <t>CHILDENTITY</t>
  </si>
  <si>
    <t>Relationship with Entity</t>
  </si>
  <si>
    <t>Finacle CRM -&gt; View Related Entities -&gt; Entity Relations -&gt; Relationship with Entity</t>
  </si>
  <si>
    <t>RELATIONSHIP</t>
  </si>
  <si>
    <t>Relationship Type</t>
  </si>
  <si>
    <t>Finacle CRM -&gt; View Related Entities -&gt; Entity Relations -&gt; Relationship Type</t>
  </si>
  <si>
    <t>RELATIONSHIP_CATEGORY</t>
  </si>
  <si>
    <t>Corporate Name</t>
  </si>
  <si>
    <t>Finacle CRM -&gt; View Related Entities -&gt; Entity Relations -&gt; Corporate Name</t>
  </si>
  <si>
    <t>CORPORATE_NAME</t>
  </si>
  <si>
    <t>Incorporation Date</t>
  </si>
  <si>
    <t>Finacle CRM -&gt; View Related Entities -&gt; Entity Relations -&gt; Incorporation Date</t>
  </si>
  <si>
    <t>DATE_OF_INCORPORATION</t>
  </si>
  <si>
    <t>Relationship Details</t>
  </si>
  <si>
    <t>Finacle CRM -&gt; View Customer Details -&gt; Relationship -&gt; Relationship Details -&gt; Related Party Details -&gt; CIF ID</t>
  </si>
  <si>
    <t>entityKey</t>
  </si>
  <si>
    <t>accounts.orgkey=FinancialDetails.orgkey</t>
  </si>
  <si>
    <t>CIF Type</t>
  </si>
  <si>
    <t>Finacle CRM -&gt; View Customer Details -&gt; Relationship -&gt; Relationship Details -&gt; Related Party Details -&gt; CIF Type</t>
  </si>
  <si>
    <t>cifType</t>
  </si>
  <si>
    <t>-CORPORATE
-MIGRATION DEFAULT
-RETAIL</t>
  </si>
  <si>
    <t>-Corporate
-MIGR
-Retail</t>
  </si>
  <si>
    <t>Entity Type</t>
  </si>
  <si>
    <t>Finacle CRM -&gt; View Customer Details -&gt; Relationship -&gt; Relationship Details -&gt; Related Party Details -&gt; Entity Type</t>
  </si>
  <si>
    <t>FINANCIALDETAILS</t>
  </si>
  <si>
    <t>ENTITYTYPE</t>
  </si>
  <si>
    <t>Finacle CRM -&gt; View Customer Details -&gt; Relationship -&gt; Relationship Details -&gt; Related Party Details -&gt; Relationship Type</t>
  </si>
  <si>
    <t>-AUTHORIZED SIGNATORY
-BENEFICIAL OWNER
-OTHERS
-POWER OF ATTORNEY
-SHARE HOLDER</t>
  </si>
  <si>
    <t xml:space="preserve">-"AUTHORIZED SIGNATORY" 
-"BENEFICIAL OWNER"     
-OTHERS                 
-"POWER OF ATTORNEY"    
-"SHARE HOLDER"         </t>
  </si>
  <si>
    <t>Type of Company</t>
  </si>
  <si>
    <t>Finacle CRM -&gt; View Customer Details -&gt; Relationship -&gt; Relationship Details -&gt; Related Party Details -&gt; Type of Company</t>
  </si>
  <si>
    <t>str18</t>
  </si>
  <si>
    <t xml:space="preserve">-LISTED
-NOT LISTED </t>
  </si>
  <si>
    <t>-L
-NL</t>
  </si>
  <si>
    <t>Controlling Person Type</t>
  </si>
  <si>
    <t>Finacle CRM -&gt; View Customer Details -&gt; Relationship -&gt; Relationship Details -&gt; Related Party Details -&gt; Controlling Person Type</t>
  </si>
  <si>
    <t>mlUserField5</t>
  </si>
  <si>
    <t>-LEGAL ARRANGEMENT-NON TRUST-BENEFICIARY EQUIVALENT
-LEGAL ARRANGEMENT-NON TRUST-OTHERS EQUIVALENT
-LEGAL ARRANGEMENT-NON TRUST-PROTECTOR EQUIVALENT
-LEGAL ARRANGEMENT-NON TRUST-SETTLOR EQUIVALENT
-LEGAL ARRANGEMENT-NON TRUST-TRUSTEE EQUIVALENT
-LEGAL ARRANGEMENT-PROTECTOR
-LEGAL ARRANGEMENT-TRUST-BENEFICIARY
-LEGAL ARRANGEMENT-TRUST-OTHER
-LEGAL ARRANGEMENT-TRUST-SETTLOR
-LEGAL ARRANGEMENT-TRUST-TRUSTEE
-LEGAL PERSON-OTHER MEANS
-LEGAL PERSON-OWNERSHIP
-LEGAL PERSON-SENIOR MANAGING OFFICIAL</t>
  </si>
  <si>
    <t xml:space="preserve">-"LEGAL ARRANGEMENT-NON TRUST-BENEFICIARY EQUIVALENT"
-"LEGAL ARRANGEMENT-NON TRUST-OTHERS EQUIVALENT"     
-"LEGAL ARRANGEMENT-NON TRUST-PROTECTOR EQUIVALENT"  
-"LEGAL ARRANGEMENT-NON TRUST-SETTLOR EQUIVALENT"    
-"LEGAL ARRANGEMENT-NON TRUST-TRUSTEE EQUIVALENT"    
-"LEGAL ARRANGEMENT-PROTECTOR"                       
-"LEGAL ARRANGEMENT-TRUST-BENEFICIARY"               
-"LEGAL ARRANGEMENT-TRUST-OTHER"                     
-"LEGAL ARRANGEMENT-TRUST-SETTLOR"                   
-"LEGAL ARRANGEMENT-TRUST-TRUSTEE"                   
-"LEGAL PERSON-OTHER MEANS"                          
-"LEGAL PERSON-OWNERSHIP"                            
-"LEGAL PERSON-SENIOR MANAGING OFFICIAL"             </t>
  </si>
  <si>
    <t>Name</t>
  </si>
  <si>
    <t>Finacle CRM -&gt; View Customer Details -&gt; Relationship -&gt; Relationship Details -&gt; Related Party Details -&gt; Name</t>
  </si>
  <si>
    <t>STR4</t>
  </si>
  <si>
    <t>Finacle CRM -&gt; View Customer Details -&gt; Relationship -&gt; Relationship Details -&gt; Related Party Details -&gt; Title</t>
  </si>
  <si>
    <t xml:space="preserve">-CAPTAIN
-CHIEF
-COLONEL
-COMMANDER
-DR
-FATHER
-HER EXCELLENCY
-HER HIGHNESS
-HER MAJESTY
-HIS EXCELLENCY
-HIS HIGHNESS
-LT.COMMANDER
-MADAM
-MAJOR
-MASTER
-MESSRS
-MIGRATION DEFAULT
-MISS
-MR
-MRS
-MS.
-PROFESSOR
-SHEIKH
-SHEIKHA
-SIR        </t>
  </si>
  <si>
    <t xml:space="preserve">-CAPT
-CHIEF 
-COL   
-COMDR 
-DR.   
-FTHER 
-HREXC 
-HRH   
-HRM   
-HE    
-HH    
-LFT   
-MADAM 
-MJR   
-MAST. 
-MESRS 
-MIGR  
-MISS  
-MR.   
-MRS.  
-MS.   
-PROF  
-SH    
-SHA   
-SIR   </t>
  </si>
  <si>
    <t>Finacle CRM -&gt; View Customer Details -&gt; Relationship -&gt; Relationship Details -&gt; Related Party Details -&gt; Full Name</t>
  </si>
  <si>
    <t>Finacle CRM -&gt; View Customer Details -&gt; Relationship -&gt; Relationship Details -&gt; Related Party Details -&gt; Gender</t>
  </si>
  <si>
    <t>str30</t>
  </si>
  <si>
    <t>Select - CATEGORY_LANG.LOCALTEXT wit below mapping
CATEGORY_LANG.CATEGORYID = CATEGORIES.CATEGORYID
CATEGORIES.VALUE = ACCOUNTS.GENDER
CATEGORIES.CATEGORYTYPE = 'GENDER'</t>
  </si>
  <si>
    <t>Passport/ Trade License Number</t>
  </si>
  <si>
    <t>Finacle CRM -&gt; View Customer Details -&gt; Relationship -&gt; Relationship Details -&gt; Related Party Details -&gt; Passport No./Trade License No.</t>
  </si>
  <si>
    <t>STR15</t>
  </si>
  <si>
    <t>Date of Birth/ Date of Incorporation</t>
  </si>
  <si>
    <t>Finacle CRM -&gt; View Customer Details -&gt; Relationship -&gt; Relationship Details -&gt; Related Party Details -&gt; Date of Birth/Date of Incorporation</t>
  </si>
  <si>
    <t>DATE2</t>
  </si>
  <si>
    <t>Date Picklist</t>
  </si>
  <si>
    <t>Total Liability %</t>
  </si>
  <si>
    <t>Finacle CRM -&gt; View Customer Details -&gt; Relationship -&gt; Relationship Details -&gt; Related Party Details -&gt; Total Liability Pcnt.</t>
  </si>
  <si>
    <t>AMOUNT30</t>
  </si>
  <si>
    <t>Total Equity %</t>
  </si>
  <si>
    <t>Finacle CRM -&gt; View Customer Details -&gt; Relationship -&gt; Relationship Details -&gt; Related Party Details -&gt; Total Equity Pcnt.</t>
  </si>
  <si>
    <t>AMOUNT26</t>
  </si>
  <si>
    <t>IB Enabled Flag</t>
  </si>
  <si>
    <t>Finacle CRM -&gt; View Customer Details -&gt; Relationship -&gt; Relationship Details -&gt; Related Party Details -&gt; IB Enabled Flag</t>
  </si>
  <si>
    <t>-IB INQUIRY ACCESS
-IB FULL ACCESS
-MIGRATION DEFAULT</t>
  </si>
  <si>
    <t>-N
-Y
-D</t>
  </si>
  <si>
    <t>Finacle CRM -&gt; View Customer Details -&gt; Relationship -&gt; Relationship Details -&gt; Related Party Details -&gt; US Relation</t>
  </si>
  <si>
    <t xml:space="preserve">-NO
-RECALCITRANT CUSTOMER
-YES - NOT REPORTABLE
-YES - REPORTABLE    </t>
  </si>
  <si>
    <t>Finacle CRM -&gt; View Customer Details -&gt; Relationship -&gt; Relationship Details -&gt; Related Party Details -&gt; Address</t>
  </si>
  <si>
    <t>str26</t>
  </si>
  <si>
    <t>Finacle CRM -&gt; View Customer Details -&gt; Relationship -&gt; Relationship Details -&gt; Related Party Details -&gt; TIN Number</t>
  </si>
  <si>
    <t>% of controlling interest</t>
  </si>
  <si>
    <t>Finacle CRM -&gt; View Customer Details -&gt; Relationship -&gt; Relationship Details -&gt; Related Party Details -&gt; % of controlling interest</t>
  </si>
  <si>
    <t>Country of residence</t>
  </si>
  <si>
    <t>Finacle CRM -&gt; View Customer Details -&gt; Relationship -&gt; Relationship Details -&gt; Related Party Details -&gt; Country of residence</t>
  </si>
  <si>
    <t>str9</t>
  </si>
  <si>
    <t>Finacle CRM -&gt; View Customer Details -&gt; Relationship -&gt; Relationship Details -&gt; Related Party Details -&gt; Place Of Birth</t>
  </si>
  <si>
    <t>STR2</t>
  </si>
  <si>
    <t>Finacle CRM -&gt; View Customer Details -&gt; Relationship -&gt; Relationship Details -&gt; Related Party Details -&gt; Country Of Birth</t>
  </si>
  <si>
    <t>str8</t>
  </si>
  <si>
    <t>Finacle CRM -&gt; View Customer Details -&gt; Relationship -&gt; Relationship Details -&gt; Related Party Details -&gt; CRS Undocumented Flag</t>
  </si>
  <si>
    <t>Finacle CRM -&gt; View Customer Details -&gt; Relationship -&gt; Relationship Details -&gt; Related Party Details -&gt; CRS Undocumented Flag Reason</t>
  </si>
  <si>
    <t>Finacle CRM -&gt; View Customer Details -&gt; Relationship -&gt; Relationship Details -&gt; Related Party Details -&gt; Country of Tax Residence</t>
  </si>
  <si>
    <t>Finacle CRM -&gt; View Customer Details -&gt; Relationship -&gt; Relationship Details -&gt; Related Party Details -&gt; No TIN Reason</t>
  </si>
  <si>
    <t>Reason for selecting Option B</t>
  </si>
  <si>
    <t>Finacle CRM -&gt; View Customer Details -&gt; Relationship -&gt; Relationship Details -&gt; Related Party Details -&gt; Reason for selecting Option B</t>
  </si>
  <si>
    <t>MLUSERFIELD3</t>
  </si>
  <si>
    <t>01. Interactions &amp; Footprints</t>
  </si>
  <si>
    <t>Footprints</t>
  </si>
  <si>
    <t>Finacle Core -&gt; CUINQ -&gt; Event -&gt; Event Details -&gt; Time</t>
  </si>
  <si>
    <t>Different source system</t>
  </si>
  <si>
    <t>Solution support, API enhancement/development</t>
  </si>
  <si>
    <t>Finacle to share the underlying solution implemented in their system and the source system details</t>
  </si>
  <si>
    <t>Channel</t>
  </si>
  <si>
    <t>Finacle Core -&gt; CUINQ -&gt; Event -&gt; Event Details -&gt; Channel</t>
  </si>
  <si>
    <t>PARAMETER_VALUE</t>
  </si>
  <si>
    <t>For parameter_id ='EVT_CHANNEL_1' the parameter_value will be ATM,INB,IVR,MOB,NETWORK,RMT"</t>
  </si>
  <si>
    <t>VARCHAR2</t>
  </si>
  <si>
    <t>ATM,INB,IVR,MOB,NETWORK,RMT</t>
  </si>
  <si>
    <t>Finacle Core -&gt; CUINQ -&gt; Event -&gt; Event Details -&gt; Level</t>
  </si>
  <si>
    <t>For parameter_id ='EVT_LEVEL_1' the parameter_value will be High,Medium,Low</t>
  </si>
  <si>
    <t>HIGH ,MEDIUM,LOW</t>
  </si>
  <si>
    <t>Finacle Core -&gt; CUINQ -&gt; Event -&gt; Event Details -&gt; Name</t>
  </si>
  <si>
    <t>Finacle Core -&gt; CUINQ -&gt; Event -&gt; Event Details -&gt; Description</t>
  </si>
  <si>
    <t>Communications</t>
  </si>
  <si>
    <t>Finacle Core -&gt; CUINQ -&gt; Customer Communication -&gt; Customer Communication Details -&gt; Channel</t>
  </si>
  <si>
    <t>M3,M4</t>
  </si>
  <si>
    <t>Finacle Core -&gt; CUINQ -&gt; Customer Communication -&gt; Customer Communication Details -&gt; Content</t>
  </si>
  <si>
    <t>02.Account</t>
  </si>
  <si>
    <t>Account Number</t>
  </si>
  <si>
    <t>HACI -&gt; General -&gt; A/C. ID (Account Number)</t>
  </si>
  <si>
    <t>accounts.orgkey=GAM.cif_id</t>
  </si>
  <si>
    <t>GAM. SCHM_TYPE 
SBA - Savings
CAA - Current
ODA - Over Draft
TDA - Term Deposit
LAA - Loan</t>
  </si>
  <si>
    <t>16 CHAR</t>
  </si>
  <si>
    <t>Account Name</t>
  </si>
  <si>
    <t>HACI -&gt; General -&gt; A/C. ID (Account Name)</t>
  </si>
  <si>
    <t>ACCT_NAME</t>
  </si>
  <si>
    <t>Account Status</t>
  </si>
  <si>
    <t>HACI -&gt; General -&gt; Scheme -&gt; A/c Status</t>
  </si>
  <si>
    <t>SMT</t>
  </si>
  <si>
    <t>ACCT_STATUS</t>
  </si>
  <si>
    <t xml:space="preserve">SMT.ACID=GAM.ACID &amp; accounts.orgkey=GAM.cif_id </t>
  </si>
  <si>
    <t>Radio</t>
  </si>
  <si>
    <t>CHAR</t>
  </si>
  <si>
    <t>IBAN Number</t>
  </si>
  <si>
    <t>HACI -&gt; General -&gt; A/C. ID -&gt; Click Magnifying glass -&gt; Search A/c. ID -&gt; IBAN</t>
  </si>
  <si>
    <t>IBAN_NUMBER</t>
  </si>
  <si>
    <t>34 CHAR</t>
  </si>
  <si>
    <t>HACI -&gt; General -&gt; A/C. ID (Currency)</t>
  </si>
  <si>
    <t>ACCT_CRNCY_CODE</t>
  </si>
  <si>
    <t>3 CHAR</t>
  </si>
  <si>
    <t>Scheme Code</t>
  </si>
  <si>
    <t>HACI-&gt; General -&gt; Scheme Code</t>
  </si>
  <si>
    <t>SCHM_CODE</t>
  </si>
  <si>
    <t>Scheme Name</t>
  </si>
  <si>
    <t>HACI -&gt; General -&gt; Scheme Code (Scheme Name  based on the Scheme Code)</t>
  </si>
  <si>
    <t>SCHM_DESC</t>
  </si>
  <si>
    <t>GSP.SCHM_CODE=GAM.SCHM_CODE &amp; accounts.orgkey=GAM.cif_id</t>
  </si>
  <si>
    <t>Account Short Name</t>
  </si>
  <si>
    <t>HACI -&gt; General -&gt; A/c Short Name</t>
  </si>
  <si>
    <t>ACCT_SHORT_NAME</t>
  </si>
  <si>
    <t>Open Date</t>
  </si>
  <si>
    <t>HACI-&gt; General -&gt; A/c Open Date</t>
  </si>
  <si>
    <t>ACCT_OPN_DATE</t>
  </si>
  <si>
    <t xml:space="preserve">DATE </t>
  </si>
  <si>
    <t>Closed Date</t>
  </si>
  <si>
    <t>HACCDET -&gt; Account closure date</t>
  </si>
  <si>
    <t>ACCT_CLS_DATE</t>
  </si>
  <si>
    <t xml:space="preserve">DATE  </t>
  </si>
  <si>
    <t>Account Manager ID</t>
  </si>
  <si>
    <t>HACI -&gt; General -&gt; A/c. Manager</t>
  </si>
  <si>
    <t>ACCT_MGR_USER_ID</t>
  </si>
  <si>
    <t>Freeze Code</t>
  </si>
  <si>
    <t>HACI -&gt; Addl. Info. -&gt; Freeze Details</t>
  </si>
  <si>
    <t>FREZ_CODE</t>
  </si>
  <si>
    <t>Mode of Operation</t>
  </si>
  <si>
    <t>HACI -&gt; General -&gt; Mode of Operation (Value and its description)</t>
  </si>
  <si>
    <t>MODE_OF_OPER_CODE</t>
  </si>
  <si>
    <t>GAM.BANK_ID</t>
  </si>
  <si>
    <t>NUMBER(22,6)</t>
  </si>
  <si>
    <t>Closed</t>
  </si>
  <si>
    <t>HACCDET -&gt; Close Flag</t>
  </si>
  <si>
    <t>ACCT_CLS_FLG</t>
  </si>
  <si>
    <t xml:space="preserve">EIT.Entity_ID=GAM.ACID &amp; accounts.orgkey=GAM.cif_id </t>
  </si>
  <si>
    <t>Joint Account</t>
  </si>
  <si>
    <t>HACI -&gt; General -&gt; Mode of Operation (Y if it is Joint)</t>
  </si>
  <si>
    <t>TBAADM.RCT.REFDESC where ref_rec_type = 27</t>
  </si>
  <si>
    <t>Description is fetching from TBAADM.RCT.REFDESC where ref_rec_type = 27 and REF_CODE = GAM. MODE_OF_OPER_CODE</t>
  </si>
  <si>
    <t>Effective Available Balance</t>
  </si>
  <si>
    <t>Basic Balance Enquiry</t>
  </si>
  <si>
    <t>HACCBAL-&gt; Effective Available Amt.</t>
  </si>
  <si>
    <t>Run time field</t>
  </si>
  <si>
    <t>Clear Balance</t>
  </si>
  <si>
    <t>HACCBAL -&gt; Clear Balance Amt.</t>
  </si>
  <si>
    <t>CLR_BAL_AMT</t>
  </si>
  <si>
    <t>Hold Amount</t>
  </si>
  <si>
    <t>HACCBAL -&gt; Lien Amt.</t>
  </si>
  <si>
    <t>LIEN_AMT</t>
  </si>
  <si>
    <t>Pay Interest</t>
  </si>
  <si>
    <t>Interest Details</t>
  </si>
  <si>
    <t>HACI -&gt; Interest &amp; Tax -&gt; Interest (Check box- Pay or collect)</t>
  </si>
  <si>
    <t>INT_PAID_FLG</t>
  </si>
  <si>
    <t>select accounts.orgkey, GAM.INT_PAID_FLG as Pay_Interest from TBAADM.GAM
JOIN CRMUSER.accounts ON  gam.cif_id = accounts.orgkey</t>
  </si>
  <si>
    <t>Checkbox</t>
  </si>
  <si>
    <t>Collect Interest</t>
  </si>
  <si>
    <t>INT_COLL_FLG</t>
  </si>
  <si>
    <t>select accounts.orgkey, GAM.INT_COLL_FLG as Collect_Interest from TBAADM.GAM
JOIN CRMUSER.accounts ON  gam.cif_id = accounts.orgkey</t>
  </si>
  <si>
    <t>Credit Interest % Min</t>
  </si>
  <si>
    <t>HACI -&gt; Interest &amp; Tax -&gt; Credit Interest Pcnt. Min./Max.</t>
  </si>
  <si>
    <t>MIN_INT_PCNT_CR</t>
  </si>
  <si>
    <t xml:space="preserve">ITC.Entity_ID=GAM.ACID &amp; accounts.orgkey=GAM.cif_id </t>
  </si>
  <si>
    <t>select accounts.orgkey,GAM.ACID, ITC.MIN_INT_PCNT_CR as Credit_Interest_Min from TBAADM.ITC
JOIN TBAADM.GAM ON ITC.Entity_ID=GAM.ACID
JOIN CRMUSER.accounts ON  gam.cif_id = accounts.orgkey</t>
  </si>
  <si>
    <t>Credit Interest % Max</t>
  </si>
  <si>
    <t>MAX_INT_PCNT_CR</t>
  </si>
  <si>
    <t>select accounts.orgkey,GAM.ACID, ITC.MAX_INT_PCNT_CR as Credit_Interest_Max from TBAADM.ITC
JOIN TBAADM.GAM ON ITC.Entity_ID=GAM.ACID
JOIN CRMUSER.accounts ON  gam.cif_id = accounts.orgke</t>
  </si>
  <si>
    <t>Debit Interest % Min</t>
  </si>
  <si>
    <t>HACI -&gt; Interest &amp; Tax -&gt; Min./Max. Debit Interest Pcnt.</t>
  </si>
  <si>
    <t>MIN_INT_PCNT_DR</t>
  </si>
  <si>
    <t>select accounts.orgkey,GAM.ACID, ITC.MIN_INT_PCNT_DR as Debit_Interest_Min from TBAADM.ITC
JOIN TBAADM.GAM ON ITC.Entity_ID=GAM.ACID
JOIN CRMUSER.accounts ON  gam.cif_id = accounts.orgkey</t>
  </si>
  <si>
    <t>Debit Interest % Max</t>
  </si>
  <si>
    <t>MAX_INT_PCNT_DR</t>
  </si>
  <si>
    <t>select accounts.orgkey,GAM.ACID, ITC.MAX_INT_PCNT_DR as Debit_Interest_Max from TBAADM.ITC
JOIN TBAADM.GAM ON ITC.Entity_ID=GAM.ACID
JOIN CRMUSER.accounts ON  gam.cif_id = accounts.orgkey</t>
  </si>
  <si>
    <t>Customer Preferential Interest (Cr.)</t>
  </si>
  <si>
    <t xml:space="preserve">HACI -&gt; Interest &amp; Tax -&gt; Customer Preferential Interest (Cr.) </t>
  </si>
  <si>
    <t>CUST_CR_PREF_PCNT</t>
  </si>
  <si>
    <t>select accounts.orgkey,GAM.ACID, ITC.CUST_CR_PREF_PCNT as Customer_Preferential_Interest_CR from TBAADM.ITC
JOIN TBAADM.GAM ON ITC.Entity_ID=GAM.ACID
JOIN CRMUSER.accounts ON  gam.cif_id = accounts.orgkey</t>
  </si>
  <si>
    <t>Customer Preferential Interest (Dr.)</t>
  </si>
  <si>
    <t xml:space="preserve">HACI -&gt; Interest &amp; Tax -&gt; Customer Preferential Interest (Dr.) </t>
  </si>
  <si>
    <t>CUST_DR_PREF_PCNT</t>
  </si>
  <si>
    <t>select accounts.orgkey,GAM.ACID, ITC.CUST_DR_PREF_PCNT as Customer_Preferential_Interest_DR from TBAADM.ITC
JOIN TBAADM.GAM ON ITC.Entity_ID=GAM.ACID
JOIN CRMUSER.accounts ON  gam.cif_id = accounts.orgkey</t>
  </si>
  <si>
    <t>A/c. Credit Preferential Interest</t>
  </si>
  <si>
    <t xml:space="preserve">HACI -&gt; Interest &amp; Tax -&gt; A/c. Credit Preferential Interest </t>
  </si>
  <si>
    <t>ID_CR_PREF_PCNT</t>
  </si>
  <si>
    <t>select accounts.orgkey,GAM.ACID, ITC.ID_CR_PREF_PCNT as AC_Credit_Preferential_Interest from TBAADM.ITC
JOIN TBAADM.GAM ON ITC.Entity_ID=GAM.ACID
JOIN CRMUSER.accounts ON  gam.cif_id = accounts.orgkey</t>
  </si>
  <si>
    <t>A/c. Debit Preferential Interest</t>
  </si>
  <si>
    <t xml:space="preserve">HACI -&gt; Interest &amp; Tax -&gt; A/c. Debit Preferential Interest </t>
  </si>
  <si>
    <t>ID_DR_PREF_PCNT</t>
  </si>
  <si>
    <t>select accounts.orgkey,GAM.ACID, ITC.ID_DR_PREF_PCNT as AC_Debit_Preferential_Interest from TBAADM.ITC
JOIN TBAADM.GAM ON ITC.Entity_ID=GAM.ACID
JOIN CRMUSER.accounts ON  gam.cif_id = accounts.orgkey;</t>
  </si>
  <si>
    <t>Interest Credit Account</t>
  </si>
  <si>
    <t>HACI -&gt; Interest &amp; Tax -&gt;Interest Credit A/c.</t>
  </si>
  <si>
    <t>INT_CR_ACCT_FLG</t>
  </si>
  <si>
    <t xml:space="preserve">GAC.ACID=GAM.ACID &amp; accounts.orgkey=GAM.cif_id </t>
  </si>
  <si>
    <t>select accounts.orgkey,GAM.ACID, GAC.INT_CR_ACCT_FLG as Interest_Credit_Account from TBAADM.GAC
JOIN TBAADM.GAM ON GAC.ACID=GAM.ACID 
JOIN CRMUSER.accounts ON  gam.cif_id = accounts.orgkey</t>
  </si>
  <si>
    <t xml:space="preserve">1 Byte </t>
  </si>
  <si>
    <t>Interest Debit Account</t>
  </si>
  <si>
    <t>HACI -&gt; Interest &amp; Tax -&gt; Interest Debit A/c.</t>
  </si>
  <si>
    <t>INT_DR_ACCT_FLG</t>
  </si>
  <si>
    <t>select accounts.orgkey,GAM.ACID, GAC.INT_DR_ACCT_FLG as Interest_Debit_Account from TBAADM.GAC
JOIN TBAADM.GAM ON GAC.ACID=GAM.ACID 
JOIN CRMUSER.accounts ON  gam.cif_id = accounts.orgkey</t>
  </si>
  <si>
    <t>Interest Calculation Frequency (Cr.)</t>
  </si>
  <si>
    <t>HACI -&gt; Interest &amp; Tax -&gt; Interest Calculation Frequency (Cr.)</t>
  </si>
  <si>
    <t>INTEREST_CALC_UPTO_DATE_CR</t>
  </si>
  <si>
    <t>select accounts.orgkey,GAM.ACID, EIT.INTEREST_CALC_UPTO_DATE_CR as Interest_Calculation_Frequency from TBAADM.EIT
JOIN TBAADM.GAM ON EIT.Entity_ID=GAM.ACID 
JOIN CRMUSER.accounts ON  gam.cif_id = accounts.orgkey</t>
  </si>
  <si>
    <t>Interest Calculation Frequency (Dr.)</t>
  </si>
  <si>
    <t>HACI -&gt; Interest &amp; Tax -&gt; Interest Calculation Frequency (Dr.)</t>
  </si>
  <si>
    <t>INTEREST_CALC_UPTO_DATE_DR</t>
  </si>
  <si>
    <t>select accounts.orgkey,GAM.ACID, EIT.INTEREST_CALC_UPTO_DATE_DR as Interest_Calculation_Frequency_DR from TBAADM.EIT
JOIN TBAADM.GAM ON EIT.Entity_ID=GAM.ACID 
JOIN CRMUSER.accounts ON  gam.cif_id = accounts.orgkey</t>
  </si>
  <si>
    <t>Next Interest Calculation Date (Cr.)</t>
  </si>
  <si>
    <t>HACI -&gt; Interest &amp; Tax -&gt; Next Interest Calculation Date (Cr.)</t>
  </si>
  <si>
    <t>NEXT_INT_RUN_DATE_CR</t>
  </si>
  <si>
    <t>select accounts.orgkey,GAM.ACID, EIT.NEXT_INT_RUN_DATE_CR as Next_Interest_Calculation_Date from TBAADM.EIT
JOIN TBAADM.GAM ON EIT.Entity_ID=GAM.ACID 
JOIN CRMUSER.accounts ON  gam.cif_id = accounts.orgkey</t>
  </si>
  <si>
    <t>Next Interest Calculation Date (Dr.)</t>
  </si>
  <si>
    <t>HACI -&gt; Interest &amp; Tax -&gt;Next Interest Calculation Date (Dr.)</t>
  </si>
  <si>
    <t>NEXT_INT_RUN_DATE_DR</t>
  </si>
  <si>
    <t>select accounts.orgkey,GAM.ACID, EIT.NEXT_INT_RUN_DATE_DR as Next_Interest_Calculation_Date_DR from TBAADM.EIT
JOIN TBAADM.GAM ON EIT.Entity_ID=GAM.ACID 
JOIN CRMUSER.accounts ON  gam.cif_id = accounts.orgkey</t>
  </si>
  <si>
    <t>Interest Rate Code</t>
  </si>
  <si>
    <t>HACI -&gt; Interest &amp; Tax -&gt; Interest Rate Code</t>
  </si>
  <si>
    <t>INT_TBL_CODE</t>
  </si>
  <si>
    <t>select accounts.orgkey,GAM.ACID, ITC.INT_TBL_CODE as Interest_Rate_Code from TBAADM.ITC
JOIN TBAADM.GAM ON ITC.Entity_ID=GAM.ACID
JOIN CRMUSER.accounts ON  gam.cif_id = accounts.orgkey</t>
  </si>
  <si>
    <t>Interest Rate Period</t>
  </si>
  <si>
    <t xml:space="preserve">HACI -&gt; Interest &amp; Tax -&gt; Interest Rate Period (MMM/DDD) </t>
  </si>
  <si>
    <t>INT_RATE_PRD_IN_MONTHS
INT_RATE_PRD_IN_DAYS</t>
  </si>
  <si>
    <t>It should be fetched based on the latest INT_TBL_CODE_SRL_NUM for the given start_date and end_date.</t>
  </si>
  <si>
    <t xml:space="preserve">
SELECT
    accounts.orgkey,
    GAM.ACID,
    ITC.INT_RATE_PRD_IN_MONTHS,
    ITC.INT_RATE_PRD_IN_DAYS
FROM TBAADM.ITC
JOIN TBAADM.GAM 
    ON ITC.ENTITY_ID = GAM.ACID
JOIN CRMUSER.accounts 
    ON accounts.orgkey = GAM.cif_id;</t>
  </si>
  <si>
    <t>Screenshot needed</t>
  </si>
  <si>
    <t>Interest Accrued YTD</t>
  </si>
  <si>
    <t>HACCDET -&gt; Int. Accrued YTD</t>
  </si>
  <si>
    <t>NRML_ACCRUED_AMOUNT_DR</t>
  </si>
  <si>
    <t>select accounts.orgkey,GAM.ACID, EIT.NRML_ACCRUED_AMOUNT_DR as Interest_Accrued_YTD from TBAADM.EIT
JOIN TBAADM.GAM ON EIT.Entity_ID=GAM.ACID 
JOIN CRMUSER.accounts ON  gam.cif_id = accounts.orgkey</t>
  </si>
  <si>
    <t> NRML_ACCRUED_AMOUNT_DR,NRML_ACCRUED_AMOUNT_CR
Int. Accrued YTD = ( NRML_ACCRUED_AMOUNT_CR - NRML_ACCRUED_AMOUNT_DR)
If the output answer is positive the Cr indicator if it is negative then Dr
eg: 30.00 Cr or 40.00 Dr</t>
  </si>
  <si>
    <t>Interest Collected YTD</t>
  </si>
  <si>
    <t>HACCDET -&gt; Int. Collected YTD</t>
  </si>
  <si>
    <t>select accounts.orgkey,GAM.ACID, EIT.NRML_ACCRUED_AMOUNT_DR as Interest_Collected_YTD from TBAADM.EIT
JOIN TBAADM.GAM ON EIT.Entity_ID=GAM.ACID 
JOIN CRMUSER.accounts ON  gam.cif_id = accounts.orgkey;</t>
  </si>
  <si>
    <t>Interest Paid YTD</t>
  </si>
  <si>
    <t>HACCDET -&gt; Int. Paid (YTD)</t>
  </si>
  <si>
    <t>NRML_ACCRUED_AMOUNT_CR</t>
  </si>
  <si>
    <t>select accounts.orgkey,GAM.ACID, EIT.NRML_ACCRUED_AMOUNT_CR as Interest_Paid_YTD from TBAADM.EIT
JOIN TBAADM.GAM ON EIT.Entity_ID=GAM.ACID 
JOIN CRMUSER.accounts ON  gam.cif_id = accounts.orgke</t>
  </si>
  <si>
    <t xml:space="preserve">NUMBER(22,6) </t>
  </si>
  <si>
    <t>Charges YTD</t>
  </si>
  <si>
    <t>HACCDET -&gt; Charges (YTD)</t>
  </si>
  <si>
    <t>Does mapping of Charges YTD needed or the breakdown?</t>
  </si>
  <si>
    <t>Credit Interest Amt</t>
  </si>
  <si>
    <t>Interest Details : Financials</t>
  </si>
  <si>
    <t>HAITINQ-&gt; Interest Amt. (Cr.)</t>
  </si>
  <si>
    <t>NRML_INTEREST_AMOUNT_CR</t>
  </si>
  <si>
    <t>SELECT acc.orgkey, gam.acid, eit.NRML_INTEREST_AMOUNT_CR AS credit_interest_amt
FROM tbaadm.eit eit
JOIN tbaadm.gam gam ON eit.entity_id = gam.acid
JOIN crmuser.accounts acc ON gam.cif_id = acc.orgkey</t>
  </si>
  <si>
    <t>DOUBLE</t>
  </si>
  <si>
    <t>Last Interest Posted Date (Cr.)</t>
  </si>
  <si>
    <t>HAITINQ-&gt; Last Interest Posted Date (Cr.)</t>
  </si>
  <si>
    <t xml:space="preserve">SELECT acc.orgkey, gam.acid, eit.INTEREST_CALC_UPTO_DATE_CR AS last_interest_posted_date_cr
FROM tbaadm.eit eit
JOIN tbaadm.gam gam ON eit.entity_id = gam.acid
JOIN crmuser.accounts acc ON gam.cif_id = acc.orgkey;
</t>
  </si>
  <si>
    <t>Last Interest Run Date (Cr.)</t>
  </si>
  <si>
    <t>HAITINQ-&gt; Last Interest Run Date (Cr.)</t>
  </si>
  <si>
    <t>LAST_INTEREST_RUN_DATE_CR</t>
  </si>
  <si>
    <t>SELECT acc.orgkey, gam.acid, eit.LAST_INTEREST_RUN_DATE_CR AS last_interest_run_date_cr
FROM tbaadm.eit eit
JOIN tbaadm.gam gam ON eit.entity_id = gam.acid
JOIN crmuser.accounts acc ON gam.cif_id = acc.orgkey;</t>
  </si>
  <si>
    <t>Interest Accrued (Cr.)</t>
  </si>
  <si>
    <t>HAITINQ-&gt; Interest Accrued (Cr.)</t>
  </si>
  <si>
    <t>SELECT acc.orgkey, gam.acid, eit.NRML_ACCRUED_AMOUNT_CR AS interest_accrued_cr
FROM tbaadm.eit eit
JOIN tbaadm.gam gam ON eit.entity_id = gam.acid
JOIN crmuser.accounts acc ON gam.cif_id = acc.orgkey;</t>
  </si>
  <si>
    <t>Last Interest Accrual Date (Cr.)</t>
  </si>
  <si>
    <t>HAITINQ-&gt; Last Interest Accrual Date (Cr.)</t>
  </si>
  <si>
    <t>ACCRUED_UPTO_DATE_CR</t>
  </si>
  <si>
    <t>SELECT acc.orgkey, gam.acid, eit.ACCRUED_UPTO_DATE_CR AS last_interest_accrual_date_cr
FROM tbaadm.eit eit
JOIN tbaadm.gam gam ON eit.entity_id = gam.acid
JOIN crmuser.accounts acc ON gam.cif_id = acc.orgkey;</t>
  </si>
  <si>
    <t>Last Accrual Run Date (Cr.)</t>
  </si>
  <si>
    <t>HAITINQ-&gt; Last Accrual Run Date (Cr.)</t>
  </si>
  <si>
    <t>LAST_ACCRUAL_RUN_DATE_CR</t>
  </si>
  <si>
    <t>SELECT acc.orgkey, gam.acid, eit.LAST_ACCRUAL_RUN_DATE_CR AS last_accrual_run_date_cr
FROM tbaadm.eit eit
JOIN tbaadm.gam gam ON eit.entity_id = gam.acid
JOIN crmuser.accounts acc ON gam.cif_id = acc.orgkey;</t>
  </si>
  <si>
    <t>Last Interest Booked Date (Cr.)</t>
  </si>
  <si>
    <t>HAITINQ-&gt; Last Interest Booked Date (Cr.)</t>
  </si>
  <si>
    <t>booked_upto_date_cr</t>
  </si>
  <si>
    <t>SELECT acc.orgkey, gam.acid, eit.BOOKED_UPTO_DATE_CR AS last_interest_booked_date_cr
FROM tbaadm.eit eit
JOIN tbaadm.gam gam ON eit.entity_id = gam.acid
JOIN crmuser.accounts acc ON gam.cif_id = acc.orgkey;</t>
  </si>
  <si>
    <t>Last Book Run Date (Cr.)</t>
  </si>
  <si>
    <t>HAITINQ-&gt; Last Book Run Date (Cr.)</t>
  </si>
  <si>
    <t>LAST_BOOK_RUN_DATE_CR</t>
  </si>
  <si>
    <t>SELECT acc.orgkey, gam.acid, eit.LAST_BOOK_RUN_DATE_CR AS last_book_run_date_cr
FROM tbaadm.eit eit
JOIN tbaadm.gam gam ON eit.entity_id = gam.acid
JOIN crmuser.accounts acc ON gam.cif_id = acc.orgkey;</t>
  </si>
  <si>
    <t>Transfer Interest Credit Amt.</t>
  </si>
  <si>
    <t>HAITINQ-&gt; Transfer Interest Credit Amt.</t>
  </si>
  <si>
    <t>XFER_INT_AMT_CR</t>
  </si>
  <si>
    <t>SELECT acc.orgkey, gam.acid, eit.XFER_INT_AMT_CR AS transfer_interest_credit_amt
FROM tbaadm.eit eit
JOIN tbaadm.gam gam ON eit.entity_id = gam.acid
JOIN crmuser.accounts acc ON gam.cif_id = acc.orgkey;</t>
  </si>
  <si>
    <t>Interest Breakup - Interest Type</t>
  </si>
  <si>
    <t>HAITINQ -&gt; Interest Breakup -&gt; Interest Type</t>
  </si>
  <si>
    <t>MMSG</t>
  </si>
  <si>
    <t>MSG_LITERAL</t>
  </si>
  <si>
    <t>Need details from Arvind</t>
  </si>
  <si>
    <t>500 CHAR</t>
  </si>
  <si>
    <t>Interest Breakup - Accrued Int. Amount</t>
  </si>
  <si>
    <t>HAITINQ -&gt; Interest Breakup -&gt; Accrued Int. Amount</t>
  </si>
  <si>
    <t>NRML_ACCRUED_AMOUNT_CR , NRML_ACCRUED_AMOUNT_DR
PENAL_ACCRUED_AMOUNT_DR
COMPINT_ACCRUED_AMOUNT_DR
PENALINT_ACCRUED_AMOUNT_DR
PENALPRNC_ACCRUED_AMOUNT_DR
COMPPRNC_ACCRUED_AMOUNT_DR
ADDNL_ACCRUED_AMOUNT_DR
QIS_ACCRUED_AMOUNT_DR
STOCK_ACCRUED_AMOUNT_DR
OVDU_ACCRUED_AMOUNT_DR</t>
  </si>
  <si>
    <t>Need to check with Arvind</t>
  </si>
  <si>
    <t>"Mapping provided in the follwing fields: Interest Breakup - Accrued Int. Amount
Interest Breakup - Accrued Int. Amount
Interest Breakup - Booked  Amount
Interest Breakup - Booked  Amount
Interest Breakup -Int. Amt.
Interest Breakup -Int. Amt.
Interest Breakup - Accrued Int. Amount
Interest Breakup - Booked  Amount
Interest Breakup -Int. Amt.
Interest Breakup - Accrued Int. Amount
Interest Breakup - Booked  Amount
Interest Breakup -Int. Amt.
Interest Breakup - Accrued Int. Amount
Interest Breakup - Booked  Amount
Interest Breakup -Int. Amt.
Interest Breakup - Accrued Int. Amount
Interest Breakup - Booked  Amount
Interest Breakup -Int. Amt."</t>
  </si>
  <si>
    <t>Interest Breakup - Booked  Amount</t>
  </si>
  <si>
    <t>HAITINQ -&gt; Interest Breakup -&gt; Booked  Amount</t>
  </si>
  <si>
    <t>NRML_BOOKED_AMOUNT_CR + CUMM_CR_INT_ADJ_AMT
or
NRML_BOOKED_AMOUNT_DR + CUMM_DR_INT_ADJ_AMT
PENAL_BOOKED_AMOUNT_DR
COMPINT_BOOKED_AMOUNT_DR
PENALINT_BOOKED_AMOUNT_DR
PENALPRNC_BOOKED_AMOUNT_DR
COMPPRNC_BOOKED_AMOUNT_DR
ADDNL_BOOKED_AMOUNT_DR
QIS_BOOKED_AMOUNT_DR
STOCK_BOOKED_AMOUNT_DR
OVDU_BOOKED_AMOUNT_DR</t>
  </si>
  <si>
    <t>Mapping provided in the follwing fields: Interest Breakup - Accrued Int. Amount
Interest Breakup - Accrued Int. Amount
Interest Breakup - Booked  Amount
Interest Breakup - Booked  Amount
Interest Breakup -Int. Amt.
Interest Breakup -Int. Amt.
Interest Breakup - Accrued Int. Amount
Interest Breakup - Booked  Amount
Interest Breakup -Int. Amt.
Interest Breakup - Accrued Int. Amount
Interest Breakup - Booked  Amount
Interest Breakup -Int. Amt.
Interest Breakup - Accrued Int. Amount
Interest Breakup - Booked  Amount
Interest Breakup -Int. Amt.
Interest Breakup - Accrued Int. Amount
Interest Breakup - Booked  Amount
Interest Breakup -Int. Amt.</t>
  </si>
  <si>
    <t>Interest Breakup -Int. Amt.</t>
  </si>
  <si>
    <t>HAITINQ -&gt; Interest Breakup -&gt;Int. Amt.</t>
  </si>
  <si>
    <t>NRML_INTEREST_AMOUNT_CR + CUMM_CR_INT_ADJ_AMT
or
NRML_INTEREST_AMOUNT_DR + CUMM_DR_INT_ADJ_AMT
PENAL_INTEREST_AMOUNT_DR
COMPINT_INTEREST_AMOUNT_DR
PENALINT_INTEREST_AMOUNT_DR
PENALPRNC_INTEREST_AMOUNT_DR
COMPPRNC_INTEREST_AMOUNT_DR
ADDNL_INTEREST_AMOUNT_DR
QIS_INTEREST_AMOUNT_DR
STOCK_INTEREST_AMOUNT_DR
OVDU_INTEREST_AMOUNT_DR</t>
  </si>
  <si>
    <t>Debit  Interest Amt</t>
  </si>
  <si>
    <t>HAITINQ-&gt; Interest Amt. (Dr.)</t>
  </si>
  <si>
    <t>NRML_INTEREST_AMOUNT_DR</t>
  </si>
  <si>
    <t xml:space="preserve">SELECT acc.orgkey, gam.acid, eit.NRML_INTEREST_AMOUNT_DR AS debit_interest_amt
FROM tbaadm.eit eit
JOIN tbaadm.gam gam ON eit.entity_id = gam.acid
JOIN crmuser.accounts acc ON gam.cif_id = acc.orgkey;
</t>
  </si>
  <si>
    <t>Total Interest Unpaid</t>
  </si>
  <si>
    <t>HAITINQ-&gt; Total Interest Unpaid</t>
  </si>
  <si>
    <t>UNPAID_NRML_INT_AMOUNT_CR</t>
  </si>
  <si>
    <t>SELECT corporate.corp_key, EIT.UNPAID_NRML_INT_AMOUNT_CR as Total_Interest_Unpaid
FROM CUSTOM.EIT 
JOIN TBAADM.GAM ON EIT.Entity_ID=GAM.ACID
JOIN crmuser.corporate  ON corporate.corp_key=GAM.cif_id</t>
  </si>
  <si>
    <t>Last Interest Posted Date (Dr.)</t>
  </si>
  <si>
    <t>HAITINQ-&gt; Last Interest Posted Date (Dr.)</t>
  </si>
  <si>
    <t>SELECT acc.orgkey, gam.acid, eit.INTEREST_CALC_UPTO_DATE_DR AS last_interest_posted_date_dr
FROM tbaadm.eit eit
JOIN tbaadm.gam gam ON eit.entity_id = gam.acid
JOIN crmuser.accounts acc ON gam.cif_id = acc.orgkey;</t>
  </si>
  <si>
    <t>Last Interest Run Date (Dr.)</t>
  </si>
  <si>
    <t>HAITINQ-&gt; Last Interest Run Date (Dr.)</t>
  </si>
  <si>
    <t>LAST_INTEREST_RUN_DATE_DR</t>
  </si>
  <si>
    <t xml:space="preserve">
SELECT acc.orgkey, gam.acid, eit.LAST_INTEREST_RUN_DATE_DR AS last_interest_run_date_dr
FROM tbaadm.eit eit
JOIN tbaadm.gam gam ON eit.entity_id = gam.acid
JOIN crmuser.accounts acc ON gam.cif_id = acc.orgkey;</t>
  </si>
  <si>
    <t>Interest Accrued (Dr.)</t>
  </si>
  <si>
    <t>HAITINQ-&gt; Interest Accrued (Dr.)</t>
  </si>
  <si>
    <t>SELECT acc.orgkey, gam.acid, eit.NRML_ACCRUED_AMOUNT_DR AS interest_accrued_dr
FROM tbaadm.eit eit
JOIN tbaadm.gam gam ON eit.entity_id = gam.acid
JOIN crmuser.accounts acc ON gam.cif_id = acc.orgkey;</t>
  </si>
  <si>
    <t>Last Interest Accrual Date (Dr.)</t>
  </si>
  <si>
    <t>HAITINQ-&gt; Last Interest Accrual Date (Dr.)</t>
  </si>
  <si>
    <t>ACCRUED_UPTO_DATE_DR</t>
  </si>
  <si>
    <t xml:space="preserve">SELECT acc.orgkey, gam.acid, eit.ACCRUED_UPTO_DATE_DR AS last_interest_accrual_date_dr
FROM tbaadm.eit eit
JOIN tbaadm.gam gam ON eit.entity_id = gam.acid
JOIN crmuser.accounts acc ON gam.cif_id = acc.orgkey;
</t>
  </si>
  <si>
    <t>Last Accrual Run Date (Dr.)</t>
  </si>
  <si>
    <t>HAITINQ-&gt; Last Accrual Run Date (Dr.)</t>
  </si>
  <si>
    <t>LAST_ACCRUAL_RUN_DATE_DR</t>
  </si>
  <si>
    <t>SELECT acc.orgkey, gam.acid, eit.LAST_ACCRUAL_RUN_DATE_DR AS last_accrual_run_date_dr
FROM tbaadm.eit eit
JOIN tbaadm.gam gam ON eit.entity_id = gam.acid
JOIN crmuser.accounts acc ON gam.cif_id = acc.orgkey;</t>
  </si>
  <si>
    <t>Last Interest Booked Date (Dr.)</t>
  </si>
  <si>
    <t>HAITINQ-&gt; Last Interest Booked Date (Dr.)</t>
  </si>
  <si>
    <t>booked_upto_date_dr</t>
  </si>
  <si>
    <t>SELECT acc.orgkey, gam.acid, eit.BOOKED_UPTO_DATE_DR AS last_interest_booked_date_dr
FROM tbaadm.eit eit
JOIN tbaadm.gam gam ON eit.entity_id = gam.acid
JOIN crmuser.accounts acc ON gam.cif_id = acc.orgkey;</t>
  </si>
  <si>
    <t>Last Book Run Date (Dr.)</t>
  </si>
  <si>
    <t>HAITINQ-&gt; Last Book Run Date (Dr.)</t>
  </si>
  <si>
    <t>LAST_BOOK_RUN_DATE_DR</t>
  </si>
  <si>
    <t>SELECT acc.orgkey, gam.acid, eit.LAST_BOOK_RUN_DATE_DR AS last_book_run_date_dr
FROM tbaadm.eit eit
JOIN tbaadm.gam gam ON eit.entity_id = gam.acid
JOIN crmuser.accounts acc ON gam.cif_id = acc.orgkey;</t>
  </si>
  <si>
    <t>Transfer Interest Debit Amt.</t>
  </si>
  <si>
    <t>HAITINQ-&gt; Transfer Interest Debit Amt.</t>
  </si>
  <si>
    <t>XFER_INT_AMT_DR</t>
  </si>
  <si>
    <t>SELECT acc.orgkey, gam.acid, eit.XFER_INT_AMT_DR AS transfer_interest_debit_amt
FROM tbaadm.eit eit
JOIN tbaadm.gam gam ON eit.entity_id = gam.acid
JOIN crmuser.accounts acc ON gam.cif_id = acc.orgkey;</t>
  </si>
  <si>
    <t>A/c. Statement</t>
  </si>
  <si>
    <t>Statement Details</t>
  </si>
  <si>
    <t>HACI-&gt; General -&gt; A/c. Statement</t>
  </si>
  <si>
    <t>PB_PS_CODE</t>
  </si>
  <si>
    <t>Statement Frequency</t>
  </si>
  <si>
    <t>HACI -&gt; General -&gt; Statement Frequency</t>
  </si>
  <si>
    <t>PS_FREQ_WEEK_NUM,PS_FREQ_WEEK_DAY,PS_FREQ_START_DD,PS_FREQ_HLDY_STAT</t>
  </si>
  <si>
    <t xml:space="preserve">AST.ACID=GAM.ACID &amp; accounts.orgkey=GAM.cif_id </t>
  </si>
  <si>
    <t>NUMBER(1)</t>
  </si>
  <si>
    <t>Dispatch Mode</t>
  </si>
  <si>
    <t>HACI -&gt; General -&gt; Dispatch Mode</t>
  </si>
  <si>
    <t>PS_DESPATCH_MODE</t>
  </si>
  <si>
    <t>Next Print Date</t>
  </si>
  <si>
    <t xml:space="preserve">HACI -&gt; General -&gt; Next Print Date </t>
  </si>
  <si>
    <t xml:space="preserve">PS_NEXT_DUE_DATE </t>
  </si>
  <si>
    <t>Last Statement Date</t>
  </si>
  <si>
    <t>HACCDET -&gt; Last Statement Date</t>
  </si>
  <si>
    <t>PS_LAST_PRNT_TIME</t>
  </si>
  <si>
    <t>Cheque Allowed</t>
  </si>
  <si>
    <t>Cheque Details</t>
  </si>
  <si>
    <t>HACI -&gt;Scheme -&gt; A/c Information (if  Chq. Allowed is selected)</t>
  </si>
  <si>
    <t>CHQ_ALWD_FLG</t>
  </si>
  <si>
    <t>Recover Fee for Chq. Issue</t>
  </si>
  <si>
    <t>HACI -&gt;Scheme -&gt; A/c Information (if  it is selected)</t>
  </si>
  <si>
    <t xml:space="preserve">GAM </t>
  </si>
  <si>
    <t> MICR_CHQ_CHRG_COLL_FLG</t>
  </si>
  <si>
    <t>Return Paid Chq.</t>
  </si>
  <si>
    <t>PCR</t>
  </si>
  <si>
    <t>PCR.ACID=GAM.ACID</t>
  </si>
  <si>
    <t xml:space="preserve"> If the PCR table contains a record, then ‘Return Paid Chq’ should be checked; otherwise, it should remain unchecked. </t>
  </si>
  <si>
    <t xml:space="preserve">If the PCR table contains a record, then ‘Return Paid Chq’ should be checked; otherwise, it should remain unchecked. </t>
  </si>
  <si>
    <t>Cheques Provided by Bank</t>
  </si>
  <si>
    <t xml:space="preserve">HACI -&gt;Scheme -&gt; Cheques Provided by Bank </t>
  </si>
  <si>
    <t>CHQ_PROV_BY_BANK_FLG</t>
  </si>
  <si>
    <t>Cheques Validity Period (MM/DD)</t>
  </si>
  <si>
    <t xml:space="preserve">HACI -&gt;Scheme -&gt; Cheques Validity Period (MM/DD) </t>
  </si>
  <si>
    <t>CHQ_VAL_PRD_MNTH
CHQ_VAL_PRD_DAY</t>
  </si>
  <si>
    <t>NUMBER(2)</t>
  </si>
  <si>
    <t>Cash Limit (Cr.)</t>
  </si>
  <si>
    <t>Limit Details</t>
  </si>
  <si>
    <t>HACI -&gt; General -&gt; Cash Exception Limit Cr.</t>
  </si>
  <si>
    <t>CASH_CR_EXCP_AMT_LIM</t>
  </si>
  <si>
    <t>Cash Limit (Dr.)</t>
  </si>
  <si>
    <t>HACI -&gt; General -&gt; Cash Exception Limit Dr.</t>
  </si>
  <si>
    <t>CASH_EXCP_AMT_LIM</t>
  </si>
  <si>
    <t>Clearing Limit (Cr.)</t>
  </si>
  <si>
    <t>HACI -&gt; General -&gt; Clg. Exception Limit Cr.</t>
  </si>
  <si>
    <t>CLG_EXCP_AMT_LIM</t>
  </si>
  <si>
    <t>Clearing Limit (Dr.)</t>
  </si>
  <si>
    <t>HACI -&gt; General -&gt; Clg. Exception Limit Dr.</t>
  </si>
  <si>
    <t>CLG_CR_EXCP_AMT_LIM</t>
  </si>
  <si>
    <t>Transfer Limit (Cr.)</t>
  </si>
  <si>
    <t>HACI -&gt; General -&gt; Transfer Exception Limit Cr.</t>
  </si>
  <si>
    <t>XFER_CR_EXCP_AMT_LIM</t>
  </si>
  <si>
    <t>Transfer Limit (Dr.)</t>
  </si>
  <si>
    <t>HACI -&gt; General -&gt; Transfer Exception Limit Dr.</t>
  </si>
  <si>
    <t>XFER_EXCP_AMT_LIM</t>
  </si>
  <si>
    <t>Debit Balance Limit</t>
  </si>
  <si>
    <t>HACI -&gt; Scheme -&gt; Dr.Bal. Limit</t>
  </si>
  <si>
    <t>DR_BAL_LIM</t>
  </si>
  <si>
    <t>Max Sweep Out Amount</t>
  </si>
  <si>
    <t xml:space="preserve">HACI -&gt; Scheme -&gt; Max. Sweep out Amt. </t>
  </si>
  <si>
    <t>FFP</t>
  </si>
  <si>
    <t>MAX_TRNSFR_TO_FFD</t>
  </si>
  <si>
    <t> FFP.ACID = GAM.ACID and accounts.orgkey=GAM.cif_id</t>
  </si>
  <si>
    <t>Sweep in Minimum Balance</t>
  </si>
  <si>
    <t>HACI -&gt; Scheme -&gt; Sweep-in Min. Bal</t>
  </si>
  <si>
    <t>SWEEP_IN_MIN_BAL</t>
  </si>
  <si>
    <t>Max Allowed Limit</t>
  </si>
  <si>
    <t>HACI -&gt; Scheme -&gt; Max. Allowed Limit</t>
  </si>
  <si>
    <t>MAX_ALWD_ADVN_LIM</t>
  </si>
  <si>
    <t>Account Status Date</t>
  </si>
  <si>
    <t>Additional Details</t>
  </si>
  <si>
    <t>HACLI -&gt; A/c. Status Date</t>
  </si>
  <si>
    <t>SMT, CAM</t>
  </si>
  <si>
    <t>ACCT_STATUS_DATE</t>
  </si>
  <si>
    <t xml:space="preserve">SMT.ACID=GAM.ACID &amp; accounts.orgkey=GAM.cif_id 
CAM.ACID=GAM.ACID &amp; accounts.orgkey=GAM.cif_id </t>
  </si>
  <si>
    <t>Freeze Code Reason 1</t>
  </si>
  <si>
    <t>HACI -&gt; Addl. Info. -&gt; Freeze Details -&gt; Reason 1</t>
  </si>
  <si>
    <t>FREZ_REASON_CODE</t>
  </si>
  <si>
    <t>Description is fetching from TBAADM.RCT.REF_CODE and TBAADM.RCT.REFDESC where ref_rec_type = 31 and REF_CODE = GAM. FREZ_REASON_CODE</t>
  </si>
  <si>
    <t>Freeze Code Reason 2</t>
  </si>
  <si>
    <t>HACI -&gt; Addl. Info. -&gt; Freeze Details -&gt; Reason 2</t>
  </si>
  <si>
    <t>FREZ_REASON_CODE_2</t>
  </si>
  <si>
    <t>Description is fetching from TBAADM.RCT.REF_CODE and TBAADM.RCT.REFDESC where ref_rec_type = 31 and REF_CODE = GAM. FREZ_REASON_CODE_2</t>
  </si>
  <si>
    <t>Freeze Code Reason 3</t>
  </si>
  <si>
    <t>HACI -&gt; Addl. Info. -&gt; Freeze Details -&gt; Reason 3</t>
  </si>
  <si>
    <t>FREZ_REASON_CODE_3</t>
  </si>
  <si>
    <t>Description is fetching from TBAADM.RCT.REF_CODE and TBAADM.RCT.REFDESC where ref_rec_type = 31 and REF_CODE = GAM. FREZ_REASON_CODE_3</t>
  </si>
  <si>
    <t>Freeze Code Reason 4</t>
  </si>
  <si>
    <t>HACI -&gt; Addl. Info. -&gt; Freeze Details -&gt; Reason 4</t>
  </si>
  <si>
    <t>FREZ_REASON_CODE_4</t>
  </si>
  <si>
    <t>Description is fetching from TBAADM.RCT.REF_CODE and TBAADM.RCT.REFDESC where ref_rec_type = 31 and REF_CODE = GAM. FREZ_REASON_CODE_4</t>
  </si>
  <si>
    <t>Freeze Code Reason 5</t>
  </si>
  <si>
    <t>HACI -&gt; Addl. Info. -&gt; Freeze Details -&gt; Reason 5</t>
  </si>
  <si>
    <t>FREZ_REASON_CODE_5</t>
  </si>
  <si>
    <t>Description is fetching from TBAADM.RCT.REF_CODE and TBAADM.RCT.REFDESC where ref_rec_type = 31 and REF_CODE = GAM. FREZ_REASON_CODE_5</t>
  </si>
  <si>
    <t>HACI -&gt; Addl. Info. -&gt; Freeze Details -&gt; Date</t>
  </si>
  <si>
    <t>LAST_FREZ_DATE</t>
  </si>
  <si>
    <t>Bal. on Freeze Date</t>
  </si>
  <si>
    <t xml:space="preserve">HACI -&gt; Addl. Info. -&gt; Freeze Details -&gt; Bal. on Freeze Date  </t>
  </si>
  <si>
    <t>BAL_ON_FREZ_DATE</t>
  </si>
  <si>
    <t>Last Unfreeze Date</t>
  </si>
  <si>
    <t xml:space="preserve">HACI -&gt; Addl. Info. -&gt; Freeze Details -&gt; Last Unfreeze Date  </t>
  </si>
  <si>
    <t>LAST_UNFREZ_DATE</t>
  </si>
  <si>
    <t>select ACCOUNTS.ORGKEY, GAM.ACID,GAM.LAST_UNFREZ_DATE as Last_Unfreeze_Date from tbaadm.gam
JOIN CRMUSER.ACCOUNTS ON ACCOUNTS.ORGKEY = gam.CIF_ID</t>
  </si>
  <si>
    <t>HACI -&gt; Addl. Info. -&gt; Freeze Details -&gt; Notes</t>
  </si>
  <si>
    <t>FREEZE_RMKS</t>
  </si>
  <si>
    <t>60 CHAR</t>
  </si>
  <si>
    <t>Account Closure Reason Code</t>
  </si>
  <si>
    <t>HACI -&gt; Addl. Info. -&gt; Account Closure Reason Code</t>
  </si>
  <si>
    <t>ACCT_CLS_REASON_CODE</t>
  </si>
  <si>
    <t>SMT.ACID = GAM.ACID &amp; accounts.orgkey=GAM.cif_id
or
CAM.ACID = GAM.ACID &amp; accounts.orgkey=GAM.cif_id</t>
  </si>
  <si>
    <t>Charge Level Code</t>
  </si>
  <si>
    <t>HACI -&gt; General -&gt; Charge Level Code</t>
  </si>
  <si>
    <t>CHRG_LEVEL_CODE</t>
  </si>
  <si>
    <t>Customer Relationship A/c. Manager</t>
  </si>
  <si>
    <t>HACI -&gt; General -&gt; Customer Relationship A/c. Manager</t>
  </si>
  <si>
    <t>select ACCOUNTS.ORGKEY, GAM.ACID,GAM.ACCT_MGR_USER_ID as Customer_Relationship_Ac_Manager
 from tbaadm.gam
JOIN CRMUSER.ACCOUNTS ON ACCOUNTS.ORGKEY = gam.CIF_ID</t>
  </si>
  <si>
    <t>Delivery Channel ID</t>
  </si>
  <si>
    <t xml:space="preserve">HACI -&gt; General -&gt; Delivery Channel Id </t>
  </si>
  <si>
    <t>CHANNEL_ID</t>
  </si>
  <si>
    <t>Related to Staff</t>
  </si>
  <si>
    <t>HACI -&gt; General -&gt; A/c. Information -&gt; Related to Staff</t>
  </si>
  <si>
    <t>SYSTEM_ONLY_ACCT_FLG</t>
  </si>
  <si>
    <t> If EMP_ID is not null in TBAADM.GAM, then related to staff flag will be checked</t>
  </si>
  <si>
    <t>1 Byte</t>
  </si>
  <si>
    <t>Allow Sweeps</t>
  </si>
  <si>
    <t>HACI -&gt; General -&gt; A/c. Information -&gt; Allow Sweeps</t>
  </si>
  <si>
    <t>ALLOW_SWEEPS</t>
  </si>
  <si>
    <t>Collect Charges</t>
  </si>
  <si>
    <t>HACI -&gt; General -&gt; A/c. Information -&gt; Collect Charges</t>
  </si>
  <si>
    <t>SERV_CHRG_COLL_FLG</t>
  </si>
  <si>
    <t>Turnover Details</t>
  </si>
  <si>
    <t>HACI -&gt; General -&gt; A/c. Information -&gt; Turnover Details</t>
  </si>
  <si>
    <t>ACCT_TURNOVER_DET_FLG</t>
  </si>
  <si>
    <t>Local Calendar</t>
  </si>
  <si>
    <t>HACI -&gt; General -&gt; A/c. Information -&gt; Local Calendar</t>
  </si>
  <si>
    <t>LOCAL_CAL_FLG</t>
  </si>
  <si>
    <t>ECS Enabled</t>
  </si>
  <si>
    <t>HACI -&gt; General -&gt; A/c. Information -&gt; ECS Enabled</t>
  </si>
  <si>
    <t>ECS_FLAG</t>
  </si>
  <si>
    <t>Secured</t>
  </si>
  <si>
    <t>HACI -&gt; General -&gt; A/c. Information -&gt; Secured</t>
  </si>
  <si>
    <t>SECURED_FLG</t>
  </si>
  <si>
    <t>Scheme Type</t>
  </si>
  <si>
    <t>HACCDET -&gt; Scheme Type</t>
  </si>
  <si>
    <t>SCHM_TYPE</t>
  </si>
  <si>
    <t>Overdraft Type</t>
  </si>
  <si>
    <t>HACI -&gt; MIS Codes -&gt; Overdraft Type</t>
  </si>
  <si>
    <t>FREE_CODE_3</t>
  </si>
  <si>
    <t>Ledger Fee (Y/N)</t>
  </si>
  <si>
    <t>Additional Details: Ledger Fee Details</t>
  </si>
  <si>
    <t>Finacle Core -&gt; CLFI -&gt; Ledger fee(Y/N)</t>
  </si>
  <si>
    <t>C_LDFEE</t>
  </si>
  <si>
    <t>LEDGER_FEE_FLG</t>
  </si>
  <si>
    <t>C_LDFEE.AC_CURRENCY = GAM.ACCT_CRNCY_CODE</t>
  </si>
  <si>
    <t> C_LDFEE.CIF_TYPE= R or C</t>
  </si>
  <si>
    <t>Ledger Fee Amount</t>
  </si>
  <si>
    <t>Finacle Core -&gt; CLFI -&gt; Ledger fee Amt</t>
  </si>
  <si>
    <t xml:space="preserve">LEDGER_FEE_AMT </t>
  </si>
  <si>
    <t>Reason for Ledger Fee</t>
  </si>
  <si>
    <t>Finacle Core -&gt; CLFI -&gt; Reason for Ledger fee</t>
  </si>
  <si>
    <t>If account is valid , then default value populate as   "No Exclusion Applicable"</t>
  </si>
  <si>
    <t>Expected Min/ Average Account Balance</t>
  </si>
  <si>
    <t>Finacle Core -&gt; CLFI -&gt; Expected Min/Avg acct balance</t>
  </si>
  <si>
    <t>BALANCE_AMT</t>
  </si>
  <si>
    <t>Relation Type</t>
  </si>
  <si>
    <t>Joint Account Enquiry</t>
  </si>
  <si>
    <t>HACI -&gt; Related Party -&gt; Relation Type</t>
  </si>
  <si>
    <t>AAS</t>
  </si>
  <si>
    <t>acct_poa_as_rec_type</t>
  </si>
  <si>
    <t xml:space="preserve">AAS.ACID=GAM.ACID &amp; accounts.orgkey=GAM.cif_id </t>
  </si>
  <si>
    <t> AAS.acct_poa_as_rec_type ='J'</t>
  </si>
  <si>
    <t>Relation Code</t>
  </si>
  <si>
    <t>HACI -&gt; Related Party -&gt; Relation Code</t>
  </si>
  <si>
    <t>CUST_RELTN_CODE</t>
  </si>
  <si>
    <t>AAS.acct_poa_as_rec_type ='J'</t>
  </si>
  <si>
    <t>Linked CIF Number</t>
  </si>
  <si>
    <t>HACI -&gt; Related Party -&gt; CIF ID</t>
  </si>
  <si>
    <t>CUST_ID</t>
  </si>
  <si>
    <t>9 CHAR</t>
  </si>
  <si>
    <t>HACI -&gt; Related Party -&gt; Title</t>
  </si>
  <si>
    <t>CUST_TITLE_CODE</t>
  </si>
  <si>
    <t> 1) If main holder &amp; join holder are customer in RAK,
Join condition - AAS.ACID = GAM.ACID &amp; CNMA.addr_b2kid=AAS.NMA_KEY_ID &amp;  accounts.orgkey = GAM.CIF_ID
Filter condition - PREFERREDADDRESS="Y"
2) If join holder is non-customer,
Join condition - AAS.NMA_KEY_ID = NMA.addr_b2kid</t>
  </si>
  <si>
    <t xml:space="preserve">CNMA view query:
 SELECT   ADDRESS.orgkey addr_b2kid,
            ADDRESS.bank_id bank_id,
            SUBSTR (ADDRESS.addresscategory, 1, 12) addr_id,
            ADDRESS.start_date start_date,
            ADDRESS.end_date end_date,
            ADDRESS.name name,
            ADDRESS.name_alt1 alt1_name,
            SUBSTR (ADDRESS.salutation, 1, 5) cust_title_code,
            SUBSTR (ADDRESS.address_line1, 1, 45) address1,
            SUBSTR (ADDRESS.address_line2, 1, 45) address2,
            SUBSTR (ADDRESS.address_line3, 1, 45) address3,
            SUBSTR (ADDRESS.city, 1, 5) city_code,
            SUBSTR (ADDRESS.state, 1, 5) state_code,
            SUBSTR (ADDRESS.country, 1, 5) cntry_code,
            SUBSTR (ADDRESS.zip, 1, 6) pin_code,
            SUBSTR (ADDRESS.phoneno1, 1, 20) phone_num1,
            SUBSTR (ADDRESS.phoneno2, 1, 20) phone_num2,
            SUBSTR (ADDRESS.faxno, 1, 20) fax_num1,
            SUBSTR (ADDRESS.faxno2, 1, 20) fax_num2,
            ADDRESS.email email_id,
            ADDRESS.swift_code swift_code,
            SUBSTR (ADDRESS.telex, 1, 20) tlx_num,
            SUBSTR (ADDRESS.pagerno, 1, 20) pager_no,
            ADDRESS.preferredaddress preferredaddress,
            ADDRESS.preferredformat preferredformat,
            SUBSTR (ADDRESS.holdmailflag, 1, 1) hold_mail_flag,
            ADDRESS.holdmailinitiatedby hold_mail_initiated_by,
            ADDRESS.is_address_proof_rcvd is_address_proof_rcvd
     FROM   ADDRESS where ADDRESS.addresscategory != 'Swift' </t>
  </si>
  <si>
    <t xml:space="preserve">HACI -&gt; Related Party -&gt; Name </t>
  </si>
  <si>
    <t> 1) If main holder &amp; join holder are customer in RAK,
Join condition - AAS.ACID = GAM.ACID &amp; accounts.orgkey=GAM.cif_id
2) If join holder is non-customer, Join condition - AAS.NMA_KEY_ID = NMA.ADDR_B2KID</t>
  </si>
  <si>
    <t xml:space="preserve"> CNMA view query:
SELECT   ADDRESS.orgkey addr_b2kid,
            ADDRESS.bank_id bank_id,
            SUBSTR (ADDRESS.addresscategory, 1, 12) addr_id,
            ADDRESS.start_date start_date,
            ADDRESS.end_date end_date,
            ADDRESS.name name,
            ADDRESS.name_alt1 alt1_name,
            SUBSTR (ADDRESS.salutation, 1, 5) cust_title_code,
            SUBSTR (ADDRESS.address_line1, 1, 45) address1,
            SUBSTR (ADDRESS.address_line2, 1, 45) address2,
            SUBSTR (ADDRESS.address_line3, 1, 45) address3,
            SUBSTR (ADDRESS.city, 1, 5) city_code,
            SUBSTR (ADDRESS.state, 1, 5) state_code,
            SUBSTR (ADDRESS.country, 1, 5) cntry_code,
            SUBSTR (ADDRESS.zip, 1, 6) pin_code,
            SUBSTR (ADDRESS.phoneno1, 1, 20) phone_num1,
            SUBSTR (ADDRESS.phoneno2, 1, 20) phone_num2,
            SUBSTR (ADDRESS.faxno, 1, 20) fax_num1,
            SUBSTR (ADDRESS.faxno2, 1, 20) fax_num2,
            ADDRESS.email email_id,
            ADDRESS.swift_code swift_code,
            SUBSTR (ADDRESS.telex, 1, 20) tlx_num,
            SUBSTR (ADDRESS.pagerno, 1, 20) pager_no,
            ADDRESS.preferredaddress preferredaddress,
            ADDRESS.preferredformat preferredformat,
            SUBSTR (ADDRESS.holdmailflag, 1, 1) hold_mail_flag,
            ADDRESS.holdmailinitiatedby hold_mail_initiated_by,
            ADDRESS.is_address_proof_rcvd is_address_proof_rcvd
     FROM   ADDRESS where ADDRESS.addresscategory != 'Swift' </t>
  </si>
  <si>
    <t>Print Statement</t>
  </si>
  <si>
    <t xml:space="preserve">HACI -&gt; Related Party -&gt; Print -&gt; Print Statement </t>
  </si>
  <si>
    <t>PASS_SHEET_FLG</t>
  </si>
  <si>
    <t>Print Advice for Standing Instruction</t>
  </si>
  <si>
    <t>HACI -&gt; Related Party -&gt; Print -&gt; Print Advice for Standing Instruction</t>
  </si>
  <si>
    <t>SI_FLG</t>
  </si>
  <si>
    <t>Print Deposit Notice</t>
  </si>
  <si>
    <t>HACI -&gt; Related Party -&gt; Print -&gt; Print Deposit Notice</t>
  </si>
  <si>
    <t>TD_MATRTY_FLG</t>
  </si>
  <si>
    <t>Print Loan Notice</t>
  </si>
  <si>
    <t>HACI -&gt; Related Party -&gt; Print -&gt; Print Loan Notice</t>
  </si>
  <si>
    <t>LOAN_OVRDUE_FLG</t>
  </si>
  <si>
    <t>Initiate Certificate</t>
  </si>
  <si>
    <t>HACI -&gt; Related Party -&gt; Print -&gt; Int. Certificate</t>
  </si>
  <si>
    <t xml:space="preserve">INTCERT_PRINT_FLG </t>
  </si>
  <si>
    <t>Initiate Rate Change Advice</t>
  </si>
  <si>
    <t>HACI -&gt; Related Party -&gt; Print -&gt; Int. Rate Change Advice</t>
  </si>
  <si>
    <t>INT_ADV_FLG</t>
  </si>
  <si>
    <t>Exclude from Combined Statement</t>
  </si>
  <si>
    <t>HACI -&gt; Related Party -&gt; Print -&gt; Exclude from Combined Statement</t>
  </si>
  <si>
    <t>XCLUDE_FOR_COMB_STMT</t>
  </si>
  <si>
    <t>Linked Deposits Enquiry</t>
  </si>
  <si>
    <t>HACI -&gt; Linked Deposits -&gt; A/c ID</t>
  </si>
  <si>
    <t>select ACCOUNTS.ORGKEY, GAM.FORACID as Account_Number from tbaadm.gam
JOIN tbaadm.TAM ON TAM.ACID=GAM.ACID
JOIN CRMUSER.ACCOUNTS ON ACCOUNTS.ORGKEY = gam.CIF_ID</t>
  </si>
  <si>
    <t>Opening Date</t>
  </si>
  <si>
    <t>HACI -&gt; Linked Deposits -&gt; Opening Date</t>
  </si>
  <si>
    <t>select ACCOUNTS.ORGKEY, GAM.FORACID as Account_Number, GAM.ACCT_OPN_DATE as Opening_Date from tbaadm.gam
JOIN tbaadm.TAM ON TAM.ACID=GAM.ACID
JOIN CRMUSER.ACCOUNTS ON ACCOUNTS.ORGKEY = gam.CIF_ID</t>
  </si>
  <si>
    <t>Deposit Amount</t>
  </si>
  <si>
    <t>HACI -&gt; Linked Deposits -&gt; Dep. Amt.</t>
  </si>
  <si>
    <t>select ACCOUNTS.ORGKEY, GAM.FORACID as Account_Number, GAM.ACCT_OPN_DATE as Opening_Date, GAM.CLR_BAL_AMT as Deposit_Amount from tbaadm.gam
JOIN tbaadm.TAM ON TAM.ACID=GAM.ACID
JOIN CRMUSER.ACCOUNTS ON ACCOUNTS.ORGKEY = gam.CIF_ID</t>
  </si>
  <si>
    <t>Maturity Date</t>
  </si>
  <si>
    <t>HACI -&gt; Linked Deposits -&gt; Maturity Date</t>
  </si>
  <si>
    <t>MATURITY_DATE</t>
  </si>
  <si>
    <t xml:space="preserve">TAM.ACID=GAM.ACID &amp; accounts.orgkey=GAM.cif_id </t>
  </si>
  <si>
    <t>select ACCOUNTS.ORGKEY, GAM.FORACID as Account_Number, GAM.ACCT_OPN_DATE as Opening_Date, GAM.CLR_BAL_AMT as Deposit_Amount, TAM.MATURITY_DATE from tbaadm.gam
JOIN tbaadm.TAM ON TAM.ACID=GAM.ACID
JOIN CRMUSER.ACCOUNTS ON ACCOUNTS.ORGKEY = gam.CIF_ID</t>
  </si>
  <si>
    <t>Maturity Amount</t>
  </si>
  <si>
    <t>HACI -&gt; Linked Deposits -&gt; Maturity Amt.</t>
  </si>
  <si>
    <t>MATURITY_AMOUNT</t>
  </si>
  <si>
    <t xml:space="preserve">select ACCOUNTS.ORGKEY, GAM.FORACID as Account_Number, GAM.ACCT_OPN_DATE as Opening_Date, GAM.CLR_BAL_AMT as Deposit_Amount, TAM.MATURITY_DATE, TAM.MATURITY_AMOUNT  from tbaadm.gam
JOIN tbaadm.TAM ON TAM.ACID=GAM.ACID
JOIN CRMUSER.ACCOUNTS ON ACCOUNTS.ORGKEY = gam.CIF_ID
</t>
  </si>
  <si>
    <t>HACI -&gt; Linked Deposits -&gt; Status</t>
  </si>
  <si>
    <t>select ACCOUNTS.ORGKEY, GAM.FORACID as Account_Number, GAM.ACCT_OPN_DATE as Opening_Date, GAM.CLR_BAL_AMT as Deposit_Amount, TAM.MATURITY_DATE, TAM.MATURITY_AMOUNT,
TAM.ACCT_STATUS from tbaadm.gam
JOIN tbaadm.TAM ON TAM.ACID=GAM.ACID
JOIN CRMUSER.ACCOUNTS ON ACCOUNTS.ORGKEY = gam.CIF_ID</t>
  </si>
  <si>
    <t>Delete Flag</t>
  </si>
  <si>
    <t>HACI -&gt; Linked Deposits -&gt; Del. (check box))</t>
  </si>
  <si>
    <t>DEL_FLG</t>
  </si>
  <si>
    <t xml:space="preserve">select ACCOUNTS.ORGKEY, GAM.DEL_FLG  from tbaadm.gam
JOIN tbaadm.TAM ON TAM.ACID=GAM.ACID
JOIN CRMUSER.ACCOUNTS ON ACCOUNTS.ORGKEY = gam.CIF_ID
</t>
  </si>
  <si>
    <t>FFD Scheme code</t>
  </si>
  <si>
    <t>HACI -&gt;Flexi-Deposit-&gt;FFD Scheme code</t>
  </si>
  <si>
    <t xml:space="preserve">TBA_FLEXI_FIXED_PARM_TBL.ACID=GAM.ACID &amp; accounts.orgkey=GAM.cif_id </t>
  </si>
  <si>
    <t>select ACCOUNTS.ORGKEY, TBA_FLEXI_FIXED_PARM_TBL.ACID, TBA_FLEXI_FIXED_PARM_TBL.SCHM_CODE as FFD_Scheme_code from tbaadm.TBA_FLEXI_FIXED_PARM_TBL
JOIN tbaadm.gam ON TBA_FLEXI_FIXED_PARM_TBL.ACID=GAM.ACID
JOIN CRMUSER.ACCOUNTS ON ACCOUNTS.ORGKEY = gam.CIF_ID</t>
  </si>
  <si>
    <t>Auto Sweep</t>
  </si>
  <si>
    <t>HACI -&gt;Flexi-Deposit-&gt;Auto Sweep</t>
  </si>
  <si>
    <t>AUTO_CR_FROM_OPER_ACCT_FLG</t>
  </si>
  <si>
    <t>select ACCOUNTS.ORGKEY, TBA_FLEXI_FIXED_PARM_TBL.ACID TBA_FLEXI_FIXED_PARM_TBL.AUTO_CR_FROM_OPER_ACCT_FLG as Auto_Sweep from tbaadm.TBA_FLEXI_FIXED_PARM_TBL
JOIN tbaadm.gam ON TBA_FLEXI_FIXED_PARM_TBL.ACID=GAM.ACID
JOIN CRMUSER.ACCOUNTS ON ACCOUNTS.ORGKEY = gam.CIF_ID</t>
  </si>
  <si>
    <t xml:space="preserve">HACI -&gt;Flexi-Deposit-&gt;Sweep Out Deposit Period </t>
  </si>
  <si>
    <t>PERIOD_MTHS_FOR_AUTO_CR, PERIOD_DAYS_FOR_AUTO_CR</t>
  </si>
  <si>
    <t>Note:: This column holds 2 values for 2 seperate Tab (One for days and for Months), Added below columns for both..
select ACCOUNTS.ORGKEY, TBA_FLEXI_FIXED_PARM_TBL.ACID, TBA_FLEXI_FIXED_PARM_TBL.PERIOD_MTHS_FOR_AUTO_CR as MODE_OF_OPER_CODE_Mths, 
TBA_FLEXI_FIXED_PARM_TBL.PERIOD_DAYS_FOR_AUTO_CR as MODE_OF_OPER_CODE_DAYS
from tbaadm.TBA_FLEXI_FIXED_PARM_TBL
JOIN tbaadm.gam ON TBA_FLEXI_FIXED_PARM_TBL.ACID=GAM.ACID
JOIN CRMUSER.ACCOUNTS ON ACCOUNTS.ORGKEY = gam.CIF_ID</t>
  </si>
  <si>
    <t>NUMBER(3)</t>
  </si>
  <si>
    <t xml:space="preserve"> Sweep Out when Balance Above </t>
  </si>
  <si>
    <t xml:space="preserve">HACI -&gt;Flexi-Deposit-&gt; Sweep Out when Balance Above </t>
  </si>
  <si>
    <t>MIN_BAL_IN_OPER_ACCT</t>
  </si>
  <si>
    <t>select ACCOUNTS.ORGKEY, TBA_FLEXI_FIXED_PARM_TBL.ACID, TBA_FLEXI_FIXED_PARM_TBL.MIN_BAL_IN_OPER_ACCT as  Sweep_Out_when_Balance_Above 
from tbaadm.TBA_FLEXI_FIXED_PARM_TBL
JOIN tbaadm.gam ON TBA_FLEXI_FIXED_PARM_TBL.ACID=GAM.ACID
JOIN CRMUSER.ACCOUNTS ON ACCOUNTS.ORGKEY = gam.CIF_ID</t>
  </si>
  <si>
    <t xml:space="preserve"> Interest Rate Code</t>
  </si>
  <si>
    <t>HACI -&gt;Flexi-Deposit-&gt; Interest Rate Code</t>
  </si>
  <si>
    <t>int_tbl_code</t>
  </si>
  <si>
    <t xml:space="preserve">SELECT
    accounts.orgkey,
    GAM.ACID,
    TBAADM.TBA_FLEXI_FIXED_PARM_TBL.INT_TBL_CODE AS Interest_Rate_Code
FROM TBAADM.TBA_FLEXI_FIXED_PARM_TBL
JOIN TBAADM.GAM
    ON TBAADM.TBA_FLEXI_FIXED_PARM_TBL.ACID = GAM.ACID
JOIN CRMUSER.accounts
    ON accounts.orgkey = GAM.cif_id;
</t>
  </si>
  <si>
    <t>Repay Instruction</t>
  </si>
  <si>
    <t>HACI -&gt;Flexi-Deposit-&gt;Repay Instruction</t>
  </si>
  <si>
    <t>select ACCOUNTS.ORGKEY, TBA_FLEXI_FIXED_PARM_TBL.ACID, TBA_FLEXI_FIXED_PARM_TBL.MODE_OF_OPER_CODE as Repay_Instruction
from tbaadm.TBA_FLEXI_FIXED_PARM_TBL
JOIN tbaadm.gam ON TBA_FLEXI_FIXED_PARM_TBL.ACID=GAM.ACID
JOIN CRMUSER.ACCOUNTS ON ACCOUNTS.ORGKEY = gam.CIF_ID</t>
  </si>
  <si>
    <t>Table:TBA_REFERENCE_CODE_TBL,Col:REF_CODE</t>
  </si>
  <si>
    <t>Autorenewal</t>
  </si>
  <si>
    <t>HACI -&gt;Flexi-Deposit-&gt;Autorenewal</t>
  </si>
  <si>
    <t>AUTO_RENEWAL_FLG</t>
  </si>
  <si>
    <t>select ACCOUNTS.ORGKEY, TBA_FLEXI_FIXED_PARM_TBL.ACID, CASE WHEN TBA_FLEXI_FIXED_PARM_TBL.AUTO_RENEWAL_FLG = 'U' THEN 'Unlimited' 
WHEN TBA_FLEXI_FIXED_PARM_TBL.AUTO_RENEWAL_FLG = 'N' then 'No Autorenewal' when TBA_FLEXI_FIXED_PARM_TBL.AUTO_RENEWAL_FLG = 'L' then 'Limited' else 
TBA_FLEXI_FIXED_PARM_TBL.AUTO_RENEWAL_FLG END as Autorenewal
from tbaadm.TBA_FLEXI_FIXED_PARM_TBL
JOIN tbaadm.gam ON TBA_FLEXI_FIXED_PARM_TBL.ACID=GAM.ACID
JOIN CRMUSER.ACCOUNTS ON ACCOUNTS.ORGKEY = gam.CIF_ID</t>
  </si>
  <si>
    <t>remarks added</t>
  </si>
  <si>
    <t> L - Limited
N - No Autorenewal
U - Unlimited</t>
  </si>
  <si>
    <t>Autorenewal Period (MMM/DDD)</t>
  </si>
  <si>
    <t>HACI -&gt;Flexi-Deposit-&gt;Autorenewal Period (MMM/DDD)</t>
  </si>
  <si>
    <t>PERD_MTHS_FOR_AUTO_RENEW
PERD_DAYS_FOR_AUTO_RENEW</t>
  </si>
  <si>
    <t>Note:: This column holds 2 values for 2 seperate Tab (One for days and for Months), Added below columns for both..
select accounts.orgkey, TBA_FLEXI_FIXED_PARM_TBL.ACID, TBA_FLEXI_FIXED_PARM_TBL.PERD_MTHS_FOR_AUTO_RENEW, TBA_FLEXI_FIXED_PARM_TBL.PERD_DAYS_FOR_AUTO_RENEW from TBAADM.TBA_FLEXI_FIXED_PARM_TBL 
JOIN TBAADM.GAM ON TBA_FLEXI_FIXED_PARM_TBL.ACID=GAM.ACID
JOIN CRMUSER.accounts ON accounts.orgkey=GAM.cif_id</t>
  </si>
  <si>
    <t xml:space="preserve">Autorenewal Scheme </t>
  </si>
  <si>
    <t xml:space="preserve">HACI -&gt;Flexi-Deposit-&gt;Autorenewal Scheme </t>
  </si>
  <si>
    <t>AUTO_RENEWAL_SCHM_CODE</t>
  </si>
  <si>
    <t>select ACCOUNTS.ORGKEY, TBA_FLEXI_FIXED_PARM_TBL.ACID, TBA_FLEXI_FIXED_PARM_TBL.AUTO_RENEWAL_SCHM_CODE as Autorenewal_Scheme 
from tbaadm.TBA_FLEXI_FIXED_PARM_TBL
JOIN tbaadm.gam ON TBA_FLEXI_FIXED_PARM_TBL.ACID=GAM.ACID
JOIN CRMUSER.ACCOUNTS ON ACCOUNTS.ORGKEY = gam.CIF_ID</t>
  </si>
  <si>
    <t>Link to Operative A/c.</t>
  </si>
  <si>
    <t>HACI -&gt;Flexi-Deposit-&gt;Link to Operative A/c.</t>
  </si>
  <si>
    <t>AUTO_LINK</t>
  </si>
  <si>
    <t>select ACCOUNTS.ORGKEY, TBA_FLEXI_FIXED_PARM_TBL.ACID, TBA_FLEXI_FIXED_PARM_TBL.AUTO_LINK as Link_to_Operative_AC
from tbaadm.TBA_FLEXI_FIXED_PARM_TBL
JOIN tbaadm.gam ON TBA_FLEXI_FIXED_PARM_TBL.ACID=GAM.ACID
JOIN CRMUSER.ACCOUNTS ON ACCOUNTS.ORGKEY = gam.CIF_ID</t>
  </si>
  <si>
    <t>COL:AUTO_CR_FROM_OPER_ACCT_FLG</t>
  </si>
  <si>
    <t>Master A/c. No</t>
  </si>
  <si>
    <t>HACI -&gt;Flexi-Deposit-&gt;Master A/c. No</t>
  </si>
  <si>
    <t>MAM</t>
  </si>
  <si>
    <t>MASTER_ACCT_NUM</t>
  </si>
  <si>
    <t xml:space="preserve">MAM.FORACID=GAM.FORACID &amp; accounts.orgkey=GAM.cif_id </t>
  </si>
  <si>
    <t>MAM.CIF_ID=accounts.orgkey</t>
  </si>
  <si>
    <t>Need to check with Arvind as join is incorrect</t>
  </si>
  <si>
    <t>Table:TBA_FLEXI_FIXED_PARM_TBL,COL:MASTER_B2K_ID</t>
  </si>
  <si>
    <t>previously no filter</t>
  </si>
  <si>
    <t xml:space="preserve">Next Sweep Out Date </t>
  </si>
  <si>
    <t xml:space="preserve">HACI -&gt;Flexi-Deposit-&gt;Next Sweep Out Date </t>
  </si>
  <si>
    <t>NEXT_AUTO_CR_DATE</t>
  </si>
  <si>
    <t>select ACCOUNTS.ORGKEY, TBA_FLEXI_FIXED_PARM_TBL.ACID, TBA_FLEXI_FIXED_PARM_TBL.NEXT_AUTO_CR_DATE as Next_Sweep_Out_Date 
from tbaadm.TBA_FLEXI_FIXED_PARM_TBL
JOIN tbaadm.gam ON TBA_FLEXI_FIXED_PARM_TBL.ACID=GAM.ACID
JOIN CRMUSER.ACCOUNTS ON ACCOUNTS.ORGKEY = gam.CIF_ID</t>
  </si>
  <si>
    <t>Repay A/c. ID</t>
  </si>
  <si>
    <t>HACI -&gt;Flexi-Deposit-&gt;Repay A/c. ID</t>
  </si>
  <si>
    <t>REPAYMENT_ACID</t>
  </si>
  <si>
    <t>select ACCOUNTS.ORGKEY, TBA_FLEXI_FIXED_PARM_TBL.ACID, TBA_FLEXI_FIXED_PARM_TBL.REPAYMENT_ACID as Repay_AC_ID 
from tbaadm.TBA_FLEXI_FIXED_PARM_TBL
JOIN tbaadm.gam ON TBA_FLEXI_FIXED_PARM_TBL.ACID=GAM.ACID
JOIN CRMUSER.ACCOUNTS ON ACCOUNTS.ORGKEY = gam.CIF_ID</t>
  </si>
  <si>
    <t>11 CHAR</t>
  </si>
  <si>
    <t xml:space="preserve">Sweep Out in Multiples Of </t>
  </si>
  <si>
    <t xml:space="preserve">HACI -&gt;Flexi-Deposit-&gt;Sweep Out in Multiples Of </t>
  </si>
  <si>
    <t>INFLOW_MULTIPLE_AMT</t>
  </si>
  <si>
    <t>select ACCOUNTS.ORGKEY, TBA_FLEXI_FIXED_PARM_TBL.ACID, TBA_FLEXI_FIXED_PARM_TBL.INFLOW_MULTIPLE_AMT as Sweep_Out_in_Multiples_Of  
from tbaadm.TBA_FLEXI_FIXED_PARM_TBL
JOIN tbaadm.gam ON TBA_FLEXI_FIXED_PARM_TBL.ACID=GAM.ACID
JOIN CRMUSER.ACCOUNTS ON ACCOUNTS.ORGKEY = gam.CIF_ID</t>
  </si>
  <si>
    <t xml:space="preserve">NUMBER(20,4) </t>
  </si>
  <si>
    <t xml:space="preserve">Sweep Out Frequency </t>
  </si>
  <si>
    <t xml:space="preserve">HACI -&gt;Flexi-Deposit-&gt;Sweep Out Frequency </t>
  </si>
  <si>
    <t>AUTO_CR_FREQ_WEEK_NUM
AUTO_CR_FREQ_WEEK_DAY
AUTO_CR_FREQ_START_DD</t>
  </si>
  <si>
    <t>select accounts.orgkey, TBA_FLEXI_FIXED_PARM_TBL.ACID, TBA_FLEXI_FIXED_PARM_TBL.AUTO_CR_FREQ_WEEK_NUM, TBA_FLEXI_FIXED_PARM_TBL.AUTO_CR_FREQ_WEEK_DAY
, TBA_FLEXI_FIXED_PARM_TBL.AUTO_CR_FREQ_START_DD from TBAADM.TBA_FLEXI_FIXED_PARM_TBL 
JOIN TBAADM.GAM ON TBA_FLEXI_FIXED_PARM_TBL.ACID=GAM.ACID
JOIN CRMUSER.accounts ON accounts.orgkey=GAM.cif_id</t>
  </si>
  <si>
    <t>1 CHAR
NUMBER(1)
NUMBER(2)</t>
  </si>
  <si>
    <t xml:space="preserve">Max. Renewal Allowed </t>
  </si>
  <si>
    <t xml:space="preserve">HACI -&gt;Flexi-Deposit-&gt;Max. Renewal Allowed </t>
  </si>
  <si>
    <t>MAX_AUTO_RENEWAL_ALLOWED</t>
  </si>
  <si>
    <t>select ACCOUNTS.ORGKEY, TBA_FLEXI_FIXED_PARM_TBL.ACID, TBA_FLEXI_FIXED_PARM_TBL.MAX_AUTO_RENEWAL_ALLOWED as Max_Renewal_Allowed  
from tbaadm.TBA_FLEXI_FIXED_PARM_TBL
JOIN tbaadm.gam ON TBA_FLEXI_FIXED_PARM_TBL.ACID=GAM.ACID
JOIN CRMUSER.ACCOUNTS ON ACCOUNTS.ORGKEY = gam.CIF_ID</t>
  </si>
  <si>
    <t>Autorenewal General Ledger Sub Head</t>
  </si>
  <si>
    <t>HACI -&gt;Flexi-Deposit-&gt;Autorenewal General Ledger Sub Head</t>
  </si>
  <si>
    <t>AUTO_RENWL_GL_SUBHEAD_CODE</t>
  </si>
  <si>
    <t>select ACCOUNTS.ORGKEY, TBA_FLEXI_FIXED_PARM_TBL.ACID, TBA_FLEXI_FIXED_PARM_TBL.AUTO_RENWL_GL_SUBHEAD_CODE as Autorenewal_General_Ledger_Sub_Head  
from tbaadm.TBA_FLEXI_FIXED_PARM_TBL
JOIN tbaadm.gam ON TBA_FLEXI_FIXED_PARM_TBL.ACID=GAM.ACID
JOIN CRMUSER.ACCOUNTS ON ACCOUNTS.ORGKEY = gam.CIF_ID</t>
  </si>
  <si>
    <t xml:space="preserve">Autorenewal Interest Table </t>
  </si>
  <si>
    <t xml:space="preserve">HACI -&gt;Flexi-Deposit-&gt;Autorenewal Interest Table </t>
  </si>
  <si>
    <t>AUTO_RENEWAL_INT_TBL_CODE</t>
  </si>
  <si>
    <t>select accounts.orgkey, TBA_FLEXI_FIXED_PARM_TBL.ACID, TBA_FLEXI_FIXED_PARM_TBL.AUTO_RENEWAL_INT_TBL_CODE as Autorenewal_Interest_Table from TBAADM.TBA_FLEXI_FIXED_PARM_TBL 
JOIN TBAADM.GAM ON TBA_FLEXI_FIXED_PARM_TBL.ACID=GAM.ACID
JOIN CRMUSER.accounts ON accounts.orgkey=GAM.cif_id</t>
  </si>
  <si>
    <t xml:space="preserve">Auto closure </t>
  </si>
  <si>
    <t xml:space="preserve">HACI -&gt;Flexi-Deposit-&gt;Autoclosure </t>
  </si>
  <si>
    <t>AUTO_CLOSURE_FLG</t>
  </si>
  <si>
    <t>select accounts.orgkey, TBA_FLEXI_FIXED_PARM_TBL.ACID, TBA_FLEXI_FIXED_PARM_TBL.AUTO_CLOSURE_FLG as Auto_closure  from TBAADM.TBA_FLEXI_FIXED_PARM_TBL 
JOIN TBAADM.GAM ON TBA_FLEXI_FIXED_PARM_TBL.ACID=GAM.ACID
JOIN CRMUSER.accounts ON accounts.orgkey=GAM.cif_id</t>
  </si>
  <si>
    <t xml:space="preserve">Max. Sweep out Amt. </t>
  </si>
  <si>
    <t xml:space="preserve">HACI -&gt;Flexi-Deposit-&gt;Max. Sweep out Amt. </t>
  </si>
  <si>
    <t>select accounts.orgkey, TBA_FLEXI_FIXED_PARM_TBL.ACID, TBA_FLEXI_FIXED_PARM_TBL.MAX_TRNSFR_TO_FFD as Max_Sweep_out_Amt from TBAADM.TBA_FLEXI_FIXED_PARM_TBL 
JOIN TBAADM.GAM ON TBA_FLEXI_FIXED_PARM_TBL.ACID=GAM.ACID
JOIN CRMUSER.accounts ON accounts.orgkey=GAM.cif_id</t>
  </si>
  <si>
    <t>Created Date</t>
  </si>
  <si>
    <t>Lien Enquiry</t>
  </si>
  <si>
    <t>HALM -&gt; Lien Created/Modified date</t>
  </si>
  <si>
    <t xml:space="preserve">ALT.ACID=GAM.ACID &amp; accounts.orgkey=GAM.cif_id </t>
  </si>
  <si>
    <t>Lien ID</t>
  </si>
  <si>
    <t>HALM -&gt; Function = Inquire -&gt; Account Lien Maintenance -&gt; Lien ID</t>
  </si>
  <si>
    <t>B2K_ID</t>
  </si>
  <si>
    <t>33 CHAR</t>
  </si>
  <si>
    <t>Lien Amount</t>
  </si>
  <si>
    <t>HALM -&gt; Function = Inquire -&gt; Account Lien Maintenance -&gt; Lien Amt.</t>
  </si>
  <si>
    <t>HALM -&gt; Function = Inquire -&gt; Account Lien Maintenance -&gt; Expiry Date</t>
  </si>
  <si>
    <t>LIEN_EXPIRY_DATE</t>
  </si>
  <si>
    <t>Lien Reason</t>
  </si>
  <si>
    <t>HALM -&gt; Function = Inquire -&gt; Account Lien Maintenance -&gt; Lien Reason</t>
  </si>
  <si>
    <t>LIEN_REASON_CODE</t>
  </si>
  <si>
    <t>Requested By</t>
  </si>
  <si>
    <t>HALM -&gt; Function = Inquire -&gt; Account Lien Maintenance -&gt; Requested By</t>
  </si>
  <si>
    <t>REQUESTED_BY_DESC</t>
  </si>
  <si>
    <t>Request Department</t>
  </si>
  <si>
    <t>HALM -&gt; Function = Inquire -&gt; Account Lien Maintenance -&gt; Requested Department</t>
  </si>
  <si>
    <t>REQUEST_DEPARTMENT</t>
  </si>
  <si>
    <t>HALM -&gt; Function = Inquire -&gt; Account Lien Maintenance -&gt; Contact No.</t>
  </si>
  <si>
    <t>CONTACT_NUM</t>
  </si>
  <si>
    <t>HALM -&gt; Function = Inquire -&gt; Account Lien Maintenance -&gt; AuditView -&gt; Audit Details -&gt; Created By</t>
  </si>
  <si>
    <t>USER_ID</t>
  </si>
  <si>
    <t>Last Modified By</t>
  </si>
  <si>
    <t>HALM -&gt; Function = Inquire -&gt; Account Lien Maintenance -&gt; AuditView -&gt; Audit Details -&gt; Last Modified By</t>
  </si>
  <si>
    <t>LCHG_USER_ID</t>
  </si>
  <si>
    <t>Verified By</t>
  </si>
  <si>
    <t>HALM -&gt; Function = Inquire -&gt; Account Lien Maintenance -&gt; AuditView -&gt; Audit Details -&gt; Verified By</t>
  </si>
  <si>
    <t>ALH.ACID=GAM.ACID &amp; accounts.orgkey=GAM.cif_id</t>
  </si>
  <si>
    <t>Lien Placement Date</t>
  </si>
  <si>
    <t>HALM -&gt; Function = Inquire -&gt; Account Lien Maintenance -&gt; AuditView -&gt; Audit Details -&gt; Date Of Lien Placement
HALM -&gt; Function = Inquire -&gt; Account Lien Maintenance -&gt; AuditView -&gt; Audit Details -&gt; Time Of Lien Placement</t>
  </si>
  <si>
    <t>RCRE_TIME</t>
  </si>
  <si>
    <t>Modification Date</t>
  </si>
  <si>
    <t>HALM -&gt; Function = Inquire -&gt; Account Lien Maintenance -&gt; AuditView -&gt; Audit Details -&gt; Date Of Last Modification
HALM -&gt; Function = Inquire -&gt; Account Lien Maintenance -&gt; AuditView -&gt; Audit Details -&gt; Time Of Last Modification</t>
  </si>
  <si>
    <t>HALM -&gt; Function = Inquire -&gt; Account Lien Maintenance -&gt; Lien Notes</t>
  </si>
  <si>
    <t>LIEN_REMARKS</t>
  </si>
  <si>
    <t>Module type</t>
  </si>
  <si>
    <t>Lien History Enquiry</t>
  </si>
  <si>
    <t>HALM -&gt; Function = History -&gt; Module Type</t>
  </si>
  <si>
    <t>B2K_TYPE</t>
  </si>
  <si>
    <t xml:space="preserve">ALH.ACID=GAM.ACID &amp; accounts.orgkey=GAM.cif_id </t>
  </si>
  <si>
    <t>Current Lien Amount</t>
  </si>
  <si>
    <t>HALM -&gt; Function = History -&gt; Lien Amt.</t>
  </si>
  <si>
    <t>Original Lien Amount</t>
  </si>
  <si>
    <t>HALM -&gt; Function = History -&gt; View Details -&gt; Lien Event/Amt. (Amount component)</t>
  </si>
  <si>
    <t>EVENT_LIEN_AMT</t>
  </si>
  <si>
    <t>Operation</t>
  </si>
  <si>
    <t>HALM -&gt; Function = History -&gt; Operation</t>
  </si>
  <si>
    <t>Positive value indicates marked ,negative value indicate released</t>
  </si>
  <si>
    <t>Lien Created/Modified Date</t>
  </si>
  <si>
    <t>HALM -&gt; Function = History -&gt; Lien Created/Modified Date</t>
  </si>
  <si>
    <t>MODIFY_BOD_DATE</t>
  </si>
  <si>
    <t>HALM -&gt; Function = History -&gt; Account Lien Maintenance -&gt; Lien ID</t>
  </si>
  <si>
    <t>HALM -&gt; Function = History -&gt; Account Lien Maintenance -&gt; Lien Reason</t>
  </si>
  <si>
    <t>HALM -&gt; Function = History -&gt; Account Lien Maintenance -&gt; Expiry Date</t>
  </si>
  <si>
    <t>HALM -&gt; Function = History -&gt; Account Lien Maintenance -&gt; Requested By</t>
  </si>
  <si>
    <t>HALM -&gt; Function = History -&gt; Account Lien Maintenance -&gt; Requested Department</t>
  </si>
  <si>
    <t>HALM -&gt; Function = History -&gt; Account Lien Maintenance -&gt; Contact No.</t>
  </si>
  <si>
    <t>HALM -&gt; Function = History -&gt; Account Lien Maintenance -&gt; AuditView -&gt; Audit Details -&gt; Created By</t>
  </si>
  <si>
    <t>HALM -&gt; Function = History -&gt; Account Lien Maintenance -&gt; AuditView -&gt; Audit Details -&gt; Last Modified By</t>
  </si>
  <si>
    <t>HALM -&gt; Function = History -&gt; Account Lien Maintenance -&gt; AuditView -&gt; Audit Details -&gt; Verified By</t>
  </si>
  <si>
    <t>RCRE_USER_ID</t>
  </si>
  <si>
    <t>HALM -&gt; Function = History -&gt; Account Lien Maintenance -&gt; AuditView -&gt; Audit Details -&gt; Date Of Lien Placement
HALM -&gt; Function = History -&gt; Account Lien Maintenance -&gt; AuditView -&gt; Audit Details -&gt; Time Of Lien Placement</t>
  </si>
  <si>
    <t>HALM -&gt; Account Lien Maintenance -&gt; AuditView -&gt; Audit Details -&gt; Date Of Last Modification
HALM -&gt; Account Lien Maintenance -&gt; AuditView -&gt; Audit Details -&gt; Time Of Last Modification</t>
  </si>
  <si>
    <t>Transaction Date</t>
  </si>
  <si>
    <t>Transaction Enquiry</t>
  </si>
  <si>
    <t>HACLINQ -&gt; Tran. Date</t>
  </si>
  <si>
    <t>DTD union HTD</t>
  </si>
  <si>
    <t>DTD.ACID=GAM.ACID
GAM.CIF_ID=ACCOUNTS.ORGKEY</t>
  </si>
  <si>
    <t>Value Date</t>
  </si>
  <si>
    <t>HACLINQ -&gt; Value Date</t>
  </si>
  <si>
    <t xml:space="preserve">VALUE_DATE  </t>
  </si>
  <si>
    <t xml:space="preserve">DTD.ACID=GAM.ACID &amp; accounts.orgkey=GAM.cif_id </t>
  </si>
  <si>
    <t>Transaction Particulars Code</t>
  </si>
  <si>
    <t>HACLINQ -&gt; View Details -&gt; Transaction Particulars Code</t>
  </si>
  <si>
    <t>TRAN_PARTICULAR_CODE</t>
  </si>
  <si>
    <t>Transaction Particulars</t>
  </si>
  <si>
    <t>HACLINQ -&gt; Particulars</t>
  </si>
  <si>
    <t xml:space="preserve">PART_TRAN_TYPE </t>
  </si>
  <si>
    <t>CHAR(1)</t>
  </si>
  <si>
    <t>Account Currency</t>
  </si>
  <si>
    <t>HACLINQ -&gt; CCY</t>
  </si>
  <si>
    <t>3 char</t>
  </si>
  <si>
    <t>Indicator</t>
  </si>
  <si>
    <t>Part Transaction Type</t>
  </si>
  <si>
    <t>PART_TRAN_TYPE</t>
  </si>
  <si>
    <t>1 BYTE</t>
  </si>
  <si>
    <t>Amount in Account Currency</t>
  </si>
  <si>
    <t>HACLINQ -&gt;Debit Amt./ HACLINQ -&gt; Credit Amt.  OR
HACLINQ -&gt; View Details -&gt; Amt. in A/c. CCY (Currency and Amount)</t>
  </si>
  <si>
    <t xml:space="preserve">TRAN_AMT </t>
  </si>
  <si>
    <t>Transaction Currency</t>
  </si>
  <si>
    <t>Ref.CCY/ Amt. (Currency Part)</t>
  </si>
  <si>
    <t>REF_AMT</t>
  </si>
  <si>
    <t>Transaction Amount</t>
  </si>
  <si>
    <t>Ref.CCY/ Amt. (Amount Part)</t>
  </si>
  <si>
    <t>REF_CRNCY_CODE</t>
  </si>
  <si>
    <t>Running Balance</t>
  </si>
  <si>
    <t>HACLINQ -&gt; Bal.</t>
  </si>
  <si>
    <t>NUMBER</t>
  </si>
  <si>
    <t>(20,4)</t>
  </si>
  <si>
    <t>Instrument Number</t>
  </si>
  <si>
    <t>HACLINQ -&gt; Instr. No.</t>
  </si>
  <si>
    <t>INSTRMNT_NUM</t>
  </si>
  <si>
    <t>(16 CHAR)</t>
  </si>
  <si>
    <t>Instrument Type</t>
  </si>
  <si>
    <t>HACLINQ -&gt; View Details -&gt; Instrument Type</t>
  </si>
  <si>
    <t>INSTRMNT_TYPE</t>
  </si>
  <si>
    <t>Instrument Date</t>
  </si>
  <si>
    <t>HACLINQ -&gt; View Details -&gt; Instrument Date</t>
  </si>
  <si>
    <t>INSTRMNT_DATE</t>
  </si>
  <si>
    <t>Remarks 1</t>
  </si>
  <si>
    <t>HACLINQ -&gt; View Details -&gt; Remarks 1</t>
  </si>
  <si>
    <t xml:space="preserve">TRAN_RMKS </t>
  </si>
  <si>
    <t>(30 CHAR)</t>
  </si>
  <si>
    <t>Remarks 2</t>
  </si>
  <si>
    <t>HACLINQ -&gt; View Details -&gt; Remarks 2</t>
  </si>
  <si>
    <t>TRAN_PARTICULAR_2</t>
  </si>
  <si>
    <t xml:space="preserve">(50 CHAR) </t>
  </si>
  <si>
    <t>HACLINQ -&gt; View Details -&gt; Status</t>
  </si>
  <si>
    <t>TR_STATUS</t>
  </si>
  <si>
    <t>Transaction ID</t>
  </si>
  <si>
    <t>HACLINQ -&gt; View Details -&gt; Tran. ID</t>
  </si>
  <si>
    <t>(9 CHAR)</t>
  </si>
  <si>
    <t>Transaction Remarks</t>
  </si>
  <si>
    <t>HACLINQ -&gt; View Details -&gt; Transaction Remarks</t>
  </si>
  <si>
    <t>Transaction Type</t>
  </si>
  <si>
    <t>HACLINQ -&gt; View Details -&gt; Transaction Type/Sub Type</t>
  </si>
  <si>
    <t>TRAN_TYPE</t>
  </si>
  <si>
    <t xml:space="preserve">CHAR(1) </t>
  </si>
  <si>
    <t>Rate Code</t>
  </si>
  <si>
    <t>HACLINQ -&gt; View Details -&gt; Rate Code/Rate (Code component)</t>
  </si>
  <si>
    <t>GCT</t>
  </si>
  <si>
    <t xml:space="preserve">RATE_CODE </t>
  </si>
  <si>
    <t>Master table</t>
  </si>
  <si>
    <t>Rate</t>
  </si>
  <si>
    <t>HACLINQ -&gt; View Details -&gt; Rate Code/Rate (Rate component)</t>
  </si>
  <si>
    <t>RATE</t>
  </si>
  <si>
    <t>NUMBER(21,10)</t>
  </si>
  <si>
    <t>Grant Temporary Overdraft</t>
  </si>
  <si>
    <t>HACLINQ -&gt; View Details -&gt; Grant Temporary Overdraft</t>
  </si>
  <si>
    <t>Reference Number</t>
  </si>
  <si>
    <t>HACLINQ -&gt; View Details -&gt; Ref. No.</t>
  </si>
  <si>
    <t>REF_NUM</t>
  </si>
  <si>
    <t>(20 CHAR)</t>
  </si>
  <si>
    <t>Entry User ID</t>
  </si>
  <si>
    <t>HACLI -&gt; View Details -&gt; Entry User ID</t>
  </si>
  <si>
    <t>ENTRY_USER_ID</t>
  </si>
  <si>
    <t>(15 CHAR)</t>
  </si>
  <si>
    <t>Entered</t>
  </si>
  <si>
    <t>HACLI -&gt; View Details -&gt; Entered</t>
  </si>
  <si>
    <t>Posted</t>
  </si>
  <si>
    <t>HACLI -&gt; View Details -&gt; Posted</t>
  </si>
  <si>
    <t>PSTD_USER_ID</t>
  </si>
  <si>
    <t>Verified</t>
  </si>
  <si>
    <t>HACLI -&gt; View Details -&gt; Verified</t>
  </si>
  <si>
    <t>VFD_USER_ID &amp; VFD_DATE</t>
  </si>
  <si>
    <t>Standing Instruction Type</t>
  </si>
  <si>
    <t>Standing Instructions Enquiry</t>
  </si>
  <si>
    <t>HSII -&gt;Header Details -&gt; Standing Instruction Type</t>
  </si>
  <si>
    <t>SI_CLASS</t>
  </si>
  <si>
    <t xml:space="preserve">SIH.chrg_dr_acid=GAM.ACID &amp; accounts.orgkey=GAM.cif_id </t>
  </si>
  <si>
    <t>RADIO</t>
  </si>
  <si>
    <t>Bank Induced,Customer Induced</t>
  </si>
  <si>
    <t>HSII -&gt;Header Details -&gt; Standing Instructions Priority</t>
  </si>
  <si>
    <t xml:space="preserve">SI_PRIORITY </t>
  </si>
  <si>
    <t>(3 CHAR)</t>
  </si>
  <si>
    <t>Frequency</t>
  </si>
  <si>
    <t>HSII -&gt;Header Details -&gt; Standing Instructions Frequency (Month, Week, Day)</t>
  </si>
  <si>
    <t xml:space="preserve">SI_FREQ_TYPE </t>
  </si>
  <si>
    <t>Next Execution Date</t>
  </si>
  <si>
    <t>HSII -&gt;Header Details -&gt; Next Execution Date</t>
  </si>
  <si>
    <t>NEXT_EXEC_DATE</t>
  </si>
  <si>
    <t>Start Date</t>
  </si>
  <si>
    <t>HSII -&gt; Start Date</t>
  </si>
  <si>
    <t>SI_START_DATE</t>
  </si>
  <si>
    <t>End Date</t>
  </si>
  <si>
    <t>HSII -&gt; End Date</t>
  </si>
  <si>
    <t>SI_END_DATE</t>
  </si>
  <si>
    <t>HSII -&gt; Status</t>
  </si>
  <si>
    <t>autosuspend_flg</t>
  </si>
  <si>
    <t xml:space="preserve"> 1 BYTE</t>
  </si>
  <si>
    <t>Debit Account Number</t>
  </si>
  <si>
    <t>HSII -&gt;Header Details -&gt; Fee Details: Debit A/c. ID</t>
  </si>
  <si>
    <t>Credit Account Number</t>
  </si>
  <si>
    <t>External: HSII -&gt;  SubInstruction Details -&gt; Credit record -&gt; Part Tran. Details -&gt; A/c. ID
Internal: HSSII -&gt; Instruction Details -&gt; Credit record -&gt; A/c. ID</t>
  </si>
  <si>
    <t>Amount Type</t>
  </si>
  <si>
    <t>External: HSII -&gt; SubInstruction Details -&gt; Amt.Ind.
Internal:  HSSII -&gt; Instruction Details -&gt; Amt. Type</t>
  </si>
  <si>
    <t>AMT_IND</t>
  </si>
  <si>
    <t xml:space="preserve">ADM.amt_drv_srl_num = SIH.si_srl_num &amp; SIH.chrg_dr_acid=GAM.ACID &amp; accounts.orgkey=GAM.cif_id </t>
  </si>
  <si>
    <t>HSII -&gt; SubInstruction Details -&gt; CCY</t>
  </si>
  <si>
    <t>SI Amount</t>
  </si>
  <si>
    <t>External: HSII -&gt; SubInstruction Details -&gt; Fixed Amt.
Internal: HSSII -&gt; Instruction Details -&gt; Amt.</t>
  </si>
  <si>
    <t>FIXED_AMT</t>
  </si>
  <si>
    <t>HSIM -&gt; Instruction Details -&gt; Remarks</t>
  </si>
  <si>
    <t>RMKS_FREE_TEXT</t>
  </si>
  <si>
    <t xml:space="preserve"> VARCHAR2</t>
  </si>
  <si>
    <t xml:space="preserve"> (50 CHAR)</t>
  </si>
  <si>
    <t>Suspend Start Date</t>
  </si>
  <si>
    <t>HSII -&gt;Header Details -&gt; Suspend Start Date</t>
  </si>
  <si>
    <t>SI_SUSP_FROM_DATE</t>
  </si>
  <si>
    <t>Suspended Till</t>
  </si>
  <si>
    <t>HSII -&gt;Header Details -&gt; Suspended Till</t>
  </si>
  <si>
    <t xml:space="preserve">SI_SUSP_UPTO_DATE </t>
  </si>
  <si>
    <t>Remittance Type</t>
  </si>
  <si>
    <t>External: HSII -&gt; SubInstruction Details -&gt; Credit record -&gt; Part Tran. Details -&gt;Remittance Type</t>
  </si>
  <si>
    <t>REMIT_ORIGIN_TYPE</t>
  </si>
  <si>
    <t>ADM.oper_charge_acct=GAM.acid &amp; accounts.orgkey=GAM.cif_id</t>
  </si>
  <si>
    <t>(5 CHAR)</t>
  </si>
  <si>
    <t>Remit Currency</t>
  </si>
  <si>
    <t>External: HSII -&gt; SubInstruction Details -&gt; Credit record -&gt; Part Tran. Details -&gt;Remit CCY</t>
  </si>
  <si>
    <t xml:space="preserve">REMIT_CRNCY </t>
  </si>
  <si>
    <t>Payment System ID</t>
  </si>
  <si>
    <t>External: HSII -&gt; SubInstruction Details -&gt; Credit record -&gt; Part Tran. Details -&gt;Payment System ID</t>
  </si>
  <si>
    <t>PAYSYS_ID</t>
  </si>
  <si>
    <t>Customer Fee Account ID</t>
  </si>
  <si>
    <t>External: HSII -&gt; SubInstruction Details -&gt; Credit record -&gt; Part Tran. Details -&gt; Cust. Fee A/c. ID</t>
  </si>
  <si>
    <t>Remitter Details</t>
  </si>
  <si>
    <t>External: HSII -&gt; SubInstruction Details -&gt; Credit record -&gt; Part Tran. Details -&gt;Remitter Details</t>
  </si>
  <si>
    <t>PARTY_NAME</t>
  </si>
  <si>
    <t>RSTD.PR_SRL_NUM = PYRH.PR_SRL_NUM &amp;
PYRH.PR_B2K_ID = SIH.SI_SRL_NUM</t>
  </si>
  <si>
    <t>Remittance Purpose</t>
  </si>
  <si>
    <t>External: HSII -&gt; SubInstruction Details -&gt; Credit record -&gt; Part Tran. Details -&gt; Purpose of Remittance</t>
  </si>
  <si>
    <t>PURPOSE_OF_REM</t>
  </si>
  <si>
    <t>Beneficiary Name</t>
  </si>
  <si>
    <t>External: HSII -&gt; SubInstruction Details -&gt; Credit record -&gt; Part Tran. Details -&gt; Beneficiary Name</t>
  </si>
  <si>
    <t>OTHER_PARTY_NAME</t>
  </si>
  <si>
    <t>Address Line 1</t>
  </si>
  <si>
    <t>External: HSII -&gt; SubInstruction Details -&gt; Credit record -&gt; Part Tran. Details -&gt; Address Line 1  (Near the beneficiary details)</t>
  </si>
  <si>
    <t>OTHER_PARTY_ADDR_1</t>
  </si>
  <si>
    <t>Address Line 2</t>
  </si>
  <si>
    <t>External: HSII -&gt; SubInstruction Details -&gt; Credit record -&gt; Part Tran. Details -&gt; Address Line 2  (Near the beneficiary details)</t>
  </si>
  <si>
    <t>OTHER_PARTY_ADDR_2</t>
  </si>
  <si>
    <t>Address Line 3</t>
  </si>
  <si>
    <t>External: HSII -&gt; SubInstruction Details -&gt; Credit record -&gt; Part Tran. Details -&gt; Address Line 3  (Near the beneficiary details)</t>
  </si>
  <si>
    <t>OTHER_PARTY_ADDR_3</t>
  </si>
  <si>
    <t>External: HSII -&gt; SubInstruction Details -&gt; Credit record -&gt; Part Tran. Details -&gt; Country</t>
  </si>
  <si>
    <t>OTHER_PARTY_CNTRY</t>
  </si>
  <si>
    <t>Last Tried</t>
  </si>
  <si>
    <t>HSII -&gt;Header Details -&gt; Last Tried</t>
  </si>
  <si>
    <t>LAST_TRIED_DATE</t>
  </si>
  <si>
    <t>Executed Count</t>
  </si>
  <si>
    <t>HSII -&gt;Header Details -&gt; No.Executed</t>
  </si>
  <si>
    <t>NUM_OF_TIMES_EXEC</t>
  </si>
  <si>
    <t>NUMBER(5)</t>
  </si>
  <si>
    <t>Failed Count</t>
  </si>
  <si>
    <t>HSII -&gt;Header Details -&gt; No. Failed</t>
  </si>
  <si>
    <t>NUM_OF_TIMES_FAIL</t>
  </si>
  <si>
    <t>Deleted</t>
  </si>
  <si>
    <t>HSII -&gt;Header Details -&gt; Deleted</t>
  </si>
  <si>
    <t>AUTOSUSPEND_FLG</t>
  </si>
  <si>
    <t>Execution Time</t>
  </si>
  <si>
    <t>HSII -&gt;Header Details -&gt; Execution Time</t>
  </si>
  <si>
    <t>SI_EXEC_CODE</t>
  </si>
  <si>
    <t>HSII -&gt;Header Details -&gt; Execution Condition: Notes</t>
  </si>
  <si>
    <t>Cheque Number</t>
  </si>
  <si>
    <t>Cheque Book details Overview</t>
  </si>
  <si>
    <t>HCHBI -&gt; Begin Chq.Alpha/ Chq. No.</t>
  </si>
  <si>
    <t>BEGIN_CHQ_NUM</t>
  </si>
  <si>
    <t xml:space="preserve">CBT.ACID=GAM.ACID &amp; accounts.orgkey=GAM.cif_id </t>
  </si>
  <si>
    <t>Cheque Issue Date</t>
  </si>
  <si>
    <t>HCHBI -&gt; Issue Date</t>
  </si>
  <si>
    <t>CHQ_ISSU_DATE</t>
  </si>
  <si>
    <t>Cbt.Entity_Cre_Flg = 'Y' And (To_Number(Cbt.Begin_Chq_Num) +
Cbt.Chq_Num_Of_Lvs - 1) &gt;= Cbt.Begin_Chq_Num And Cbt.Bank_Id = &lt;Bank_id&gt;</t>
  </si>
  <si>
    <t>No. of Leaves</t>
  </si>
  <si>
    <t>HCHBI -&gt; No. of Leaves</t>
  </si>
  <si>
    <t>CHQ_NUM_OF_LVS</t>
  </si>
  <si>
    <t>NUMBER(4,0)</t>
  </si>
  <si>
    <t>Finish Number</t>
  </si>
  <si>
    <t>HCHBI -&gt; View Details -&gt; Cheque book Maintenance- Cheque Leaf Status Inquiry -&gt; Chq. No. (Last record value)</t>
  </si>
  <si>
    <t>Issued - not acknowledged</t>
  </si>
  <si>
    <t>HCHBI -&gt; Issued But Not Ack.</t>
  </si>
  <si>
    <t>CHQ_ISSUED_ACK_EXCP_CODE</t>
  </si>
  <si>
    <t>Passed</t>
  </si>
  <si>
    <t>HCHBI -&gt; Passed</t>
  </si>
  <si>
    <t>CHQ_LVS_STAT</t>
  </si>
  <si>
    <t>The CHQ_LVS_STAT field contains values such as ‘PPPPSSSJJRRRR’. From this string, you can filter only the ‘P’ characters to get the count of passed cheques.</t>
  </si>
  <si>
    <t>Static field - logic required</t>
  </si>
  <si>
    <t>1000 CHAR</t>
  </si>
  <si>
    <t>Unused</t>
  </si>
  <si>
    <t>HCHBI -&gt; Unused</t>
  </si>
  <si>
    <t>CHQ_NOT_ISSU_EXCP_CODE</t>
  </si>
  <si>
    <t>Stopped</t>
  </si>
  <si>
    <t>HCHBI -&gt; Stopped</t>
  </si>
  <si>
    <t>CHQ_STOP_EXCP_CODE</t>
  </si>
  <si>
    <t>Cautioned</t>
  </si>
  <si>
    <t>HCHBI -&gt; Cautioned</t>
  </si>
  <si>
    <t>CHQ_CAUTN_EXCP_CODE</t>
  </si>
  <si>
    <t>Destroyed</t>
  </si>
  <si>
    <t>HCHBI -&gt; Destroyed</t>
  </si>
  <si>
    <t>CHQ_UNUSABLE_EXCP_CODE</t>
  </si>
  <si>
    <t>Returned Paid</t>
  </si>
  <si>
    <t>HCHBI -&gt; Returned Paid</t>
  </si>
  <si>
    <t>The CHQ_LVS_STAT field contains values such as ‘PPPPSSSJJRRRR’. From this string, you can filter only the ‘R’ characters to get the count of Return paid cheques.</t>
  </si>
  <si>
    <t>Vikram confirmed it is static field with minor logic</t>
  </si>
  <si>
    <t>Rejected</t>
  </si>
  <si>
    <t>HCHBI -&gt; Rejected</t>
  </si>
  <si>
    <t>CHQ_REJECT_EXCP_CODE</t>
  </si>
  <si>
    <t>Transferred</t>
  </si>
  <si>
    <t>HCHBI -&gt; Transferred</t>
  </si>
  <si>
    <t>Cheque Leaf Status Enquiry</t>
  </si>
  <si>
    <t>HCHBI -&gt; View Details -&gt; Cheque book Maintenance- Cheque Leaf Status Inquiry -&gt; Chq. No.</t>
  </si>
  <si>
    <t>HCHBI -&gt; View Details -&gt; Cheque book Maintenance- Cheque Leaf Status Inquiry -&gt; Status</t>
  </si>
  <si>
    <t>(1000 CHAR)</t>
  </si>
  <si>
    <t>Cheque Return Counter Enquiry</t>
  </si>
  <si>
    <t xml:space="preserve">HRCCM -&gt; List of Cheques -&gt; Cheque Number </t>
  </si>
  <si>
    <t>Custom</t>
  </si>
  <si>
    <t xml:space="preserve">C_CRDT.ACID=GAM.ACID &amp; accounts.orgkey=GAM.cif_id </t>
  </si>
  <si>
    <t>Cheque Amount</t>
  </si>
  <si>
    <t xml:space="preserve">HRCCM -&gt; List of Cheques -&gt; Cheque Amount </t>
  </si>
  <si>
    <t>INSTRMNT_AMT</t>
  </si>
  <si>
    <t xml:space="preserve">            NUMBER(20,4)</t>
  </si>
  <si>
    <t>Cheque Rejected Date</t>
  </si>
  <si>
    <t xml:space="preserve">HRCCM -&gt; List of Cheques -&gt; Cheque Rejected Date </t>
  </si>
  <si>
    <t>REJECTED_DATE</t>
  </si>
  <si>
    <t>User Count</t>
  </si>
  <si>
    <t>HRCCM -&gt; List of Cheques -&gt; User count</t>
  </si>
  <si>
    <t xml:space="preserve">C_REJ_CNT </t>
  </si>
  <si>
    <t xml:space="preserve">   USER_REJECT_COUNT</t>
  </si>
  <si>
    <t xml:space="preserve">C_REJ_CNT.ACID=GAM.ACID &amp; accounts.orgkey=GAM.cif_id </t>
  </si>
  <si>
    <t>Number(4)</t>
  </si>
  <si>
    <t>System Count</t>
  </si>
  <si>
    <t>HRCCM -&gt; List of Cheques -&gt; System Count</t>
  </si>
  <si>
    <t>SYSTEM_REJECT_COUNT</t>
  </si>
  <si>
    <t>Clear Balance Amt.</t>
  </si>
  <si>
    <t>Balance Enquiry</t>
  </si>
  <si>
    <t>Funds in Clearing</t>
  </si>
  <si>
    <t>HACCBAL -&gt; Funds in Clearing</t>
  </si>
  <si>
    <t>UN_CLR_BAL_AMT</t>
  </si>
  <si>
    <t>Sanction Limit</t>
  </si>
  <si>
    <t>HACCBAL -&gt; Sanction Limit</t>
  </si>
  <si>
    <t>SANCT_LIM</t>
  </si>
  <si>
    <t>Float Balance</t>
  </si>
  <si>
    <t>HACCBAL -&gt; Float Balance</t>
  </si>
  <si>
    <t>Runtime Field</t>
  </si>
  <si>
    <t>FLOAT_BALANCE</t>
  </si>
  <si>
    <t>Drawing Power</t>
  </si>
  <si>
    <t>HACCBAL -&gt; Drawing Power</t>
  </si>
  <si>
    <t>DRWNG_POWER</t>
  </si>
  <si>
    <t>Drawings against Unclear</t>
  </si>
  <si>
    <t>HACCBAL -&gt; Drawings against Unclear</t>
  </si>
  <si>
    <t>USED_UN_CLR_OVER_DACC_AMT</t>
  </si>
  <si>
    <t>Utilized Amt.</t>
  </si>
  <si>
    <t>HACCBAL -&gt; Utilized Amt.</t>
  </si>
  <si>
    <t>UTILISED_AMT</t>
  </si>
  <si>
    <t>DACC Limit</t>
  </si>
  <si>
    <t>HACCBAL -&gt; DACC Limit</t>
  </si>
  <si>
    <t>DACC_LIM</t>
  </si>
  <si>
    <t>Lien Amt.</t>
  </si>
  <si>
    <t>Overdue Liability</t>
  </si>
  <si>
    <t>HACCBAL -&gt; Overdue Liability</t>
  </si>
  <si>
    <t>TBAAADM</t>
  </si>
  <si>
    <t>SYSTEM_GEN_LIM</t>
  </si>
  <si>
    <t>System Reserved Amt.</t>
  </si>
  <si>
    <t>HACCBAL -&gt; System Reserved Amt.</t>
  </si>
  <si>
    <t>SYSTEM_RESERVED_AMT</t>
  </si>
  <si>
    <t>Overdue Future Liability</t>
  </si>
  <si>
    <t>HACCBAL -&gt; Overdue Future Liability</t>
  </si>
  <si>
    <t>future_oc_tod_amt</t>
  </si>
  <si>
    <t>Utilization Amt for Future Debit</t>
  </si>
  <si>
    <t>HACCBAL -&gt; Utilization Amt for Future Debit</t>
  </si>
  <si>
    <t>UTIL_FUTURE_BAL_AMT</t>
  </si>
  <si>
    <t>Effective Future Available Amt.</t>
  </si>
  <si>
    <t>HACCBAL -&gt; Effective Future Available Amt.</t>
  </si>
  <si>
    <t>Available Amt.</t>
  </si>
  <si>
    <t>HACCBAL -&gt; Available Amt.</t>
  </si>
  <si>
    <t>Runtime field</t>
  </si>
  <si>
    <t>AVAILABLE_AMT</t>
  </si>
  <si>
    <t>NUMBER(25,4)</t>
  </si>
  <si>
    <t>Available Amt in FFD</t>
  </si>
  <si>
    <t>HACCBAL -&gt; Available Amt. in FFD</t>
  </si>
  <si>
    <t>FFD_CONTRIB_TO_ACCT</t>
  </si>
  <si>
    <t>Effective Available Amt.</t>
  </si>
  <si>
    <t>HACCBAL -&gt; Effective Available Amt.</t>
  </si>
  <si>
    <t>Effective Available Amt. for SWEEPS</t>
  </si>
  <si>
    <t>HACCBAL -&gt; Effective Available Amt. for SWEEPS</t>
  </si>
  <si>
    <t>Amt. Available in HC</t>
  </si>
  <si>
    <t>HACCBAL -&gt; Amt. Available in HC</t>
  </si>
  <si>
    <t>DAFA Limit</t>
  </si>
  <si>
    <t>HACCBAL -&gt; DAFA Limit</t>
  </si>
  <si>
    <t>DAFA_LIM</t>
  </si>
  <si>
    <t>Future Amt.</t>
  </si>
  <si>
    <t>HACCBAL -&gt; Future Amt.</t>
  </si>
  <si>
    <t>FUTURE_BAL_AMT</t>
  </si>
  <si>
    <t>Future Credit Amt.</t>
  </si>
  <si>
    <t>HACCBAL -&gt; Future Credit Amt.</t>
  </si>
  <si>
    <t>FUTURE_OC_TOD_AMT</t>
  </si>
  <si>
    <t>Vikram/Gopi advised to have through API as it is related to balance</t>
  </si>
  <si>
    <t>Future Clear Balance Amt.</t>
  </si>
  <si>
    <t>FUTURE_CLR_BAL_AMT</t>
  </si>
  <si>
    <t>Future Unclear Balance Amt.</t>
  </si>
  <si>
    <t>HACCBAL -&gt; Future Unclear Balance Amt.</t>
  </si>
  <si>
    <t>FUTURE_UN_CLR_BAL_AMT</t>
  </si>
  <si>
    <t>Ad Hoc Limit</t>
  </si>
  <si>
    <t>HACCBAL -&gt; Secured Limits -&gt; Ad Hoc Limit</t>
  </si>
  <si>
    <t>ADHOC_LIM</t>
  </si>
  <si>
    <t>Single Transaction Limit</t>
  </si>
  <si>
    <t>HACCBAL -&gt; Secured Limits -&gt; Single Transaction Limit</t>
  </si>
  <si>
    <t>SINGLE_TRAN_LIM</t>
  </si>
  <si>
    <t>Running Limit</t>
  </si>
  <si>
    <t>HACCBAL -&gt; Secured Limits -&gt; Running Limit</t>
  </si>
  <si>
    <t>EMER_ADVN</t>
  </si>
  <si>
    <t>HACCBAL -&gt; Clean Limits -&gt; Ad Hoc Limit</t>
  </si>
  <si>
    <t>CLEAN_ADHOC_LIM</t>
  </si>
  <si>
    <t>HACCBAL -&gt; Clean Limits -&gt; Single Transaction Limit</t>
  </si>
  <si>
    <t>CLEAN_SINGLE_TRAN_LIM</t>
  </si>
  <si>
    <t>HACCBAL -&gt; Clean Limits -&gt; Running Limit</t>
  </si>
  <si>
    <t>CLEAN_EMER_ADVN</t>
  </si>
  <si>
    <t>Month</t>
  </si>
  <si>
    <t>Average Balance Enquiry</t>
  </si>
  <si>
    <t>HACCBAL -&gt; Average Balance Statistics -&gt; Month</t>
  </si>
  <si>
    <t>Average Balance</t>
  </si>
  <si>
    <t>HACCBAL -&gt; Average Balance Statistics -&gt; Average Balance</t>
  </si>
  <si>
    <t>Maximum Balance</t>
  </si>
  <si>
    <t>HACCBAL -&gt; Average Balance Statistics -&gt; Maximum Balance</t>
  </si>
  <si>
    <t>Maximum Balance Days</t>
  </si>
  <si>
    <t>HACCBAL -&gt; Average Balance Statistics -&gt; Days (next to maximum balance )</t>
  </si>
  <si>
    <t>Minimum Balance</t>
  </si>
  <si>
    <t>HACCBAL -&gt; Average Balance Statistics -&gt; Minimum Balance</t>
  </si>
  <si>
    <t>Minimum Balance Days</t>
  </si>
  <si>
    <t>HACCBAL -&gt; Average Balance Statistics -&gt; Days (Next to Minimum balance)</t>
  </si>
  <si>
    <t>Turnover Statistics Enquiry</t>
  </si>
  <si>
    <t>HACCBAL -&gt; Turn Over Statistics -&gt; Month</t>
  </si>
  <si>
    <t>Debit Turn Over</t>
  </si>
  <si>
    <t>HACCBAL -&gt; Turn Over Statistics -&gt; Dr Turn Over</t>
  </si>
  <si>
    <t xml:space="preserve"> </t>
  </si>
  <si>
    <t>Debit Entries</t>
  </si>
  <si>
    <t>HACCBAL -&gt; Turn Over Statistics -&gt; Entries</t>
  </si>
  <si>
    <t>Credit Turnover</t>
  </si>
  <si>
    <t>HACCBAL -&gt; Turn Over Statistics -&gt; Cr Turn Over</t>
  </si>
  <si>
    <t>Credit Entries</t>
  </si>
  <si>
    <t>Memo Pad ID</t>
  </si>
  <si>
    <t>Memo Enquiry</t>
  </si>
  <si>
    <t>Finacle Core -&gt; Show Memo Pad -&gt; Accept -&gt; Memo Pad Lookup -&gt; Memo Pad ID</t>
  </si>
  <si>
    <t>MPT</t>
  </si>
  <si>
    <t>MP_SRL_NUM </t>
  </si>
  <si>
    <t xml:space="preserve">MPT.ACID=GAM.ACID &amp; accounts.orgkey=GAM.cif_id </t>
  </si>
  <si>
    <t>7 CHAR</t>
  </si>
  <si>
    <t>Topic</t>
  </si>
  <si>
    <t>HACCDET -&gt; Show Memo Pad -&gt; Topic</t>
  </si>
  <si>
    <t>MP_TOPIC</t>
  </si>
  <si>
    <t>Memo Text</t>
  </si>
  <si>
    <t>HACCDET -&gt; Show Memo Pad -&gt; Memo Text</t>
  </si>
  <si>
    <t>MP_MEMO_TEXT</t>
  </si>
  <si>
    <t>240 CHAR</t>
  </si>
  <si>
    <t>Function</t>
  </si>
  <si>
    <t>HACCDET -&gt; Show Memo Pad -&gt; Function (Code  &amp; Value)</t>
  </si>
  <si>
    <t>MP_FUNC</t>
  </si>
  <si>
    <t>Intent</t>
  </si>
  <si>
    <t>HACCDET -&gt; Show Memo Pad -&gt; Intent (Code &amp; Value)</t>
  </si>
  <si>
    <t>MP_INTENT</t>
  </si>
  <si>
    <t>Security</t>
  </si>
  <si>
    <t>HACCDET -&gt; Show Memo Pad -&gt; Security (Code &amp; Value)</t>
  </si>
  <si>
    <t>MP_SECU</t>
  </si>
  <si>
    <t>Pool ID</t>
  </si>
  <si>
    <t>Sweep Enquiry</t>
  </si>
  <si>
    <t>HCUSWP -&gt; Customer Sweeps Details -&gt; Pool ID</t>
  </si>
  <si>
    <t xml:space="preserve">POOL_ID </t>
  </si>
  <si>
    <t>PFT.pool_id=GAM.pool_id &amp; accounts.orgkey=GAM.cif_id</t>
  </si>
  <si>
    <t>Pool Description</t>
  </si>
  <si>
    <t>HCUSWP -&gt; Customer Sweeps Details -&gt; Pool Description</t>
  </si>
  <si>
    <t>POOL_DESC</t>
  </si>
  <si>
    <t>HCUSWP -&gt; Customer Sweeps Details -&gt; Currency</t>
  </si>
  <si>
    <t>Pool Balance</t>
  </si>
  <si>
    <t>HCUSWP -&gt; Customer Sweeps Details -&gt; Effective Pool Available Amt.</t>
  </si>
  <si>
    <t>Pool Status</t>
  </si>
  <si>
    <t>HCUSWP -&gt; Customer Sweeps Details -&gt; Pool Status</t>
  </si>
  <si>
    <t>POOL_CLS_FLG</t>
  </si>
  <si>
    <t xml:space="preserve">Active/InActive </t>
  </si>
  <si>
    <t>Y and N</t>
  </si>
  <si>
    <t>HCUSWP -&gt; Customer Sweeps Details -&gt; Click on Pool ID -&gt; Sweeps Details of Customer -&gt; A/c ID</t>
  </si>
  <si>
    <t>HCUSWP -&gt; Customer Sweeps Details -&gt; Click on Pool ID -&gt; Sweeps Details of Customer -&gt; Scheme Code</t>
  </si>
  <si>
    <t>HCUSWP -&gt; Customer Sweeps Details -&gt; Click on Pool ID -&gt; Sweeps Details of Customer -&gt; Names</t>
  </si>
  <si>
    <t>Order</t>
  </si>
  <si>
    <t>HCUSWP -&gt; Customer Sweeps Details -&gt; Click on Pool ID -&gt; Sweeps Details of Customer -&gt; Order</t>
  </si>
  <si>
    <t>ORDER_OF_UTILISATION</t>
  </si>
  <si>
    <t xml:space="preserve">NUMBER </t>
  </si>
  <si>
    <t>Available Balance</t>
  </si>
  <si>
    <t>HCUSWP -&gt; Customer Sweeps Details -&gt; Click on Pool ID -&gt; Sweeps Details of Customer -&gt; Available Bal.</t>
  </si>
  <si>
    <t>HCUSWP -&gt; Customer Sweeps Details -&gt; Click on Pool ID -&gt; Sweeps Details of Customer -&gt; Status</t>
  </si>
  <si>
    <t>HCUSWP -&gt; Customer Sweeps Details -&gt; Click on Pool ID -&gt; Sweeps Details of Customer -&gt; Rel.</t>
  </si>
  <si>
    <t>ACCT_POA_AS_REC_TYPE</t>
  </si>
  <si>
    <t xml:space="preserve">ACCT_AUTH_SIGN_TABLE.ACID=GAM.ACID &amp; accounts.orgkey=GAM.cif_id </t>
  </si>
  <si>
    <t>Payment Order ID</t>
  </si>
  <si>
    <t>Transfers &amp; Remittances Enquiry</t>
  </si>
  <si>
    <t>HPORDM -&gt; Payment Order ID</t>
  </si>
  <si>
    <t>PORH</t>
  </si>
  <si>
    <t xml:space="preserve">PORD.PYMT_REF_NUM = PORH.PYMT_REF_NUM AND (GAM.FORACID = PORH.ord_party_acct  or GAM.iban_number = PORH.ord_party_acct ) AND  accounts.orgkey=GAM.cif_id </t>
  </si>
  <si>
    <t>Channel ID</t>
  </si>
  <si>
    <t>HPORDM -&gt; Payment Order -&gt; Remittance Details -&gt; Channel ID</t>
  </si>
  <si>
    <t>PORD</t>
  </si>
  <si>
    <t>SENDER_CHANNEL</t>
  </si>
  <si>
    <t>Related Reference</t>
  </si>
  <si>
    <t>HPORDM -&gt; Payment Order -&gt; Remittance Details -&gt; Related Reference</t>
  </si>
  <si>
    <t>RELATED_REF_NUM</t>
  </si>
  <si>
    <t>Sender Reference</t>
  </si>
  <si>
    <t>HPORDM -&gt; Payment Order -&gt; Remittance Details -&gt; Senders Ref.</t>
  </si>
  <si>
    <t>35 CHAR</t>
  </si>
  <si>
    <t>HPORDM -&gt; Payment Order -&gt; Remittance Details -&gt; Debit A/C</t>
  </si>
  <si>
    <t>ord_party_acct</t>
  </si>
  <si>
    <t>HPORDM -&gt; Maintain Payment Order -&gt; Payment Order -&gt; Payment Order Status</t>
  </si>
  <si>
    <t>Inward/ Outward Indicator</t>
  </si>
  <si>
    <t>HPORDM -&gt; In/Out Indicator</t>
  </si>
  <si>
    <t>IN_OUT_IND</t>
  </si>
  <si>
    <t>Call Back Required</t>
  </si>
  <si>
    <t>HPORDM -&gt; Maintain Payment Order -&gt; Payment Order -&gt; Call Back Required</t>
  </si>
  <si>
    <t>CALBK_CATG</t>
  </si>
  <si>
    <t xml:space="preserve">CUST_CALBK.PYMT_REF_NUM=PORH.PYMT_REF_NUM AND  
PORD.PYMT_REF_NUM = PORH.PYMT_REF_NUM AND (GAM.FORACID = PORH.ord_party_acct  or GAM.iban_number = PORH.ord_party_acct ) AND  accounts.orgkey=GAM.cif_id </t>
  </si>
  <si>
    <t>Call Back Completed</t>
  </si>
  <si>
    <t>HPORDM -&gt; Maintain Payment Order -&gt; Payment Order -&gt; Call Back Completed</t>
  </si>
  <si>
    <t>CALBK_STAT</t>
  </si>
  <si>
    <t>Call Back Comments</t>
  </si>
  <si>
    <t>HPORDM -&gt; Maintain Payment Order -&gt; Payment Order -&gt; Call Back Comments</t>
  </si>
  <si>
    <t>CALBK_COMM</t>
  </si>
  <si>
    <t>250 CHAR</t>
  </si>
  <si>
    <t>Original Application Received</t>
  </si>
  <si>
    <t>HPORDM -&gt; Maintain Payment Order -&gt; Payment Order -&gt; Original Application Received</t>
  </si>
  <si>
    <t>ORIGINAL_APPLN_RECEIVED</t>
  </si>
  <si>
    <t>Last Modified User ID</t>
  </si>
  <si>
    <t>HPORDM -&gt; Maintain Payment Order -&gt; Payment Order -&gt; Last Modified User ID</t>
  </si>
  <si>
    <t>Requested Execution Date</t>
  </si>
  <si>
    <t>HPORDM -&gt; Maintain Payment Order -&gt; Payment Order -&gt; Requested Execution Date</t>
  </si>
  <si>
    <t>REQ_EXEC_DATE</t>
  </si>
  <si>
    <t xml:space="preserve">Date </t>
  </si>
  <si>
    <t>Payment Product</t>
  </si>
  <si>
    <t>HPORDM -&gt; Maintain Payment Order -&gt; Payment Order -&gt; Payment Product</t>
  </si>
  <si>
    <t>To be checked. Wrong column name</t>
  </si>
  <si>
    <t>Exchange Rate Code/ Rate</t>
  </si>
  <si>
    <t>HPORDM -&gt; Maintain Payment Order -&gt; Payment Order -&gt; Exchange Rate Code/ Rate</t>
  </si>
  <si>
    <t>EXCH_RATE_CODE
EXCH_RATE</t>
  </si>
  <si>
    <t>Debit Execution Date</t>
  </si>
  <si>
    <t>HPORDM -&gt; Maintain Payment Order -&gt; Payment Order -&gt; Debit Execution Date</t>
  </si>
  <si>
    <t>DR_EXEC_DATE</t>
  </si>
  <si>
    <t>FX Rate</t>
  </si>
  <si>
    <t>HPORDM -&gt; Maintain Payment Order -&gt; Payment Order -&gt; FX Rate</t>
  </si>
  <si>
    <t>ORIG_EXCH_RATE</t>
  </si>
  <si>
    <t>Treasury Customer Preferential Code</t>
  </si>
  <si>
    <t>Finacle CRM -&gt; General -&gt; Basic Info -&gt; Treasury Customer Preferential Code</t>
  </si>
  <si>
    <t>STRUSERFIELD27</t>
  </si>
  <si>
    <t>Remittance Currency</t>
  </si>
  <si>
    <t>HPORDM -&gt; Maintain Payment Order -&gt; Payment Order -&gt; Remittance CCY/Amt. (Currency Part)</t>
  </si>
  <si>
    <t>REMIT_CRNCY</t>
  </si>
  <si>
    <t>Remittance Amount</t>
  </si>
  <si>
    <t>HPORDM -&gt; Maintain Payment Order -&gt; Payment Order -&gt; Remittance CCY/Amt. (Amount Part)</t>
  </si>
  <si>
    <t>REMIT_AMT</t>
  </si>
  <si>
    <t>HPORDM -&gt; Maintain Payment Order -&gt; Payment Order -&gt; Remarks</t>
  </si>
  <si>
    <t>REMARKS</t>
  </si>
  <si>
    <t>70 CHAR</t>
  </si>
  <si>
    <t>Ordered Currency</t>
  </si>
  <si>
    <t>HPORDM -&gt; Maintain Payment Order -&gt; Payment Order -&gt; Ordered CCY/Amt. (Currency Part)</t>
  </si>
  <si>
    <t>C_PORD</t>
  </si>
  <si>
    <t>ORDERED_CRNCY</t>
  </si>
  <si>
    <t>Ordered Amount</t>
  </si>
  <si>
    <t>HPORDM -&gt; Maintain Payment Order -&gt; Payment Order -&gt; Ordered CCY/Amt. (Amount Part)</t>
  </si>
  <si>
    <t>ORDERED_AMT</t>
  </si>
  <si>
    <t>Charging Account Number</t>
  </si>
  <si>
    <t>HPORDM -&gt; Maintain Payment Order -&gt; Payment Order -&gt; Charging A/c.</t>
  </si>
  <si>
    <t xml:space="preserve">FORACID </t>
  </si>
  <si>
    <t>Debit Value Date</t>
  </si>
  <si>
    <t>HPORDM -&gt; Maintain Payment Order -&gt; Payment Order -&gt; Debit Value Date</t>
  </si>
  <si>
    <t>DR_VALUE_DATE</t>
  </si>
  <si>
    <t>Transaction Reference</t>
  </si>
  <si>
    <t>HPORDM -&gt; Maintain Payment Order -&gt; Payment Order -&gt; Payment Details -&gt; Transaction Ref.</t>
  </si>
  <si>
    <t>TRAN_REF_NUM</t>
  </si>
  <si>
    <t>Payment Currency</t>
  </si>
  <si>
    <t>HPORDM -&gt; Maintain Payment Order -&gt; Payment Order -&gt; Payment Details -&gt; Payment CCY/Amt. (Currency Part)</t>
  </si>
  <si>
    <t>Payment Amount</t>
  </si>
  <si>
    <t>HPORDM -&gt; Maintain Payment Order -&gt; Payment Order -&gt; Payment Details -&gt; Payment CCY/Amt. (Amount Part)</t>
  </si>
  <si>
    <t>Credit Execution Date</t>
  </si>
  <si>
    <t>HPORDM -&gt; Maintain Payment Order -&gt; Payment Order -&gt; Payment Details -&gt; Credit Execution Date</t>
  </si>
  <si>
    <t>CR_EXEC_DATE</t>
  </si>
  <si>
    <t>Settlement Mode</t>
  </si>
  <si>
    <t>HPORDM -&gt; Maintain Payment Order -&gt; Payment Order -&gt; Payment Details -&gt; Settlement Mode</t>
  </si>
  <si>
    <t>SETTLEMENT_MODE</t>
  </si>
  <si>
    <t>Credit Value Date</t>
  </si>
  <si>
    <t>HPORDM -&gt; Maintain Payment Order -&gt; Payment Order -&gt; Payment Details -&gt; Credit Value Date</t>
  </si>
  <si>
    <t>CR_VALUE_DATE</t>
  </si>
  <si>
    <t>Beneficiary CIF</t>
  </si>
  <si>
    <t>HPORDM -&gt; Maintain Payment Order -&gt; Payment Order -&gt; Beneficiary Customer -&gt; CIF ID</t>
  </si>
  <si>
    <t>BENEF_PARTY_CODE</t>
  </si>
  <si>
    <t>PYMT_REF_NUM is the mapping field to get the data</t>
  </si>
  <si>
    <t>HPORDM -&gt; Maintain Payment Order -&gt; Payment Order -&gt; Beneficiary Customer -&gt; Address Type</t>
  </si>
  <si>
    <t>BENEF_PARTY_BANK_ADDR_TYPE_IND</t>
  </si>
  <si>
    <t>Beneficiary Bank Code</t>
  </si>
  <si>
    <t>HPORDM -&gt; Maintain Payment Order -&gt; Payment Order -&gt; Beneficiary Customer -&gt; Bank Code</t>
  </si>
  <si>
    <t>BENEF_PARTY_BANK_CODE</t>
  </si>
  <si>
    <t>6 CHAR</t>
  </si>
  <si>
    <t>Beneficiary Local Bank Code</t>
  </si>
  <si>
    <t>HPORDM -&gt; Maintain Payment Order -&gt; Payment Order -&gt; Beneficiary Customer -&gt; Local Bank Code</t>
  </si>
  <si>
    <t>BENEF_PARTY_LBC</t>
  </si>
  <si>
    <t>HPORDM -&gt; Maintain Payment Order -&gt; Payment Order -&gt; Beneficiary Customer -&gt; Name</t>
  </si>
  <si>
    <t>BENEF_PARTY_NAME</t>
  </si>
  <si>
    <t>HPORDM -&gt; Maintain Payment Order -&gt; Payment Order -&gt; Beneficiary Customer -&gt; Address Line 1</t>
  </si>
  <si>
    <t>BENEF_PARTY_ADDR1</t>
  </si>
  <si>
    <t>HPORDM -&gt; Maintain Payment Order -&gt; Payment Order -&gt; Beneficiary Customer -&gt; Address Line 2</t>
  </si>
  <si>
    <t>BENEF_PARTY_ADDR2</t>
  </si>
  <si>
    <t>HPORDM -&gt; Maintain Payment Order -&gt; Payment Order -&gt; Beneficiary Customer -&gt; Country</t>
  </si>
  <si>
    <t>BENEF_PARTY_CNTRY_CODE</t>
  </si>
  <si>
    <t>HPORDM -&gt; Maintain Payment Order -&gt; Payment Order -&gt; Beneficiary Customer -&gt; A/c. ID</t>
  </si>
  <si>
    <t>BENEF_PARTY_ACCT</t>
  </si>
  <si>
    <t>Beneficiary BIC</t>
  </si>
  <si>
    <t>HPORDM -&gt; Maintain Payment Order -&gt; Payment Order -&gt; Beneficiary Customer -&gt; BIC</t>
  </si>
  <si>
    <t>BENEF_PARTY_BIC</t>
  </si>
  <si>
    <t>Beneficiary Branch Code</t>
  </si>
  <si>
    <t>HPORDM -&gt; Maintain Payment Order -&gt; Payment Order -&gt; Beneficiary Customer -&gt; Branch code</t>
  </si>
  <si>
    <t>BENEF_PARTY_BRANCH_CODE</t>
  </si>
  <si>
    <t>Institution Address Type</t>
  </si>
  <si>
    <t>HPORDM -&gt; Maintain Payment Order -&gt; Payment Order -&gt; Beneficiary Customer -&gt; Institution Address Type</t>
  </si>
  <si>
    <t>awi_addr_type_ind</t>
  </si>
  <si>
    <t>Account Bank Code</t>
  </si>
  <si>
    <t>HPORDM -&gt; Maintain Payment Order -&gt; Payment Order -&gt; Account with Institution -&gt; Bank Code</t>
  </si>
  <si>
    <t>AWI_BANK_CODE</t>
  </si>
  <si>
    <t>Account Local Bank Code</t>
  </si>
  <si>
    <t>HPORDM -&gt; Maintain Payment Order -&gt; Payment Order -&gt; Account with Institution -&gt; Local Bank Code</t>
  </si>
  <si>
    <t>AWI_LBC</t>
  </si>
  <si>
    <t>Bank Name</t>
  </si>
  <si>
    <t>HPORDM -&gt; Maintain Payment Order -&gt; Payment Order -&gt; Account with Institution -&gt; Name</t>
  </si>
  <si>
    <t>AWI_NAME</t>
  </si>
  <si>
    <t>Institution Address Line 1</t>
  </si>
  <si>
    <t>HPORDM -&gt; Maintain Payment Order -&gt; Payment Order -&gt; Account with Institution -&gt; Institution Address Line 1</t>
  </si>
  <si>
    <t>AWI_ADDR1</t>
  </si>
  <si>
    <t>Institution Address Line 2</t>
  </si>
  <si>
    <t>HPORDM -&gt; Maintain Payment Order -&gt; Payment Order -&gt; Account with Institution -&gt; Institution Address Line 2</t>
  </si>
  <si>
    <t>AWI_ADDR2</t>
  </si>
  <si>
    <t>Institution BIC</t>
  </si>
  <si>
    <t>HPORDM -&gt; Maintain Payment Order -&gt; Payment Order -&gt; Account with Institution -&gt; Institution BIC</t>
  </si>
  <si>
    <t>AWI_BIC</t>
  </si>
  <si>
    <t>Institution Branch Code</t>
  </si>
  <si>
    <t>HPORDM -&gt; Maintain Payment Order -&gt; Payment Order -&gt; Account with Institution -&gt; Institution Branch Code</t>
  </si>
  <si>
    <t>AWI_BRANCH_CODE</t>
  </si>
  <si>
    <t>Institution Country</t>
  </si>
  <si>
    <t>HPORDM -&gt; Maintain Payment Order -&gt; Payment Order -&gt; Account with Institution -&gt; Institution Country</t>
  </si>
  <si>
    <t>AWI_CNTRY_CODE</t>
  </si>
  <si>
    <t>Intermediary Bank Code</t>
  </si>
  <si>
    <t>HPORDM -&gt; Maintain Payment Order -&gt; Payment Order -&gt; Intermediary -&gt; Bank Code</t>
  </si>
  <si>
    <t>INTER_BANK_CODE</t>
  </si>
  <si>
    <t>Intermediary Address Type</t>
  </si>
  <si>
    <t>HPORDM -&gt; Maintain Payment Order -&gt; Payment Order -&gt; Intermediary -&gt; Address Type</t>
  </si>
  <si>
    <t>INTER_INSTN_ADDR_TYPE_IND</t>
  </si>
  <si>
    <t>Intermediary Local Bank Code</t>
  </si>
  <si>
    <t>HPORDM -&gt; Maintain Payment Order -&gt; Payment Order -&gt; Intermediary -&gt; Local Bank Code</t>
  </si>
  <si>
    <t>INTER_INSTN_LBC</t>
  </si>
  <si>
    <t>Intermediary Bank Name</t>
  </si>
  <si>
    <t>HPORDM -&gt; Maintain Payment Order -&gt; Payment Order -&gt; Intermediary -&gt; Name</t>
  </si>
  <si>
    <t>INTER_INSTN_NAME</t>
  </si>
  <si>
    <t>Intermediary Address Line 1</t>
  </si>
  <si>
    <t>HPORDM -&gt; Maintain Payment Order -&gt; Payment Order -&gt; Intermediary -&gt; Address Line 1</t>
  </si>
  <si>
    <t>INTER_INSTN_ADDR1</t>
  </si>
  <si>
    <t>Intermediary Address Line 2</t>
  </si>
  <si>
    <t>HPORDM -&gt; Maintain Payment Order -&gt; Payment Order -&gt; Intermediary -&gt; Address Line 2</t>
  </si>
  <si>
    <t>INTER_INSTN_ADDR2</t>
  </si>
  <si>
    <t>Intermediary Country</t>
  </si>
  <si>
    <t>HPORDM -&gt; Maintain Payment Order -&gt; Payment Order -&gt; Intermediary -&gt; Country</t>
  </si>
  <si>
    <t>INTER_INSTN_CNTRY_CODE</t>
  </si>
  <si>
    <t>Intermediary BIC</t>
  </si>
  <si>
    <t>HPORDM -&gt; Maintain Payment Order -&gt; Payment Order -&gt; Intermediary -&gt; BIC</t>
  </si>
  <si>
    <t>INTER_INSTN_BIC</t>
  </si>
  <si>
    <t>Intermediary Account Number</t>
  </si>
  <si>
    <t>HPORDM -&gt; Maintain Payment Order -&gt; Payment Order -&gt; Intermediary -&gt; A/C. ID</t>
  </si>
  <si>
    <t>INTER_INSTN_ACCT</t>
  </si>
  <si>
    <t>Receiver's Correspondent Address Type</t>
  </si>
  <si>
    <t>HPORDM -&gt; Maintain Payment Order -&gt; Payment Order -&gt; Receivers Correspondent -&gt; Address Type</t>
  </si>
  <si>
    <t>RECVR_CORRESP_ADDR_TYPE_IND</t>
  </si>
  <si>
    <t>Receiver's Correspondent Bank Code</t>
  </si>
  <si>
    <t>HPORDM -&gt; Maintain Payment Order -&gt; Payment Order -&gt; Receivers Correspondent -&gt; Bank Code</t>
  </si>
  <si>
    <t>RECVR_CORRESP_BANK_CODE</t>
  </si>
  <si>
    <t>Receiver's Correspondent Local Bank Code</t>
  </si>
  <si>
    <t>HPORDM -&gt; Maintain Payment Order -&gt; Payment Order -&gt; Receivers Correspondent -&gt; Local Bank Code</t>
  </si>
  <si>
    <t>RECVR_CORRESP_LBC</t>
  </si>
  <si>
    <t>Receiver's Correspondent Bank Name</t>
  </si>
  <si>
    <t>HPORDM -&gt; Maintain Payment Order -&gt; Payment Order -&gt; Receivers Correspondent -&gt; Name</t>
  </si>
  <si>
    <t>RECVR_CORRESP_NAME</t>
  </si>
  <si>
    <t>Receiver's Correspondent Address Line 1</t>
  </si>
  <si>
    <t>HPORDM -&gt; Maintain Payment Order -&gt; Payment Order -&gt; Receivers Correspondent -&gt; Address Line 1</t>
  </si>
  <si>
    <t>RECVR_CORRESP_ADDR1</t>
  </si>
  <si>
    <t>Receiver's Correspondent Address Line 2</t>
  </si>
  <si>
    <t>HPORDM -&gt; Maintain Payment Order -&gt; Payment Order -&gt; Receivers Correspondent -&gt; Address Line 2</t>
  </si>
  <si>
    <t>RECVR_CORRESP_ADDR2</t>
  </si>
  <si>
    <t>Receiver's Correspondent Country</t>
  </si>
  <si>
    <t>HPORDM -&gt; Maintain Payment Order -&gt; Payment Order -&gt; Receivers Correspondent -&gt; Country</t>
  </si>
  <si>
    <t>RECVR_CORRESP_CNTRY_CODE</t>
  </si>
  <si>
    <t>Receiver's Correspondent BIC</t>
  </si>
  <si>
    <t>HPORDM -&gt; Maintain Payment Order -&gt; Payment Order -&gt; Receivers Correspondent -&gt; BIC</t>
  </si>
  <si>
    <t>RECVR_CORRESP_BIC</t>
  </si>
  <si>
    <t>Receiver's Correspondent Branch Code</t>
  </si>
  <si>
    <t>HPORDM -&gt; Maintain Payment Order -&gt; Payment Order -&gt; Receivers Correspondent -&gt; Branch Code</t>
  </si>
  <si>
    <t>RECVR_CORRESP_BRANCH_CODE</t>
  </si>
  <si>
    <t>Receiver's Correspondent Account Number</t>
  </si>
  <si>
    <t>HPORDM -&gt; Maintain Payment Order -&gt; Payment Order -&gt; Receivers Correspondent -&gt; A/C. ID</t>
  </si>
  <si>
    <t>RECVR_CORRESP_ACCT</t>
  </si>
  <si>
    <t>Method of Payment Type</t>
  </si>
  <si>
    <t>HPORDM -&gt; Maintain Payment Order -&gt; Payment Order -&gt; Credit Details -&gt; Method of Payment Derivation</t>
  </si>
  <si>
    <t>Fetch_type_flg</t>
  </si>
  <si>
    <t>Correspondent BIC</t>
  </si>
  <si>
    <t>HPORDM -&gt; Maintain Payment Order -&gt; Payment Order -&gt; Credit Details -&gt; Our Correspondent BIC</t>
  </si>
  <si>
    <t>OUR_CORRESP_BIC</t>
  </si>
  <si>
    <t>Correspondent Bank Code</t>
  </si>
  <si>
    <t>HPORDM -&gt; Maintain Payment Order -&gt; Payment Order -&gt; Credit Details -&gt; Our Correspondent Bank Code</t>
  </si>
  <si>
    <t>OUR_CORRESP_BANK_CODE</t>
  </si>
  <si>
    <t>Correspondent Branch Code</t>
  </si>
  <si>
    <t>HPORDM -&gt; Maintain Payment Order -&gt; Payment Order -&gt; Credit Details -&gt; Our Correspondent Branch Code</t>
  </si>
  <si>
    <t>OUR_CORRESP_BRANCH_CODE</t>
  </si>
  <si>
    <t>HPORDM -&gt; Maintain Payment Order -&gt; Payment Order -&gt; Credit Details -&gt; Credit A/c. ID</t>
  </si>
  <si>
    <t>HPORDM -&gt; Maintain Payment Order -&gt; Payment Order -&gt; Credit Details -&gt; FX Rate</t>
  </si>
  <si>
    <t>CR_EXCH_RATE_CODE , CR_EXCH_RATE</t>
  </si>
  <si>
    <t>VARCHAR2 , NUMBER(21,10)</t>
  </si>
  <si>
    <t>5 CHAR, NUMBER(21,10)</t>
  </si>
  <si>
    <t>Nature of Payment</t>
  </si>
  <si>
    <t>HPORDM -&gt; Maintain Payment Order -&gt; Payment Order -&gt; Credit Details -&gt; Nature of Payment</t>
  </si>
  <si>
    <t>C_PORDREMINR</t>
  </si>
  <si>
    <t>NATURE_OF_PAYMENT</t>
  </si>
  <si>
    <t>Charge Option</t>
  </si>
  <si>
    <t>HPORDM -&gt; Maintain Payment Order -&gt; Payment Order -&gt; Charge Details -&gt; Charge Option</t>
  </si>
  <si>
    <t>CHARGE_OPTION</t>
  </si>
  <si>
    <t>HPORDM -&gt; Maintain Payment Order -&gt; Payment Order -&gt; Charge Details -&gt; Credit A/c ID</t>
  </si>
  <si>
    <t>Method of Payment</t>
  </si>
  <si>
    <t>HPORDM -&gt; Maintain Payment Order -&gt; Payment Order -&gt; Charge Details -&gt; Method Of Payment</t>
  </si>
  <si>
    <t>routed_paysys_id</t>
  </si>
  <si>
    <t>Net Charges</t>
  </si>
  <si>
    <t>HPORDM -&gt; Maintain Payment Order -&gt; Payment Order -&gt; Charge Details -&gt; Net Charges</t>
  </si>
  <si>
    <t>NET_CHARGES_FLG</t>
  </si>
  <si>
    <t xml:space="preserve">Radio </t>
  </si>
  <si>
    <t>Waive Charges</t>
  </si>
  <si>
    <t>HPORDM -&gt; Maintain Payment Order -&gt; Payment Order -&gt; Charge Details -&gt; Waive Charges</t>
  </si>
  <si>
    <t>WAIVE_CHARGES</t>
  </si>
  <si>
    <t>Other Bank Charges</t>
  </si>
  <si>
    <t>HPORDM -&gt; Maintain Payment Order -&gt; Payment Order -&gt; Charge Details -&gt; Other Bank Charges</t>
  </si>
  <si>
    <t>chrg_det1</t>
  </si>
  <si>
    <t>RAK Bank Charges</t>
  </si>
  <si>
    <t>View Charges - &gt; Field with value for Bank charges to be included</t>
  </si>
  <si>
    <t>Purpose Code</t>
  </si>
  <si>
    <t>HPORDM -&gt; Maintain Payment Order -&gt; Payment Order -&gt; Senders to Receiver Info -&gt; Purpose Code</t>
  </si>
  <si>
    <t>PURPOSE_CODE</t>
  </si>
  <si>
    <t>Sender to Receiver Line 1</t>
  </si>
  <si>
    <t>HPORDM -&gt; Maintain Payment Order -&gt; Payment Order -&gt; Senders to Receiver Info -&gt; Sender to Receiver Line 1</t>
  </si>
  <si>
    <t>SENDER_TO_RECVR_INFO</t>
  </si>
  <si>
    <t>220 CHAR</t>
  </si>
  <si>
    <t>Sender to Receiver Line 2</t>
  </si>
  <si>
    <t>HPORDM -&gt; Maintain Payment Order -&gt; Payment Order -&gt; Senders to Receiver Info -&gt; Sender to Receiver Line 2</t>
  </si>
  <si>
    <t>Sender to Receiver Line 3</t>
  </si>
  <si>
    <t>HPORDM -&gt; Maintain Payment Order -&gt; Payment Order -&gt; Senders to Receiver Info -&gt; Sender to Receiver Line 3</t>
  </si>
  <si>
    <t>Sender to Receiver Line 4</t>
  </si>
  <si>
    <t>HPORDM -&gt; Maintain Payment Order -&gt; Payment Order -&gt; Senders to Receiver Info -&gt; Sender to Receiver Line 4</t>
  </si>
  <si>
    <t>Sender to Receiver Line 5</t>
  </si>
  <si>
    <t>HPORDM -&gt; Maintain Payment Order -&gt; Payment Order -&gt; Senders to Receiver Info -&gt; Sender to Receiver Line  5</t>
  </si>
  <si>
    <t>Sender to Receiver Line 6</t>
  </si>
  <si>
    <t>HPORDM -&gt; Maintain Payment Order -&gt; Payment Order -&gt; Senders to Receiver Info -&gt; Sender to Receiver Line 6</t>
  </si>
  <si>
    <t>Remittance Info Line 1</t>
  </si>
  <si>
    <t>HPORDM -&gt; Maintain Payment Order -&gt; Payment Order -&gt; Remittance Info -&gt; Line 1</t>
  </si>
  <si>
    <t>REMIT_INFO</t>
  </si>
  <si>
    <t>Remittance Info Line 2</t>
  </si>
  <si>
    <t>HPORDM -&gt; Maintain Payment Order -&gt; Payment Order -&gt; Remittance Info -&gt; Line 2</t>
  </si>
  <si>
    <t>Remittance Info Line 3</t>
  </si>
  <si>
    <t>HPORDM -&gt; Maintain Payment Order -&gt; Payment Order -&gt; Remittance Info -&gt; Line 3</t>
  </si>
  <si>
    <t>Remittance Info Line 4</t>
  </si>
  <si>
    <t>HPORDM -&gt; Maintain Payment Order -&gt; Payment Order -&gt; Remittance Info -&gt; Line 4</t>
  </si>
  <si>
    <t>Rejection Code</t>
  </si>
  <si>
    <t>HPORDM -&gt; Maintain Payment Order -&gt; Payment Order -&gt; Remittance Info -&gt; Rejection Code</t>
  </si>
  <si>
    <t>REJECTION_CODE</t>
  </si>
  <si>
    <t>Rejection Description</t>
  </si>
  <si>
    <t>HPORDM -&gt; Maintain Payment Order -&gt; Payment Order -&gt; Rejection Details -&gt; Rejection Desc</t>
  </si>
  <si>
    <t>REJECTION_DESC</t>
  </si>
  <si>
    <t>Reason for Deletion</t>
  </si>
  <si>
    <t>HPORDM -&gt; Maintain Payment Order -&gt; Payment Order -&gt; Reason for Deletion</t>
  </si>
  <si>
    <t>DEL_REASON</t>
  </si>
  <si>
    <t xml:space="preserve">C_PORDM_DELETE.PYMT_REF_NUM  = PORD.PYMT_REF_NUM AND PORD.PYMT_REF_NUM = PORH.PYMT_REF_NUM AND (GAM.FORACID = PORH.ord_party_acct  or GAM.iban_number = PORH.ord_party_acct ) AND  accounts.orgkey=GAM.cif_id </t>
  </si>
  <si>
    <t>Reason for Reject</t>
  </si>
  <si>
    <t>HPORDM -&gt; Maintain Payment Order -&gt; Payment Order -&gt; Reason for Reject</t>
  </si>
  <si>
    <t>LISTED_REASON</t>
  </si>
  <si>
    <t>PORD.PYMT_REF_NUM = C_REJECT.PYMT_REF_NUM AND   accounts.orgkey=GAM.cif_id</t>
  </si>
  <si>
    <t>GAM.bank_id='RAK'</t>
  </si>
  <si>
    <t>Original Rate</t>
  </si>
  <si>
    <t xml:space="preserve">HPORDM-&gt;Original Rate </t>
  </si>
  <si>
    <t>View Inward Swift Message</t>
  </si>
  <si>
    <t>HPORDM -&gt; Payment Order -&gt; Show Message</t>
  </si>
  <si>
    <t>SMH</t>
  </si>
  <si>
    <t>SWIFT_MSG</t>
  </si>
  <si>
    <t>PORH.PYMT_REF_NUM = SMH.ROUTING_REF_NUM AND   accounts.orgkey=GAM.cif_id</t>
  </si>
  <si>
    <t>CLOB</t>
  </si>
  <si>
    <t>View Outward Swift Message</t>
  </si>
  <si>
    <t xml:space="preserve">HSMI -&gt; select = P-Print Message -&gt; Submit -&gt; Accept -&gt; HPR -&gt; Go -&gt; Print Screen </t>
  </si>
  <si>
    <t>RAKValue Package Availed</t>
  </si>
  <si>
    <t>Package Details</t>
  </si>
  <si>
    <t>CUINQ -&gt; Operative Accounts -&gt; RVC Details -&gt; RAKValue Package Availed</t>
  </si>
  <si>
    <t>PACKAGE_NAME</t>
  </si>
  <si>
    <t xml:space="preserve">accounts.orgkey=CUST_CASA_PACKAGE_MAIN.cif_id </t>
  </si>
  <si>
    <t xml:space="preserve">SELECT accounts.orgkey, CUST_CASA_PACKAGE_MAIN.PACKAGE_NAME AS RAKValue_Package_Availed
FROM CUSTOM.CUST_CASA_PACKAGE_MAIN 
JOIN CRMUSER.accounts  ON accounts.orgkey = CUST_CASA_PACKAGE_MAIN.cif_id;
</t>
  </si>
  <si>
    <t>(75 BYTE)</t>
  </si>
  <si>
    <t>Last Activity Date</t>
  </si>
  <si>
    <t>CUINQ -&gt; Operative Accounts -&gt; RVC Details -&gt; Last Activity Date</t>
  </si>
  <si>
    <t>PKG_ACTIVITY_DATE</t>
  </si>
  <si>
    <t>SELECT accounts.orgkey, CUST_CASA_PACKAGE_MAIN.PKG_ACTIVITY_DATE AS Last_Activity_Date
FROM CUSTOM.CUST_CASA_PACKAGE_MAIN 
JOIN CRMUSER.accounts  ON accounts.orgkey = CUST_CASA_PACKAGE_MAIN.cif_id;</t>
  </si>
  <si>
    <t>CUINQ -&gt; Operative Accounts -&gt; RVC Details -&gt; Status</t>
  </si>
  <si>
    <t>SELECT accounts.orgkey, CUST_CASA_PACKAGE_MAIN.STATUS AS Status
FROM CUSTOM.CUST_CASA_PACKAGE_MAIN 
JOIN CRMUSER.accounts  ON accounts.orgkey = CUST_CASA_PACKAGE_MAIN.cif_id;</t>
  </si>
  <si>
    <t>(2 BYTE)</t>
  </si>
  <si>
    <t>Package Details: Financial Utilization</t>
  </si>
  <si>
    <t>CUINQ -&gt; Operative Accounts -&gt; RVC Details -&gt; Current Package Financial Utilization -&gt; Transaction</t>
  </si>
  <si>
    <t>EVENT_ID</t>
  </si>
  <si>
    <t>Need join condition will check with Piyush</t>
  </si>
  <si>
    <t>CUINQ -&gt; Operative Accounts -&gt; RVC Details -&gt; Current Package Financial Utilization -&gt; Transaction Desc</t>
  </si>
  <si>
    <t>EVENT_DESCRIPTION</t>
  </si>
  <si>
    <t>CUINQ -&gt; Operative Accounts -&gt; RVC Details -&gt; Current Package Financial Utilization -&gt; Frequency</t>
  </si>
  <si>
    <t>SVC_FREQUENCY</t>
  </si>
  <si>
    <t>accounts.orgkey=CUST_CASA_PACKAGE_CHRG.cif_id</t>
  </si>
  <si>
    <t>SELECT accounts.orgkey, CUST_CASA_PACKAGE_CHRG.SVC_FREQUENCY AS Frequency
FROM CUSTOM.CUST_CASA_PACKAGE_CHRG 
JOIN CRMUSER.accounts  ON accounts.orgkey = CUST_CASA_PACKAGE_CHRG.cif_id;</t>
  </si>
  <si>
    <t>Eligible at CIF level</t>
  </si>
  <si>
    <t>CUINQ -&gt; Operative Accounts -&gt; RVC Details -&gt; Current Package Financial Utilization -&gt; Eligible at Cif Level</t>
  </si>
  <si>
    <t>ELIGIBLE_CNT</t>
  </si>
  <si>
    <t>SELECT accounts.orgkey, CUST_CASA_PACKAGE_CHRG.ELIGIBLE_CNT AS Eligible_at_CIF_level
FROM CUSTOM.CUST_CASA_PACKAGE_CHRG 
JOIN CRMUSER.accounts  ON accounts.orgkey = CUST_CASA_PACKAGE_CHRG.cif_id;</t>
  </si>
  <si>
    <t>Availed at Account level</t>
  </si>
  <si>
    <t>CUINQ -&gt; Operative Accounts -&gt; RVC Details -&gt; Current Package Financial Utilization -&gt; Availed at Account Level</t>
  </si>
  <si>
    <t>UTILIZATION_CNT</t>
  </si>
  <si>
    <t>"SELECT accounts.orgkey, CUST_CASA_PACKAGE_CHRG.UTILIZATION_CNT AS Availed_at_Account _level
FROM CUSTOM.CUST_CASA_PACKAGE_CHRG 
JOIN CRMUSER.accounts  ON accounts.orgkey = CUST_CASA_PACKAGE_CHRG.cif_id;"</t>
  </si>
  <si>
    <t>Balance at CIF level</t>
  </si>
  <si>
    <t>CUINQ -&gt; Operative Accounts -&gt; RVC Details -&gt; Current Package Financial Utilization -&gt; Balance at Cif Level</t>
  </si>
  <si>
    <t>"SELECT accounts.orgkey, CUST_CASA_PACKAGE_CHRG.ELIGIBLE_CNT AS Balance_at_CIF_level
FROM CUSTOM.CUST_CASA_PACKAGE_CHRG 
JOIN CRMUSER.accounts  ON accounts.orgkey = CUST_CASA_PACKAGE_CHRG.cif_id;"</t>
  </si>
  <si>
    <t>Package Details: Non Financial Utilization</t>
  </si>
  <si>
    <t>CUINQ -&gt; Operative Accounts -&gt; RVC Details -&gt; Current Package Non-Financial Utilization -&gt; Transaction</t>
  </si>
  <si>
    <t>CUINQ -&gt; Operative Accounts -&gt; RVC Details -&gt; Current Package Non-Financial Utilization -&gt; Transaction Desc</t>
  </si>
  <si>
    <t>CUINQ -&gt; Operative Accounts -&gt; RVC Details -&gt; Current Package Non-Financial Utilization -&gt; Frequency</t>
  </si>
  <si>
    <t xml:space="preserve">SELECT accounts.orgkey, CUST_CASA_PACKAGE_CHRG.SVC_FREQUENCY AS Frequency
FROM CUSTOM.CUST_CASA_PACKAGE_CHRG 
JOIN CRMUSER.accounts  ON accounts.orgkey = CUST_CASA_PACKAGE_CHRG.cif_id;
</t>
  </si>
  <si>
    <t>CUINQ -&gt; Operative Accounts -&gt; RVC Details -&gt; Current Package Non-Financial Utilization -&gt; Eligible at Cif Level</t>
  </si>
  <si>
    <t xml:space="preserve">SELECT accounts.orgkey, CUST_CASA_PACKAGE_CHRG.ELIGIBLE_CNT AS Eligible_at_CIF_level
FROM CUSTOM.CUST_CASA_PACKAGE_CHRG 
JOIN CRMUSER.accounts  ON accounts.orgkey = CUST_CASA_PACKAGE_CHRG.cif_id;
</t>
  </si>
  <si>
    <t>CUINQ -&gt; Operative Accounts -&gt; RVC Details -&gt; Current Package Non-Financial Utilization -&gt; Availed at Account Level</t>
  </si>
  <si>
    <t>SELECT accounts.orgkey, CUST_CASA_PACKAGE_CHRG.UTILIZATION_CNT AS Availed_at_Account_level
FROM CUSTOM.CUST_CASA_PACKAGE_CHRG 
JOIN CRMUSER.accounts  ON accounts.orgkey = CUST_CASA_PACKAGE_CHRG.cif_id;</t>
  </si>
  <si>
    <t>CUINQ -&gt; Operative Accounts -&gt; RVC Details -&gt; Current Package Non-Financial Utilization -&gt; Balance at Cif Level</t>
  </si>
  <si>
    <t>SELECT accounts.orgkey, CUST_CASA_PACKAGE_CHRG.ELIGIBLE_CNT AS Balance_at_CIF_level
FROM CUSTOM.CUST_CASA_PACKAGE_CHRG 
JOIN CRMUSER.accounts  ON accounts.orgkey = CUST_CASA_PACKAGE_CHRG.cif_id;</t>
  </si>
  <si>
    <t>Package Name</t>
  </si>
  <si>
    <t>Package History</t>
  </si>
  <si>
    <t>CUINQ -&gt; Operative Accounts -&gt; RVC Details -&gt; Package History -&gt; Package Name</t>
  </si>
  <si>
    <t>accounts.orgkey=CUST_CASA_HISTDTL.cif_id</t>
  </si>
  <si>
    <t>SELECT
    accounts.orgkey,
    hist.PACKAGE_NAME AS Package_Name
FROM CRMUSER.accounts accounts
JOIN CUSTOM.CUST_CASA_HISTDTL hist
    ON accounts.orgkey = hist.cif_id;</t>
  </si>
  <si>
    <t>Date of Change</t>
  </si>
  <si>
    <t>CUINQ -&gt; Operative Accounts -&gt; RVC Details -&gt; Package History -&gt; Date of Change</t>
  </si>
  <si>
    <t>SELECT
    accounts.orgkey,
    hist.PKG_ACTIVITY_DATE AS Date_of_Change
FROM CRMUSER.accounts accounts
JOIN CUSTOM.CUST_CASA_HISTDTL hist
    ON accounts.orgkey = hist.cif_id;</t>
  </si>
  <si>
    <t>Change Type</t>
  </si>
  <si>
    <t>CUINQ -&gt; Operative Accounts -&gt; RVC Details -&gt; Package History -&gt; Type of Change</t>
  </si>
  <si>
    <t>PACKAGE_ACTIVITY</t>
  </si>
  <si>
    <t>SELECT
    accounts.orgkey,
    hist.PACKAGE_ACTIVITY AS Change_Type
FROM CRMUSER.accounts accounts
JOIN CUSTOM.CUST_CASA_HISTDTL hist
    ON accounts.orgkey = hist.cif_id;</t>
  </si>
  <si>
    <t>Utilization History</t>
  </si>
  <si>
    <t>CUINQ -&gt; Operative Accounts -&gt; RVC Details -&gt;Utilization History -&gt; Transaction</t>
  </si>
  <si>
    <t>Join is missing will check it with Piyush</t>
  </si>
  <si>
    <t>CUINQ -&gt; Operative Accounts -&gt; RVC Details -&gt; Utilization History -&gt; Transaction Desc</t>
  </si>
  <si>
    <t>CUINQ -&gt; Operative Accounts -&gt; RVC Details -&gt; Utilization History -&gt; Plan Name</t>
  </si>
  <si>
    <t>PACKAGE_TYPE</t>
  </si>
  <si>
    <t>SELECT accounts.orgkey,
       cust_casa_package_chrg.PACKAGE_TYPE AS Plan_Name
FROM CUSTOM.CUST_CASA_PACKAGE_CHRG cust_casa_package_chrg
JOIN CRMUSER.accounts
    ON accounts.orgkey = cust_casa_package_chrg.cif_id;</t>
  </si>
  <si>
    <t>CUINQ -&gt; Operative Accounts -&gt; RVC Details -&gt; Utilization History -&gt; Frequency</t>
  </si>
  <si>
    <t>SELECT accounts.orgkey,
       cust_casa_package_chrg.SVC_FREQUENCY AS Frequency
FROM CUSTOM.CUST_CASA_PACKAGE_CHRG cust_casa_package_chrg
JOIN CRMUSER.accounts
    ON accounts.orgkey = cust_casa_package_chrg.cif_id;</t>
  </si>
  <si>
    <t>CUINQ -&gt; Operative Accounts -&gt; RVC Details -&gt; Utilization History -&gt; Eligible at Cif Level</t>
  </si>
  <si>
    <t xml:space="preserve">SELECT accounts.orgkey,
       cust_casa_package_chrg.ELIGIBLE_CNT AS Eligible_at_CIF_level
FROM CUSTOM.CUST_CASA_PACKAGE_CHRG cust_casa_package_chrg
JOIN CRMUSER.accounts
    ON accounts.orgkey = cust_casa_package_chrg.cif_id;
</t>
  </si>
  <si>
    <t>CUINQ -&gt; Operative Accounts -&gt; RVC Details -&gt; Utilization History -&gt; Availed at Account Level</t>
  </si>
  <si>
    <t>SELECT accounts.orgkey,
       cust_casa_package_chrg.UTILIZATION_CNT AS Availed_at_Account_level
FROM CUSTOM.CUST_CASA_PACKAGE_CHRG cust_casa_package_chrg
JOIN CRMUSER.accounts
    ON accounts.orgkey = cust_casa_package_chrg.cif_id;</t>
  </si>
  <si>
    <t>CUINQ -&gt; Operative Accounts -&gt; RVC Details -&gt; Utilization History -&gt; Balance at Cif Level</t>
  </si>
  <si>
    <t>SELECT accounts.orgkey,
       cust_casa_package_chrg.ELIGIBLE_CNT AS Balance_at_CIF_level
FROM CUSTOM.CUST_CASA_PACKAGE_CHRG cust_casa_package_chrg
JOIN CRMUSER.accounts
    ON accounts.orgkey = cust_casa_package_chrg.cif_id;</t>
  </si>
  <si>
    <t>Utilization Month</t>
  </si>
  <si>
    <t>CUINQ -&gt; Operative Accounts -&gt; RVC Details -&gt; Utilization History -&gt; Utilization Month</t>
  </si>
  <si>
    <t>CUSTOM.CUST_CASA_PACKAGE_CHRG_HIS</t>
  </si>
  <si>
    <t>REGISTRATION_DATE</t>
  </si>
  <si>
    <t>Customer Signature</t>
  </si>
  <si>
    <t>Signature Details</t>
  </si>
  <si>
    <t xml:space="preserve">Finacle </t>
  </si>
  <si>
    <t>Finacle  SVS -&gt; Signature -&gt; Image</t>
  </si>
  <si>
    <t>SIGN</t>
  </si>
  <si>
    <t>"SIGNMAINTANENCE.SIGNID = SIGNCUSTINFO.SIGNID
SIGNCUSTINFO.CUSTID = GAM.CIF_ID
SIGNMAINTANENCE.SIGNID = SIGNOTHERINFO.SIGNID
SIGNOTHERINFO.ACCTID=GAM.FORACID"</t>
  </si>
  <si>
    <t>nNeed help from Arvind</t>
  </si>
  <si>
    <t>03. Deposit</t>
  </si>
  <si>
    <t>Deposit Account Number</t>
  </si>
  <si>
    <t>HACITD -&gt; A/c.ID (Account Number)</t>
  </si>
  <si>
    <t>M2,M3,M4</t>
  </si>
  <si>
    <t> GAM.SCHM_TYPE='TDA' and GAM.bank_id='RAK'</t>
  </si>
  <si>
    <t>HACITD -&gt; A/c.ID (Currency)</t>
  </si>
  <si>
    <t> GAM.SCHM_TYPE='TDA'</t>
  </si>
  <si>
    <t>HACITD -&gt; General -&gt; A/c. Name</t>
  </si>
  <si>
    <t>HACITD -&gt; General -&gt; Scheme Code</t>
  </si>
  <si>
    <t>HACITD -&gt; General -&gt; Scheme Code (Name)</t>
  </si>
  <si>
    <t>A/c. Status</t>
  </si>
  <si>
    <t>HACITD -&gt; Scheme -&gt; A/c. Status</t>
  </si>
  <si>
    <t>TBA_TD_ACCT_MASTER_TBL.ACID=GAM.ACID &amp; accounts.orgkey=GAM.cif_id</t>
  </si>
  <si>
    <t>Deposit Open Date</t>
  </si>
  <si>
    <t>HACITD -&gt; General -&gt; A/c. Opening Date</t>
  </si>
  <si>
    <t>HACITD -&gt; General -&gt; Mode of Operation</t>
  </si>
  <si>
    <t>HACITD -&gt; Scheme -&gt; Value Date</t>
  </si>
  <si>
    <t>MIN_VALUE_DATE</t>
  </si>
  <si>
    <t>HACITD -&gt; Scheme -&gt; Maturity Date</t>
  </si>
  <si>
    <t>Closure Date</t>
  </si>
  <si>
    <t>Deposit Period (MM/DD)</t>
  </si>
  <si>
    <t>HACITD -&gt; Scheme -&gt; Deposit Period (MM/DD)</t>
  </si>
  <si>
    <t>DEPOSIT_PERIOD_MTHS
DEPOSIT_PERIOD_DAYS</t>
  </si>
  <si>
    <t>HACITD -&gt; Addl. Info -&gt; Original Dep. Amt.</t>
  </si>
  <si>
    <t>ORIGINAL_DEPOSIT_AMOUNT</t>
  </si>
  <si>
    <t>Maturity Value</t>
  </si>
  <si>
    <t>HACITD -&gt; Scheme -&gt; Maturity Value</t>
  </si>
  <si>
    <t> GAM.SCHM_TYPE='TDA' , TAM.BANK_ID</t>
  </si>
  <si>
    <t>Repay Account</t>
  </si>
  <si>
    <t>HACITD -&gt; Scheme -&gt; Repay A/c. ID</t>
  </si>
  <si>
    <t>Effective Interest Rate</t>
  </si>
  <si>
    <t>HACITD -&gt; Scheme -&gt; Effective Interest Rate</t>
  </si>
  <si>
    <t>NRML_PCNT_CR</t>
  </si>
  <si>
    <t>Fetch the record max of ITC.INT_TBL_CODE_SRL_NUM</t>
  </si>
  <si>
    <t>Total Interest</t>
  </si>
  <si>
    <t>HACITD -&gt; Deposit Details -&gt; Total Interest</t>
  </si>
  <si>
    <t>FLOW_AMT</t>
  </si>
  <si>
    <t xml:space="preserve">TDT.ACID=GAM.ACID &amp; accounts.orgkey=GAM.cif_id </t>
  </si>
  <si>
    <t>Fetch sum(FLOW_AMT) from tbaadm.tdt table where FLOW_CODE "II" or "IO" and acid is the mapping field</t>
  </si>
  <si>
    <t>Profit/ Interest Credit Account</t>
  </si>
  <si>
    <t>HACITD -&gt; Interest &amp; Tax -&gt; Interest Credit A/c. ID</t>
  </si>
  <si>
    <t>Foracid</t>
  </si>
  <si>
    <t> GAM.ACID = GAC.INT_CR_ACID
GAC.ACID = GAM.ACID
GAM.FORACID = GAM.FORACID (Deposit account number)</t>
  </si>
  <si>
    <t>Deposit Status</t>
  </si>
  <si>
    <t>HACITD -&gt; Deposit Details -&gt; Deposit Status</t>
  </si>
  <si>
    <t>DEPOSIT_STATUS</t>
  </si>
  <si>
    <t> P - PREMATURE CLOSURE, A - AUTOMATIC RENEWAL, B - RENEWAL OF BALANCE, R - RENEWAL, E - EXTENDED, T - TRANSFERRED OUT, O - OVERDUE, U - UNCLAIMED</t>
  </si>
  <si>
    <t>Call Deposit Notice Period (MM/DD)</t>
  </si>
  <si>
    <t>HACITD -&gt; Deposit Details -&gt; Call Deposit Notice Period (MM/DD)</t>
  </si>
  <si>
    <t>Notice Date</t>
  </si>
  <si>
    <t>HACITD -&gt; Deposit Details -&gt; Notice Date</t>
  </si>
  <si>
    <t>NOTICE_DATE</t>
  </si>
  <si>
    <t>HTDINT -&gt; Lien Amt</t>
  </si>
  <si>
    <t>GAM.SCHM_TYPE='TDA' AND GAM.bank_id='RAK'</t>
  </si>
  <si>
    <t>Auto Closure</t>
  </si>
  <si>
    <t>Renewal and Closure Details</t>
  </si>
  <si>
    <t>HACITD -&gt; Renewal&amp;Closure -&gt; Autoclosure</t>
  </si>
  <si>
    <t>AUTO_CLOSURE_OF_IRREGULAR_ACCT</t>
  </si>
  <si>
    <t>Auto Renewal</t>
  </si>
  <si>
    <t>HACITD -&gt; Renewal&amp;Closure -&gt; Autorenewal</t>
  </si>
  <si>
    <t>Max. Renewal Allowed / Renewals Done</t>
  </si>
  <si>
    <t>HACITD -&gt; Renewal&amp;Closure -&gt; Max. Renewal Allowed / Renewals Done</t>
  </si>
  <si>
    <t>Renewal Period (MM/DD)</t>
  </si>
  <si>
    <t>HACITD -&gt; Renewal&amp;Closure -&gt; Renewal Period (MM/DD)</t>
  </si>
  <si>
    <t>Autorenewal Interest</t>
  </si>
  <si>
    <t>HACITD -&gt; Renewal&amp;Closure -&gt; Autorenewal Interest Table</t>
  </si>
  <si>
    <t>Renewal Currency</t>
  </si>
  <si>
    <t>HACITD -&gt; Renewal&amp;Closure -&gt; Renewal CCY</t>
  </si>
  <si>
    <t>RENEWAL_CRNCY</t>
  </si>
  <si>
    <t>Renewal Exchange Rate</t>
  </si>
  <si>
    <t>HACITD -&gt; Renewal&amp;Closure -&gt; Exchange Rate Code for Renewal</t>
  </si>
  <si>
    <t>RENEWAL_RATE_CODE</t>
  </si>
  <si>
    <t>Renewal Rate</t>
  </si>
  <si>
    <t>HACITD -&gt; Renewal&amp;Closure -&gt; Renewal Rate</t>
  </si>
  <si>
    <t>renewal_rate</t>
  </si>
  <si>
    <t>Renewal Option</t>
  </si>
  <si>
    <t>HACITD -&gt; Renewal&amp;Closure -&gt; Renewal Option</t>
  </si>
  <si>
    <t>RENEWAL_OPTION</t>
  </si>
  <si>
    <t>TBA_RENEWAL_OPTION_TBL.ACID=GAM.ACID &amp; accounts.orgkey=GAM.cif_id</t>
  </si>
  <si>
    <t>Renewal Amount</t>
  </si>
  <si>
    <t>HACITD -&gt; Renewal&amp;Closure -&gt; Renewal Amt.</t>
  </si>
  <si>
    <t>RENEWAL_AMOUNT</t>
  </si>
  <si>
    <t>HACITD -&gt; General -&gt; A/c. Short Name</t>
  </si>
  <si>
    <t>HACITD -&gt; General -&gt; Charge Level Code</t>
  </si>
  <si>
    <t>HACITD -&gt; General -&gt; Customer Relationship A/c. Manager</t>
  </si>
  <si>
    <t>Account Manager</t>
  </si>
  <si>
    <t>HACITD -&gt; General -&gt; A/c. Manager ID</t>
  </si>
  <si>
    <t>Preferred Language Code</t>
  </si>
  <si>
    <t>HACITD -&gt; General -&gt; Preferred Language Code</t>
  </si>
  <si>
    <t>LANG_CODE</t>
  </si>
  <si>
    <t>Last Repayment Date</t>
  </si>
  <si>
    <t>HACITD -&gt; Deposit Details -&gt; Last Repayment Date</t>
  </si>
  <si>
    <t>LAST_REPAYMENT_DATE</t>
  </si>
  <si>
    <t>Last Interest Run Date</t>
  </si>
  <si>
    <t>HACITD -&gt; Deposit Details -&gt; Last Interest Run Date</t>
  </si>
  <si>
    <t xml:space="preserve"> GAM.SCHM_TYPE='TDA' </t>
  </si>
  <si>
    <t>Last Interest Posted Date</t>
  </si>
  <si>
    <t>HACITD -&gt; Deposit Details -&gt; Last Interest Posted Date</t>
  </si>
  <si>
    <t xml:space="preserve">EIT.ENTITY_ID=GAM.ACID &amp; accounts.orgkey=GAM.cif_id </t>
  </si>
  <si>
    <t> GAM.SCHM_TYPE='TDA' and EIT.ENTITY_TYPE='ACCNT'</t>
  </si>
  <si>
    <t>Profit/ Interest Paid</t>
  </si>
  <si>
    <t>HACCDET -&gt; Int. Paid Flag</t>
  </si>
  <si>
    <t>Profit/ Interest Accrued YTD</t>
  </si>
  <si>
    <t>Interest Accrued not Booked (Cr./ Dr.)</t>
  </si>
  <si>
    <t>HACCDET -&gt; Int. Accrued not Booked (Cr./Dr.)</t>
  </si>
  <si>
    <t>NUMBER(20,6)</t>
  </si>
  <si>
    <t>Interest Booked not Applied</t>
  </si>
  <si>
    <t>HACCDET -&gt; Int. Booked not Applied (Paid Coll.)</t>
  </si>
  <si>
    <t>HACCDET -&gt; Freeze Code</t>
  </si>
  <si>
    <t>Freeze Remarks</t>
  </si>
  <si>
    <t>HACCDET -&gt; Freeze Remarks</t>
  </si>
  <si>
    <t>HACCDET -&gt; Freeze Reason Code 1</t>
  </si>
  <si>
    <t>HACCDET -&gt; Freeze Reason Code 2</t>
  </si>
  <si>
    <t>HACCDET -&gt; Freeze Reason Code 3</t>
  </si>
  <si>
    <t>HACCDET -&gt; Freeze Reason Code 4</t>
  </si>
  <si>
    <t>HACCDET -&gt; Freeze Reason Code 5</t>
  </si>
  <si>
    <t>HACITD -&gt; Addl. Info. -&gt; Freeze Details -&gt; Date</t>
  </si>
  <si>
    <t xml:space="preserve">HACITD -&gt; Addl. Info. -&gt; Freeze Details -&gt; Bal. on Freeze Date  </t>
  </si>
  <si>
    <t xml:space="preserve">HACITD -&gt; Addl. Info. -&gt; Freeze Details -&gt; Last Unfreeze Date  </t>
  </si>
  <si>
    <t>HACITD -&gt; Interest &amp; Tax -&gt; Interest Rate Code</t>
  </si>
  <si>
    <t>Filter condition - ITC.entity_type &amp; ITC.start_date &amp; ITC.int_tbl_code_srl_num &amp; ITC.bank_id</t>
  </si>
  <si>
    <t>Contracted Interest Rate</t>
  </si>
  <si>
    <t>HTDINT -&gt; Contracted Interest Rate</t>
  </si>
  <si>
    <t>INT_PCNT</t>
  </si>
  <si>
    <t>TDT.ACID=GAM.ACID &amp; accounts.orgkey=GAM.cif_id</t>
  </si>
  <si>
    <t>GAM.bank_id='RAK' and GAM.SCHM_TYPE='TDA'</t>
  </si>
  <si>
    <t>Treasury Rate</t>
  </si>
  <si>
    <t>HTDINT -&gt; Treasury Rate</t>
  </si>
  <si>
    <t>MATCH_OPP_RATE</t>
  </si>
  <si>
    <t>Flow Code</t>
  </si>
  <si>
    <t>HACITD -&gt;  Flow -&gt; Flow Code</t>
  </si>
  <si>
    <t>FLOW_CODE</t>
  </si>
  <si>
    <t>TSD.SCHM_CODE=GAM.SCHM_CODE &amp; accounts.orgkey=GAM.cif_id</t>
  </si>
  <si>
    <t>Flow Code Description</t>
  </si>
  <si>
    <t>HACITD -&gt;  Flow -&gt; Flow Code and Description</t>
  </si>
  <si>
    <t xml:space="preserve">FLOW_CODE </t>
  </si>
  <si>
    <t>CI - Consolidated Interest Inflow
CO - Consolidated Interest Outflow
IA - Interest Advanced
II - Interest Inflow
IO - Interest Outflow
NI - Installment Inflow
PE - Penalty Inflow
PI - Principal Inflow
PO - Principal Outflow
RF - Renewal Outflow
TO - Total Outflow
RO - Repayment Outflow</t>
  </si>
  <si>
    <t>Flow Date</t>
  </si>
  <si>
    <t>HACITD -&gt;  Flow -&gt; Flow Date</t>
  </si>
  <si>
    <t>FLOW_DATE</t>
  </si>
  <si>
    <t>Flow Amount</t>
  </si>
  <si>
    <t>HACITD -&gt;  Flow -&gt; Flow Amt.</t>
  </si>
  <si>
    <t xml:space="preserve"> NUMBER(20,4)</t>
  </si>
  <si>
    <t>Applied Interest Rate</t>
  </si>
  <si>
    <t>HTDINT -&gt; Applied Interest Rate</t>
  </si>
  <si>
    <t>ACTUAL_INT_PCNT</t>
  </si>
  <si>
    <t>Linked account enquiry</t>
  </si>
  <si>
    <t>HACITD -&gt; Related Party -&gt; Relation Type</t>
  </si>
  <si>
    <t>AAS.ACID = GAM.ACID 
&amp; accounts.orgkey = GAM.CIF_ID</t>
  </si>
  <si>
    <t>Filter condition -  GAM.SCHM_TYPE='TDA' , AAS.BANK_ID
AAS.acct_poa_as_rec_type &lt;&gt;'M'</t>
  </si>
  <si>
    <t>HACITD -&gt; Related Party -&gt;CIF ID</t>
  </si>
  <si>
    <t xml:space="preserve"> 1) If main holder &amp; join holder are customer in RAK,
Join condition - AAS.ACID = GAM.ACID &amp; GAM.CIF_ID = AAS.NMA_KEY_ID
&amp; accounts.orgkey = GAM.CIF_ID
2) If non-customer - CIF ID should be null </t>
  </si>
  <si>
    <t>HACITD -&gt; Related Party -&gt; Title</t>
  </si>
  <si>
    <t>CNMA,NMA</t>
  </si>
  <si>
    <t>1) If customer linked
Join condition - AAS.ACID = GAM.ACID  &amp; AAS.NMA_KEY_ID = CNMA.addr_b2kid &amp; accounts.orgkey = CNMA.ADDR_B2KID AND CNMA.BANK_ID
1) If non-customer linked
Join condition - AAS.NMA_KEY_ID = NMA.addr_b2kid</t>
  </si>
  <si>
    <t>1) If customer linked
DB table name - CNAM
2) If non-customer linked
DB table name - NAM
AAS.acct_poa_as_rec_type &lt;&gt;'M'</t>
  </si>
  <si>
    <t>HACITD -&gt; Related Party -&gt; Name</t>
  </si>
  <si>
    <t>AAS,NMA</t>
  </si>
  <si>
    <t>ACCT_POA_AS_NAME,NAME</t>
  </si>
  <si>
    <t xml:space="preserve">1) If AAS.ACCT_POA_AS_REC_TYPE is "M"
Join condition - AAS.ACID = GAM.ACID  &amp; accounts.orgkey=GAM.cif_id
Filter condition - AAS.ACCT_POA_AS_REC_TYPE = 'M'
2) If AAS.ACCT_POA_AS_REC_TYPE is other than "M"
Join condition - AAS.NMA_KEY_ID = NMA.ADDR_B2KID &amp; accounts.orgkey=GAM.CIF_ID &amp; AAS.ACID = GAM.ACID 
Filter condition - AAS.ACCT_POA_AS_REC_TYPE != 'M' </t>
  </si>
  <si>
    <t>1) If AAS.ACCT_POA_AS_REC_TYPE is "M"
Table name - AAS
Schema Name - TBAADM
DB Field Name - ACCT_POA_AS_NAME
2) If AAS.ACCT_POA_AS_REC_TYPE is other than "M"
Table name - NMA
Schema Name - TBAADM
DB Field Name - NAME</t>
  </si>
  <si>
    <t>07. SME Loan</t>
  </si>
  <si>
    <t>Account Preference Interest</t>
  </si>
  <si>
    <t>Pricing Details</t>
  </si>
  <si>
    <t>HACMLA -&gt; A/C Interest -&gt; A/C. Pref. Int.</t>
  </si>
  <si>
    <t>itc</t>
  </si>
  <si>
    <t>SELECT accounts.orgkey, gam.acid,
       itc.ID_DR_PREF_PCNT AS Account_Preference_Interest
FROM CUSTOM.ITC itc
JOIN TBAADM.GAM gam ON itc.Entity_ID = gam.ACID
JOIN CRMUSER.accounts accounts ON accounts.orgkey = gam.cif_id</t>
  </si>
  <si>
    <t>text</t>
  </si>
  <si>
    <t>db</t>
  </si>
  <si>
    <t>Interest % Min</t>
  </si>
  <si>
    <t>HACMLA -&gt; A/C Interest -&gt; Int. % Min./Max (first text box value)</t>
  </si>
  <si>
    <t>SELECT accounts.orgkey, gam.acid,
       itc.MIN_INT_PCNT_DR AS Interest_Percentage_Min
FROM CUSTOM.ITC itc
JOIN TBAADM.GAM gam ON itc.Entity_ID = gam.ACID
JOIN CRMUSER.accounts accounts ON accounts.orgkey = gam.cif_id;</t>
  </si>
  <si>
    <t>Interest % Max</t>
  </si>
  <si>
    <t>HACMLA -&gt; A/C Interest -&gt; Int. % Min./Max (second text box value)</t>
  </si>
  <si>
    <t>ELECT accounts.orgkey, gam.acid,
       itc.MAX_INT_PCNT_DR AS Interest_Percentage_Max
FROM CUSTOM.ITC itc
JOIN TBAADM.GAM gam ON itc.Entity_ID = gam.ACID
JOIN CRMUSER.accounts accounts ON accounts.orgkey = gam.cif_id;</t>
  </si>
  <si>
    <t>HACMLA -&gt; A/C Interest -&gt; Int. Rate Code</t>
  </si>
  <si>
    <t>IC_ITCM</t>
  </si>
  <si>
    <t>INT_DESC</t>
  </si>
  <si>
    <t xml:space="preserve"> ITC.Entity_ID=GAM.ACID &amp; accounts.orgkey=GAM.cif_id and IC_ITCM.INT_TBL_CODE = ITC.INT_TBL_CODE
</t>
  </si>
  <si>
    <t xml:space="preserve">ITC.ENTITY_TYPE = 'ACCNT' &amp; BANK_ID = 'RAK'
</t>
  </si>
  <si>
    <t xml:space="preserve">
SELECT
    accounts.orgkey,
    gam.acid,
    ic_itcm.INT_DESC AS Interest_Rate_Code
FROM CUSTOM.ITC itc
JOIN CUSTOM.IC_ITCM ic_itcm
    ON ic_itcm.INT_TBL_CODE = itc.INT_TBL_CODE
JOIN TBAADM.GAM gam
    ON itc.Entity_ID = gam.ACID
JOIN CRMUSER.accounts accounts
    ON accounts.orgkey = gam.cif_id
WHERE itc.ENTITY_TYPE = 'ACCNT'
  AND itc.BANK_ID = 'RAK';
</t>
  </si>
  <si>
    <t xml:space="preserve">Need to update count </t>
  </si>
  <si>
    <t>Table:ICV,Col:INT_TBL_CODE</t>
  </si>
  <si>
    <t>Net Interest Rate</t>
  </si>
  <si>
    <t>HACMLA -&gt; A/C Interest -&gt; Net Int. Rate</t>
  </si>
  <si>
    <t xml:space="preserve">INTEREST_RATE </t>
  </si>
  <si>
    <t>SELECT accounts.orgkey, gam.acid,
       eit.INTEREST_RATE AS Net_Interest_Rate
FROM TBAADM.EIT eit
JOIN TBAADM.GAM gam ON eit.Entity_ID = gam.ACID
JOIN CRMUSER.accounts accounts ON accounts.orgkey = gam.cif_id;</t>
  </si>
  <si>
    <t>Pegging Frequency (MM/DD)</t>
  </si>
  <si>
    <t>HACMLA -&gt; A/C Interest -&gt; Pegging Frequency (MM/DD)</t>
  </si>
  <si>
    <t>PEG_FREQUENCY_IN_MONTHS</t>
  </si>
  <si>
    <t>SELECT accounts.orgkey, gam.acid,
       itc.PEG_FREQUENCY_IN_MONTHS AS Pegging_Frequency
FROM CUSTOM.ITC itc
JOIN TBAADM.GAM gam ON itc.Entity_ID = gam.ACID
JOIN CRMUSER.accounts accounts ON accounts.orgkey = gam.cif_id;</t>
  </si>
  <si>
    <t>NUMBER(4)</t>
  </si>
  <si>
    <t>HLNGI -&gt; Scheme Code</t>
  </si>
  <si>
    <r>
      <rPr>
        <sz val="11"/>
        <color rgb="FF000000"/>
        <rFont val="Aptos Narrow"/>
        <scheme val="minor"/>
      </rPr>
      <t xml:space="preserve">
</t>
    </r>
    <r>
      <rPr>
        <sz val="11"/>
        <color rgb="FF000000"/>
        <rFont val="Aptos Narrow"/>
        <scheme val="minor"/>
      </rPr>
      <t>GAM ,GSP</t>
    </r>
  </si>
  <si>
    <t>SCHM_CODE , SCHM_DESC</t>
  </si>
  <si>
    <t>GAM.SCHM_CODE = GSP.SCHM_CODE &amp; ACCOUNTS.ORGKEY=GAM.CIF_ID</t>
  </si>
  <si>
    <t>select accounts.orgkey, GAM.ACID,GAM.SCHM_CODE as Scheme_code ,GSP.SCHM_DESC  as Scheme_desc from TBAADM.GSP 
JOIN TBAADM.GAM ON GSP.SCHM_CODE=GAM.SCHM_CODE
JOIN CRMUSER.accounts ON accounts.orgkey=GAM.cif_id;</t>
  </si>
  <si>
    <t>HLNGI -&gt; A/c. Open Date</t>
  </si>
  <si>
    <t>gam.cif_id = accounts.orgkey</t>
  </si>
  <si>
    <t>select accounts.orgkey, GAM.ACID,GAM.ACCT_OPN_DATE  as Open_Date from TBAADM.GAM 
JOIN CRMUSER.accounts ON accounts.orgkey=GAM.cif_id</t>
  </si>
  <si>
    <t>Pegging Review Date</t>
  </si>
  <si>
    <t>HACMLA -&gt; A/C Interest -&gt; Pegging Review Date</t>
  </si>
  <si>
    <t>PEG_REVIEW_DATE</t>
  </si>
  <si>
    <t>SELECT accounts.orgkey, gam.acid,
       itc.PEG_REVIEW_DATE AS Pegging_Review_Date
FROM CUSTOM.ITC itc
JOIN TBAADM.GAM gam ON itc.Entity_ID = gam.ACID
JOIN CRMUSER.accounts accounts ON accounts.orgkey = gam.cif_id;</t>
  </si>
  <si>
    <t xml:space="preserve"> DATE </t>
  </si>
  <si>
    <t>DATE </t>
  </si>
  <si>
    <t>Penal Interest Code</t>
  </si>
  <si>
    <t>HACMLA -&gt; A/C Interest -&gt; Penal Int. Table Code</t>
  </si>
  <si>
    <t>ITC_PNL</t>
  </si>
  <si>
    <t>PENAL_INT_TBL_CODE</t>
  </si>
  <si>
    <t xml:space="preserve">ITC_PNL.Entity_ID=GAM.ACID &amp; accounts.orgkey=GAM.cif_id </t>
  </si>
  <si>
    <t>SELECT accounts.orgkey, gam.acid,
       itc_pnl.PENAL_INT_TBL_CODE AS Penal_Interest_Code
FROM CUSTOM.ITC_PNL itc_pnl
JOIN TBAADM.GAM gam ON itc_pnl.Entity_ID = gam.ACID
JOIN CRMUSER.accounts accounts ON accounts.orgkey = gam.cif_id;</t>
  </si>
  <si>
    <t>Penal Preference %</t>
  </si>
  <si>
    <t>HACMLA -&gt; A/C Interest -&gt; Penal Pref. %</t>
  </si>
  <si>
    <t>PENAL_PREF_PCNT</t>
  </si>
  <si>
    <t xml:space="preserve">SELECT accounts.orgkey, gam.acid,
       itc_pnl.PENAL_PREF_PCNT AS Penal_Preference_Percentage
FROM CUSTOM.ITC_PNL itc_pnl
JOIN TBAADM.GAM gam ON itc_pnl.Entity_ID = gam.ACID
JOIN CRMUSER.accounts accounts ON accounts.orgkey = gam.cif_id;
</t>
  </si>
  <si>
    <t>Repricing Plan</t>
  </si>
  <si>
    <t>HACMLA -&gt; A/C Interest -&gt; Repricing Plan</t>
  </si>
  <si>
    <t>REPRICING_PLAN</t>
  </si>
  <si>
    <t>SELECT accounts.orgkey, gam.acid,
       gsp.REPRICING_PLAN AS Repricing_Plan
FROM CUSTOM.GSP gsp
JOIN TBAADM.GAM gam ON gsp.SCHM_CODE = gam.SCHM_CODE
JOIN CRMUSER.accounts accounts ON accounts.orgkey = gam.cif_id;</t>
  </si>
  <si>
    <t>HACMLA -&gt; A/c. ID (Currency)</t>
  </si>
  <si>
    <t> GAM.CIF_ID= ACCOUNTS.ORGKEY</t>
  </si>
  <si>
    <t>select accounts.orgkey, GAM.ACID,GAM.ACCT_CRNCY_CODE  as Currency from TBAADM.GAM 
JOIN CRMUSER.accounts ON accounts.orgkey=GAM.cif_id;</t>
  </si>
  <si>
    <t>HLNGI -&gt; Maturity Date</t>
  </si>
  <si>
    <t>LAM</t>
  </si>
  <si>
    <t>EI_PERD_END_DATE</t>
  </si>
  <si>
    <t xml:space="preserve"> lam.acid &amp; gam.cif_id = accounts.orgkey</t>
  </si>
  <si>
    <t>select accounts.orgkey, GAM.ACID,LAM.EI_PERD_END_DATE  as Amount from TBAADM.LAM 
JOIN TBAADM.GAM ON LAM.ACID=GAM.ACID
JOIN CRMUSER.accounts ON accounts.orgkey=GAM.cif_id</t>
  </si>
  <si>
    <t>Product Number</t>
  </si>
  <si>
    <t>HACMLA -&gt; A/c. ID (Loan Number)</t>
  </si>
  <si>
    <t>select accounts.orgkey, GAM.ACID,GAM.FORACID as Product_Number from TBAADM.GAM 
JOIN CRMUSER.accounts ON accounts.orgkey=GAM.cif_id;</t>
  </si>
  <si>
    <t>Next Payment Date</t>
  </si>
  <si>
    <t>Basic Details: Next Installment Details</t>
  </si>
  <si>
    <t>HLNGI -&gt; Next Installment Details -&gt; Next Payment Date</t>
  </si>
  <si>
    <t>LRS</t>
  </si>
  <si>
    <t>NEXT_DMD_DATE</t>
  </si>
  <si>
    <t xml:space="preserve"> lrs.acid = gam.acid &amp; gam.cif_id = accounts.orgkey</t>
  </si>
  <si>
    <t>select accounts.orgkey, GAM.ACID,LRS.NEXT_DMD_DATE as Next_Payment_Date from TBAADM.LRS
JOIN TBAADM.GAM ON LRS.ACID=GAM.ACID
JOIN CRMUSER.accounts ON accounts.orgkey=GAM.cif_id</t>
  </si>
  <si>
    <t>Principle</t>
  </si>
  <si>
    <t>HLNGI -&gt; Next Installment Details -&gt; Principal</t>
  </si>
  <si>
    <t>lrs.acid = gam.acid &amp; gam.cif_id = accounts.orgkey</t>
  </si>
  <si>
    <t>select accounts.orgkey, GAM.ACID,LRS.FLOW_AMT as Principle  from TBAADM.LRS
JOIN TBAADM.GAM ON LRS.ACID=GAM.ACID
JOIN CRMUSER.accounts ON accounts.orgkey=GAM.cif_id</t>
  </si>
  <si>
    <t>Interest</t>
  </si>
  <si>
    <t>HLNGI -&gt; Next Installment Details -&gt; Int.</t>
  </si>
  <si>
    <t>Unable to simulate as data not populating in dev/UAT</t>
  </si>
  <si>
    <t>HACMLA -&gt; Addl. Info.</t>
  </si>
  <si>
    <t>CRMUSR</t>
  </si>
  <si>
    <t> Follow the below field mapping to get the description Select - CATEGORY_LANG.LOCALTEXT with below mapping
CATEGORY_LANG.CATEGORYID = CATEGORIES.CATEGORYID
CATEGORIES.VALUE=ACCOUNTS.STATUS
CATEGORIES.CATEGORYTYPE = 'CUSTOMER_STATUS'</t>
  </si>
  <si>
    <t>Check this later</t>
  </si>
  <si>
    <t>Disbursement Details</t>
  </si>
  <si>
    <t>HACMLA -&gt; Disbursement Schedule -&gt; Cr. A/c. ID</t>
  </si>
  <si>
    <t>select ACCOUNTS.ORGKEY, GAM.FORACID from TBAADM.GAM
JOIN CRMUSER.ACCOUNTS ON GAM.CIF_ID = ACCOUNTS.ORGKEY</t>
  </si>
  <si>
    <t>Record Del Flag</t>
  </si>
  <si>
    <t>HACMLA -&gt; Disbursement Schedule -&gt; Del.</t>
  </si>
  <si>
    <t>DDST</t>
  </si>
  <si>
    <t>DDST.ACID=GAM.ACID &amp; accounts.orgkey=GAM.cif_id</t>
  </si>
  <si>
    <t>select  ACCOUNTS.ORGKEY, DDST.DEL_FLG as RecordDelFlag from TBAADM.GAM
JOIN TBAADM.DDST ON DDST.ACID=GAM.ACID
JOIN CRMUSER.ACCOUNTS ON GAM.CIF_ID = ACCOUNTS.ORGKEY</t>
  </si>
  <si>
    <t>(1 BYTE)</t>
  </si>
  <si>
    <t>Disbursement Amount</t>
  </si>
  <si>
    <t>HACMLA -&gt; Disbursement Schedule -&gt; Disbursement Amt.</t>
  </si>
  <si>
    <t>ACTUAL_DISB_AMT</t>
  </si>
  <si>
    <t>select  ACCOUNTS.ORGKEY, DDST.ACTUAL_DISB_AMT as Disbursement_Amount from TBAADM.GAM
JOIN TBAADM.DDST ON DDST.ACID=GAM.ACID
JOIN CRMUSER.ACCOUNTS ON GAM.CIF_ID = ACCOUNTS.ORGKEY</t>
  </si>
  <si>
    <t>HACMLA -&gt; Disbursement Schedule -&gt; Disbursement CCY</t>
  </si>
  <si>
    <t>DISB_CRNCY</t>
  </si>
  <si>
    <t>select  ACCOUNTS.ORGKEY, DDST.DISB_CRNCY as Currency from TBAADM.GAM
JOIN TBAADM.DDST ON DDST.ACID=GAM.ACID
JOIN CRMUSER.ACCOUNTS ON GAM.CIF_ID = ACCOUNTS.ORGKEY</t>
  </si>
  <si>
    <t xml:space="preserve">(3 CHAR) </t>
  </si>
  <si>
    <t xml:space="preserve">VARCHAR2 </t>
  </si>
  <si>
    <t>Disbursement Date</t>
  </si>
  <si>
    <t>HACMLA -&gt; Disbursement Schedule -&gt; Disbursement Date</t>
  </si>
  <si>
    <t>INST_DATE</t>
  </si>
  <si>
    <t>select  ACCOUNTS.ORGKEY, DDST.INST_DATE as Disbursement_Date from TBAADM.GAM
JOIN TBAADM.DDST ON DDST.ACID=GAM.ACID
JOIN CRMUSER.ACCOUNTS ON GAM.CIF_ID = ACCOUNTS.ORGKEY</t>
  </si>
  <si>
    <t>Serial Number</t>
  </si>
  <si>
    <t>HACMLA -&gt; Disbursement Schedule -&gt; Mandate Srl Num</t>
  </si>
  <si>
    <t>ECS_MANDATE_SRL_NUM</t>
  </si>
  <si>
    <t>select  ACCOUNTS.ORGKEY, DDST.ECS_MANDATE_SRL_NUM as Serial_Number from TBAADM.GAM
JOIN TBAADM.DDST ON DDST.ACID=GAM.ACID
JOIN CRMUSER.ACCOUNTS ON GAM.CIF_ID = ACCOUNTS.ORGKEY</t>
  </si>
  <si>
    <t>(12 CHAR)</t>
  </si>
  <si>
    <t>Mode of Payment</t>
  </si>
  <si>
    <t>HACMLA -&gt; Disbursement Schedule -&gt; Mode of Payment</t>
  </si>
  <si>
    <t>MODE_OF_DISB</t>
  </si>
  <si>
    <t>select  ACCOUNTS.ORGKEY, DDST.MODE_OF_DISB as Mode_of_Payment from TBAADM.GAM
JOIN TBAADM.DDST ON DDST.ACID=GAM.ACID
JOIN CRMUSER.ACCOUNTS ON GAM.CIF_ID = ACCOUNTS.ORGKEY</t>
  </si>
  <si>
    <t>Paysys ID</t>
  </si>
  <si>
    <t>HACMLA -&gt; Disbursement Schedule -&gt; Paysys ID</t>
  </si>
  <si>
    <t>select  ACCOUNTS.ORGKEY, DDST.PAYSYS_ID as Paysys_ID from TBAADM.GAM
JOIN TBAADM.DDST ON DDST.ACID=GAM.ACID
JOIN CRMUSER.ACCOUNTS ON GAM.CIF_ID = ACCOUNTS.ORGKEY</t>
  </si>
  <si>
    <t xml:space="preserve"> (5 CHAR)</t>
  </si>
  <si>
    <t>HACMLA -&gt; Disbursement Schedule -&gt; Remarks</t>
  </si>
  <si>
    <t>select  ACCOUNTS.ORGKEY, DDST.REMARKS as Remarks from TBAADM.GAM
JOIN TBAADM.DDST ON DDST.ACID=GAM.ACID
JOIN CRMUSER.ACCOUNTS ON GAM.CIF_ID = ACCOUNTS.ORGKEY</t>
  </si>
  <si>
    <t>(60 CHAR)</t>
  </si>
  <si>
    <t>Schedule Balance</t>
  </si>
  <si>
    <t>Financials</t>
  </si>
  <si>
    <t>HLNGI -&gt; Schedule Balance</t>
  </si>
  <si>
    <t>select accounts.orgkey, GAM.CLR_BAL_AMT as Schedule_Balance from TBAADM.GAM
JOIN CRMUSER.accounts ON  gam.cif_id = accounts.orgkey</t>
  </si>
  <si>
    <t>(4 CHAR)</t>
  </si>
  <si>
    <t>Pay Off Amt.</t>
  </si>
  <si>
    <t>HLNGI -&gt; Pay Off Amt.</t>
  </si>
  <si>
    <t>select accounts.orgkey, GAM.CLR_BAL_AMT as Pay_Off_Amt from TBAADM.GAM
JOIN CRMUSER.accounts ON  gam.cif_id = accounts.orgkey</t>
  </si>
  <si>
    <t>If CLR_BAL_AMT is negative then pay off amt will be in positive.
Example 1: CLR_BAL_AMT = -1000 then Pay Off Amt. = 1000.00 Credit
Example 2: CLR_BAL_AMT = 1000 then Pay Off Amt. = 0.00 Credit. It is defaulted to 0.00 when clr_bal_amt is in positive value.</t>
  </si>
  <si>
    <t xml:space="preserve"> (16 CHAR) </t>
  </si>
  <si>
    <t xml:space="preserve"> VARCHAR2 </t>
  </si>
  <si>
    <t>No. Of Upfront Installment</t>
  </si>
  <si>
    <t>HLNGI -&gt; No. Of Upfront Installment</t>
  </si>
  <si>
    <t>NUM_ADVANCE_INSTLMNT</t>
  </si>
  <si>
    <t xml:space="preserve"> lam.acid = gam.acid &amp; gam.cif_id = accounts.orgkey</t>
  </si>
  <si>
    <t>select accounts.orgkey,GAM.ACID, LAM.NUM_ADVANCE_INSTLMNT as No_Of_Upfront_Installment from TBAADM.LAM
JOIN TBAADM.GAM ON  LAM.ACID=GAM.ACID
JOIN CRMUSER.accounts ON  gam.cif_id = accounts.orgkey</t>
  </si>
  <si>
    <t>Prepayment Till Date</t>
  </si>
  <si>
    <t>HLNGI -&gt; Prepayment Till Date</t>
  </si>
  <si>
    <t>LTD</t>
  </si>
  <si>
    <t>SUM(FLOW_AMT)</t>
  </si>
  <si>
    <t>ltd.acid = gam.acid &amp; gam.cif_id = accounts.orgkey</t>
  </si>
  <si>
    <t>ADVANCE_PAYMENT_FLG = 'Y'</t>
  </si>
  <si>
    <t xml:space="preserve">
SELECT
    acc.orgkey,
    gam.acid,
    SUM(ltd.flow_amt) AS prepayment_till_date
FROM tbaadm.ltd ltd
JOIN tbaadm.gam gam
    ON ltd.acid = gam.acid
JOIN crmuser.accounts acc
    ON gam.cif_id = acc.orgkey
WHERE ltd.advance_payment_flg = 'Y'
GROUP BY
    acc.orgkey,
    gam.acid</t>
  </si>
  <si>
    <t>Table:LRS,Col:DEL_FLG</t>
  </si>
  <si>
    <t>LRS.ACID=GAM.ACID &amp; accounts.orgkey=GAM.cif_id</t>
  </si>
  <si>
    <t>. Append Credit(flow_amt is Positive) or Debit(flow_amt is Negative)</t>
  </si>
  <si>
    <t>Outstanding Selling Price</t>
  </si>
  <si>
    <t>HLNGI -&gt; Outstanding Selling Price</t>
  </si>
  <si>
    <t>LAM.ACID=GAM.ACID &amp; accounts.orgkey=GAM.cif_id</t>
  </si>
  <si>
    <t>select accounts.orgkey,GAM.ACID, GAM.CLR_BAL_AMT as Outstanding_Selling_Price from TBAADM.GAM
JOIN CRMUSER.accounts ON  gam.cif_id = accounts.orgkey
JOIN TBAADM.LAM ON  LAM.ACID=GAM.ACID</t>
  </si>
  <si>
    <t xml:space="preserve">Table:LAM,Column:AUTO_RESHDL_NOT_ALLOWED </t>
  </si>
  <si>
    <t>Delinquency String (60 months)</t>
  </si>
  <si>
    <t>HLNGI -&gt; Delinquency Details - &gt; Delinquency String (60 months)</t>
  </si>
  <si>
    <t>RSHDL_TENOR_EI_FLG</t>
  </si>
  <si>
    <t>Stage of Project</t>
  </si>
  <si>
    <t>HACMLA -&gt; Disbursement Schedule -&gt; Stage of Project</t>
  </si>
  <si>
    <t>STAGE_OF_PROJECT</t>
  </si>
  <si>
    <t>select ACCOUNTS.ORGKEY, DDST.STAGE_OF_PROJECT as Stage_of_Project from TBAADM.GAM
JOIN TBAADM.DDST ON DDST.ACID=GAM.ACID
JOIN CRMUSER.ACCOUNTS ON GAM.CIF_ID = ACCOUNTS.ORGKEY</t>
  </si>
  <si>
    <t>A/c Manager</t>
  </si>
  <si>
    <t>HACMLA -&gt; General -&gt; A/c Manager</t>
  </si>
  <si>
    <t>select ACCOUNTS.ORGKEY,GAM.ACID,GAM.ACCT_MGR_USER_ID as A_c_Manager
 from tbaadm.gam
JOIN CRMUSER.ACCOUNTS ON ACCOUNTS.ORGKEY = gam.CIF_ID;"</t>
  </si>
  <si>
    <t>HACMLA -&gt; General -&gt; A/c Open Date</t>
  </si>
  <si>
    <t>select accounts.orgkey, GAM.ACID,GAM.ACCT_OPN_DATE  as Open_Date from TBAADM.GAM 
JOIN CRMUSER.accounts ON accounts.orgkey=GAM.cif_id;</t>
  </si>
  <si>
    <t>HACMLA -&gt; General -&gt; A/c Short Name</t>
  </si>
  <si>
    <t xml:space="preserve">ACCT_SHORT_NAME </t>
  </si>
  <si>
    <t>select accounts.orgkey, GAM.ACID,GAM.ACCT_SHORT_NAME  as Short_Name from TBAADM.GAM 
JOIN CRMUSER.accounts ON accounts.orgkey=GAM.cif_id;</t>
  </si>
  <si>
    <t>(10 CHAR)</t>
  </si>
  <si>
    <t>Customer Relationship A/c Manager</t>
  </si>
  <si>
    <t>HACMLA -&gt; General -&gt; Customer Relationship A/c Manager</t>
  </si>
  <si>
    <t>select ACCOUNTS.ORGKEY, GAM.ACID,GAM.ACCT_MGR_USER_ID as Customer_Relationship_Ac_Manager
 from tbaadm.gam
JOIN CRMUSER.ACCOUNTS ON ACCOUNTS.ORGKEY = gam.CIF_ID;</t>
  </si>
  <si>
    <t xml:space="preserve">Mode of Operation </t>
  </si>
  <si>
    <t>HACMLA -&gt; General -&gt; Mode of operation</t>
  </si>
  <si>
    <t>s</t>
  </si>
  <si>
    <t xml:space="preserve">MODE_OF_OPER_CODE </t>
  </si>
  <si>
    <t>Amt. for Rescheduling</t>
  </si>
  <si>
    <t>HACMLA -&gt; Loan Details -&gt; Amt. for Rescheduling</t>
  </si>
  <si>
    <t>RSHDL_AMT_FLG</t>
  </si>
  <si>
    <t>select accounts.orgkey, GAM.ACID,LAM.RSHDL_AMT_FLG as Amt_for_Rescheduling from TBAADM.LAM 
JOIN TBAADM.GAM ON LAM.ACID=GAM.ACID
JOIN CRMUSER.accounts ON accounts.orgkey=GAM.cif_id;</t>
  </si>
  <si>
    <t>Auto Reschedule Allowed</t>
  </si>
  <si>
    <t>HACMLA -&gt; Loan Details -&gt; Auto Reschedule Allowed</t>
  </si>
  <si>
    <t xml:space="preserve">AUTO_RESHDL_NOT_ALLOWED </t>
  </si>
  <si>
    <t>select accounts.orgkey, GAM.ACID,LAM.AUTO_RESHDL_NOT_ALLOWED  as Auto_Reschedule_Allowed from TBAADM.LAM 
JOIN TBAADM.GAM ON LAM.ACID=GAM.ACID
JOIN CRMUSER.accounts ON accounts.orgkey=GAM.cif_id;</t>
  </si>
  <si>
    <t>Auto Reschedule for Int. Rate Change</t>
  </si>
  <si>
    <t>HACMLA -&gt; Loan Details -&gt; Auto Reschedule for Int. Rate Change</t>
  </si>
  <si>
    <t>AUTO_RESHDL_NOT_ALLOWED</t>
  </si>
  <si>
    <t>select accounts.orgkey, GAM.ACID,LAM.AUTO_RESHDL_NOT_ALLOWED  as Auto_Reschedule_for_Int_Rate_Change from TBAADM.LAM 
JOIN TBAADM.GAM ON LAM.ACID=GAM.ACID
JOIN CRMUSER.accounts ON accounts.orgkey=GAM.cif_id;</t>
  </si>
  <si>
    <t>Carry over Demands</t>
  </si>
  <si>
    <t>HACMLA -&gt; Loan Details -&gt; Carry over Demands</t>
  </si>
  <si>
    <t>LRH</t>
  </si>
  <si>
    <t>CARRY_OVDU_DMDS_FLG</t>
  </si>
  <si>
    <t>LRH.ACID=GAM.ACID &amp; accounts.orgkey=GAM.cif_id</t>
  </si>
  <si>
    <t>select accounts.orgkey, GAM.ACID,LRH.CARRY_OVDU_DMDS_FLG as Carry_over_Demands from TBAADM.LRH 
JOIN TBAADM.GAM ON LRH.ACID=GAM.ACID
JOIN CRMUSER.accounts ON accounts.orgkey=GAM.cif_id</t>
  </si>
  <si>
    <t>Advance Int. Collected</t>
  </si>
  <si>
    <t>HLNGI -&gt; Advance Int. Collected</t>
  </si>
  <si>
    <t>REPHASEMENT_PRINCIPAL</t>
  </si>
  <si>
    <t>Need to check with Arvind join is missing</t>
  </si>
  <si>
    <t>Loan Type</t>
  </si>
  <si>
    <t>HLNGI -&gt; Loan Type</t>
  </si>
  <si>
    <t xml:space="preserve"> LOAN_TYPE</t>
  </si>
  <si>
    <t>select accounts.orgkey, GAM.ACID,LAM.LOAN_TYPE  as Loan_Type from TBAADM.LAM 
JOIN TBAADM.GAM ON LAM.ACID=GAM.ACID
JOIN CRMUSER.accounts ON accounts.orgkey=GAM.cif_id;</t>
  </si>
  <si>
    <t>(50 CHAR)</t>
  </si>
  <si>
    <t>Top-up Indicator</t>
  </si>
  <si>
    <t>HLNGI -&gt; Top-up Ind.</t>
  </si>
  <si>
    <t>TOPUP_IND</t>
  </si>
  <si>
    <t>Join condition - lam.acid = gam.acid &amp; gam.cif_id = accounts.orgkey</t>
  </si>
  <si>
    <t>select accounts.orgkey,GAM.ACID, LAM.TOPUP_IND  as Top_up_Indicator from TBAADM.LAM 
JOIN TBAADM.GAM ON LAM.ACID=GAM.ACID
JOIN CRMUSER.accounts ON accounts.orgkey=GAM.cif_id;</t>
  </si>
  <si>
    <t>(80 CHAR)</t>
  </si>
  <si>
    <t>Debit Interest To</t>
  </si>
  <si>
    <t>HACMLA -&gt; Loan Details -&gt; Debit Interest To</t>
  </si>
  <si>
    <t>INT_ROUTE_FLG</t>
  </si>
  <si>
    <t>GAM.ACID = LAM.ACID &amp; GAM.CIF_ID = accounts.orgkey</t>
  </si>
  <si>
    <t xml:space="preserve">select accounts.orgkey, GAM.ACID,LAM.INT_ROUTE_FLG  as Debit_Interest_To from TBAADM.LAM 
JOIN TBAADM.GAM ON LAM.ACID=GAM.ACID
JOIN CRMUSER.accounts ON accounts.orgkey=GAM.cif_id;
</t>
  </si>
  <si>
    <t>Amount</t>
  </si>
  <si>
    <t>HACMLA -&gt; Loan Details -&gt; Loan Amt.</t>
  </si>
  <si>
    <t>select accounts.orgkey, GAM.ACID,GAM.SANCT_LIM as Amount from TBAADM.GAM
JOIN CRMUSER.accounts ON accounts.orgkey=GAM.cif_id</t>
  </si>
  <si>
    <t>Period Months/ Days</t>
  </si>
  <si>
    <t>HACMLA -&gt; Loan Details -&gt; Loan Period Months/Days</t>
  </si>
  <si>
    <t>REP_PERD_MTHS</t>
  </si>
  <si>
    <t xml:space="preserve">LAM.ACID=GAM.ACID &amp; accounts.orgkey=GAM.cif_id </t>
  </si>
  <si>
    <t>select accounts.orgkey, GAM.ACID,LAM.REP_PERD_MTHS  as Period_Months_Days from TBAADM.LAM 
JOIN TBAADM.GAM ON LAM.ACID=GAM.ACID
JOIN CRMUSER.accounts ON accounts.orgkey=GAM.cif_id</t>
  </si>
  <si>
    <t>Product Type</t>
  </si>
  <si>
    <t>HACMLA -&gt; Loan Details -&gt; Loan Type</t>
  </si>
  <si>
    <t>LOAN_TYPE</t>
  </si>
  <si>
    <t>select accounts.orgkey, GAM.ACID,LAM.LOAN_TYPE  as Product_Type from TBAADM.LAM 
JOIN TBAADM.GAM ON LAM.ACID=GAM.ACID
JOIN CRMUSER.accounts ON accounts.orgkey=GAM.cif_id</t>
  </si>
  <si>
    <t>Operative Account Number</t>
  </si>
  <si>
    <t>HACMLA -&gt; Loan Details -&gt; Operative A/c. ID</t>
  </si>
  <si>
    <t>select accounts.orgkey, GAM.ACID,GAM.FORACID  as Operative_Account_Number from TBAADM.GAM 
JOIN CRMUSER.accounts ON accounts.orgkey=GAM.cif_id</t>
  </si>
  <si>
    <t>Priority Loan</t>
  </si>
  <si>
    <t>HACMLA -&gt; Loan Details -&gt; Priority Loan</t>
  </si>
  <si>
    <t xml:space="preserve">PRIORITY_LOAN_FLG </t>
  </si>
  <si>
    <t>select accounts.orgkey, GAM.ACID,LAM.PRIORITY_LOAN_FLG  as Priority_Loan from TBAADM.LAM 
JOIN TBAADM.GAM ON LAM.ACID=GAM.ACID
JOIN CRMUSER.accounts ON accounts.orgkey=GAM.cif_id;</t>
  </si>
  <si>
    <t>Repayment Method</t>
  </si>
  <si>
    <t>HACMLA -&gt; Loan Details -&gt; Repay. Method</t>
  </si>
  <si>
    <t>DMD_SATISFY_MTHD</t>
  </si>
  <si>
    <t>select accounts.orgkey, GAM.ACID,LAM.DMD_SATISFY_MTHD  as Repayment_Method from TBAADM.LAM 
JOIN TBAADM.GAM ON LAM.ACID=GAM.ACID
JOIN CRMUSER.accounts ON accounts.orgkey=GAM.cif_id</t>
  </si>
  <si>
    <t>DROPDOWN</t>
  </si>
  <si>
    <t>B-Bill to Employer
D-Electronic Clearing
E-Recover up to Effective Amount
H-Recover through ACH
M-Multi Source Repayment
N-No Batch Recovery
P-Post Dated CHQ.
S-Recover from Salary
T-Recover by Granting TOD</t>
  </si>
  <si>
    <t>Repayment Rate</t>
  </si>
  <si>
    <t>HACMLA -&gt; Loan Details -&gt; Repayment CCY Rate Code</t>
  </si>
  <si>
    <t>DS_RATE_CODE</t>
  </si>
  <si>
    <t>select accounts.orgkey, GAM.ACID,LAM.DS_RATE_CODE  as Repayment_Rate from TBAADM.LAM 
JOIN TBAADM.GAM ON LAM.ACID=GAM.ACID
JOIN CRMUSER.accounts ON accounts.orgkey=GAM.cif_id;</t>
  </si>
  <si>
    <t>Rescheduling by Adjusting Tenure or Amt.</t>
  </si>
  <si>
    <t>HACMLA -&gt; Loan Details -&gt; Rescheduling by Adjusting Tenor or Amt.</t>
  </si>
  <si>
    <t>select accounts.orgkey,GAM.ACID, LAM.RSHDL_TENOR_EI_FLG  as Rescheduling_by_Adjusting_Tenure_or_Amt from TBAADM.LAM 
JOIN TBAADM.GAM ON LAM.ACID=GAM.ACID
JOIN CRMUSER.accounts ON accounts.orgkey=GAM.cif_id;</t>
  </si>
  <si>
    <t>Valuation Required</t>
  </si>
  <si>
    <t>HACMLA -&gt; Loan Details -&gt; Valuation Required</t>
  </si>
  <si>
    <t xml:space="preserve">VALUATION_FLG </t>
  </si>
  <si>
    <t>select accounts.orgkey,GAM.ACID, LAM.VALUATION_FLG  as Valuation_Required from TBAADM.LAM 
JOIN TBAADM.GAM ON LAM.ACID=GAM.ACID
JOIN CRMUSER.accounts ON accounts.orgkey=GAM.cif_id;</t>
  </si>
  <si>
    <t>Hold in Operative A/c for Amt. Due</t>
  </si>
  <si>
    <t>HACMLA -&gt; Loan Details -&gt;Hold in Operative A/c for Amt. Due</t>
  </si>
  <si>
    <t>LIEN_ON_OPER_ACCT_FLG</t>
  </si>
  <si>
    <t>LAM.ACID=GAM.ACID</t>
  </si>
  <si>
    <t>select accounts.orgkey,GAM.ACID, LAM.LIEN_ON_OPER_ACCT_FLG  as Hold_in_Operative_Ac_for_Amt_Due from TBAADM.LAM 
JOIN TBAADM.GAM ON LAM.ACID=GAM.ACID
JOIN CRMUSER.accounts ON accounts.orgkey=GAM.cif_id;</t>
  </si>
  <si>
    <t>ABF Reference Number</t>
  </si>
  <si>
    <t>HACMLA -&gt; MIS Codes -&gt; ABF Reference No.</t>
  </si>
  <si>
    <t>C_MIS_ABF</t>
  </si>
  <si>
    <t>ABF_REF_NO</t>
  </si>
  <si>
    <t>C_MIS_ABF.foracid=GAM.foracid &amp; GAM.CIF_ID=accounts.orgkey</t>
  </si>
  <si>
    <t>select accounts.orgkey,GAM.foracid, C_MIS_ABF.ABF_REF_NO  as ABF_Reference_Number from custom.C_MIS_ABF 
JOIN TBAADM.GAM ON C_MIS_ABF.foracid=GAM.foracid
JOIN CRMUSER.accounts ON accounts.orgkey=GAM.cif_id;</t>
  </si>
  <si>
    <t>ABF RM Name</t>
  </si>
  <si>
    <t>HACMLA -&gt; MIS Codes -&gt; ABF RM Name</t>
  </si>
  <si>
    <t xml:space="preserve"> ABF_RM_NAME</t>
  </si>
  <si>
    <t xml:space="preserve">select accounts.orgkey,GAM.foracid, C_MIS_ABF.ABF_RM_NAME  as ABF_RM_Name from custom.C_MIS_ABF 
JOIN TBAADM.GAM ON C_MIS_ABF.foracid=GAM.foracid
JOIN CRMUSER.accounts ON accounts.orgkey=GAM.cif_id;
</t>
  </si>
  <si>
    <t>CBD/SME RM Name</t>
  </si>
  <si>
    <t>HACMLA -&gt; MIS Codes -&gt; CBD/SME RM Name</t>
  </si>
  <si>
    <t>CBDSME_RM_NAME</t>
  </si>
  <si>
    <t>select accounts.orgkey,GAM.foracid, C_MIS_ABF.CBDSME_RM_NAME  as CBD_SME_RM_Name from custom.C_MIS_ABF 
JOIN TBAADM.GAM ON C_MIS_ABF.foracid=GAM.foracid
JOIN CRMUSER.accounts ON accounts.orgkey=GAM.cif_id;</t>
  </si>
  <si>
    <t>Deviation</t>
  </si>
  <si>
    <t>HACMLA -&gt; MIS Codes -&gt; Deviation</t>
  </si>
  <si>
    <t>DEVIATION</t>
  </si>
  <si>
    <t>select accounts.orgkey,GAM.foracid, C_MIS_ABF.DEVIATION  as Deviation from custom.C_MIS_ABF 
JOIN TBAADM.GAM ON C_MIS_ABF.foracid=GAM.foracid
JOIN CRMUSER.accounts ON accounts.orgkey=GAM.cif_id;</t>
  </si>
  <si>
    <t>DSA ID</t>
  </si>
  <si>
    <t>HACMLA -&gt; MIS Codes -&gt; DSA ID</t>
  </si>
  <si>
    <t>FREE_TEXT_12</t>
  </si>
  <si>
    <t>select accounts.orgkey,GAM.acid, GAC.FREE_TEXT_12  as  DSA_ID from custom.GAC 
JOIN TBAADM.GAM ON GAC.acid=GAM.acid
JOIN CRMUSER.accounts ON accounts.orgkey=GAM.cif_id;</t>
  </si>
  <si>
    <t>Insurance Finance</t>
  </si>
  <si>
    <t>HACMLA -&gt; MIS Codes -&gt; Insurance Finance</t>
  </si>
  <si>
    <t>INSURANCE_FINANCE</t>
  </si>
  <si>
    <t>select accounts.orgkey,GAM.foracid, C_MIS_ABF.INSURANCE_FINANCE  as  Insurance_Finance from custom.C_MIS_ABF 
JOIN TBAADM.GAM ON C_MIS_ABF.foracid=GAM.foracid
JOIN CRMUSER.accounts ON accounts.orgkey=GAM.cif_id;</t>
  </si>
  <si>
    <t>Purpose of Real Estate</t>
  </si>
  <si>
    <t>HACMLA -&gt; MIS Codes -&gt; Purpose of Real Estate</t>
  </si>
  <si>
    <t>FREE_CODE_9</t>
  </si>
  <si>
    <t>select accounts.orgkey,GAM.acid, GAC.FREE_CODE_9 as  Purpose_of_Real_Estate from custom.GAC 
JOIN TBAADM.GAM ON GAC.acid=GAM.acid
JOIN CRMUSER.accounts ON accounts.orgkey=GAM.cif_id;</t>
  </si>
  <si>
    <t>Repayment Schedule</t>
  </si>
  <si>
    <t>HACMLA -&gt; Payment Schedule -&gt; Amt.</t>
  </si>
  <si>
    <t xml:space="preserve">FLOW_AMT </t>
  </si>
  <si>
    <t xml:space="preserve">SELECT
    accounts.orgkey,
    LRS.FLOW_AMT AS Amount
FROM TBAADM.LRS LRS
JOIN TBAADM.GAM GAM
    ON LRS.ACID = GAM.ACID
JOIN CRMUSER.accounts accounts
    ON accounts.orgkey = GAM.cif_id;
</t>
  </si>
  <si>
    <t>Status Flag</t>
  </si>
  <si>
    <t>HACMLA -&gt; Payment Schedule -&gt; Del.</t>
  </si>
  <si>
    <t xml:space="preserve">DEL_FLG </t>
  </si>
  <si>
    <t>SELECT
    accounts.orgkey,
    LRS.DEL_FLG AS Status_Flag
FROM TBAADM.LRS LRS
JOIN TBAADM.GAM GAM
    ON LRS.ACID = GAM.ACID
JOIN CRMUSER.accounts accounts
    ON accounts.orgkey = GAM.cif_id;
``</t>
  </si>
  <si>
    <t>Flow ID</t>
  </si>
  <si>
    <t>HACMLA -&gt; Payment Schedule -&gt; Flow ID</t>
  </si>
  <si>
    <t xml:space="preserve">FLOW_ID </t>
  </si>
  <si>
    <t>SELECT
    accounts.orgkey,
    LRS.FLOW_ID AS Flow_ID
FROM TBAADM.LRS LRS
JOIN TBAADM.GAM GAM
    ON LRS.ACID = GAM.ACID
JOIN CRMUSER.accounts accounts
    ON accounts.orgkey = GAM.cif_id;</t>
  </si>
  <si>
    <t>HACMLA -&gt; Payment Schedule -&gt; Frequency</t>
  </si>
  <si>
    <t xml:space="preserve">
LR_INT_FREQ_TYPE,
LR_INT_FREQ_WEEK_DAY,
LR_INT_FREQ_WEEK_NUM,
LR_INT_FREQ_START_DD,
LR_INT_FREQ_HLDY_STAT,
LR_INT_FREQ_CAL_BASE,</t>
  </si>
  <si>
    <t>SELECT
    accounts.orgkey,
    LRS.LR_INT_FREQ_TYPE,
    LRS.LR_INT_FREQ_WEEK_DAY,
    LRS.LR_INT_FREQ_WEEK_NUM,
    LRS.LR_INT_FREQ_START_DD,
    LRS.LR_INT_FREQ_HLDY_STAT,
    LRS.LR_INT_FREQ_CAL_BASE
FROM TBAADM.LRS LRS
JOIN TBAADM.GAM GAM
    ON LRS.ACID = GAM.ACID
JOIN CRMUSER.accounts accounts
    ON accounts.orgkey = GAM.cif_id;</t>
  </si>
  <si>
    <t xml:space="preserve">Table:LSP, </t>
  </si>
  <si>
    <t>LSP.SCHM_CODE=GAM.SCHM_CODE &amp; accounts.orgkey=GAM.cif_id</t>
  </si>
  <si>
    <t>Profit/ Interest Frequency</t>
  </si>
  <si>
    <t>HACMLA -&gt; Payment Schedule -&gt; Interest Frequency</t>
  </si>
  <si>
    <t>LR_INT_FREQ_CAL_BASE,
LR_INT_FREQ_HLDY_STAT,
LR_INT_FREQ_START_DD,
LR_INT_FREQ_TYPE,
LR_INT_FREQ_WEEK_DAY,
LR_INT_FREQ_WEEK_NUM</t>
  </si>
  <si>
    <t>SELECT
    accounts.orgkey,
    LRS.LR_INT_FREQ_CAL_BASE,
    LRS.LR_INT_FREQ_HLDY_STAT,
    LRS.LR_INT_FREQ_START_DD,
    LRS.LR_INT_FREQ_TYPE,
    LRS.LR_INT_FREQ_WEEK_DAY,
    LRS.LR_INT_FREQ_WEEK_NUM
FROM TBAADM.LRS LRS
JOIN TBAADM.GAM GAM
    ON LRS.ACID = GAM.ACID
JOIN CRMUSER.accounts accounts
    ON accounts.orgkey = GAM.cif_id;</t>
  </si>
  <si>
    <t>Table:LSP</t>
  </si>
  <si>
    <t>Liability</t>
  </si>
  <si>
    <t>HACMLA -&gt; Payment Schedule -&gt; Loan Liability</t>
  </si>
  <si>
    <t>SELECT
    accounts.orgkey,
    GAM.CLR_BAL_AMT AS Liability
FROM TBAADM.GAM GAM
JOIN CRMUSER.accounts accounts
    ON accounts.orgkey = GAM.cif_id;</t>
  </si>
  <si>
    <t>Next Demand Date</t>
  </si>
  <si>
    <t>HACMLA -&gt; Payment Schedule -&gt; Next Demand Date</t>
  </si>
  <si>
    <t xml:space="preserve">NEXT_DMD_DATE  </t>
  </si>
  <si>
    <t>SELECT
    accounts.orgkey,
    LRS.NEXT_DMD_DATE AS Next_Demand_Date
FROM TBAADM.LRS LRS
JOIN TBAADM.GAM GAM
    ON LRS.ACID = GAM.ACID
JOIN CRMUSER.accounts accounts
    ON accounts.orgkey = GAM.cif_id;</t>
  </si>
  <si>
    <t>No. of Installments</t>
  </si>
  <si>
    <t>HACMLA -&gt; Payment Schedule -&gt; No. of Installments</t>
  </si>
  <si>
    <t xml:space="preserve"> NUM_OF_FLOWS</t>
  </si>
  <si>
    <t>SELECT
    accounts.orgkey,
    LRS.NUM_OF_FLOWS AS No_of_Installments
FROM TBAADM.LRS LRS
JOIN TBAADM.GAM GAM
    ON LRS.ACID = GAM.ACID
JOIN CRMUSER.accounts accounts
    ON accounts.orgkey = GAM.cif_id;</t>
  </si>
  <si>
    <t xml:space="preserve">col:NUM_OF_INSTLMNTS </t>
  </si>
  <si>
    <t>Percentage</t>
  </si>
  <si>
    <t>HACMLA -&gt; Payment Schedule -&gt; Pcnt.</t>
  </si>
  <si>
    <t>INSTLMNT_PCNT</t>
  </si>
  <si>
    <t>SELECT
    accounts.orgkey,
    LRS.INSTLMNT_PCNT AS Percentage
FROM TBAADM.LRS LRS
JOIN TBAADM.GAM GAM
    ON LRS.ACID = GAM.ACID
JOIN CRMUSER.accounts accounts
    ON accounts.orgkey = GAM.cif_id</t>
  </si>
  <si>
    <t>Rephasement Date</t>
  </si>
  <si>
    <t>HACMLA -&gt; Payment Schedule -&gt; Rephasement Date</t>
  </si>
  <si>
    <t>REP_SHDL_DATE</t>
  </si>
  <si>
    <t>SELECT
    accounts.orgkey,
    LAM.REP_SHDL_DATE AS Rephasement_Date
FROM TBAADM.LAM LAM
JOIN TBAADM.GAM GAM
    ON LAM.ACID = GAM.ACID
JOIN CRMUSER.accounts accounts
    ON accounts.orgkey = GAM.cif_id;</t>
  </si>
  <si>
    <t>HACMLA -&gt; Payment Schedule -&gt; Sanction Limit</t>
  </si>
  <si>
    <t xml:space="preserve">SANCT_LIM </t>
  </si>
  <si>
    <t>SELECT
    accounts.orgkey,
    GAM.SANCT_LIM AS Sanction_Limit
FROM TBAADM.GAM GAM
JOIN CRMUSER.accounts accounts
    ON accounts.orgkey = GAM.cif_id;
``</t>
  </si>
  <si>
    <t xml:space="preserve"> NUMBER(20,4) </t>
  </si>
  <si>
    <t>Schedule Number</t>
  </si>
  <si>
    <t>HACMLA -&gt; Payment Schedule -&gt; Schedule No.</t>
  </si>
  <si>
    <t xml:space="preserve">SHDL_NUM </t>
  </si>
  <si>
    <t>SELECT
    accounts.orgkey,
    LRS.SHDL_NUM AS Schedule_Number
FROM TBAADM.LRS LRS
JOIN TBAADM.GAM GAM
    ON LRS.ACID = GAM.ACID
JOIN CRMUSER.accounts accounts
    ON accounts.orgkey = GAM.cif_id;</t>
  </si>
  <si>
    <t>(2 CHAR)</t>
  </si>
  <si>
    <t>HACMLA -&gt; Payment Schedule -&gt; Start Date</t>
  </si>
  <si>
    <t>FLOW_START_DATE</t>
  </si>
  <si>
    <t>SELECT
    accounts.orgkey,
    LRS.FLOW_START_DATE AS Start_Date
FROM TBAADM.LRS LRS
JOIN TBAADM.GAM GAM
    ON LRS.ACID = GAM.ACID
JOIN CRMUSER.accounts accounts
    ON accounts.orgkey = GAM.cif_id;</t>
  </si>
  <si>
    <t>HACMLA -&gt; Related Party -&gt; CIF ID</t>
  </si>
  <si>
    <t xml:space="preserve">CIF_ID </t>
  </si>
  <si>
    <t>select accounts.orgkey,GAM.acid, GAM.CIF_ID as  CIF_ID from TBAADM.GAM 
JOIN CRMUSER.accounts ON accounts.orgkey=GAM.cif_id</t>
  </si>
  <si>
    <t>HACMLA -&gt; Related Party -&gt; Name</t>
  </si>
  <si>
    <t xml:space="preserve">ACCT_NAME </t>
  </si>
  <si>
    <t>select accounts.orgkey,GAM.acid, GAM.ACCT_NAME as  Name from TBAADM.GAM 
JOIN CRMUSER.accounts ON accounts.orgkey=GAM.cif_id</t>
  </si>
  <si>
    <t>HACMLA -&gt; Related Party -&gt; Relation Code</t>
  </si>
  <si>
    <t>select accounts.orgkey,GAM.acid, AAS.CUST_RELTN_CODE as  Relation_Code from TBAADM.AAS 
JOIN TBAADM.GAM ON AAS.acid=GAM.acid
JOIN CRMUSER.accounts ON accounts.orgkey=GAM.cif_id</t>
  </si>
  <si>
    <t>HACMLA -&gt; Related Party -&gt; Relation Type</t>
  </si>
  <si>
    <t>RELATED_PARTY_TYPE</t>
  </si>
  <si>
    <t>select accounts.orgkey,GAM.acid, AAS.RELATED_PARTY_TYPE as  Relation_Type from TBAADM.AAS 
JOIN TBAADM.GAM ON AAS.acid=GAM.acid
JOIN CRMUSER.accounts ON accounts.orgkey=GAM.cif_id</t>
  </si>
  <si>
    <t>Limit Overview</t>
  </si>
  <si>
    <t>HCLDI -&gt; Serial Number</t>
  </si>
  <si>
    <t>There is no table or column. It should be in sequence of the order.</t>
  </si>
  <si>
    <t>table:C_LNM_DET_MOD,COL:SRL_NUM</t>
  </si>
  <si>
    <t>Level Number</t>
  </si>
  <si>
    <t>HCLDI -&gt; Level Number</t>
  </si>
  <si>
    <t>LLT</t>
  </si>
  <si>
    <t>C_LNMUPLD</t>
  </si>
  <si>
    <t>llt.cust_id =cmg .cust_id And gam.cif_id=accounts.orgkey</t>
  </si>
  <si>
    <t>Need to check with Arvind col name is incorrect</t>
  </si>
  <si>
    <t>tABLE:CUSTOM</t>
  </si>
  <si>
    <t>blank</t>
  </si>
  <si>
    <t> CASE1: 
1) l.bank_id = 'RAK' and llt.Entity_Cre_Flg = 'Y' and llt.Del_Flg = 'N'  and llt.Parent_Limit_B2kid = 'ROOT' and 
llt.Limit_type = 'C' and llt.IMPLICIT_NODE_FLG = 'N'
2) Level From Tbaadm.Llt  Where Entity_Cre_Flg = 'Y' And Del_Flg = 'N' and 
IMPLICIT_NODE_FLG = 'N' And Bank_Id = 'RAK'  Start With Limit_B2kid = '01908'  Connect By Prior Limit_B2kid = Parent_Limit_B2kid
CASE2:
1)  '1'  From tbaadm.llt l,tbaadm.cmg c  
 llt.bank_id = 'RAK' and llt.Entity_Cre_Flg = 'Y' and llt.Del_Flg = 'N'  and llt.Limit_type = 'C' 
and llt.IMPLICIT_NODE_FLG = 'N'</t>
  </si>
  <si>
    <t>Limit ID</t>
  </si>
  <si>
    <t>HCLDI -&gt; Prefix Suffix</t>
  </si>
  <si>
    <t>LIMIT_PREFIX/LIMIT_SUFFIX</t>
  </si>
  <si>
    <t>with CTE1 as(select * From Tbaadm.Llt  where bank_id = 'RAK' and Entity_Cre_Flg = 'Y' and Del_Flg = 'N' and
Limit_type = 'C' and IMPLICIT_NODE_FLG = 'N' and Parent_Limit_B2kid  = 'ROOT'
Connect By Prior Limit_B2kid = Parent_Limit_B2kid)
select accounts.ORGKEY, LLT.LIMIT_PREFIX, LLT.LIMIT_SUFFIX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</si>
  <si>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LLT.LIMIT_B2KID=GAM.LIMIT_B2KID &amp; accounts.orgkey=GAM.cif_id</t>
  </si>
  <si>
    <t>12CHAR/5 CHAR</t>
  </si>
  <si>
    <t>Sanction Amount (Limit Currency)</t>
  </si>
  <si>
    <t>HCLDI -&gt; Sanction Amount in Limit Currency</t>
  </si>
  <si>
    <t>with CTE1 as(select * From Tbaadm.Llt  where bank_id = 'RAK' and Entity_Cre_Flg = 'Y' and Del_Flg = 'N' and
Limit_type = 'C' and IMPLICIT_NODE_FLG = 'N' and Parent_Limit_B2kid  = 'ROOT'
Connect By Prior Limit_B2kid = Parent_Limit_B2kid)
select accounts.ORGKEY, LLT.SANCT_LIM as Sanction_Amount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</si>
  <si>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Sanction Amount (Home Currency)</t>
  </si>
  <si>
    <t>HCLDI -&gt; Sanction Amount in Home Currency</t>
  </si>
  <si>
    <t>Limit Utilization</t>
  </si>
  <si>
    <t>HCLDI -&gt; Limit Utilization</t>
  </si>
  <si>
    <t>LIAB + CONTINGENT_LIAB</t>
  </si>
  <si>
    <t>with CTE1 as(select * From Tbaadm.Llt  where bank_id = 'RAK' and Entity_Cre_Flg = 'Y' and Del_Flg = 'N' and
Limit_type = 'C' and IMPLICIT_NODE_FLG = 'N' and Parent_Limit_B2kid  = 'ROOT'
Connect By Prior Limit_B2kid = Parent_Limit_B2kid)
select accounts.ORGKEY, (LLT.LIAB + LLT.CONTINGENT_LIAB) as Limit_Utilization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</si>
  <si>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Col:LIAB</t>
  </si>
  <si>
    <t>Available Sanction Limit</t>
  </si>
  <si>
    <t>HCLDI -&gt; Available Sanction Limit</t>
  </si>
  <si>
    <t>ORIG_SANCT_LIM - (LIAB + CONTINGENT_LIAB)</t>
  </si>
  <si>
    <t xml:space="preserve">with CTE1 as(select * From Tbaadm.Llt  where bank_id = 'RAK' and Entity_Cre_Flg = 'Y' and Del_Flg = 'N' and
Limit_type = 'C' and IMPLICIT_NODE_FLG = 'N' and Parent_Limit_B2kid  = 'ROOT'
Connect By Prior Limit_B2kid = Parent_Limit_B2kid)
select accounts.ORGKEY, LLT.ORIG_SANCT_LIM - (LLT.LIAB + LLT.CONTINGENT_LIAB) as AvailableSanctionLimit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
</t>
  </si>
  <si>
    <t xml:space="preserve">NUMBER(25,4) </t>
  </si>
  <si>
    <t>HCLDI -&gt; Expiry Date</t>
  </si>
  <si>
    <t>ORIG_LIM_EXP_DATE</t>
  </si>
  <si>
    <t>with CTE1 as(select * From Tbaadm.Llt  where bank_id = 'RAK' and Entity_Cre_Flg = 'Y' and Del_Flg = 'N' and
Limit_type = 'C' and IMPLICIT_NODE_FLG = 'N' and Parent_Limit_B2kid  = 'ROOT'
Connect By Prior Limit_B2kid = Parent_Limit_B2kid)
select accounts.ORGKEY, LLT.ORIG_LIM_EXP_DATE as Expiry_Date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</si>
  <si>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col:LIM_EXP_DATE</t>
  </si>
  <si>
    <t>Extended Expiry Date</t>
  </si>
  <si>
    <t>HCLDI -&gt; Extended Expiry Date</t>
  </si>
  <si>
    <t>LIM_EXP_DATE</t>
  </si>
  <si>
    <t>with CTE1 as(select * From Tbaadm.Llt  where bank_id = 'RAK' and Entity_Cre_Flg = 'Y' and Del_Flg = 'N' and
Limit_type = 'C' and IMPLICIT_NODE_FLG = 'N' and Parent_Limit_B2kid  = 'ROOT'
Connect By Prior Limit_B2kid = Parent_Limit_B2kid)
select accounts.ORGKEY, LLT.LIM_EXP_DATE as Extended_Expiry_Date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</si>
  <si>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Original Expiry Date</t>
  </si>
  <si>
    <t>HCLDI -&gt; Ori Expiry Date</t>
  </si>
  <si>
    <t>with CTE1 as(select * From Tbaadm.Llt  where bank_id = 'RAK' and Entity_Cre_Flg = 'Y' and Del_Flg = 'N' and
Limit_type = 'C' and IMPLICIT_NODE_FLG = 'N' and Parent_Limit_B2kid  = 'ROOT'
Connect By Prior Limit_B2kid = Parent_Limit_B2kid)
select accounts.ORGKEY, LLT.ORIG_LIM_EXP_DATE as Original_Expiry_Date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</si>
  <si>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HCLDI - &gt; LNM Details -&gt; Limit ID</t>
  </si>
  <si>
    <t xml:space="preserve">select ACCOUNTS.ORGKEY, Limit_B2kid   From tbaadm.llt
JOIN CRMUSER.ACCOUNTS ON LLT.CUST_ID = ACCOUNTS.ORGKEY
</t>
  </si>
  <si>
    <t>Fund Liability</t>
  </si>
  <si>
    <t>HCLDI - &gt; LNM Details -&gt; Fund Liability</t>
  </si>
  <si>
    <t xml:space="preserve"> LIAB</t>
  </si>
  <si>
    <t xml:space="preserve"> llt.cust_id =cmg .cust_id And gam.cif_id=accounts.orgkey</t>
  </si>
  <si>
    <t>with CTE1 as(select * From Tbaadm.Llt  where bank_id = 'RAK' and Entity_Cre_Flg = 'Y' and Del_Flg = 'N' and
Limit_type = 'C' and IMPLICIT_NODE_FLG = 'N' and Parent_Limit_B2kid  = 'ROOT'
Connect By Prior Limit_B2kid = Parent_Limit_B2kid)
select accounts.ORGKEY, LLT.CUST_ID, LLT.LIMIT_B2KID, LLT.Liab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</si>
  <si>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Table:C_LNM_DET_MOD,Col:FUND_LIAB</t>
  </si>
  <si>
    <t xml:space="preserve"> "CASE1: 
1) l.bank_id = 'RAK' and llt.Entity_Cre_Flg = 'Y' and llt.Del_Flg = 'N'  and llt.Parent_Limit_B2kid = 'ROOT' and 
llt.Limit_type = 'C' and llt.IMPLICIT_NODE_FLG = 'N'
2) Level From Tbaadm.Llt  Where Entity_Cre_Flg = 'Y' And Del_Flg = 'N' and 
IMPLICIT_NODE_FLG = 'N' And Bank_Id = 'RAK'  Start With Limit_B2kid = '01908'  Connect By Prior Limit_B2kid = Parent_Limit_B2kid
CASE2:
1)  '1'  From tbaadm.llt l,tbaadm.cmg c  
 llt.bank_id = 'RAK' and llt.Entity_Cre_Flg = 'Y' and llt.Del_Flg = 'N'  and llt.Limit_type = 'C' 
and llt.IMPLICIT_NODE_FLG = 'N'"
</t>
  </si>
  <si>
    <t>Non Fund Liability</t>
  </si>
  <si>
    <t>HCLDI - &gt; LNM Details -&gt; Non Fund Liability</t>
  </si>
  <si>
    <t>contingent_liab</t>
  </si>
  <si>
    <t>with CTE1 as(select * From Tbaadm.Llt  where bank_id = 'RAK' and Entity_Cre_Flg = 'Y' and Del_Flg = 'N' and
Limit_type = 'C' and IMPLICIT_NODE_FLG = 'N' and Parent_Limit_B2kid  = 'ROOT'
Connect By Prior Limit_B2kid = Parent_Limit_B2kid)
select accounts.ORGKEY, LLT.Liab, LLT.contingent_liab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</si>
  <si>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Table:C_LNM_DET_MOD,Col:NON_FUND_LIAB</t>
  </si>
  <si>
    <t>Total Liability</t>
  </si>
  <si>
    <t>HCLDI - &gt; LNM Details -&gt; Total Liability</t>
  </si>
  <si>
    <t>contingent_liab +FUND_LIAB</t>
  </si>
  <si>
    <t>with CTE1 as(select * From Tbaadm.Llt  where bank_id = 'RAK' and Entity_Cre_Flg = 'Y' and Del_Flg = 'N' and
Limit_type = 'C' and IMPLICIT_NODE_FLG = 'N' and Parent_Limit_B2kid  = 'ROOT'
Connect By Prior Limit_B2kid = Parent_Limit_B2kid)
select accounts.ORGKEY, (LLT.contingent_liab + C_LNM_DET_MOD.FUND_LIAB) as Total_Liablity from 
(select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CUSTOM.C_LNM_DET_MOD ON C_LNM_DET_MOD.LIMIT_PREFIX = LLT.LIMIT_PREFIX
JOIN CRMUSER.ACCOUNTS ON LLT.CUST_ID = accounts.orgkey</t>
  </si>
  <si>
    <t>Table:C_LNM_DET_MOD,Col:TOT_LIAB</t>
  </si>
  <si>
    <t>Utilized Limit</t>
  </si>
  <si>
    <t>HCLDI - &gt; LNM Details -&gt; Utilized Limit</t>
  </si>
  <si>
    <t>util_limit_fund_based</t>
  </si>
  <si>
    <t>with CTE1 as(select * From Tbaadm.Llt  where bank_id = 'RAK' and Entity_Cre_Flg = 'Y' and Del_Flg = 'N' and
Limit_type = 'C' and IMPLICIT_NODE_FLG = 'N' and Parent_Limit_B2kid  = 'ROOT'
Connect By Prior Limit_B2kid = Parent_Limit_B2kid)
select accounts.ORGKEY, LLT.util_limit_fund_based as Utilized_Limit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</si>
  <si>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Number of Accounts</t>
  </si>
  <si>
    <t>HCLDI - &gt; LNM Details -&gt; No. Of A/c.</t>
  </si>
  <si>
    <t>NUM_OF_ACCTS</t>
  </si>
  <si>
    <t>with CTE1 as(select * From Tbaadm.Llt  where bank_id = 'RAK' and Entity_Cre_Flg = 'Y' and Del_Flg = 'N' and
Limit_type = 'C' and IMPLICIT_NODE_FLG = 'N' and Parent_Limit_B2kid  = 'ROOT'
Connect By Prior Limit_B2kid = Parent_Limit_B2kid)
select accounts.ORGKEY, LLT.NUM_OF_ACCTS as Number_of_Accounts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</si>
  <si>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HCLDI - &gt; LNM Details -&gt; Avail. Sanction Limit</t>
  </si>
  <si>
    <t>(SANCT_LIM - (LIAB + contingent_liab)) = Avail Sanction limit</t>
  </si>
  <si>
    <t>with CTE1 as(select * From Tbaadm.Llt  where bank_id = 'RAK' and Entity_Cre_Flg = 'Y' and Del_Flg = 'N' and
Limit_type = 'C' and IMPLICIT_NODE_FLG = 'N' and Parent_Limit_B2kid  = 'ROOT'
Connect By Prior Limit_B2kid = Parent_Limit_B2kid)
select accounts.ORGKEY, (LLT.SANCT_LIM - (LLT.LIAB + LLT.contingent_liab)) as Avail_Sanction_limit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</si>
  <si>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Table:C_LNM_DET_MOD,COL:AVAIL_SANC_LIMIT</t>
  </si>
  <si>
    <t>Available Drawing Power</t>
  </si>
  <si>
    <t>HCLDI - &gt; LNM Details -&gt; Avail. Drawing Power</t>
  </si>
  <si>
    <t xml:space="preserve">
(DRWNG_POWER - LIAB) = Avail Drwg power</t>
  </si>
  <si>
    <t>with CTE1 as(select * From Tbaadm.Llt  where bank_id = 'RAK' and Entity_Cre_Flg = 'Y' and Del_Flg = 'N' and
Limit_type = 'C' and IMPLICIT_NODE_FLG = 'N' and Parent_Limit_B2kid  = 'ROOT'
Connect By Prior Limit_B2kid = Parent_Limit_B2kid)
select accounts.ORGKEY, (LLT.DRWNG_POWER - LLT.LIAB) as Avail_Drwg_power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</si>
  <si>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Table:C_LNM_DET_MOD,COL:AVAIL_DRAW_POWER</t>
  </si>
  <si>
    <t>HCLDI - &gt; LNM Details -&gt; Description</t>
  </si>
  <si>
    <t>LIMIT_DESC</t>
  </si>
  <si>
    <t xml:space="preserve">with CTE1 as(select * From Tbaadm.Llt  where bank_id = 'RAK' and Entity_Cre_Flg = 'Y' and Del_Flg = 'N' and
Limit_type = 'C' and IMPLICIT_NODE_FLG = 'N' and Parent_Limit_B2kid  = 'ROOT'
Connect By Prior Limit_B2kid = Parent_Limit_B2kid)
select accounts.ORGKEY, LLT.LIMIT_DESC as Description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
</t>
  </si>
  <si>
    <t>HCLDI - &gt; LNM Details -&gt; CCY</t>
  </si>
  <si>
    <t>with CTE1 as(select * From Tbaadm.Llt  where bank_id = 'RAK' and Entity_Cre_Flg = 'Y' and Del_Flg = 'N' and
Limit_type = 'C' and IMPLICIT_NODE_FLG = 'N' and Parent_Limit_B2kid  = 'ROOT'
Connect By Prior Limit_B2kid = Parent_Limit_B2kid)
select accounts.ORGKEY, LLT.CRNCY_CODE as CURRENCY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</si>
  <si>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Limit Type</t>
  </si>
  <si>
    <t>HCLDI - &gt; LNM Details -&gt; Limit Type</t>
  </si>
  <si>
    <t>LIMIT_TYPE</t>
  </si>
  <si>
    <t>with CTE1 as(select * From Tbaadm.Llt  where bank_id = 'RAK' and Entity_Cre_Flg = 'Y' and Del_Flg = 'N' and
Limit_type = 'C' and IMPLICIT_NODE_FLG = 'N' and Parent_Limit_B2kid  = 'ROOT'
Connect By Prior Limit_B2kid = Parent_Limit_B2kid)
select accounts.ORGKEY, case when LLT.LIMIT_TYPE = 'C' then 'CIF' WHEN LLT.LIMIT_TYPE = 'B' then 'BANK_ID' WHEN LLT.LIMIT_TYPE = 'G' then 'GROUP_ID' else LLT.LIMIT_TYPE END as LIMIT_TYPE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</si>
  <si>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 (C - CIF ID
B - Bank ID
G - Group Id)                                     CASE1: 
1) l.bank_id = 'RAK' and llt.Entity_Cre_Flg = 'Y' and llt.Del_Flg = 'N'  and llt.Parent_Limit_B2kid = 'ROOT' and 
llt.Limit_type = 'C' and llt.IMPLICIT_NODE_FLG = 'N'
2) Level From Tbaadm.Llt  Where Entity_Cre_Flg = 'Y' And Del_Flg = 'N' and 
IMPLICIT_NODE_FLG = 'N' And Bank_Id = 'RAK'  Start With Limit_B2kid = '01908'  Connect By Prior Limit_B2kid = Parent_Limit_B2kid
CASE2:
1)  '1'  From tbaadm.llt l,tbaadm.cmg c  
 llt.bank_id = 'RAK' and llt.Entity_Cre_Flg = 'Y' and llt.Del_Flg = 'N'  and llt.Limit_type = 'C' 
and llt.IMPLICIT_NODE_FLG = 'N(C - CIF ID
B - Bank ID
G - Group Id)'</t>
  </si>
  <si>
    <t>Limit Type ID</t>
  </si>
  <si>
    <t>HCLDI - &gt; LNM Details -&gt; Limit Type ID</t>
  </si>
  <si>
    <t xml:space="preserve">with CTE1 as(select * From Tbaadm.Llt  where bank_id = 'RAK' and Entity_Cre_Flg = 'Y' and Del_Flg = 'N' and
Limit_type = 'C' and IMPLICIT_NODE_FLG = 'N' and Parent_Limit_B2kid  = 'ROOT'
Connect By Prior Limit_B2kid = Parent_Limit_B2kid)
select accounts.ORGKEY, LLT.CUST_ID as Limit_Type_ID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
</t>
  </si>
  <si>
    <t>Table:C_LNM_DET_MOD, Col:LIMIT_TYPE_ID</t>
  </si>
  <si>
    <t>Parent Limit ID</t>
  </si>
  <si>
    <t>HCLDI - &gt; LNM Details -&gt; Parent Limit ID</t>
  </si>
  <si>
    <t xml:space="preserve">PARENT_LIMIT_B2KID </t>
  </si>
  <si>
    <t>with CTE1 as(select * From Tbaadm.Llt  where bank_id = 'RAK' and Entity_Cre_Flg = 'Y' and Del_Flg = 'N' and
Limit_type = 'C' and IMPLICIT_NODE_FLG = 'N' and Parent_Limit_B2kid  = 'ROOT'
Connect By Prior Limit_B2kid = Parent_Limit_B2kid)
select accounts.ORGKEY, LLT.PARENT_LIMIT_B2KID  as Parent_Limit_ID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</si>
  <si>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Approval Limit</t>
  </si>
  <si>
    <t>HCLDI - &gt; LNM Details -&gt; Approval Limit</t>
  </si>
  <si>
    <t>orig_sanct_lim</t>
  </si>
  <si>
    <t>with CTE1 as(select * From Tbaadm.Llt  where bank_id = 'RAK' and Entity_Cre_Flg = 'Y' and Del_Flg = 'N' and
Limit_type = 'C' and IMPLICIT_NODE_FLG = 'N' and Parent_Limit_B2kid  = 'ROOT'
Connect By Prior Limit_B2kid = Parent_Limit_B2kid)
select accounts.ORGKEY, LLT.orig_sanct_lim  as Approval_Limit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</si>
  <si>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Table:C_LNM_DET_MOD,Col:APPROVAL_LIMIT</t>
  </si>
  <si>
    <t>Drawing Power Indicator</t>
  </si>
  <si>
    <t>HCLDI - &gt; LNM Details -&gt; Drawing Power Ind.</t>
  </si>
  <si>
    <t xml:space="preserve">DRWNG_POWER_IND </t>
  </si>
  <si>
    <t>with CTE1 as(select * From Tbaadm.Llt  where bank_id = 'RAK' and Entity_Cre_Flg = 'Y' and Del_Flg = 'N' and
Limit_type = 'C' and IMPLICIT_NODE_FLG = 'N' and Parent_Limit_B2kid  = 'ROOT'
Connect By Prior Limit_B2kid = Parent_Limit_B2kid)
select accounts.ORGKEY, CASE WHEN LLT.DRWNG_POWER_IND='D' then 'Derived' WHEN LLT.DRWNG_POWER_IND='E' then 'Equal' 
WHEN LLT.DRWNG_POWER_IND='M' then 'Maintained' WHEN LLT.DRWNG_POWER_IND='P' then 'Parent' END as Drawing_Power_Indicator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</si>
  <si>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 D - Derived
E - Equal
M - Maintained
P - Parent)                                          CASE1: 
1) l.bank_id = 'RAK' and llt.Entity_Cre_Flg = 'Y' and llt.Del_Flg = 'N'  and llt.Parent_Limit_B2kid = 'ROOT' and 
llt.Limit_type = 'C' and llt.IMPLICIT_NODE_FLG = 'N'
2) Level From Tbaadm.Llt  Where Entity_Cre_Flg = 'Y' And Del_Flg = 'N' and 
IMPLICIT_NODE_FLG = 'N' And Bank_Id = 'RAK'  Start With Limit_B2kid = '01908'  Connect By Prior Limit_B2kid = Parent_Limit_B2kid
CASE2:
1)  '1'  From tbaadm.llt l,tbaadm.cmg c  
 llt.bank_id = 'RAK' and llt.Entity_Cre_Flg = 'Y' and llt.Del_Flg = 'N'  and llt.Limit_type = 'C' 
and llt.IMPLICIT_NODE_FLG = 'N'</t>
  </si>
  <si>
    <t>Drawing Power/ Margin Retained</t>
  </si>
  <si>
    <t>HCLDI - &gt; LNM Details -&gt; Drawing Power/ Margin Retained</t>
  </si>
  <si>
    <t>with CTE1 as(select * From Tbaadm.Llt  where bank_id = 'RAK' and Entity_Cre_Flg = 'Y' and Del_Flg = 'N' and
Limit_type = 'C' and IMPLICIT_NODE_FLG = 'N' and Parent_Limit_B2kid  = 'ROOT'
Connect By Prior Limit_B2kid = Parent_Limit_B2kid)
select accounts.ORGKEY, LLT.orig_sanct_lim as Drawing_PowerOrMargin_Retained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</si>
  <si>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COL:DRWNG_POWER</t>
  </si>
  <si>
    <t>Original Limit Expiry Date</t>
  </si>
  <si>
    <t>HCLDI - &gt; LNM Details -&gt; Orig Limit Expiry Date</t>
  </si>
  <si>
    <t>with CTE1 as(select * From Tbaadm.Llt  where bank_id = 'RAK' and Entity_Cre_Flg = 'Y' and Del_Flg = 'N' and
Limit_type = 'C' and IMPLICIT_NODE_FLG = 'N' and Parent_Limit_B2kid  = 'ROOT'
Connect By Prior Limit_B2kid = Parent_Limit_B2kid)
select accounts.ORGKEY, LLT.ORIG_LIM_EXP_DATE as OriginalLimitExpiryDate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</si>
  <si>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Limit Approval Date</t>
  </si>
  <si>
    <t>HCLDI - &gt; LNM Details -&gt; Limit Approval Date</t>
  </si>
  <si>
    <t>lim_sanct_date</t>
  </si>
  <si>
    <t>with CTE1 as(select * From Tbaadm.Llt  where bank_id = 'RAK' and Entity_Cre_Flg = 'Y' and Del_Flg = 'N' and
Limit_type = 'C' and IMPLICIT_NODE_FLG = 'N' and Parent_Limit_B2kid  = 'ROOT'
Connect By Prior Limit_B2kid = Parent_Limit_B2kid)
select accounts.ORGKEY, LLT.lim_sanct_date as Limit_Approval_Date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</si>
  <si>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TABLE:C_LNM_DET_MOD,COL:LIMIT_APPROVAL_DATE</t>
  </si>
  <si>
    <t>Limit Expiry Date</t>
  </si>
  <si>
    <t>HCLDI - &gt; LNM Details -&gt; Limit Expiry Date</t>
  </si>
  <si>
    <t xml:space="preserve">with CTE1 as(select * From Tbaadm.Llt  where bank_id = 'RAK' and Entity_Cre_Flg = 'Y' and Del_Flg = 'N' and
Limit_type = 'C' and IMPLICIT_NODE_FLG = 'N' and Parent_Limit_B2kid  = 'ROOT'
Connect By Prior Limit_B2kid = Parent_Limit_B2kid)
select accounts.ORGKEY, LLT.orig_lim_exp_date as LimitExpiryDate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
</t>
  </si>
  <si>
    <t>COL:LIM_EXP_DATE</t>
  </si>
  <si>
    <t>Contract Sign Date</t>
  </si>
  <si>
    <t>HCLDI - &gt; LNM Details -&gt; Contract Sign Date</t>
  </si>
  <si>
    <t>LIM_CONTRACT_DATE</t>
  </si>
  <si>
    <t xml:space="preserve">with CTE1 as(select * From Tbaadm.Llt  where bank_id = 'RAK' and Entity_Cre_Flg = 'Y' and Del_Flg = 'N' and
Limit_type = 'C' and IMPLICIT_NODE_FLG = 'N' and Parent_Limit_B2kid  = 'ROOT'
Connect By Prior Limit_B2kid = Parent_Limit_B2kid)
select accounts.ORGKEY, LLT.lim_contract_date as ContractSignDate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
</t>
  </si>
  <si>
    <t>Limit Effective Date</t>
  </si>
  <si>
    <t>HCLDI - &gt; LNM Details -&gt; Limit Effective Date</t>
  </si>
  <si>
    <t>LIM_EFF_DATE</t>
  </si>
  <si>
    <t>with CTE1 as(select * From Tbaadm.Llt  where bank_id = 'RAK' and Entity_Cre_Flg = 'Y' and Del_Flg = 'N' and
Limit_type = 'C' and IMPLICIT_NODE_FLG = 'N' and Parent_Limit_B2kid  = 'ROOT'
Connect By Prior Limit_B2kid = Parent_Limit_B2kid)
select accounts.ORGKEY, LLT.lim_eff_date as LimitEffectiveDate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</si>
  <si>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Limit Expiry Extended Up to</t>
  </si>
  <si>
    <t>HCLDI - &gt; LNM Details -&gt; Limit Expiry Extended Up to</t>
  </si>
  <si>
    <t>lim_exp_date</t>
  </si>
  <si>
    <t xml:space="preserve">with CTE1 as(select * From Tbaadm.Llt  where bank_id = 'RAK' and Entity_Cre_Flg = 'Y' and Del_Flg = 'N' and
Limit_type = 'C' and IMPLICIT_NODE_FLG = 'N' and Parent_Limit_B2kid  = 'ROOT'
Connect By Prior Limit_B2kid = Parent_Limit_B2kid)
select accounts.ORGKEY, LLT.lim_exp_date as LimitExpiryExtendedUpto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
</t>
  </si>
  <si>
    <t>table:C_LNM_DET_MOD,Col:LIM_EXTN_DATE</t>
  </si>
  <si>
    <t>Number of Extensions</t>
  </si>
  <si>
    <t>HCLDI - &gt; LNM Details -&gt; Number of Extns</t>
  </si>
  <si>
    <t>EXTENSION_CNT</t>
  </si>
  <si>
    <t>with CTE1 as(select * From Tbaadm.Llt  where bank_id = 'RAK' and Entity_Cre_Flg = 'Y' and Del_Flg = 'N' and
Limit_type = 'C' and IMPLICIT_NODE_FLG = 'N' and Parent_Limit_B2kid  = 'ROOT'
Connect By Prior Limit_B2kid = Parent_Limit_B2kid)
select accounts.ORGKEY, LLT.EXTENSION_CNT as NumberofExtensions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</si>
  <si>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Limit Review Date</t>
  </si>
  <si>
    <t>HCLDI - &gt; LNM Details -&gt; Limit Review Date</t>
  </si>
  <si>
    <t>LIMIT_REVIEW_DATE</t>
  </si>
  <si>
    <t xml:space="preserve">with CTE1 as(select * From Tbaadm.Llt  where bank_id = 'RAK' and Entity_Cre_Flg = 'Y' and Del_Flg = 'N' and
Limit_type = 'C' and IMPLICIT_NODE_FLG = 'N' and Parent_Limit_B2kid  = 'ROOT'
Connect By Prior Limit_B2kid = Parent_Limit_B2kid)
select accounts.ORGKEY, LLT.LIMIT_REVIEW_DATE as LimitReviewDate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
</t>
  </si>
  <si>
    <t>Type of Loan</t>
  </si>
  <si>
    <t>HCLDI - &gt; LNM Details -&gt; Type of Loan</t>
  </si>
  <si>
    <t>LC_SINGLE_TRAN_FLG</t>
  </si>
  <si>
    <t>with CTE1 as(select * From Tbaadm.Llt  where bank_id = 'RAK' and Entity_Cre_Flg = 'Y' and Del_Flg = 'N' and
Limit_type = 'C' and IMPLICIT_NODE_FLG = 'N' and Parent_Limit_B2kid  = 'ROOT'
Connect By Prior Limit_B2kid = Parent_Limit_B2kid)
select accounts.ORGKEY, LLT.LC_SINGLE_TRAN_FLG as TypeOfLoan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</si>
  <si>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 Table:C_LNM_DET_MOD,COL:TYPE_OF_LOAN</t>
  </si>
  <si>
    <t>Min. Collateral Value Based On</t>
  </si>
  <si>
    <t>HCLDI - &gt; LNM Details -&gt; Min. Collateral Value Based On</t>
  </si>
  <si>
    <t>SANCT_LIM_OR_LIAB_FLG</t>
  </si>
  <si>
    <t>with CTE1 as(select * From Tbaadm.Llt  where bank_id = 'RAK' and Entity_Cre_Flg = 'Y' and Del_Flg = 'N' and
Limit_type = 'C' and IMPLICIT_NODE_FLG = 'N' and Parent_Limit_B2kid  = 'ROOT'
Connect By Prior Limit_B2kid = Parent_Limit_B2kid)
select accounts.ORGKEY, LLT.SANCT_LIM_OR_LIAB_FLG as MinCollateralValueBasedOn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</si>
  <si>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 Table:C_LNM_DET_MOD,COL:MIN_COLLATERAL_BASED</t>
  </si>
  <si>
    <t>Approval Authority</t>
  </si>
  <si>
    <t>HCLDI - &gt; LNM Details -&gt; Approval Authority</t>
  </si>
  <si>
    <t>sanct_auth_code</t>
  </si>
  <si>
    <t>with CTE1 as(select * From Tbaadm.Llt  where bank_id = 'RAK' and Entity_Cre_Flg = 'Y' and Del_Flg = 'N' and
Limit_type = 'C' and IMPLICIT_NODE_FLG = 'N' and Parent_Limit_B2kid  = 'ROOT'
Connect By Prior Limit_B2kid = Parent_Limit_B2kid)
select accounts.ORGKEY, LLT.sanct_auth_code as Approval_Authority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</si>
  <si>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 Table:C_LNM_DET_MOD,COL:SANCT_AUTH_CODE</t>
  </si>
  <si>
    <t>Approval Level</t>
  </si>
  <si>
    <t>HCLDI - &gt; LNM Details -&gt; Approval Level</t>
  </si>
  <si>
    <t>sanct_levl_code</t>
  </si>
  <si>
    <t xml:space="preserve">with CTE1 as(select * From Tbaadm.Llt  where bank_id = 'RAK' and Entity_Cre_Flg = 'Y' and Del_Flg = 'N' and
Limit_type = 'C' and IMPLICIT_NODE_FLG = 'N' and Parent_Limit_B2kid  = 'ROOT'
Connect By Prior Limit_B2kid = Parent_Limit_B2kid)
select accounts.ORGKEY, LLT.sanct_levl_code as ApprovalLevel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
</t>
  </si>
  <si>
    <t> Table:C_LNM_DET_MOD,COL:SANCT_LEVEL_CODE</t>
  </si>
  <si>
    <t>Limit Status</t>
  </si>
  <si>
    <t>HCLDI - &gt; LNM Details -&gt; Limit Status</t>
  </si>
  <si>
    <t>STATUS_CODE</t>
  </si>
  <si>
    <t xml:space="preserve">with CTE1 as(select * From Tbaadm.Llt  where bank_id = 'RAK' and Entity_Cre_Flg = 'Y' and Del_Flg = 'N' and
Limit_type = 'C' and IMPLICIT_NODE_FLG = 'N' and Parent_Limit_B2kid  = 'ROOT'
Connect By Prior Limit_B2kid = Parent_Limit_B2kid)
select accounts.ORGKEY, LLT.STATUS_CODE as LimitStatus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
</t>
  </si>
  <si>
    <t>Interest Table Code</t>
  </si>
  <si>
    <t>HCLDI - &gt; LNM Details -&gt; Interest Table Code</t>
  </si>
  <si>
    <t xml:space="preserve">with CTE1 as(select * From Tbaadm.Llt  where bank_id = 'RAK' and Entity_Cre_Flg = 'Y' and Del_Flg = 'N' and
Limit_type = 'C' and IMPLICIT_NODE_FLG = 'N' and Parent_Limit_B2kid  = 'ROOT'
Connect By Prior Limit_B2kid = Parent_Limit_B2kid)
select accounts.ORGKEY, LLT.INT_TBL_CODE as InterestTableCode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
</t>
  </si>
  <si>
    <t>Limit Approval Reference</t>
  </si>
  <si>
    <t>HCLDI - &gt; LNM Details -&gt; Limit Approval Reference</t>
  </si>
  <si>
    <t>APPROVAL_REF_NO</t>
  </si>
  <si>
    <t xml:space="preserve">with CTE1 as(select * From Tbaadm.Llt  where bank_id = 'RAK' and Entity_Cre_Flg = 'Y' and Del_Flg = 'N' and
Limit_type = 'C' and IMPLICIT_NODE_FLG = 'N' and Parent_Limit_B2kid  = 'ROOT'
Connect By Prior Limit_B2kid = Parent_Limit_B2kid)
select accounts.ORGKEY, LLT.APPROVAL_REF_NO as LimitApprovalReference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
</t>
  </si>
  <si>
    <t>Pattern of Funding</t>
  </si>
  <si>
    <t>HCLDI - &gt; LNM Details -&gt; Pattern of Funding</t>
  </si>
  <si>
    <t>PATTERN_OF_FUNDING</t>
  </si>
  <si>
    <t>with CTE1 as(select * From Tbaadm.Llt  where bank_id = 'RAK' and Entity_Cre_Flg = 'Y' and Del_Flg = 'N' and
Limit_type = 'C' and IMPLICIT_NODE_FLG = 'N' and Parent_Limit_B2kid  = 'ROOT'
Connect By Prior Limit_B2kid = Parent_Limit_B2kid)
select accounts.ORGKEY, LLT.PATTERN_OF_FUNDING as PatternOfFunding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</si>
  <si>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HCLDI - &gt; LNM Details -&gt; Notes</t>
  </si>
  <si>
    <t>FREE_TEXT</t>
  </si>
  <si>
    <t>with CTE1 as(select * From Tbaadm.Llt  where bank_id = 'RAK' and Entity_Cre_Flg = 'Y' and Del_Flg = 'N' and
Limit_type = 'C' and IMPLICIT_NODE_FLG = 'N' and Parent_Limit_B2kid  = 'ROOT'
Connect By Prior Limit_B2kid = Parent_Limit_B2kid)
select accounts.ORGKEY, LLT.FREE_TEXT as Notes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t>
  </si>
  <si>
    <t> Table:C_LNM_DET_MOD,Col:NOTES</t>
  </si>
  <si>
    <t>Master Limit Node</t>
  </si>
  <si>
    <t>HCLDI - &gt; LNM Details -&gt; Master Limit Node</t>
  </si>
  <si>
    <t>LIMIT_MASTER_CODE</t>
  </si>
  <si>
    <t xml:space="preserve">with CTE1 as(select * From Tbaadm.Llt  where bank_id = 'RAK' and Entity_Cre_Flg = 'Y' and Del_Flg = 'N' and
Limit_type = 'C' and IMPLICIT_NODE_FLG = 'N' and Parent_Limit_B2kid  = 'ROOT'
Connect By Prior Limit_B2kid = Parent_Limit_B2kid)
select accounts.ORGKEY, LLT.LIMIT_MASTER_CODE as MasterLimitNode 
from(select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CRMUSER.ACCOUNTS ON LLT.CUST_ID = accounts.orgkey
</t>
  </si>
  <si>
    <t>Fees Debit Account</t>
  </si>
  <si>
    <t>HCLDI - &gt; LNM Details -&gt; Dr. A/c. for Fees</t>
  </si>
  <si>
    <t xml:space="preserve"> llt.cust_id =cmg .cust_id And gam.cif_id=accounts.orgkey AND GAM.ACID=LLT.OPER_DEBIT_ACID
</t>
  </si>
  <si>
    <t xml:space="preserve">with CTE1 as(select * From Tbaadm.Llt  where bank_id = 'RAK' and Entity_Cre_Flg = 'Y' and Del_Flg = 'N' and
Limit_type = 'C' and IMPLICIT_NODE_FLG = 'N' and Parent_Limit_B2kid  = 'ROOT'
Connect By Prior Limit_B2kid = Parent_Limit_B2kid)
select accounts.ORGKEY, GAM.FORACID from 
(select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TBAADM.GAM ON GAM.ACID=LLT.OPER_DEBIT_ACID
JOIN CRMUSER.ACCOUNTS ON GAM.CIF_ID = accounts.orgke
</t>
  </si>
  <si>
    <t>Table:SCMT,Col:DR_ACID_FOR_FEES</t>
  </si>
  <si>
    <t>LA Sanction Limit</t>
  </si>
  <si>
    <t>HCLDI - &gt; LNM Details -&gt; LA Sanction Limit</t>
  </si>
  <si>
    <t>LA_SANCT_LIM_AMT</t>
  </si>
  <si>
    <t xml:space="preserve"> llt.cust_id =cmg .cust_id And gam.cif_id=accounts.orgkey AND LLT.LIMIT_B2KID = CUST_CBDSME_DET_TABLE.LIMIT_B2KID
</t>
  </si>
  <si>
    <t>with CTE1 as(select * From Tbaadm.Llt  where bank_id = 'RAK' and Entity_Cre_Flg = 'Y' and Del_Flg = 'N' and
Limit_type = 'C' and IMPLICIT_NODE_FLG = 'N' and Parent_Limit_B2kid  = 'ROOT'
Connect By Prior Limit_B2kid = Parent_Limit_B2kid)
select accounts.ORGKEY, CUST_CBDSME_DET_TABLE.LA_SANCT_LIM_AMT as LA_Sanction_Limit from 
(select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CUSTOM.CUST_CBDSME_DET_TABLE ON LLT.LIMIT_B2KID = CUST_CBDSME_DET_TABLE.LIMIT_B2KID
JOIN CRMUSER.ACCOUNTS ON  LLT.CUST_ID   = accounts.orgkey</t>
  </si>
  <si>
    <t>Table Name:C_LNM_DET_MOD,Col:LA_SANCT_LIM_AMT</t>
  </si>
  <si>
    <t>Tangible Security</t>
  </si>
  <si>
    <t>HCLDI - &gt; LNM Details -&gt; Tangible Security</t>
  </si>
  <si>
    <t>TANGIBLE_SEC</t>
  </si>
  <si>
    <t>with CTE1 as(select * From Tbaadm.Llt  where bank_id = 'RAK' and Entity_Cre_Flg = 'Y' and Del_Flg = 'N' and
Limit_type = 'C' and IMPLICIT_NODE_FLG = 'N' and Parent_Limit_B2kid  = 'ROOT'
Connect By Prior Limit_B2kid = Parent_Limit_B2kid)
select accounts.ORGKEY, CUST_CBDSME_DET_TABLE.TANGIBLE_SEC as Tangible_Security from 
(select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CUSTOM.CUST_CBDSME_DET_TABLE ON LLT.LIMIT_B2KID = CUST_CBDSME_DET_TABLE.LIMIT_B2KID
JOIN CRMUSER.ACCOUNTS ON LLT.CUST_ID  = accounts.orgkey</t>
  </si>
  <si>
    <t>Table Name:C_LNM_DET_MOD,COL:TANGIBLE_SEC</t>
  </si>
  <si>
    <t>Tangible Security Amount</t>
  </si>
  <si>
    <t>HCLDI - &gt; LNM Details -&gt; Tangible Security Amount</t>
  </si>
  <si>
    <t>TANGIBLE_SEC_AMT</t>
  </si>
  <si>
    <t xml:space="preserve"> llt.cust_id =cmg .cust_id And gam.cif_id=accounts.orgkey AND LLT.LIMIT_B2KID = CUST_CBDSME_DET_TABLE.LIMIT_B2KID
</t>
  </si>
  <si>
    <t xml:space="preserve">with CTE1 as(select * From Tbaadm.Llt  where bank_id = 'RAK' and Entity_Cre_Flg = 'Y' and Del_Flg = 'N' and
Limit_type = 'C' and IMPLICIT_NODE_FLG = 'N' and Parent_Limit_B2kid  = 'ROOT'
Connect By Prior Limit_B2kid = Parent_Limit_B2kid)
select accounts.ORGKEY, CUST_CBDSME_DET_TABLE.TANGIBLE_SEC_AMT as Tangible_Security_Amount from 
(select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CUSTOM.CUST_CBDSME_DET_TABLE ON LLT.LIMIT_B2KID = CUST_CBDSME_DET_TABLE.LIMIT_B2KID
JOIN CRMUSER.ACCOUNTS ON LLT.CUST_ID = accounts.orgkey
</t>
  </si>
  <si>
    <t>Table Name:C_LNM_DET_MOD,TANGIBLE_SEC_AMT</t>
  </si>
  <si>
    <t>Intangible Security Amount</t>
  </si>
  <si>
    <t>HCLDI - &gt; LNM Details -&gt; Intangible Security Amount</t>
  </si>
  <si>
    <t>INTANGIBLE_SEC_AMT</t>
  </si>
  <si>
    <t xml:space="preserve">
 llt.cust_id =cmg .cust_id And gam.cif_id=accounts.orgkey AND LLT.LIMIT_B2KID = CUST_CBDSME_DET_TABLE.LIMIT_B2KID
</t>
  </si>
  <si>
    <t>with CTE1 as(select * From Tbaadm.Llt  where bank_id = 'RAK' and Entity_Cre_Flg = 'Y' and Del_Flg = 'N' and
Limit_type = 'C' and IMPLICIT_NODE_FLG = 'N' and Parent_Limit_B2kid  = 'ROOT'
Connect By Prior Limit_B2kid = Parent_Limit_B2kid)
select accounts.ORGKEY, CUST_CBDSME_DET_TABLE.INTANGIBLE_SEC_AMT as Intangible_Security_Amount from 
(select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CUSTOM.CUST_CBDSME_DET_TABLE ON LLT.LIMIT_B2KID = CUST_CBDSME_DET_TABLE.LIMIT_B2KID
JOIN CRMUSER.ACCOUNTS ON LLT.CUST_ID = accounts.orgkey</t>
  </si>
  <si>
    <t>Table Name:C_LNM_DET_MOD,COL:INTANGIBLE_SEC_AMT</t>
  </si>
  <si>
    <t>Arrangement Fees</t>
  </si>
  <si>
    <t>HCLDI - &gt; LNM Details -&gt; Arrangement Fees</t>
  </si>
  <si>
    <t>ARRANGEMENT_FEES</t>
  </si>
  <si>
    <t xml:space="preserve">
 llt.cust_id =cmg .cust_id And gam.cif_id=accounts.orgkey AND LLT.LIMIT_B2KID = CUST_CBDSME_DET_TABLE.LIMIT_B2KID
</t>
  </si>
  <si>
    <t xml:space="preserve">with CTE1 as(select * From Tbaadm.Llt  where bank_id = 'RAK' and Entity_Cre_Flg = 'Y' and Del_Flg = 'N' and
Limit_type = 'C' and IMPLICIT_NODE_FLG = 'N' and Parent_Limit_B2kid  = 'ROOT'
Connect By Prior Limit_B2kid = Parent_Limit_B2kid)
select accounts.ORGKEY, CUST_CBDSME_DET_TABLE.ARRANGEMENT_FEES as Arrangement_Fees from 
(select * from CTE1
UNION ALL
select *  From tbaadm.llt
where Parent_Limit_B2kid NOT IN 
(select distinct Parent_Limit_B2kid From Tbaadm.Llt  where bank_id = 'RAK' and Entity_Cre_Flg = 'Y' and Del_Flg = 'N' and
Limit_type = 'C' and IMPLICIT_NODE_FLG = 'N'
Start With Parent_Limit_B2kid  = 'ROOT'  Connect By Prior Limit_B2kid = Parent_Limit_B2kid) AND llt.bank_id = 'RAK' and llt.Entity_Cre_Flg = 'Y' and llt.Del_Flg = 'N'  
and llt.Limit_type = 'C' and llt.IMPLICIT_NODE_FLG = 'N')LLT
JOIN CUSTOM.CUST_CBDSME_DET_TABLE ON LLT.LIMIT_B2KID = CUST_CBDSME_DET_TABLE.LIMIT_B2KID
JOIN CRMUSER.ACCOUNTS ON LLT.CUST_ID = accounts.orgkey
</t>
  </si>
  <si>
    <t>Table Name:C_LNM_DET_MOD,col:ARRANGEMENT_FEES</t>
  </si>
  <si>
    <t>Limit Details: Document Details</t>
  </si>
  <si>
    <t>HCLDI - &gt; Limit Node Inquiry -&gt; Documentation Details -&gt; Document Code</t>
  </si>
  <si>
    <t>LNDOC</t>
  </si>
  <si>
    <t>DOCUMENT_TYPE</t>
  </si>
  <si>
    <t>LNDOC.LIMIT_B2KID=GAM.LIMIT_B2KID &amp; accounts.orgkey=GAM.cif_id</t>
  </si>
  <si>
    <t>with CTE1 as(select * From Tbaadm.Llt  where bank_id = 'RAK' and Entity_Cre_Flg = 'Y' and Del_Flg = 'N' and
Limit_type = 'G' and IMPLICIT_NODE_FLG = 'N' and Parent_Limit_B2kid  = 'ROOT')
select accounts.ORGKEY, LNDOC.DOCUMENT_TYPE as Document_Code
from(select * from CTE1
UNION ALL
select *  From tbaadm.llt
where Parent_Limit_B2kid != 'ROOT' AND llt.bank_id = 'RAK' and llt.Entity_Cre_Flg = 'Y' and llt.Del_Flg = 'N'  
and llt.Limit_type = 'G' and llt.IMPLICIT_NODE_FLG = 'N')LLT
JOIN TBAADM.LNDOC ON LLT.LIMIT_B2KID = LNDOC.LIMIT_B2KID
JOIN CRMUSER.ACCOUNTS ON LLT.CUST_ID = accounts.orgkey</t>
  </si>
  <si>
    <t xml:space="preserve"> "Case1:
""llt.bank_id = 'RAK' and llt.Entity_Cre_Flg = 'Y'
 and llt.Del_Flg = 'N'  and llt.Parent_Limit_B2kid = 'ROOT' and llt.Limit_type = 'G' and llt.IMPLICIT_NODE_FLG = 'N';""
Case2:
""llt.bank_id = 'RAK' and llt.Entity_Cre_Flg = 'Y'
 and llt.Del_Flg = 'N'  and llt.Limit_type = 'G' and llt.IMPLICIT_NODE_FLG = 'N';"""
</t>
  </si>
  <si>
    <t>Document Description</t>
  </si>
  <si>
    <t>with CTE1 as(select * From Tbaadm.Llt  where bank_id = 'RAK' and Entity_Cre_Flg = 'Y' and Del_Flg = 'N' and
Limit_type = 'G' and IMPLICIT_NODE_FLG = 'N' and Parent_Limit_B2kid  = 'ROOT')
select accounts.ORGKEY, LNDOC.DOCUMENT_TYPE as Document_Description
from(select * from CTE1
UNION ALL
select *  From tbaadm.llt
where Parent_Limit_B2kid != 'ROOT' AND llt.bank_id = 'RAK' and llt.Entity_Cre_Flg = 'Y' and llt.Del_Flg = 'N'  
and llt.Limit_type = 'G' and llt.IMPLICIT_NODE_FLG = 'N')LLT
JOIN TBAADM.LNDOC ON LLT.LIMIT_B2KID = LNDOC.LIMIT_B2KID
JOIN CRMUSER.ACCOUNTS ON LLT.CUST_ID = accounts.orgkey;</t>
  </si>
  <si>
    <t>Document Date</t>
  </si>
  <si>
    <t>HCLDI - &gt; Limit Node Inquiry -&gt; Documentation Details -&gt; Document Date</t>
  </si>
  <si>
    <t>DOCUMENT_DATE</t>
  </si>
  <si>
    <t>with CTE1 as(select * From Tbaadm.Llt  where bank_id = 'RAK' and Entity_Cre_Flg = 'Y' and Del_Flg = 'N' and
Limit_type = 'G' and IMPLICIT_NODE_FLG = 'N' and Parent_Limit_B2kid  = 'ROOT')
select accounts.ORGKEY, LNDOC.DOCUMENT_DATE as Document_Date
from(select * from CTE1
UNION ALL
select *  From tbaadm.llt
where Parent_Limit_B2kid != 'ROOT' AND llt.bank_id = 'RAK' and llt.Entity_Cre_Flg = 'Y' and llt.Del_Flg = 'N'  
and llt.Limit_type = 'G' and llt.IMPLICIT_NODE_FLG = 'N')LLT
JOIN TBAADM.LNDOC ON LLT.LIMIT_B2KID = LNDOC.LIMIT_B2KID
JOIN CRMUSER.ACCOUNTS ON LLT.CUST_ID = accounts.orgkey;</t>
  </si>
  <si>
    <t>Col:DOC_DATE</t>
  </si>
  <si>
    <t>Due Date</t>
  </si>
  <si>
    <t>HCLDI - &gt; Limit Node Inquiry -&gt; Documentation Details -&gt; Due Date</t>
  </si>
  <si>
    <t>with CTE1 as(select * From Tbaadm.Llt  where bank_id = 'RAK' and Entity_Cre_Flg = 'Y' and Del_Flg = 'N' and
Limit_type = 'G' and IMPLICIT_NODE_FLG = 'N' and Parent_Limit_B2kid  = 'ROOT')
select accounts.ORGKEY, LNDOC.DOCUMENT_DATE as Due_Date
from(select * from CTE1
UNION ALL
select *  From tbaadm.llt
where Parent_Limit_B2kid != 'ROOT' AND llt.bank_id = 'RAK' and llt.Entity_Cre_Flg = 'Y' and llt.Del_Flg = 'N'  
and llt.Limit_type = 'G' and llt.IMPLICIT_NODE_FLG = 'N')LLT
JOIN TBAADM.LNDOC ON LLT.LIMIT_B2KID = LNDOC.LIMIT_B2KID
JOIN CRMUSER.ACCOUNTS ON LLT.CUST_ID = accounts.orgkey;</t>
  </si>
  <si>
    <t>Col:DUE_DATE</t>
  </si>
  <si>
    <t>Document Released Date</t>
  </si>
  <si>
    <t>HCLDI - &gt; Limit Node Inquiry -&gt; Documentation Details -&gt; Document Released Date</t>
  </si>
  <si>
    <t>DOC_RECEIVED_DATE</t>
  </si>
  <si>
    <t xml:space="preserve">with CTE1 as(select * From Tbaadm.Llt  where bank_id = 'RAK' and Entity_Cre_Flg = 'Y' and Del_Flg = 'N' and
Limit_type = 'G' and IMPLICIT_NODE_FLG = 'N' and Parent_Limit_B2kid  = 'ROOT')
select accounts.ORGKEY, LNDOC.DOC_RECEIVED_DATE as Document_Released_Date
from(select * from CTE1
UNION ALL
select *  From tbaadm.llt
where Parent_Limit_B2kid != 'ROOT' AND llt.bank_id = 'RAK' and llt.Entity_Cre_Flg = 'Y' and llt.Del_Flg = 'N'  
and llt.Limit_type = 'G' and llt.IMPLICIT_NODE_FLG = 'N')LLT
JOIN TBAADM.LNDOC ON LLT.LIMIT_B2KID = LNDOC.LIMIT_B2KID
JOIN CRMUSER.ACCOUNTS ON LLT.CUST_ID = accounts.orgkey;
</t>
  </si>
  <si>
    <t>Document Expiry Date</t>
  </si>
  <si>
    <t>HCLDI - &gt; Limit Node Inquiry -&gt; Documentation Details -&gt; Document Expiry Date</t>
  </si>
  <si>
    <t>DOC_EXPIRY_DATE</t>
  </si>
  <si>
    <t>with CTE1 as(select * From Tbaadm.Llt  where bank_id = 'RAK' and Entity_Cre_Flg = 'Y' and Del_Flg = 'N' and
Limit_type = 'G' and IMPLICIT_NODE_FLG = 'N' and Parent_Limit_B2kid  = 'ROOT')
select accounts.ORGKEY, LNDOC.DOC_EXPIRY_DATE as Document_Expiry_Date
from(select * from CTE1
UNION ALL
select *  From tbaadm.llt
where Parent_Limit_B2kid != 'ROOT' AND llt.bank_id = 'RAK' and llt.Entity_Cre_Flg = 'Y' and llt.Del_Flg = 'N'  
and llt.Limit_type = 'G' and llt.IMPLICIT_NODE_FLG = 'N')LLT
JOIN TBAADM.LNDOC ON LLT.LIMIT_B2KID = LNDOC.LIMIT_B2KID
JOIN CRMUSER.ACCOUNTS ON LLT.CUST_ID = accounts.orgkey;</t>
  </si>
  <si>
    <t>HCLDI - &gt; Limit Node Inquiry -&gt; Documentation Details -&gt; Notes</t>
  </si>
  <si>
    <t>with CTE1 as(select * From Tbaadm.Llt  where bank_id = 'RAK' and Entity_Cre_Flg = 'Y' and Del_Flg = 'N' and
Limit_type = 'G' and IMPLICIT_NODE_FLG = 'N' and Parent_Limit_B2kid  = 'ROOT')
select accounts.ORGKEY, LNDOC.FREE_TEXT as Notes
from(select * from CTE1
UNION ALL
select *  From tbaadm.llt
where Parent_Limit_B2kid != 'ROOT' AND llt.bank_id = 'RAK' and llt.Entity_Cre_Flg = 'Y' and llt.Del_Flg = 'N'  
and llt.Limit_type = 'G' and llt.IMPLICIT_NODE_FLG = 'N')LLT
JOIN TBAADM.LNDOC ON LLT.LIMIT_B2KID = LNDOC.LIMIT_B2KID
JOIN CRMUSER.ACCOUNTS ON LLT.CUST_ID = accounts.orgkey;</t>
  </si>
  <si>
    <t>COL:NOTES</t>
  </si>
  <si>
    <t>HCLDI - &gt; Limit Node Inquiry -&gt; Documentation Details -&gt; Del.</t>
  </si>
  <si>
    <t>with CTE1 as(select * From Tbaadm.Llt  where bank_id = 'RAK' and Entity_Cre_Flg = 'Y' and Del_Flg = 'N' and
Limit_type = 'G' and IMPLICIT_NODE_FLG = 'N' and Parent_Limit_B2kid  = 'ROOT')
select accounts.ORGKEY, LNDOC.DEL_FLG as Status
from(select * from CTE1
UNION ALL
select *  From tbaadm.llt
where Parent_Limit_B2kid != 'ROOT' AND llt.bank_id = 'RAK' and llt.Entity_Cre_Flg = 'Y' and llt.Del_Flg = 'N'  
and llt.Limit_type = 'G' and llt.IMPLICIT_NODE_FLG = 'N')LLT
JOIN TBAADM.LNDOC ON LLT.LIMIT_B2KID = LNDOC.LIMIT_B2KID
JOIN CRMUSER.ACCOUNTS ON LLT.CUST_ID = accounts.orgkey;</t>
  </si>
  <si>
    <t>Reminder Date</t>
  </si>
  <si>
    <t>HCLDI - &gt; Limit Node Inquiry -&gt; Documentation Details -&gt; Detail Document Information -&gt; Reminder Date</t>
  </si>
  <si>
    <t>CCDD</t>
  </si>
  <si>
    <t>REMINDER_DATE</t>
  </si>
  <si>
    <t>CCDD.LIMIT_B2KID=GAM.LIMIT_B2KID &amp; accounts.orgkey=GAM.cif_id</t>
  </si>
  <si>
    <t xml:space="preserve">SELECT corporate.corp_key, CCDD.REMINDER_DATE as Reminder_Date
FROM CUSTOM.CCDD 
JOIN TBAADM.GAM ON CCDD.LIMIT_B2KID=GAM.LIMIT_B2KID
JOIN crmuser.corporate  ON corporate.corp_key=GAM.cif_id </t>
  </si>
  <si>
    <t>Waiver Date</t>
  </si>
  <si>
    <t>HCLDI - &gt; Limit Node Inquiry -&gt; Documentation Details -&gt; Detail Document Information -&gt; Waiver Date</t>
  </si>
  <si>
    <t>WAIVER_DATE</t>
  </si>
  <si>
    <t>SELECT corporate.corp_key, CCDD.WAIVER_DATE as Waiver_Date
FROM CUSTOM.CCDD 
JOIN TBAADM.GAM ON CCDD.LIMIT_B2KID=GAM.LIMIT_B2KID
JOIN crmuser.corporate  ON corporate.corp_key=GAM.cif_id</t>
  </si>
  <si>
    <t>HCLDI - &gt; Limit Node Inquiry -&gt; Documentation Details -&gt; Detail Document Information -&gt; Status</t>
  </si>
  <si>
    <t>IF_IN_BANK_CUSTODY</t>
  </si>
  <si>
    <t>SELECT corporate.corp_key, CCDD.IF_IN_BANK_CUSTODY as Status
FROM CUSTOM.CCDD 
JOIN TBAADM.GAM ON CCDD.LIMIT_B2KID=GAM.LIMIT_B2KID
JOIN crmuser.corporate  ON corporate.corp_key=GAM.cif_id</t>
  </si>
  <si>
    <t>Table:LLT,COL:STATUS_CODE</t>
  </si>
  <si>
    <t>Document Lodgment Date</t>
  </si>
  <si>
    <t>HCLDI - &gt; Limit Node Inquiry -&gt; Documentation Details -&gt; Detail Document Information -&gt; Document Lodgment Date</t>
  </si>
  <si>
    <t>RE_LODGEMENT_DATE</t>
  </si>
  <si>
    <t>SELECT corporate.corp_key, CCDD.RE_LODGEMENT_DATE as Document_Lodgment_Date
FROM CUSTOM.CCDD 
JOIN TBAADM.GAM ON CCDD.LIMIT_B2KID=GAM.LIMIT_B2KID
JOIN crmuser.corporate  ON corporate.corp_key=GAM.cif_id</t>
  </si>
  <si>
    <t>Table:SCMT,Col:LODGE_DATE</t>
  </si>
  <si>
    <t>HCLDI - &gt; Limit Node Inquiry -&gt; Documentation Details -&gt; Detail Document Information -&gt; Description</t>
  </si>
  <si>
    <t>DESCRIPTION</t>
  </si>
  <si>
    <t>SELECT corporate.corp_key, CCDD.DESCRIPTION as Description
FROM CUSTOM.CCDD 
JOIN TBAADM.GAM ON CCDD.LIMIT_B2KID=GAM.LIMIT_B2KID
JOIN crmuser.corporate  ON corporate.corp_key=GAM.cif_id</t>
  </si>
  <si>
    <t>Value in AED</t>
  </si>
  <si>
    <t>HCLDI - &gt; Limit Node Inquiry -&gt; Documentation Details -&gt; Detail Document Information -&gt; Value in AED</t>
  </si>
  <si>
    <t>AED_AMT</t>
  </si>
  <si>
    <t xml:space="preserve">SELECT corporate.corp_key, CCDD.AED_AMT as Value_in_AED
FROM CUSTOM.CCDD 
JOIN TBAADM.GAM ON CCDD.LIMIT_B2KID=GAM.LIMIT_B2KID
JOIN crmuser.corporate  ON corporate.corp_key=GAM.cif_id </t>
  </si>
  <si>
    <t>Limit Collateral Link Details</t>
  </si>
  <si>
    <t>HCLDI -&gt; View Details -&gt; Limit ID</t>
  </si>
  <si>
    <t>SDR</t>
  </si>
  <si>
    <t xml:space="preserve"> llt.cust_id =gam .cif_id And gam.cif_id=accounts.orgkey</t>
  </si>
  <si>
    <t> Select limit_b2kid,limit_prefix,limit_suffix,sanct_lim  From tbaadm.llt l Where l.cust_id  = 'TOPSTRA' and l.bank_id = 'RAK' and l.Entity_Cre_Flg = 'Y'
 and l.Del_Flg = 'N'  and l.Parent_Limit_B2kid = 'ROOT' and l.Limit_type = 'G' and l.IMPLICIT_NODE_FLG = 'N';</t>
  </si>
  <si>
    <t>HCLDI -&gt; View Details -&gt; A/c. ID</t>
  </si>
  <si>
    <t>table:GAM,Column:FORACID</t>
  </si>
  <si>
    <t>Select limit_b2kid,limit_prefix,limit_suffix,sanct_lim  From tbaadm.llt l Where l.cust_id  = 'TOPSTRA' and l.bank_id = 'RAK' and l.Entity_Cre_Flg = 'Y'
 and l.Del_Flg = 'N'  and l.Parent_Limit_B2kid = 'ROOT' and l.Limit_type = 'G' and l.IMPLICIT_NODE_FLG = 'N';</t>
  </si>
  <si>
    <t>SOL ID</t>
  </si>
  <si>
    <t>HCLDI -&gt; View Details -&gt; SOL ID</t>
  </si>
  <si>
    <t>SELECT
    accounts.orgkey,
    GAM.SOL_ID AS SOL_ID
FROM TBAADM.GAM GAM
JOIN CRMUSER.accounts accounts
    ON accounts.orgkey = GAM.cif_id;</t>
  </si>
  <si>
    <t>HCLDI -&gt; View Details -&gt; Expiry Date</t>
  </si>
  <si>
    <t>ITEM_DUE_DATE</t>
  </si>
  <si>
    <t>table:LLT,Column:LIM_EXP_DATE</t>
  </si>
  <si>
    <t xml:space="preserve"> "Select limit_b2kid,limit_prefix,limit_suffix,sanct_lim  From tbaadm.llt l Where l.cust_id  = 'TOPSTRA' and l.bank_id = 'RAK' and l.Entity_Cre_Flg = 'Y'
 and l.Del_Flg = 'N'  and l.Parent_Limit_B2kid = 'ROOT' and l.Limit_type = 'G' and l.IMPLICIT_NODE_FLG = 'N';"
</t>
  </si>
  <si>
    <t>Collateral Code</t>
  </si>
  <si>
    <t>HCLDI -&gt; View Details -&gt; Collateral Code</t>
  </si>
  <si>
    <t>SDR,ASM</t>
  </si>
  <si>
    <t>SECU_CODE,SECU_DESC</t>
  </si>
  <si>
    <t xml:space="preserve"> llt.cust_id =gam .cif_id And gam.cif_id=accounts.orgkey  SDR.secu_code=ASM.secu_code</t>
  </si>
  <si>
    <t>SDR,SECU_CODE</t>
  </si>
  <si>
    <t>SDR.ACID=GAM.ACID &amp; accounts.orgkey=GAM.cif_id</t>
  </si>
  <si>
    <t>Collateral Type</t>
  </si>
  <si>
    <t>HCLDI -&gt; View Details -&gt; Collateral Type</t>
  </si>
  <si>
    <t>Apportioned Value</t>
  </si>
  <si>
    <t>HCLDI -&gt; View Details -&gt; Apportioned Value</t>
  </si>
  <si>
    <t xml:space="preserve">APPORTIONED_VALUE </t>
  </si>
  <si>
    <t>Apportioned %</t>
  </si>
  <si>
    <t>HCLDI -&gt; View Details -&gt; Apportioned Pcnt.</t>
  </si>
  <si>
    <t>apportioned_value
secu_value</t>
  </si>
  <si>
    <t>remark</t>
  </si>
  <si>
    <t>(apportioned_value/secu_value)*100</t>
  </si>
  <si>
    <t>Primary/Secondary</t>
  </si>
  <si>
    <t>HCLDI -&gt; View Details -&gt; Primary/Secondary</t>
  </si>
  <si>
    <t>USE_FOR_DP_IND</t>
  </si>
  <si>
    <t>P - Primary
C - Secondary</t>
  </si>
  <si>
    <t>Collateral Value</t>
  </si>
  <si>
    <t>HCLDI -&gt; View Details -&gt; Collateral Value</t>
  </si>
  <si>
    <t xml:space="preserve">SECU_VALUE </t>
  </si>
  <si>
    <t>HCLDI -&gt; View Details -&gt; CCY Code</t>
  </si>
  <si>
    <t xml:space="preserve">CRNCY_CODE  </t>
  </si>
  <si>
    <t>Need to check join with Arvind</t>
  </si>
  <si>
    <t>HCLDI -&gt; View Details -&gt; Liability</t>
  </si>
  <si>
    <t>LIAB</t>
  </si>
  <si>
    <t>Table:LLT</t>
  </si>
  <si>
    <t>Ceiling Limit</t>
  </si>
  <si>
    <t>HCLDI -&gt; View Details -&gt; View Details -&gt; General -&gt; Ceiling Limit</t>
  </si>
  <si>
    <t>MAX_CEILING_LIM</t>
  </si>
  <si>
    <t>llt.cust_id =gam .cif_id And gam.cif_id=accounts.orgkey</t>
  </si>
  <si>
    <t>Table:LLT,column:SANCT_LIM</t>
  </si>
  <si>
    <t>"Case1:
select SDR.secu_srl_num FROM SDR,LLT WHERE 1 = 1 AND SDR.rcre_time IS NOT NULL AND SDR.lchg_time IS NOT NULL AND SDR.rcre_user_id &gt; '!' AND SDR.lchg_time IS NOT NULL AND 
 SDR.lchg_user_id &gt; '!' AND SDR.del_flg != 'Y' AND SDR.entity_cre_flg != 'N'     
AND SDR.secu_linkage_type = 'N' AND SDR.acid = '!'   AND SDR.bank_id =  'RAK'  AND 
 SDR.limit_b2kId = LLT.limit_b2kId(+)  ORDER BY  SDR.secu_linkage_type;
Additional Code to fetch MAX_CEILING_LIM
select MAX_CEILING_LIM from tbaadm.scmt where secu_srl_num=SDR.secu_srl_num;"	"llt.cust_id =gam .cif_id And gam.cif_id=accounts.orgkey
Column: MAX_CEILING_LIM
Table: SDR
Final Query finacle:
select scmt.MAX_CEILING_LIM, A.* from(select SDR.secu_srl_num, llt.LIMIT_PREFIX FROM TBAADM.SDR, TBAADM.LLT WHERE 1 = 1 AND SDR.rcre_time IS NOT NULL AND SDR.lchg_time IS NOT NULL AND SDR.rcre_user_id &gt; '!' AND SDR.lchg_time IS NOT NULL AND 
 SDR.lchg_user_id &gt; '!' AND SDR.del_flg != 'Y' AND SDR.entity_cre_flg != 'N' AND SDR.secu_linkage_type = 'N' AND SDR.acid = '!' AND SDR.bank_id ='RAK'  
 AND SDR.limit_b2kId = LLT.limit_b2kId(+)  ORDER BY  SDR.secu_linkage_type)A
 JOIN tbaadm.scmt ON scmt.secu_srl_num=A.secu_srl_num
where LIMIT_PREFIX = '0349067'"</t>
  </si>
  <si>
    <t>Loan to Value %</t>
  </si>
  <si>
    <t>HCLDI -&gt; View Details -&gt; View Details -&gt; General -&gt; LTV (Loan to Value) %</t>
  </si>
  <si>
    <t>LTV_PCNT</t>
  </si>
  <si>
    <t>Withdraw</t>
  </si>
  <si>
    <t>HCLDI -&gt; View Details -&gt; View Details -&gt; Particulars -&gt; Withdraw</t>
  </si>
  <si>
    <t xml:space="preserve">WITHDRAW_FLG </t>
  </si>
  <si>
    <t>Value Indicator</t>
  </si>
  <si>
    <t>HCLDI -&gt; View Details -&gt; View Details -&gt; Particulars -&gt; Value Ind.</t>
  </si>
  <si>
    <t>DERIVE_VALUE_FROM_IND</t>
  </si>
  <si>
    <t>HCLDI -&gt; View Details -&gt; View Details -&gt; Particulars -&gt; Reason Code</t>
  </si>
  <si>
    <t>WITHDRAWAL_REASON_CODE</t>
  </si>
  <si>
    <t>Guarantor Type</t>
  </si>
  <si>
    <t>HCLDI -&gt; View Details -&gt; View Details -&gt; Particulars -&gt; Guarantor Type</t>
  </si>
  <si>
    <t>GUARANTEE_TYPE</t>
  </si>
  <si>
    <t> llt.cust_id =gam .cif_id And CGD.secu_srl_num=sdr.secu_srl_num and gam.cif_id=accounts.orgkey</t>
  </si>
  <si>
    <t>Table:TBA_COLTRL_GURNT_DTL_TBL</t>
  </si>
  <si>
    <t> FIN - FINANCIAL GUARANTEE
PER - PERSONAL GUARANTEE
PFM - PERSONAL GUARANTEE</t>
  </si>
  <si>
    <t>PERSONAL
-CORPORATE</t>
  </si>
  <si>
    <t>Guarantor ID</t>
  </si>
  <si>
    <t>HCLDI -&gt; View Details -&gt; View Details -&gt; Particulars -&gt; Guarantor ID</t>
  </si>
  <si>
    <t xml:space="preserve"> llt.cust_id =gam .cif_id And CGD.secu_srl_num=sdr.secu_srl_num and gam.cif_id=accounts.orgkey</t>
  </si>
  <si>
    <t>Table:TBA_COLTRL_GURNT_DTL_TBL,Col:GUARANTOR_ID</t>
  </si>
  <si>
    <t>Lodged Date</t>
  </si>
  <si>
    <t>HCLDI -&gt; View Details -&gt; View Details -&gt; Particulars -&gt; Lodged Date</t>
  </si>
  <si>
    <t>LODGE_DATE</t>
  </si>
  <si>
    <t>SELECT
    accounts.orgkey,
    SDR.LODGE_DATE AS Lodged_Date
FROM TBAADM.SDR SDR
JOIN TBAADM.GAM GAM
    ON SDR.ACID = GAM.ACID
JOIN CRMUSER.accounts accounts
    ON accounts.orgkey = GAM.cif_id;</t>
  </si>
  <si>
    <t>Guarantor Name</t>
  </si>
  <si>
    <t>HCLDI -&gt; View Details -&gt; View Details -&gt; Particulars -&gt; Guarantor Name</t>
  </si>
  <si>
    <t>COLTRL_GURNT_DTL_TABLE,RCT</t>
  </si>
  <si>
    <t>GUARANTEE_TYPE,REF_DESC</t>
  </si>
  <si>
    <t>REF_REC_TYPE='HZ'</t>
  </si>
  <si>
    <t>Table:AAS,Col:ACCT_POA_AS_NAME</t>
  </si>
  <si>
    <t>80 char</t>
  </si>
  <si>
    <t>Withdrawn Date</t>
  </si>
  <si>
    <t>HCLDI -&gt; View Details -&gt; View Details -&gt; Particulars -&gt; Withdrawn Date</t>
  </si>
  <si>
    <t>WITHDRAW_DATE</t>
  </si>
  <si>
    <t>SELECT
    accounts.orgkey,
    SDR.WITHDRAW_DATE AS Withdrawn_Date
FROM TBAADM.SDR SDR
JOIN TBAADM.GAM GAM
    ON SDR.ACID = GAM.ACID
JOIN CRMUSER.accounts accounts
    ON accounts.orgkey = GAM.cif_id;</t>
  </si>
  <si>
    <t>Guarantee Type</t>
  </si>
  <si>
    <t>HCLDI -&gt; View Details -&gt; View Details -&gt; Particulars -&gt; Guarantee Type</t>
  </si>
  <si>
    <t>  llt.cust_id =gam .cif_id And CGD.secu_srl_num=sdr.secu_srl_num and gam.cif_id=accounts.orgkey</t>
  </si>
  <si>
    <t>Guarantee %</t>
  </si>
  <si>
    <t>HCLDI -&gt; View Details -&gt; View Details -&gt; Particulars -&gt; Guarantee %</t>
  </si>
  <si>
    <t>GUARANTEE_PERCENT</t>
  </si>
  <si>
    <t>Guarantee Amt.</t>
  </si>
  <si>
    <t>HCLDI -&gt; View Details -&gt; View Details -&gt; Particulars -&gt; Guarantee Amt.</t>
  </si>
  <si>
    <t xml:space="preserve">(fixed_amount_value), </t>
  </si>
  <si>
    <t>Received Date</t>
  </si>
  <si>
    <t>HCLDI -&gt; View Details -&gt; View Details -&gt; Particulars -&gt; Received Date</t>
  </si>
  <si>
    <t>RECEIVED_DATE</t>
  </si>
  <si>
    <t xml:space="preserve">SELECT
    accounts.orgkey,
    SDR.RECEIVED_DATE AS Received_Date
FROM TBAADM.SDR SDR
JOIN TBAADM.GAM GAM
    ON SDR.ACID = GAM.ACID
JOIN CRMUSER.accounts accounts
    ON accounts.orgkey = GAM.cif_id;
</t>
  </si>
  <si>
    <t>HCLDI -&gt; View Details -&gt; View Details -&gt; Particulars -&gt; Notes</t>
  </si>
  <si>
    <t xml:space="preserve">SELECT
    accounts.orgkey,
    SDR.FREE_TEXT AS Notes
FROM TBAADM.SDR SDR
JOIN TBAADM.GAM GAM
    ON SDR.ACID = GAM.ACID
JOIN CRMUSER.accounts accounts
    ON accounts.orgkey = GAM.cif_id;
</t>
  </si>
  <si>
    <t>Demand Type</t>
  </si>
  <si>
    <t>Payment Enquiry</t>
  </si>
  <si>
    <t>HLAOPI -&gt; View Details -&gt; Demand Type</t>
  </si>
  <si>
    <t>LFM</t>
  </si>
  <si>
    <t>DMD_TYPE</t>
  </si>
  <si>
    <t>LDT.ACID=GAM.ACID &amp; GAM.CIF_ID = accounts.orgk</t>
  </si>
  <si>
    <t xml:space="preserve"> "SELECT LFM.DMD_TYPE FROM LDT_VIEW LDT,LFM  WHERE (LDT.DMD_FLOW_ID = LFM.FLOW_ID AND LDT.ACID =  'PA3870122' AND LFM.DMD_TYPE in ('P','I')
AND LDT.SHDL_NUM =  '01'   AND LDT.DEL_FLG != 'Y'   AND LDT.BANK_ID =  'RAK' AND LFM.BANK_ID =  'RAK' ) ORDER BY LDT.DMD_EFF_DATE;"
</t>
  </si>
  <si>
    <t>HLAOPI -&gt; Flow ID</t>
  </si>
  <si>
    <t>LDT.ACID=GAM.ACID &amp; GAM.CIF_ID = accounts.orgkey</t>
  </si>
  <si>
    <t>Demand Effective Date</t>
  </si>
  <si>
    <t>HLAOPI -&gt; Demand Effective Date</t>
  </si>
  <si>
    <t>LDTH</t>
  </si>
  <si>
    <t>DMD_EFF_DATE</t>
  </si>
  <si>
    <t>LDTH.ACID=GAM.ACID &amp; accounts.orgkey=GAM.cif_id</t>
  </si>
  <si>
    <t> SELECT accounts.orgkey, gam.acid,
       ldth.DMD_EFF_DATE AS Demand_Effective_Date
FROM CUSTOM.LDTH ldth
JOIN TBAADM.GAM gam ON ldth.ACID = gam.ACID
JOIN CRMUSER.accounts accounts ON accounts.orgkey = gam.cif_id;</t>
  </si>
  <si>
    <t>SELECT accounts.orgkey, gam.acid,
       ldth.DMD_EFF_DATE AS Demand_Effective_Date
FROM CUSTOM.LDTH ldth
JOIN TBAADM.GAM gam ON ldth.ACID = gam.ACID
JOIN CRMUSER.accounts accounts ON accounts.orgkey = gam.cif_id;</t>
  </si>
  <si>
    <t>Installment Amt.</t>
  </si>
  <si>
    <t>HLAOPI -&gt; Installment Amt.</t>
  </si>
  <si>
    <t>DMD_AMT</t>
  </si>
  <si>
    <t> SELECT accounts.orgkey, gam.acid,
       ldth.DMD_AMT AS Installment_Amt
FROM CUSTOM.LDTH ldth
JOIN TBAADM.GAM gam ON ldth.ACID = gam.ACID
JOIN CRMUSER.accounts accounts ON accounts.orgkey = gam.cif_id;</t>
  </si>
  <si>
    <t>SELECT accounts.orgkey, gam.acid,
       ldth.DMD_AMT AS Installment_Amt
FROM CUSTOM.LDTH ldth
JOIN TBAADM.GAM gam ON ldth.ACID = gam.ACID
JOIN CRMUSER.accounts accounts ON accounts.orgkey = gam.cif_id;</t>
  </si>
  <si>
    <t>Collection Amt.</t>
  </si>
  <si>
    <t>HLAOPI -&gt; Collection Amt.</t>
  </si>
  <si>
    <t>TOT_ADJ_AMT</t>
  </si>
  <si>
    <t> SELECT accounts.orgkey, gam.acid,
       ldth.TOT_ADJ_AMT AS Collection_Amt
FROM CUSTOM.LDTH ldth
JOIN TBAADM.GAM gam ON ldth.ACID = gam.ACID
JOIN CRMUSER.accounts accounts ON accounts.orgkey = gam.cif_id;</t>
  </si>
  <si>
    <t>SELECT accounts.orgkey, gam.acid,
       ldth.TOT_ADJ_AMT AS Collection_Amt
FROM CUSTOM.LDTH ldth
JOIN TBAADM.GAM gam ON ldth.ACID = gam.ACID
JOIN CRMUSER.accounts accounts ON accounts.orgkey = gam.cif_id;</t>
  </si>
  <si>
    <t>Waived Amt.</t>
  </si>
  <si>
    <t>HLAOPI -&gt; Waived Amt.</t>
  </si>
  <si>
    <t>WAIVED_AMT</t>
  </si>
  <si>
    <t> SELECT accounts.orgkey, gam.acid,
       ldth.WAIVED_AMT AS Waived_Amt
FROM CUSTOM.LDTH ldth
JOIN TBAADM.GAM gam ON ldth.ACID = gam.ACID
JOIN CRMUSER.accounts accounts ON accounts.orgkey = gam.cif_id;</t>
  </si>
  <si>
    <t>SELECT accounts.orgkey, gam.acid,
       ldth.WAIVED_AMT AS Waived_Amt
FROM CUSTOM.LDTH ldth
JOIN TBAADM.GAM gam ON ldth.ACID = gam.ACID
JOIN CRMUSER.accounts accounts ON accounts.orgkey = gam.cif_id;</t>
  </si>
  <si>
    <t>Principle and Interest Breakdown</t>
  </si>
  <si>
    <t>HLAOPI -&gt; View Details -&gt; View Details -&gt; Demand Type/ Sub Type</t>
  </si>
  <si>
    <t> SELECT LFM.DMD_TYPE,LFM.DMD_SUB_TYPE FROM LDT_VIEW LDT,LFM  WHERE (LDT.DMD_FLOW_ID = LFM.FLOW_ID AND LDT.ACID =  'PA3870122' AND LFM.DMD_TYPE in ('P','I')
AND LDT.SHDL_NUM =  '01'   AND LDT.DEL_FLG != 'Y'   AND LDT.BANK_ID =  'RAK' AND LFM.BANK_ID =  'RAK' ) ORDER BY LDT.DMD_EFF_DATE;</t>
  </si>
  <si>
    <t>HLAOPI -&gt; View Details -&gt; View Details -&gt; Flow ID</t>
  </si>
  <si>
    <t>HLAOPI -&gt; View Details -&gt; View Details -&gt; Demand Effective Date</t>
  </si>
  <si>
    <t>HLAOPI -&gt; View Details -&gt; View Details -&gt; Installment Amt.</t>
  </si>
  <si>
    <t>HLAOPI -&gt; View Details -&gt; View Details -&gt; Collection Amt.</t>
  </si>
  <si>
    <t>Adjusted Date</t>
  </si>
  <si>
    <t>HLAOPI -&gt; View Details -&gt; View Details -&gt; Adjusted Date</t>
  </si>
  <si>
    <t>LAST_ADJ_DATE</t>
  </si>
  <si>
    <t>Overdue</t>
  </si>
  <si>
    <t>HLAOPI -&gt; View Details -&gt; View Details -&gt; Overdue</t>
  </si>
  <si>
    <t>DMD_OVDU_DATE</t>
  </si>
  <si>
    <t>Non-Int. Demand</t>
  </si>
  <si>
    <t>Term Loan</t>
  </si>
  <si>
    <t>HLAOPI -&gt; Non-Int. Demand</t>
  </si>
  <si>
    <t>Non-Int. Collected</t>
  </si>
  <si>
    <t>HLAOPI -&gt; Non-Int. Collected</t>
  </si>
  <si>
    <t>Non-Int. Overdue</t>
  </si>
  <si>
    <t>HLAOPI -&gt; Non-Int. Overdue</t>
  </si>
  <si>
    <t>Int. Demand</t>
  </si>
  <si>
    <t>HLAOPI -&gt; Int. Demand</t>
  </si>
  <si>
    <t>Int. Collected</t>
  </si>
  <si>
    <t>HLAOPI -&gt; Int. Collected</t>
  </si>
  <si>
    <t>Int. Overdue</t>
  </si>
  <si>
    <t>HLAOPI -&gt; Int. Overdue</t>
  </si>
  <si>
    <t>Loan Recovery Enquiry</t>
  </si>
  <si>
    <t>HLAOPI -&gt; Financial Transactions Inquiry -&gt; Transaction Date</t>
  </si>
  <si>
    <t>LDT</t>
  </si>
  <si>
    <t>DMD_DATE</t>
  </si>
  <si>
    <t>LDT.ACID=GAM.ACID &amp; accounts.orgkey=GAM.cif_id</t>
  </si>
  <si>
    <t>SELECT corporate.corp_key,GAM.ACID, LDT.DMD_DATE as Total_Interest_Unpaid
FROM CUSTOM.LDT 
JOIN TBAADM.GAM ON LDT.ACID=GAM.ACID
JOIN crmuser.corporate  ON corporate.corp_key=GAM.cif_id</t>
  </si>
  <si>
    <t>Financial Transactions Inquiry -&gt; Value Date</t>
  </si>
  <si>
    <t xml:space="preserve">SELECT corporate.corp_key,GAM.ACID, DTD.VALUE_DATE as Total_Interest_Unpaid
FROM CUSTOM.DTD 
JOIN TBAADM.GAM ON DTD.ACID=GAM.ACID
JOIN crmuser.corporate  ON corporate.corp_key=GAM.cif_id </t>
  </si>
  <si>
    <t>Financial Transactions Inquiry -&gt; Transaction ID</t>
  </si>
  <si>
    <t>SELECT corporate.corp_key, gam.acid,
       dtd.TRAN_ID AS Transaction_ID
FROM CUSTOM.DTD dtd
JOIN TBAADM.GAM gam ON dtd.ACID = gam.ACID
JOIN CRMUSER.corporate corporate ON corporate.corp_key = gam.cif_id</t>
  </si>
  <si>
    <t>Financial Transactions Inquiry -&gt; CCY</t>
  </si>
  <si>
    <t>SELECT corporate.corp_key, gam.acid,
       dtd.CRNCY_CODE AS Currency
FROM CUSTOM.DTD dtd
JOIN TBAADM.GAM gam ON dtd.ACID = gam.ACID
JOIN CRMUSER.corporate corporate ON corporate.corp_key = gam.cif_id</t>
  </si>
  <si>
    <t>Financial Transactions Inquiry -&gt; Transaction Type</t>
  </si>
  <si>
    <t>SELECT corporate.corp_key, gam.acid,
       dtd.TRAN_TYPE AS Transaction_Type
FROM CUSTOM.DTD dtd
JOIN TBAADM.GAM gam ON dtd.ACID = gam.ACID
JOIN CRMUSER.corporate corporate ON corporate.corp_key = gam.cif_id</t>
  </si>
  <si>
    <t>Col:TYPE</t>
  </si>
  <si>
    <t>Financial Transactions Inquiry -&gt; Particulars</t>
  </si>
  <si>
    <t>TRAN_PARTICULAR</t>
  </si>
  <si>
    <t>SELECT corporate.corp_key, gam.acid,
       dtd.TRAN_PARTICULAR AS Transaction_Particulars
FROM CUSTOM.DTD dtd
JOIN TBAADM.GAM gam ON dtd.ACID = gam.ACID
JOIN CRMUSER.corporate corporate ON corporate.corp_key = gam.cif_id</t>
  </si>
  <si>
    <t>Financial Transactions Inquiry -&gt; Amt.</t>
  </si>
  <si>
    <t>TRAN_AMT</t>
  </si>
  <si>
    <t>SELECT corporate.corp_key, gam.acid,
       dtd.TRAN_AMT AS Amount
FROM CUSTOM.DTD dtd
JOIN TBAADM.GAM gam ON dtd.ACID = gam.ACID
JOIN CRMUSER.corporate corporate ON corporate.corp_key = gam.cif_id</t>
  </si>
  <si>
    <t>Financial Transactions Inquiry -&gt; Status</t>
  </si>
  <si>
    <t>SELECT corporate.corp_key, gam.acid,
       dtd.TR_STATUS AS Status
FROM CUSTOM.DTD dtd
JOIN TBAADM.GAM gam ON dtd.ACID = gam.ACID
JOIN CRMUSER.corporate corporate ON corporate.corp_key = gam.cif_id</t>
  </si>
  <si>
    <t>Referral ID</t>
  </si>
  <si>
    <t>Financial Transactions Inquiry -&gt; Referral ID</t>
  </si>
  <si>
    <t>REFERRAL_ID</t>
  </si>
  <si>
    <t>SELECT corporate.corp_key, gam.acid,
       dtd.REFERRAL_ID AS Referral_ID
FROM CUSTOM.DTD dtd
JOIN TBAADM.GAM gam ON dtd.ACID = gam.ACID
JOIN CRMUSER.corporate corporate ON corporate.corp_key = gam.cif_id</t>
  </si>
  <si>
    <t>Financial Transactions Inquiry -&gt; View Details -&gt; Transaction Remarks</t>
  </si>
  <si>
    <t>TRAN_RMKS</t>
  </si>
  <si>
    <t>SELECT corporate.corp_key, gam.acid,
       dtd.TRAN_RMKS AS Transaction_Remarks
FROM CUSTOM.DTD dtd
JOIN TBAADM.GAM gam ON dtd.ACID = gam.ACID
JOIN CRMUSER.corporate corporate ON corporate.corp_key = gam.cif_id</t>
  </si>
  <si>
    <t>Financial Transactions Inquiry -&gt; View Details -&gt; Part Transaction Type</t>
  </si>
  <si>
    <t>SELECT corporate.corp_key, gam.acid,
       dtd.PART_TRAN_TYPE AS Part_Transaction_Type
FROM CUSTOM.DTD dtd
JOIN TBAADM.GAM gam ON dtd.ACID = gam.ACID
JOIN CRMUSER.corporate corporate ON corporate.corp_key = gam.cif_id</t>
  </si>
  <si>
    <t>Financial Transactions Inquiry -&gt; View Details -&gt; Transaction Particulars Code</t>
  </si>
  <si>
    <t>SELECT corporate.corp_key, gam.acid,
       dtd.TRAN_PARTICULAR_CODE AS Transaction_Particulars_Code
FROM CUSTOM.DTD dtd
JOIN TBAADM.GAM gam ON dtd.ACID = gam.ACID
JOIN CRMUSER.corporate corporate ON corporate.corp_key = gam.cif_id</t>
  </si>
  <si>
    <t>Financial Transactions Inquiry -&gt; View Details -&gt; Remarks 1</t>
  </si>
  <si>
    <t>SELECT corporate.corp_key, gam.acid,
       dtd.TRAN_RMKS AS Remarks_1
FROM CUSTOM.DTD dtd
JOIN TBAADM.GAM gam ON dtd.ACID = gam.ACID
JOIN CRMUSER.corporate corporate ON corporate.corp_key = gam.cif_id</t>
  </si>
  <si>
    <t>Financial Transactions Inquiry -&gt; View Details -&gt; Remarks 2</t>
  </si>
  <si>
    <t>SELECT corporate.corp_key, gam.acid,
       dtd.TRAN_PARTICULAR_2 AS Remarks_2
FROM CUSTOM.DTD dtd
JOIN TBAADM.GAM gam ON dtd.ACID = gam.ACID
JOIN CRMUSER.corporate corporate ON corporate.corp_key = gam.cif_id</t>
  </si>
  <si>
    <t>Application From Date</t>
  </si>
  <si>
    <t>OD Enquiry</t>
  </si>
  <si>
    <t>HACLHM -&gt; Application From Date</t>
  </si>
  <si>
    <t>LHT</t>
  </si>
  <si>
    <t xml:space="preserve">APPLICABLE_DATE </t>
  </si>
  <si>
    <t>LHT.ACID=GAM.ACID &amp; accounts.orgkey=GAM.cif_id</t>
  </si>
  <si>
    <t>SELECT corporate.corp_key, gam.acid,
       lht.APPLICABLE_DATE AS Application_From_Date
FROM CUSTOM.LHT lht
JOIN TBAADM.GAM gam ON lht.ACID = gam.ACID
JOIN CRMUSER.corporate corporate ON corporate.corp_key = gam.cif_id</t>
  </si>
  <si>
    <t>HACLHM -&gt; Expiry Date</t>
  </si>
  <si>
    <t xml:space="preserve">
SELECT corporate.corp_key, gam.acid,
       lht.LIM_EXP_DATE AS Expiry_Date
FROM CUSTOM.LHT lht
JOIN TBAADM.GAM gam ON lht.ACID = gam.ACID
JOIN CRMUSER.corporate corporate ON corporate.corp_key = gam.ci
</t>
  </si>
  <si>
    <t>Event</t>
  </si>
  <si>
    <t>HACLHM -&gt; Event</t>
  </si>
  <si>
    <t>EVENT_TYPE</t>
  </si>
  <si>
    <t>SELECT corporate.corp_key, gam.acid,
       lht.EVENT_TYPE AS Event
FROM CUSTOM.LHT lht
JOIN TBAADM.GAM gam ON lht.ACID = gam.ACID
JOIN CRMUSER.corporate corporate ON corporate.corp_key = gam.cif_id;</t>
  </si>
  <si>
    <t>HACLHM -&gt; Sanction Limit</t>
  </si>
  <si>
    <t>SELECT corporate.corp_key, gam.acid,
       lht.SANCT_LIM AS Sanction_Limit
FROM CUSTOM.LHT lht
JOIN TBAADM.GAM gam ON lht.ACID = gam.ACID
JOIN CRMUSER.corporate corporate ON corporate.corp_key = gam.cif_id;</t>
  </si>
  <si>
    <t>HACLHM -&gt; Interest</t>
  </si>
  <si>
    <t>LIM_LEV_INT_FLG</t>
  </si>
  <si>
    <t>SELECT corporate.corp_key, gam.acid,
       lht.LIM_LEV_INT_FLG AS Interest
FROM CUSTOM.LHT lht
JOIN TBAADM.GAM gam ON lht.ACID = gam.ACID
JOIN CRMUSER.corporate corporate ON corporate.corp_key = gam.cif_id;</t>
  </si>
  <si>
    <t>Normal Interest Rate</t>
  </si>
  <si>
    <t>HACLHM -&gt; Normal Interest Rate</t>
  </si>
  <si>
    <t>LIM_NRML_INT_PCNT</t>
  </si>
  <si>
    <t>SELECT corporate.corp_key, gam.acid,
       lht.LIM_NRML_INT_PCNT AS Normal_Interest_Rate
FROM CUSTOM.LHT lht
JOIN TBAADM.GAM gam ON lht.ACID = gam.ACID
JOIN CRMUSER.corporate corporate ON corporate.corp_key = gam.cif_id;</t>
  </si>
  <si>
    <t>Penal Interest Rate</t>
  </si>
  <si>
    <t>HACLHM -&gt; Penal Interest Rate</t>
  </si>
  <si>
    <t>LIM_PENAL_INT_PCNT</t>
  </si>
  <si>
    <t xml:space="preserve">SELECT corporate.corp_key, gam.acid,
       lht.LIM_PENAL_INT_PCNT AS Penal_Interest_Rate
FROM CUSTOM.LHT lht
JOIN TBAADM.GAM gam ON lht.ACID = gam.ACID
JOIN CRMUSER.corporate corporate ON corporate.corp_key = gam.cif_id;
</t>
  </si>
  <si>
    <t>Margin Interest Rate</t>
  </si>
  <si>
    <t>HACLHM -&gt; Margin Interest Rate</t>
  </si>
  <si>
    <t>LIM_MARGIN_INT_PCNT</t>
  </si>
  <si>
    <t>SELECT corporate.corp_key, gam.acid,
       lht.LIM_MARGIN_INT_PCNT AS Margin_Interest_Rate
FROM CUSTOM.LHT lht
JOIN TBAADM.GAM gam ON lht.ACID = gam.ACID
JOIN CRMUSER.corporate corporate ON corporate.corp_key = gam.cif_id</t>
  </si>
  <si>
    <t>HACLHM -&gt; Status</t>
  </si>
  <si>
    <t>RCT</t>
  </si>
  <si>
    <t>RCT.REF_CODE, RCT.REF_DESC</t>
  </si>
  <si>
    <t>LHT.ACID=GAM.ACID &amp; accounts.orgkey=GAM.cif_id &amp; RCT.REF_CODE = LHT.status</t>
  </si>
  <si>
    <t>SELECT
    accounts.orgkey,
    GAM.ACID,
    RCT.REF_CODE,
    RCT.REF_DESC AS Status
FROM TBAADM.LHT
JOIN TBAADM.GAM
    ON LHT.ACID = GAM.ACID
JOIN CRMUSER.accounts
    ON accounts.orgkey = GAM.cif_id
JOIN TBAADM.RCT
    ON RCT.REF_CODE = LHT.status;</t>
  </si>
  <si>
    <t>LHT,STATUS</t>
  </si>
  <si>
    <t>Del.</t>
  </si>
  <si>
    <t>HACLHM -&gt; Del.</t>
  </si>
  <si>
    <t>SELECT corporate.corp_key, gam.acid,
       lht.DEL_FLG AS Del
FROM CUSTOM.LHT lht
JOIN TBAADM.GAM gam ON lht.ACID = gam.ACID
JOIN CRMUSER.corporate corporate ON corporate.corp_key = gam.cif_id;</t>
  </si>
  <si>
    <t>OD Details</t>
  </si>
  <si>
    <t>SELECT corporate.corp_key,GAM.ACID, LHT.APPLICABLE_DATE as Application_From_Date
FROM CUSTOM.LHT 
JOIN TBAADM.GAM ON LHT.ACID=GAM.ACID
JOIN crmuser.corporate  ON corporate.corp_key=GAM.cif_id</t>
  </si>
  <si>
    <t>Limit Level Interest</t>
  </si>
  <si>
    <t>HACLHM -&gt; Limit Level Interest</t>
  </si>
  <si>
    <t>SELECT corporate.corp_key, gam.acid,
       lht.LIM_LEV_INT_FLG AS Limit_Level_Interest
FROM CUSTOM.LHT lht
JOIN TBAADM.GAM gam ON lht.ACID = gam.ACID
JOIN CRMUSER.corporate corporate ON corporate.corp_key = gam.cif_id</t>
  </si>
  <si>
    <t>N-Account Level Int.
Y-Limit Level Int.
M-Margin Int.</t>
  </si>
  <si>
    <t>Supercede Record</t>
  </si>
  <si>
    <t>HACLHM -&gt; Supercede Record</t>
  </si>
  <si>
    <t>SUPERCEDE_FLG</t>
  </si>
  <si>
    <t>SELECT corporate.corp_key, gam.acid,
       lht.SUPERCEDE_FLG AS Supercede_Record
FROM CUSTOM.LHT lht
JOIN TBAADM.GAM gam ON lht.ACID = gam.ACID
JOIN CRMUSER.corporate corporate ON corporate.corp_key = gam.cif_id;</t>
  </si>
  <si>
    <t>Sanction Date</t>
  </si>
  <si>
    <t>HACLHM -&gt; Sanction Date</t>
  </si>
  <si>
    <t>LIM_SANCT_DATE</t>
  </si>
  <si>
    <t>SELECT corporate.corp_key, gam.acid,
       lht.LIM_SANCT_DATE AS Sanction_Date
FROM CUSTOM.LHT lht
JOIN TBAADM.GAM gam ON lht.ACID = gam.ACID
JOIN CRMUSER.corporate corporate ON corporate.corp_key = gam.cif_id</t>
  </si>
  <si>
    <t>SELECT corporate.corp_key, gam.acid,
       lht.LIM_EXP_DATE AS Expiry_Date
FROM CUSTOM.LHT lht
JOIN TBAADM.GAM gam ON lht.ACID = gam.ACID
JOIN CRMUSER.corporate corporate ON corporate.corp_key = gam.cif_id</t>
  </si>
  <si>
    <t>Penal Interest From (MMM/DDD)</t>
  </si>
  <si>
    <t>HACLHM -&gt; Penal Interest From (MMM/DDD)</t>
  </si>
  <si>
    <t>LIM_PENALTY_MONTH/LIM_PENALTY_DATE</t>
  </si>
  <si>
    <t>SELECT corporate.corp_key, gam.acid,
       lht.LIM_PENALTY_MONTH AS Penal_Interest_From_MMM,  lht.LIM_PENALTY_DATE AS Penal_Interest_From_DDD 
FROM CUSTOM.LHT lht
JOIN TBAADM.GAM gam ON lht.ACID = gam.ACID
JOIN CRMUSER.corporate corporate ON corporate.corp_key = gam.cif_id</t>
  </si>
  <si>
    <t>LIM_PENALTY_MONTH</t>
  </si>
  <si>
    <t>Penal Interest Date</t>
  </si>
  <si>
    <t>HACLHM -&gt; Penal Interest Date</t>
  </si>
  <si>
    <t>LIM_PENALTY_DATE</t>
  </si>
  <si>
    <t>SELECT corporate.corp_key, gam.acid,
       lht.LIM_PENALTY_DATE AS Penal_Interest_From_DDD
FROM CUSTOM.LHT lht
JOIN TBAADM.GAM gam ON lht.ACID = gam.ACID
JOIN CRMUSER.corporate corporate ON corporate.corp_key = gam.cif_id</t>
  </si>
  <si>
    <t>HACLHM -&gt; Document Date</t>
  </si>
  <si>
    <t>LOAN_PAPER_DATE</t>
  </si>
  <si>
    <t>SELECT corporate.corp_key, gam.acid,
       lht.LOAN_PAPER_DATE AS Document_Date
FROM CUSTOM.LHT lht
JOIN TBAADM.GAM gam ON lht.ACID = gam.ACID
JOIN CRMUSER.corporate corporate ON corporate.corp_key = gam.cif_id;</t>
  </si>
  <si>
    <t>Review Date</t>
  </si>
  <si>
    <t>HACLHM -&gt; Review Date</t>
  </si>
  <si>
    <t>LIM_REVIEW_DATE</t>
  </si>
  <si>
    <t>SELECT corporate.corp_key, gam.acid,
       lht.LIM_REVIEW_DATE AS Review_Date
FROM CUSTOM.LHT lht
JOIN TBAADM.GAM gam ON lht.ACID = gam.ACID
JOIN CRMUSER.corporate corporate ON corporate.corp_key = gam.cif_id;</t>
  </si>
  <si>
    <t>Sanction Level</t>
  </si>
  <si>
    <t>HACLHM -&gt; Sanction Level</t>
  </si>
  <si>
    <t>SANCT_LEVL_CODE</t>
  </si>
  <si>
    <t>SELECT corporate.corp_key, gam.acid,
       lht.SANCT_LEVL_CODE AS Sanction_Level
FROM CUSTOM.LHT lht
JOIN TBAADM.GAM gam ON lht.ACID = gam.ACID
JOIN CRMUSER.corporate corporate ON corporate.corp_key = gam.cif_id</t>
  </si>
  <si>
    <t>Sanction Authority</t>
  </si>
  <si>
    <t>HACLHM -&gt; Sanction Authority</t>
  </si>
  <si>
    <t>SANCT_AUTH_CODE</t>
  </si>
  <si>
    <t>SELECT corporate.corp_key, gam.acid,
       lht.SANCT_AUTH_CODE AS Sanction_Authority
FROM CUSTOM.LHT lht
JOIN TBAADM.GAM gam ON lht.ACID = gam.ACID
JOIN CRMUSER.corporate corporate ON corporate.corp_key = gam.cif_id</t>
  </si>
  <si>
    <t>Sanction Reference No.</t>
  </si>
  <si>
    <t>HACLHM -&gt; Sanction Ref. No.</t>
  </si>
  <si>
    <t>SANCT_REF_NUM</t>
  </si>
  <si>
    <t>SELECT corporate.corp_key, gam.acid,
       lht.SANCT_REF_NUM AS Sanction_Reference_No
FROM CUSTOM.LHT lht
JOIN TBAADM.GAM gam ON lht.ACID = gam.ACID
JOIN CRMUSER.corporate corporate ON corporate.corp_key = gam.cif_id</t>
  </si>
  <si>
    <t>(25 CHAR)</t>
  </si>
  <si>
    <t>SELECT corporate.corp_key, gam.acid,
       lht.STATUS AS Status
FROM CUSTOM.LHT lht
JOIN TBAADM.GAM gam ON lht.ACID = gam.ACID
JOIN CRMUSER.corporate corporate ON corporate.corp_key = gam.cif_id;</t>
  </si>
  <si>
    <t>SELECT corporate.corp_key, gam.acid,
       lht.LIM_NRML_INT_PCNT AS Normal_Interest_Rate
FROM CUSTOM.LHT lht
JOIN TBAADM.GAM gam ON lht.ACID = gam.ACID
JOIN CRMUSER.corporate corporate ON corporate.corp_key = gam.cif_id</t>
  </si>
  <si>
    <t>SELECT corporate.corp_key, gam.acid,
       lht.LIM_PENAL_INT_PCNT AS Penal_Interest_Rate
FROM CUSTOM.LHT lht
JOIN TBAADM.GAM gam ON lht.ACID = gam.ACID
JOIN CRMUSER.corporate corporate ON corporate.corp_key = gam.cif_id;</t>
  </si>
  <si>
    <t xml:space="preserve">SELECT corporate.corp_key, gam.acid,
       lht.LIM_MARGIN_INT_PCNT AS Margin_Interest_Rate
FROM CUSTOM.LHT lht
JOIN TBAADM.GAM gam ON lht.ACID = gam.ACID
JOIN CRMUSER.corporate corporate ON corporate.corp_key = gam.cif_id;
</t>
  </si>
  <si>
    <t>Collateral Description</t>
  </si>
  <si>
    <t>HACLHM -&gt; Collateral Description</t>
  </si>
  <si>
    <t>DESC_OF_SECURITY</t>
  </si>
  <si>
    <t xml:space="preserve">
SELECT corporate.corp_key, gam.acid,
       lht.DESC_OF_SECURITY AS Collateral_Description
FROM CUSTOM.LHT lht
JOIN TBAADM.GAM gam ON lht.ACID = gam.ACID
JOIN CRMUSER.corporate corporate ON corporate.corp_key = gam.cif_id</t>
  </si>
  <si>
    <t>(240 CHAR)</t>
  </si>
  <si>
    <t>HACLHM -&gt; Remarks</t>
  </si>
  <si>
    <t>SELECT corporate.corp_key, gam.acid,
       lht.REMARKS AS Remarks
FROM CUSTOM.LHT lht
JOIN TBAADM.GAM gam ON lht.ACID = gam.ACID
JOIN CRMUSER.corporate corporate ON corporate.corp_key = gam.cif_id</t>
  </si>
  <si>
    <t>Customer Preferential Interest for Debit</t>
  </si>
  <si>
    <t>HACLHM -&gt; Customer Preferential Interest for Debit</t>
  </si>
  <si>
    <t>SELECT corporate.corp_key, gam.acid,
       lht.CUST_DR_PREF_PCNT AS Customer_Preferential_Interest_for_Debit
FROM CUSTOM.LHT lht
JOIN TBAADM.GAM gam ON lht.ACID = gam.ACID
JOIN CRMUSER.corporate corporate ON corporate.corp_key = gam.cif_id</t>
  </si>
  <si>
    <t>NUMBER(9 ,6)</t>
  </si>
  <si>
    <t>A/c Preferential Interest for Debit</t>
  </si>
  <si>
    <t>HACLHM -&gt; A/c Preferential Interest for Debit</t>
  </si>
  <si>
    <t>ACCT_DR_PREF_PCNT</t>
  </si>
  <si>
    <t>SELECT corporate.corp_key, gam.acid,
       lht.ACCT_DR_PREF_PCNT AS Ac_Preferential_Interest_for_Debit
FROM CUSTOM.LHT lht
JOIN TBAADM.GAM gam ON lht.ACID = gam.ACID
JOIN CRMUSER.corporate corporate ON corporate.corp_key = gam.cif_id</t>
  </si>
  <si>
    <t>Min. Interest for Debit %</t>
  </si>
  <si>
    <t>HACLHM -&gt; Min. Interest for Debit Pcnt.</t>
  </si>
  <si>
    <t>SELECT corporate.corp_key, gam.acid,
       ITC.MIN_INT_PCNT_DR AS Ac_Preferential_Interest_for_Debit
FROM CUSTOM.ITC 
JOIN TBAADM.GAM gam ON ITC.Entity_ID = gam.ACID
JOIN CRMUSER.corporate corporate ON corporate.corp_key = gam.cif_id</t>
  </si>
  <si>
    <t>08. Trade Finance</t>
  </si>
  <si>
    <t>CUINQ -&gt; Conventional Account Listing -&gt; Trade Finance -&gt; Account Number</t>
  </si>
  <si>
    <t>GAM,GSP</t>
  </si>
  <si>
    <t>SCHM_CODE ,SCHM_DESC</t>
  </si>
  <si>
    <t>select accounts.orgkey, GAM.ACID,GAM.FORACID  as Product_Number from TBAADM.GAM 
JOIN CRMUSER.accounts ON accounts.orgkey=GAM.cif_id</t>
  </si>
  <si>
    <t>CUINQ -&gt; Conventional Account Listing -&gt; Trade Finance -&gt; Scheme Code</t>
  </si>
  <si>
    <t>GAM.SCHM_CODE &amp; GSP.SCHM_DESC</t>
  </si>
  <si>
    <t> GAM.SCHM_CODE = GSP.SCHM_CODE &amp; ACCOUNTS.ORGKEY=GAM.CIF_ID</t>
  </si>
  <si>
    <t>SCHM_CODE, GAM</t>
  </si>
  <si>
    <t>Scheme Description</t>
  </si>
  <si>
    <t>CUINQ -&gt; Conventional Account Listing -&gt; Trade Finance -&gt; Scheme Description</t>
  </si>
  <si>
    <t>CUINQ -&gt; Conventional Account Listing -&gt; Trade Finance -&gt; Currency</t>
  </si>
  <si>
    <t xml:space="preserve">ACCT_CRNCY_CODE </t>
  </si>
  <si>
    <t>select accounts.orgkey, GAM.ACID,GAM.ACCT_CRNCY_CODE  as Currency from TBAADM.GAM 
JOIN CRMUSER.accounts ON accounts.orgkey=GAM.cif_id</t>
  </si>
  <si>
    <t>CUINQ -&gt; Conventional Account Listing -&gt; Trade Finance -&gt; Amount</t>
  </si>
  <si>
    <t>select accounts.orgkey, GAM.ACID,GAM.CLR_BAL_AMT  as Amount from TBAADM.GAM 
JOIN CRMUSER.accounts ON accounts.orgkey=GAM.cif_id</t>
  </si>
  <si>
    <t>11. Services View</t>
  </si>
  <si>
    <t>Services</t>
  </si>
  <si>
    <t xml:space="preserve">
Finacle SR</t>
  </si>
  <si>
    <t xml:space="preserve">
Finacle CRM -&gt; 360 Degrees View -&gt; Incidents -&gt; Incident Search Results -&gt; Incident ID</t>
  </si>
  <si>
    <t>Caseid</t>
  </si>
  <si>
    <t>accounts.orgkey=Incidents.CRMCUSTID</t>
  </si>
  <si>
    <t>Request Type</t>
  </si>
  <si>
    <t xml:space="preserve">
Finacle CRM -&gt; 360 Degrees View -&gt; Incidents -&gt; Incident Search Results -&gt; Incident Type</t>
  </si>
  <si>
    <t>SERVICEREQUESTTYPE</t>
  </si>
  <si>
    <t>Request Sub Type</t>
  </si>
  <si>
    <t>Finacle SR</t>
  </si>
  <si>
    <t>Finacle CRM -&gt; 360 Degrees View -&gt; Incidents -&gt; Incident Search Results -&gt;Related To</t>
  </si>
  <si>
    <t>Assigned Group</t>
  </si>
  <si>
    <t>Finacle CRM -&gt; 360 Degrees View -&gt; Incidents -&gt; Incident Search Results -&gt; Assigned Group</t>
  </si>
  <si>
    <t>INCIDENTS.STAGENAME</t>
  </si>
  <si>
    <t>INCIDENTS.STAGENAME = CRMUSER.CRMCUSTID AND accounts.ORGKEY = GAM.cif_id</t>
  </si>
  <si>
    <t xml:space="preserve">
Finacle CRM -&gt; 360 Degrees View -&gt; Incidents -&gt; Incident Search Results -&gt; Status</t>
  </si>
  <si>
    <t xml:space="preserve">
Finacle CRM -&gt; Incidents -&gt; List of Incidents -&gt; Created By</t>
  </si>
  <si>
    <t>BOCREATEDBY</t>
  </si>
  <si>
    <t>Requested On</t>
  </si>
  <si>
    <t xml:space="preserve">
Finacle CRM -&gt; 360 Degrees View -&gt; Incidents -&gt; Incident Search Results -&gt; Date Created</t>
  </si>
  <si>
    <t xml:space="preserve">BODATECREATED </t>
  </si>
  <si>
    <t>Finacle CRM -&gt; 360 Degrees View -&gt; Incidents -&gt; Incident Search Results -&gt; Channel</t>
  </si>
  <si>
    <t>CHANNEL</t>
  </si>
  <si>
    <t>Request Remarks</t>
  </si>
  <si>
    <t>Finacle CRM -&gt; 360 Degrees View -&gt; Incidents -&gt; Incident Search Results -&gt; Incident ID Drilldown -&gt; Request Information -&gt; Remarks</t>
  </si>
  <si>
    <t>USERTEXTFIELD1</t>
  </si>
  <si>
    <t>incidents.incidentid=request.requestid &amp; accounts.orgkey=Incidents.CRMCUSTID</t>
  </si>
  <si>
    <t>NCLOB</t>
  </si>
  <si>
    <t>Additional Remarks</t>
  </si>
  <si>
    <t>Finacle CRM -&gt; 360 Degrees View -&gt; Incidents -&gt; Incident Search Results -&gt; Incident ID Drilldown -&gt; Additional Remarks</t>
  </si>
  <si>
    <t>ADDITIONALNOTES</t>
  </si>
  <si>
    <t>Finacle Core -&gt; CUINQ -&gt; Customer Communication -&gt; Customer Communication Details -&gt; Time</t>
  </si>
  <si>
    <t>Address To</t>
  </si>
  <si>
    <t>Finacle Core -&gt; CUINQ -&gt; Customer Communication -&gt; Customer Communication Details -&gt; Address To</t>
  </si>
  <si>
    <t>Event Name</t>
  </si>
  <si>
    <t>Finacle Core -&gt; CUINQ -&gt; Customer Communication -&gt; Customer Communication Details -&gt; Event Name</t>
  </si>
  <si>
    <t>Normal Accrued Int Amount(Dr)</t>
  </si>
  <si>
    <t>SELECT acc.orgkey, gam.acid,
       eit.NRML_ACCRUED_AMOUNT_CR AS interest_breakup_accrued_int_amount
FROM tbaadm.eit eit
JOIN tbaadm.gam gam ON eit.entity_id = gam.acid
JOIN crmuser.accounts acc ON gam.cif_id = acc.orgkey;</t>
  </si>
  <si>
    <t>Normal Accrued Int Amount(Cr)</t>
  </si>
  <si>
    <t>SELECT acc.orgkey, gam.acid,
       eit.NRML_ACCRUED_AMOUNT_DR AS interest_breakup_accrued_int_amount
FROM tbaadm.eit eit
JOIN tbaadm.gam gam ON eit.entity_id = gam.acid
JOIN crmuser.accounts acc ON gam.cif_id = acc.orgkey;</t>
  </si>
  <si>
    <t>Normal Booked Amount(Dr)</t>
  </si>
  <si>
    <t>NRML_BOOKED_AMOUNT_DR</t>
  </si>
  <si>
    <t>SELECT acc.orgkey, gam.acid,
       eit.NRML_BOOKED_AMOUNT_DR AS interest_breakup_booked_amount
FROM tbaadm.eit eit
JOIN tbaadm.gam gam ON eit.entity_id = gam.acid
JOIN crmuser.accounts acc ON gam.cif_id = acc.orgkey;</t>
  </si>
  <si>
    <t>Normal Booked Amount(Cr)</t>
  </si>
  <si>
    <t>NRML_BOOKED_AMOUNT_CR</t>
  </si>
  <si>
    <t>SELECT acc.orgkey, gam.acid,
       eit.NRML_BOOKED_AMOUNT_CR AS interest_breakup_booked_amount
FROM tbaadm.eit eit
JOIN tbaadm.gam gam ON eit.entity_id = gam.acid
JOIN crmuser.accounts acc ON gam.cif_id = acc.orgkey;</t>
  </si>
  <si>
    <t>Normal Int Amount(Dr)</t>
  </si>
  <si>
    <t>SELECT acc.orgkey, gam.acid,
       eit.NRML_INTEREST_AMOUNT_DR AS interest_breakup_int_amt
FROM tbaadm.eit eit
JOIN tbaadm.gam gam ON eit.entity_id = gam.acid
JOIN crmuser.accounts acc ON gam.cif_id = acc.orgkey;</t>
  </si>
  <si>
    <t>Normal Int Amount(Cr)</t>
  </si>
  <si>
    <t>SELECT acc.orgkey, gam.acid,
       eit.NRML_INTEREST_AMOUNT_CR AS interest_breakup_int_amt
FROM tbaadm.eit eit
JOIN tbaadm.gam gam ON eit.entity_id = gam.acid
JOIN crmuser.accounts acc ON gam.cif_id = acc.orgkey;</t>
  </si>
  <si>
    <t>Penal Accrued Int Amount</t>
  </si>
  <si>
    <t>PENAL_ACCRUED_AMOUNT_DR</t>
  </si>
  <si>
    <t>SELECT acc.orgkey, gam.acid,
       eit.PENAL_ACCRUED_AMOUNT_DR AS interest_breakup_accrued_int_amount
FROM tbaadm.eit eit
JOIN tbaadm.gam gam ON eit.entity_id = gam.acid
JOIN crmuser.accounts acc ON gam.cif_id = acc.orgkey;</t>
  </si>
  <si>
    <t>Penal Booked Amount</t>
  </si>
  <si>
    <t>PENAL_BOOKED_AMOUNT_DR</t>
  </si>
  <si>
    <t>SELECT acc.orgkey, gam.acid,
       eit.PENAL_BOOKED_AMOUNT_DR AS interest_breakup_booked_amount
FROM tbaadm.eit eit
JOIN tbaadm.gam gam ON eit.entity_id = gam.acid
JOIN crmuser.accounts acc ON gam.cif_id = acc.orgkey;</t>
  </si>
  <si>
    <t>Penal Int Amount</t>
  </si>
  <si>
    <t>PENAL_INTEREST_AMOUNT_DR</t>
  </si>
  <si>
    <t>SELECT acc.orgkey, gam.acid,
       eit.PENAL_INTEREST_AMOUNT_DR AS interest_breakup_int_amt
FROM tbaadm.eit eit
JOIN tbaadm.gam gam ON eit.entity_id = gam.acid
JOIN crmuser.accounts acc ON gam.cif_id = acc.orgkey;</t>
  </si>
  <si>
    <t>Additional Accrued Int Amount</t>
  </si>
  <si>
    <t>ADDNL_ACCRUED_AMOUNT_DR</t>
  </si>
  <si>
    <t>SELECT acc.orgkey, gam.acid,
       eit.ADDNL_ACCRUED_AMOUNT_DR AS interest_breakup_accrued_int_amount
FROM tbaadm.eit eit
JOIN tbaadm.gam gam ON eit.entity_id = gam.acid
JOIN crmuser.accounts acc ON gam.cif_id = acc.orgkey;</t>
  </si>
  <si>
    <t>Additional  Booked Amount</t>
  </si>
  <si>
    <t>ADDNL_BOOKED_AMOUNT_DR</t>
  </si>
  <si>
    <t>SELECT acc.orgkey, gam.acid,
       eit.ADDNL_BOOKED_AMOUNT_DR AS interest_breakup_booked_amount
FROM tbaadm.eit eit
JOIN tbaadm.gam gam ON eit.entity_id = gam.acid
JOIN crmuser.accounts acc ON gam.cif_id = acc.orgkey;</t>
  </si>
  <si>
    <t>Additional Int Amount</t>
  </si>
  <si>
    <t>ADDNL_INTEREST_AMOUNT_DR</t>
  </si>
  <si>
    <t xml:space="preserve">
SELECT acc.orgkey, gam.acid,
       eit.ADDNL_INTEREST_AMOUNT_DR AS interest_breakup_int_amt
FROM tbaadm.eit eit
JOIN tbaadm.gam gam ON eit.entity_id = gam.acid
JOIN crmuser.accounts acc ON gam.cif_id = acc.orgkey;</t>
  </si>
  <si>
    <t>QIS Accrued Int Amount</t>
  </si>
  <si>
    <t>QIS_ACCRUED_AMOUNT_DR</t>
  </si>
  <si>
    <t>SELECT acc.orgkey, gam.acid,
       eit.QIS_ACCRUED_AMOUNT_DR AS interest_breakup_accrued_int_amount
FROM tbaadm.eit eit
JOIN tbaadm.gam gam ON eit.entity_id = gam.acid
JOIN crmuser.accounts acc ON gam.cif_id = acc.orgkey;</t>
  </si>
  <si>
    <t>QIS  Booked Amount</t>
  </si>
  <si>
    <t>QIS_BOOKED_AMOUNT_DR</t>
  </si>
  <si>
    <t>SELECT acc.orgkey, gam.acid,
       eit.QIS_BOOKED_AMOUNT_DR AS interest_breakup_booked_amount
FROM tbaadm.eit eit
JOIN tbaadm.gam gam ON eit.entity_id = gam.acid
JOIN crmuser.accounts acc ON gam.cif_id = acc.orgkey;</t>
  </si>
  <si>
    <t>QIS Int Amount</t>
  </si>
  <si>
    <t>QIS_INTEREST_AMOUNT_DR</t>
  </si>
  <si>
    <t>SELECT acc.orgkey, gam.acid,
       eit.QIS_INTEREST_AMOUNT_DR AS interest_breakup_int_amt
FROM tbaadm.eit eit
JOIN tbaadm.gam gam ON eit.entity_id = gam.acid
JOIN crmuser.accounts acc ON gam.cif_id = acc.orgkey;</t>
  </si>
  <si>
    <t>Stock  Accrued Int Amount</t>
  </si>
  <si>
    <t>STOCK_ACCRUED_AMOUNT_DR</t>
  </si>
  <si>
    <t>SELECT acc.orgkey, gam.acid,
       eit.STOCK_ACCRUED_AMOUNT_DR AS interest_breakup_accrued_int_amount
FROM tbaadm.eit eit
JOIN tbaadm.gam gam ON eit.entity_id = gam.acid
JOIN crmuser.accounts acc ON gam.cif_id = acc.orgkey;</t>
  </si>
  <si>
    <t>Stock  Booked Amount</t>
  </si>
  <si>
    <t>STOCK_BOOKED_AMOUNT_DR</t>
  </si>
  <si>
    <t xml:space="preserve">
SELECT acc.orgkey, gam.acid,
       eit.STOCK_BOOKED_AMOUNT_DR AS interest_breakup_booked_amount
FROM tbaadm.eit eit
JOIN tbaadm.gam gam ON eit.entity_id = gam.acid
JOIN crmuser.accounts acc ON gam.cif_id = acc.orgkey;</t>
  </si>
  <si>
    <t>Stock Int Amount</t>
  </si>
  <si>
    <t>STOCK_INTEREST_AMOUNT_DR</t>
  </si>
  <si>
    <t>SELECT acc.orgkey, gam.acid,
       eit.STOCK_INTEREST_AMOUNT_DR AS interest_breakup_int_amt
FROM tbaadm.eit eit
JOIN tbaadm.gam gam ON eit.entity_id = gam.acid
JOIN crmuser.accounts acc ON gam.cif_id = acc.orgkey;</t>
  </si>
  <si>
    <t>Recommended Filter</t>
  </si>
  <si>
    <t>Support required from WMS?</t>
  </si>
  <si>
    <t>09.Investment</t>
  </si>
  <si>
    <t>Investment ID</t>
  </si>
  <si>
    <t>Maintain Investment ID -&gt; Investment ID</t>
  </si>
  <si>
    <t xml:space="preserve">WMS SIT </t>
  </si>
  <si>
    <t>accounts.orgkey=WIGDT.CIF_ID</t>
  </si>
  <si>
    <t>VARCHAR2(16 CHAR)</t>
  </si>
  <si>
    <t>sequence number</t>
  </si>
  <si>
    <t>YES</t>
  </si>
  <si>
    <t>Risk Profile Category</t>
  </si>
  <si>
    <t>Maintain Investment ID -&gt; General -&gt; Risk Profile Category</t>
  </si>
  <si>
    <t>ORIG_RISK_PROFILE_CAT</t>
  </si>
  <si>
    <t>SELECT
    -- ACCOUNTS.ORGKEY AS ORGKEY,
    WIGDT.ORIG_RISK_PROFILE_CAT AS Risk_Profile_Category
FROM TBAADM.WIGDT
JOIN CRMUSER.ACCOUNTS
    ON ACCOUNTS.ORGKEY = WIGDT.CIF_ID;</t>
  </si>
  <si>
    <t xml:space="preserve">without accounts join  15332 </t>
  </si>
  <si>
    <t>VARCHAR2(100 CHAR)</t>
  </si>
  <si>
    <t>Final Risk Profile Category</t>
  </si>
  <si>
    <t>Maintain Investment ID -&gt; General -&gt; Final Risk Profile Category</t>
  </si>
  <si>
    <t>RISK_PROFILE_CAT</t>
  </si>
  <si>
    <t>Final Risk Score</t>
  </si>
  <si>
    <t>Maintain Investment ID -&gt; General -&gt; Final Risk Score</t>
  </si>
  <si>
    <t>RISK_PROFILE_SCORE_STR</t>
  </si>
  <si>
    <t>VARCHAR2(36 CHAR)</t>
  </si>
  <si>
    <t>Risk Profile Score</t>
  </si>
  <si>
    <t>Maintain Investment ID -&gt; General -&gt; Risk Profile Score</t>
  </si>
  <si>
    <t>ORIG_RISK_PROFILE_SCORE_STR</t>
  </si>
  <si>
    <t>SELECT
    -- ACCOUNTS.ORGKEY AS ORGKEY,
    WIGDT.ORIG_RISK_PROFILE_SCORE_STR AS Risk_Profile_Score
FROM TBAADM.WIGDT
JOIN CRMUSER.ACCOUNTS
    ON ACCOUNTS.ORGKEY = WIGDT.CIF_ID;</t>
  </si>
  <si>
    <t>Number</t>
  </si>
  <si>
    <t>Maintain Investment ID -&gt; General -&gt; Risk Profile Expiry Date</t>
  </si>
  <si>
    <t>RISK_PROFILE_EXP_DATE</t>
  </si>
  <si>
    <t>SELECT
    -- ACCOUNTS.ORGKEY AS ORGKEY,
    WIGDT.RISK_PROFILE_EXP_DATE AS Risk_Profile_Expiry_Date
FROM TBAADM.WIGDT
JOIN CRMUSER.ACCOUNTS
    ON ACCOUNTS.ORGKEY = WIGDT.CIF_ID;</t>
  </si>
  <si>
    <t>Maintain Investment ID -&gt; General -&gt; Mode of Operation</t>
  </si>
  <si>
    <t>MODE_OF_OPER_AC</t>
  </si>
  <si>
    <t>SELECT
    -- ACCOUNTS.ORGKEY AS ORGKEY,
    WIGDT.MODE_OF_OPER_AC AS Mode_of_Operation
FROM TBAADM.WIGDT 
JOIN CRMUSER.ACCOUNTS
    ON ACCOUNTS.ORGKEY = WIGDT.CIF_ID</t>
  </si>
  <si>
    <t>ref_rec_type = 6W</t>
  </si>
  <si>
    <t>VARCHAR2(5 CHAR)</t>
  </si>
  <si>
    <t>Investment ID Preferred Currency</t>
  </si>
  <si>
    <t>Mutual Fund IPO or Subscription -&gt; Investment ID Preferred Currency</t>
  </si>
  <si>
    <t>PREF_CRNCY_CODE</t>
  </si>
  <si>
    <t>VARCHAR2(3 CHAR)</t>
  </si>
  <si>
    <t>Maintain Investment ID -&gt; Investment ID Status</t>
  </si>
  <si>
    <t>INV_STATUS</t>
  </si>
  <si>
    <t>CHAR(1 BYTE)</t>
  </si>
  <si>
    <t>Total Value</t>
  </si>
  <si>
    <t>Inquire on Investment Portfolio -&gt; Overview -&gt; Asset Class Overview -&gt; Total</t>
  </si>
  <si>
    <t>This is a sum of value of Current Investment Value for all asset classes. This value will be calculated at run time and is not stored in any table.</t>
  </si>
  <si>
    <t xml:space="preserve">NO </t>
  </si>
  <si>
    <t>Asset Class</t>
  </si>
  <si>
    <t>Asset Overview</t>
  </si>
  <si>
    <t>Inquire on Investment Portfolio -&gt; Overview -&gt; Asset Class Overview -&gt; Asset Class</t>
  </si>
  <si>
    <t>Specs yet to be received from WMS team</t>
  </si>
  <si>
    <t>This is a static list of all Asset Classes available in WMS. Licensed Asset Classes for RAK are - Bonds, Mutual Funds, Structured Products, Equities, Alternate Investments</t>
  </si>
  <si>
    <t>NO</t>
  </si>
  <si>
    <t>Inquire on Investment Portfolio -&gt; Overview -&gt; Asset Class Overview -&gt; CCY</t>
  </si>
  <si>
    <t>PFST</t>
  </si>
  <si>
    <t>INV_ID_CCY_CODE</t>
  </si>
  <si>
    <t xml:space="preserve">"PFST.INVESTMENT_ID = BOTFST.INV_ID
BOTBST.INV_ID = WIGDT.INV_ID AND WIGDT.CIF_ID = ACCOUNTS.ORGKEY"
</t>
  </si>
  <si>
    <t>Need to check with Arvind as table is not there</t>
  </si>
  <si>
    <t>SELECT
    -- ACCOUNTS.ORGKEY AS ORGKEY,
    PFST.INV_ID_CCY_CODE AS Currency
FROM TBAADM.PFST
JOIN TBAADM.BOTFST
    ON PFST.INVESTMENT_ID = BOTFST.INV_ID
JOIN TBAADM.BOTBST
    ON BOTBST.INV_ID = WIGDT.INV_ID
JOIN TBAADM.WIGDT
    ON WIGDT.CIF_ID = ACCOUNTS.ORGKEY
JOIN CRMUSER.ACCOUNTS
    ON WIGDT.CIF_ID = ACCOUNTS.ORGKEY;</t>
  </si>
  <si>
    <t>Current Investment Value</t>
  </si>
  <si>
    <t>Inquire on Investment Portfolio -&gt; Overview -&gt; Asset Class Overview -&gt; Current Investment Value</t>
  </si>
  <si>
    <t xml:space="preserve"> INV_VAL_MF_INVESTR_PREF_CCY,INV_VAL_BO_INVESTR_PREF_CCY,INV_VAL_SP_INVESTR_PREF_CCY,INV_VAL_AI_INVESTR_PREF_CCY,INV_VAL_EQ_INVESTR_PREF_CCY,
 INV_VAL_MF_INVESTR_PREF_CCY + INV_VAL_BO_INVESTR_PREF_CCY + INV_VAL_SP_INVESTR_PREF_CCY + INV_VAL_AI_INVESTR_PREF_CCY + INV_VAL_EQ_INVESTR_PREF_CCY, 
 INV_ID_CCY_CODE 
</t>
  </si>
  <si>
    <t>accounts.orgkey=PFST.CIF_ID</t>
  </si>
  <si>
    <t>SELECT INV_VAL_MF_INVESTR_PREF_CCY,INV_VAL_BO_INVESTR_PREF_CCY,INV_VAL_SP_INVESTR_PREF_CCY,INV_VAL_AI_INVESTR_PREF_CCY,INV_VAL_EQ_INVESTR_PREF_CCY,
 INV_VAL_MF_INVESTR_PREF_CCY + INV_VAL_BO_INVESTR_PREF_CCY + INV_VAL_SP_INVESTR_PREF_CCY + INV_VAL_AI_INVESTR_PREF_CCY + INV_VAL_EQ_INVESTR_PREF_CCY,
 INV_ID_CCY_CODE
 FROM TBAADM.PFST WHERE INVESTMENT_ID = '010167702'
 AND TO_DATE = (SELECT MAX(TO_DATE) FROM TBAADM.PFST WHERE INVESTMENT_ID = '010167702')
 AND BANK_ID = 'RAK'  AND DEL_FLG != 'Y'
 AND ROWNUM=1 ;</t>
  </si>
  <si>
    <t xml:space="preserve">Each asset class will be fetched from distinct column from the latest PFST record. INV_VAL_MF_INVESTR_PREF_CCY (Mutual Funds), INV_VAL_SP_INVESTR_PREF_CCY (Structured Products), INV_VAL_EQ_INVESTR_PREF_CCY (Equities), INV_VAL_INS_INVESTR_PREF_CCY (Insurance), INV_VAL_BO_INVESTR_PREF_CCY (Bonds) "SELECT INV_VAL_MF_INVESTR_PREF_CCY,INV_VAL_BO_INVESTR_PREF_CCY,INV_VAL_SP_INVESTR_PREF_CCY,INV_VAL_AI_INVESTR_PREF_CCY,INV_VAL_EQ_INVESTR_PREF_CCY,
 INV_VAL_MF_INVESTR_PREF_CCY + INV_VAL_BO_INVESTR_PREF_CCY + INV_VAL_SP_INVESTR_PREF_CCY + INV_VAL_AI_INVESTR_PREF_CCY + INV_VAL_EQ_INVESTR_PREF_CCY, 
 INV_ID_CCY_CODE 
 FROM TBAADM.PFST WHERE INVESTMENT_ID = '010167702'
 AND TO_DATE = (SELECT MAX(TO_DATE) FROM TBAADM.PFST WHERE INVESTMENT_ID = '010167702')
 AND BANK_ID = 'RAK'  AND DEL_FLG != 'Y'
 AND ROWNUM=1 ;"
</t>
  </si>
  <si>
    <t>Inquire on Investment Portfolio -&gt; Overview -&gt; Asset Class Overview -&gt; Pcnt.</t>
  </si>
  <si>
    <t>This field is calculated at runtime based on the Asset Class value and total value</t>
  </si>
  <si>
    <t>Customer Risk Profile</t>
  </si>
  <si>
    <t>Mutual Funds</t>
  </si>
  <si>
    <t>Mutual Fund IPO or Subscription -&gt; Customer Risk profile</t>
  </si>
  <si>
    <t>SELECT
    -- ACCOUNTS.ORGKEY AS ORGKEY,
    WIGDT.RISK_PROFILE_CAT AS CUSTOMER_RISK_PROFILE
FROM TBAADM.WIGDT
WHERE ACCOUNTS.ORGKEY = WIGDT.CIF_ID;</t>
  </si>
  <si>
    <t>without account join 15322</t>
  </si>
  <si>
    <t>Fund Risk Profile</t>
  </si>
  <si>
    <t>Mutual Fund IPO or Subscription -&gt; Fund Risk profile</t>
  </si>
  <si>
    <t>MFFMT</t>
  </si>
  <si>
    <t>Fund_ID?</t>
  </si>
  <si>
    <t>Client Classification</t>
  </si>
  <si>
    <t>Mutual Fund IPO or Subscription -&gt; Client Classification</t>
  </si>
  <si>
    <t>FREE_CODE1</t>
  </si>
  <si>
    <t>SELECT
    -- ACCOUNTS.ORGKEY AS ORGKEY,
    WIGDT.FREE_CODE1 AS CLIENT_CLASSIFICATION
FROM TBAADM.WIGDT
WHERE ACCOUNTS.ORGKEY = WIGDT.CIF_ID;
``</t>
  </si>
  <si>
    <t>ref_rec_type = I1</t>
  </si>
  <si>
    <t>Fund Name</t>
  </si>
  <si>
    <t>Inquire on Investment Portfolio -&gt; Mutual Funds -&gt; Fund Name</t>
  </si>
  <si>
    <t>FUND_NAME</t>
  </si>
  <si>
    <t>MFFMT.FUND_ID = MFBKHT.FUND_ID &amp;
MFBKHT.INV_ID = WIGDT.INV_ID &amp; ACCOUNTS.ORGKEY</t>
  </si>
  <si>
    <t>SELECT
    -- ACCOUNTS.ORGKEY AS ORGKEY,
    MFFMT.FUND_NAME AS FUND_NAME
FROM TBAADM.MFFMT
JOIN TBAADM.MFBKHT
    ON MFFMT.FUND_ID = MFBKHT.FUND_ID
JOIN TBAADM.WIGDT
    ON MFBKHT.INV_ID = WIGDT.INV_ID
WHERE ACCOUNTS.ORGKEY = WIGDT.CIF_ID;
``</t>
  </si>
  <si>
    <t>VARCHAR2(120 CHAR)</t>
  </si>
  <si>
    <t>Fund Currency</t>
  </si>
  <si>
    <t>Inquire on Investment Portfolio -&gt; Mutual Funds -&gt; Fund CCY</t>
  </si>
  <si>
    <t>MFTBST</t>
  </si>
  <si>
    <t>FUND_CCY</t>
  </si>
  <si>
    <t>MFTBST.INV_ID= WIGDT.INV_ID &amp;
WIGDT.CIF_ID = ACCOUNTS.ORGKEY</t>
  </si>
  <si>
    <t>SELECT
    -- ACCOUNTS.ORGKEY AS ORGKEY,
    MFTBST.FUND_CCY AS FUND_CURRENCY
FROM TBAADM.MFTBST
JOIN TBAADM.WIGDT
    ON MFTBST.INV_ID = WIGDT.INV_ID
   AND WIGDT.CIF_ID = ACCOUNTS.ORGKEY;</t>
  </si>
  <si>
    <t>without account join 6917</t>
  </si>
  <si>
    <t>Payment Type</t>
  </si>
  <si>
    <t>Inquire on Investment Portfolio -&gt; Mutual Funds -&gt; Payment Type</t>
  </si>
  <si>
    <t>PMNT_TYPE</t>
  </si>
  <si>
    <t>SELECT
    -- ACCOUNTS.ORGKEY AS ORGKEY,
    MFTBST.PMNT_TYPE AS PAYMENT_TYPE
FROM TBAADM.MFTBST
JOIN TBAADM.WIGDT
    ON MFTBST.INV_ID = WIGDT.INV_ID
   AND WIGDT.CIF_ID = ACCOUNTS.ORGKEY;</t>
  </si>
  <si>
    <t>VARCHAR2(4 CHAR)</t>
  </si>
  <si>
    <t>Folio Number</t>
  </si>
  <si>
    <t>Inquire on Investment Portfolio -&gt; Mutual Funds -&gt; Folio Number</t>
  </si>
  <si>
    <t>FOLIO_NUM</t>
  </si>
  <si>
    <t>SELECT
    -- ACCOUNTS.ORGKEY AS ORGKEY,
    MFTBST.FOLIO_NUM AS FOLIO_NUMBER
FROM TBAADM.MFTBST
JOIN TBAADM.WIGDT
    ON MFTBST.INV_ID = WIGDT.INV_ID
   AND WIGDT.CIF_ID = ACCOUNTS.ORGKEY;</t>
  </si>
  <si>
    <t>VARCHAR2(20 CHAR)</t>
  </si>
  <si>
    <t>Holding Date</t>
  </si>
  <si>
    <t>Inquire on Investment Portfolio -&gt; Mutual Funds -&gt; Holding Date</t>
  </si>
  <si>
    <t>DB_STAT_DATE</t>
  </si>
  <si>
    <t>Number of Units</t>
  </si>
  <si>
    <t>Inquire on Investment Portfolio -&gt; Mutual Funds -&gt; Number of Units</t>
  </si>
  <si>
    <t xml:space="preserve">MFTBST </t>
  </si>
  <si>
    <t>CONFIRMED_UNITS</t>
  </si>
  <si>
    <t>SELECT
    -- ACCOUNTS.ORGKEY AS ORGKEY,
    MFTBST.CONFIRMED_UNITS AS NUMBER_OF_UNITS
FROM TBAADM.MFTBST
JOIN TBAADM.WIGDT
    ON MFTBST.INV_ID = WIGDT.INV_ID
   AND WIGDT.CIF_ID = ACCOUNTS.ORGKEY;</t>
  </si>
  <si>
    <t>NUMBER(19,6)</t>
  </si>
  <si>
    <t>Average Cost</t>
  </si>
  <si>
    <t>Inquire on Investment Portfolio -&gt; Mutual Funds -&gt; Average Cost</t>
  </si>
  <si>
    <t>SELECT
    -- ACCOUNTS.ORGKEY AS ORGKEY,
    MFTBST.AVG_HOLD_COST_EXCL_FEE AS AVERAGE_COST
FROM TBAADM.MFTBST
JOIN TBAADM.WIGDT
    ON MFTBST.INV_ID = WIGDT.INV_ID
   AND WIGDT.CIF_ID = ACCOUNTS.ORGKEY;</t>
  </si>
  <si>
    <t>Current NAV</t>
  </si>
  <si>
    <t>Inquire on Investment Portfolio -&gt; Mutual Funds -&gt; Current NAV</t>
  </si>
  <si>
    <t>MFFLT</t>
  </si>
  <si>
    <t>LATEST_NAV</t>
  </si>
  <si>
    <t xml:space="preserve">MFFLT.FUND_ID  = MFBKHT.FUND_ID &amp;
MFBKHT.INV_ID = WIGDT.INV_ID &amp; ACCOUNTS.ORGKEY
</t>
  </si>
  <si>
    <t>Book Value</t>
  </si>
  <si>
    <t>Inquire on Investment Portfolio -&gt; Mutual Funds -&gt; Book Value</t>
  </si>
  <si>
    <t xml:space="preserve">Static field
</t>
  </si>
  <si>
    <t> MFTBST</t>
  </si>
  <si>
    <t>AVG_COST * CONFIRMED_UNITS</t>
  </si>
  <si>
    <t xml:space="preserve">]MFTBST.FUND_CD = MFBKHT.FUND_ID &amp;
MFBKHT.INV_ID = WIGDT.INV_ID &amp; ACCOUNTS.ORGKEY
</t>
  </si>
  <si>
    <t>This field is calculated at runtime based on the no of units and average cost.</t>
  </si>
  <si>
    <t>Market Value</t>
  </si>
  <si>
    <t>Inquire on Investment Portfolio -&gt; Mutual Funds -&gt; Market Value</t>
  </si>
  <si>
    <t> MFTBST,MFFLT</t>
  </si>
  <si>
    <t>LATEST_NAV * CONFIRMED_UNITS</t>
  </si>
  <si>
    <t>This field is calculated at runtime based on the no of units and current NAV.</t>
  </si>
  <si>
    <t>Inquire on Investment Portfolio -&gt; Mutual Funds -&gt; Investment ID Preferred Currency</t>
  </si>
  <si>
    <t>SELECT
    -- ACCOUNTS.ORGKEY AS ORGKEY,
    WIGDT.PREF_CRNCY_CODE AS PREF_CURRENCY
FROM TBAADM.WIGDT
WHERE ACCOUNTS.ORGKEY = WIGDT.CIF_ID;</t>
  </si>
  <si>
    <t>Market Value in Preferred Currency</t>
  </si>
  <si>
    <t>Inquire on Investment Portfolio -&gt; Mutual Funds -&gt; Market Value in Preferred Currency</t>
  </si>
  <si>
    <t>This field is calculated at runtime.</t>
  </si>
  <si>
    <t>Unrealized Gain/ Loss</t>
  </si>
  <si>
    <t>Inquire on Investment Portfolio -&gt; Mutual Funds -&gt; Unrealized Gain/ Loss</t>
  </si>
  <si>
    <t>Unrealized Gain/ Loss %</t>
  </si>
  <si>
    <t>Inquire on Investment Portfolio -&gt; Mutual Funds -&gt; Unrealized Gain/ Loss %</t>
  </si>
  <si>
    <t>Net Asset Value Date</t>
  </si>
  <si>
    <t>Inquire on Investment Portfolio -&gt; Mutual Funds -&gt; Net Asset Value Date</t>
  </si>
  <si>
    <t>latest_nav_date</t>
  </si>
  <si>
    <t>MFTBST.FUND_CD= MFFLT.FUND_ID &amp;
MFTBST.INV_ID = WIGDT.INV_ID &amp; ACCOUNTS.ORGKEY</t>
  </si>
  <si>
    <t>SELECT
    -- ACCOUNTS.ORGKEY AS ORGKEY,
    MFFLT.LATEST_NAV_DATE AS NAV_DATE
FROM TBAADM.MFFLT
JOIN TBAADM.MFTBST
    ON MFTBST.FUND_CD = MFFLT.FUND_ID
JOIN TBAADM.WIGDT
    ON MFTBST.INV_ID = WIGDT.INV_ID
WHERE ACCOUNTS.ORGKEY = WIGDT.CIF_ID;
``</t>
  </si>
  <si>
    <t>Structured Products</t>
  </si>
  <si>
    <t>Inquire on Investment Portfolio -&gt; Structured Products -&gt; Current Investment Amt. Product Name</t>
  </si>
  <si>
    <t>SPGEN</t>
  </si>
  <si>
    <t>PROD_NAME</t>
  </si>
  <si>
    <t>Product CCY</t>
  </si>
  <si>
    <t>Inquire on Investment Portfolio -&gt; Structured Products -&gt; Product CCY</t>
  </si>
  <si>
    <t>PROD_CRNCY_CODE</t>
  </si>
  <si>
    <t>Order ID</t>
  </si>
  <si>
    <t>Inquire on Investment Portfolio -&gt; Structured Products -&gt; Order ID</t>
  </si>
  <si>
    <t xml:space="preserve">SPOD </t>
  </si>
  <si>
    <t>ORDER_ID</t>
  </si>
  <si>
    <t>Current Investment Amount</t>
  </si>
  <si>
    <t xml:space="preserve">Inquire on Investment Portfolio -&gt; Structured Products -&gt; Current Investment Amt. </t>
  </si>
  <si>
    <t>OUTSTANDING_INVESTMENT_AMT</t>
  </si>
  <si>
    <t>Settlement Price</t>
  </si>
  <si>
    <t>Inquire on Investment Portfolio -&gt; Structured Products -&gt; Settlement Price</t>
  </si>
  <si>
    <t>Settlement Value (in Product CCY)</t>
  </si>
  <si>
    <t>Inquire on Investment Portfolio -&gt; Structured Products -&gt; Settlement Value (in Product CCY)</t>
  </si>
  <si>
    <t>SPOD</t>
  </si>
  <si>
    <t>SETTLEMENT_AMOUNT</t>
  </si>
  <si>
    <t>Market Price</t>
  </si>
  <si>
    <t>Inquire on Investment Portfolio -&gt; Structured Products -&gt; Market Price</t>
  </si>
  <si>
    <t>Market Price Date</t>
  </si>
  <si>
    <t>Inquire on Investment Portfolio -&gt; Structured Products -&gt; Market Price Date</t>
  </si>
  <si>
    <t>Market Value (in Product CCY)</t>
  </si>
  <si>
    <t>Inquire on Investment Portfolio -&gt; Structured Products -&gt; Market Value (in Product CCY)</t>
  </si>
  <si>
    <t>Accrued Interest (in Product CCY)</t>
  </si>
  <si>
    <t>Inquire on Investment Portfolio -&gt; Structured Products -&gt; Accrued Interest (in Product CCY)</t>
  </si>
  <si>
    <t>Accrued Interest Date</t>
  </si>
  <si>
    <t>Inquire on Investment Portfolio -&gt; Structured Products -&gt; Accrued Interest Date</t>
  </si>
  <si>
    <t xml:space="preserve">SPAI </t>
  </si>
  <si>
    <t>ACCR_UPTO_DATE</t>
  </si>
  <si>
    <t>Investment ID Preferred CCY</t>
  </si>
  <si>
    <t>Inquire on Investment Portfolio -&gt; Structured Products -&gt; Investment ID Preferred CCY</t>
  </si>
  <si>
    <t>Settlement Value (in Preferred CCY)</t>
  </si>
  <si>
    <t>Inquire on Investment Portfolio -&gt; Structured Products -&gt; Settlement Value (in Preferred CCY)</t>
  </si>
  <si>
    <t>Market Value (in Preferred CCY)</t>
  </si>
  <si>
    <t>Inquire on Investment Portfolio -&gt; Structured Products -&gt; Market Value (in Preferred CCY)</t>
  </si>
  <si>
    <t>Unrealized Gain/Loss (in Product CCY)</t>
  </si>
  <si>
    <t>Inquire on Investment Portfolio -&gt; Structured Products -&gt; Unrealized Gain/Loss (in Product CCY)</t>
  </si>
  <si>
    <t>Unrealized Gain/ Loss Product CCY %</t>
  </si>
  <si>
    <t>Inquire on Investment Portfolio -&gt; Structured Products -&gt; Unrealized Gain/ Loss Pcnt.</t>
  </si>
  <si>
    <t>Unrealized Gain/ Loss  (in Preferred CCY)</t>
  </si>
  <si>
    <t>Inquire on Investment Portfolio -&gt; Structured Products -&gt; Unrealized Gain/ Loss  (in Preferred CCY)</t>
  </si>
  <si>
    <t>Unrealized Gain/ Loss Preferred CCY  %</t>
  </si>
  <si>
    <t>Custody Account Number</t>
  </si>
  <si>
    <t>Equities</t>
  </si>
  <si>
    <t>Inquire on Investment Portfolio -&gt; Equities -&gt; Custody A/c No.</t>
  </si>
  <si>
    <t>WICDT</t>
  </si>
  <si>
    <t>CUSTODIAN_ACCT</t>
  </si>
  <si>
    <t>WICDT.INV_ID = WIGDT.INV_ID AND WIGDT.CIF_ID = ACCOUNTS.ORGKEY</t>
  </si>
  <si>
    <t>For inv_id and WICDT.asset_class = 'EQ'</t>
  </si>
  <si>
    <t>SELECT
    -- ACCOUNTS.ORGKEY AS ORGKEY,
    WICDT.CUSTODIAN_ACCT AS Custody_Account_Number
FROM TBAADM.WICDT
JOIN TBAADM.WIGDT
    ON WICDT.INV_ID = WIGDT.INV_ID  
JOIN CRMUSER.ACCOUNTS
    ON WIGDT.CIF_ID = ACCOUNTS.ORGKEY
where asset_class = 'EQ';</t>
  </si>
  <si>
    <t>For inv_id and asset_class = 'EQ'</t>
  </si>
  <si>
    <t>VARCHAR2(30 CHAR)</t>
  </si>
  <si>
    <t>Equity Category</t>
  </si>
  <si>
    <t>Inquire on Investment Portfolio -&gt; Equities -&gt; Equity Category</t>
  </si>
  <si>
    <t>EQSMT</t>
  </si>
  <si>
    <t>ASSET_SUB_TYPE</t>
  </si>
  <si>
    <t>EQSMT.SECURITY_CODE = EQIBST.SECURITY_CODE AND EQIBST.INV_ID AND WIGDT.INV_ID AND WIGDT.CIF_ID = ACCOUNTS.ORGKEY</t>
  </si>
  <si>
    <t>SELECT
    -- ACCOUNTS.ORGKEY AS ORGKEY,
    EQSMT.ASSET_SUB_TYPE AS Equity_Category
FROM TBAADM.EQSMT
JOIN TBAADM.EQIBST
    ON EQSMT.SECURITY_CODE = EQIBST.SECURITY_CODE
JOIN TBAADM.WIGDT
    ON EQIBST.INV_ID = WIGDT.INV_ID
JOIN CRMUSER.ACCOUNTS
    ON WIGDT.CIF_ID = ACCOUNTS.ORGKEY;
``</t>
  </si>
  <si>
    <t>No records</t>
  </si>
  <si>
    <t>VARCHAR2(2 CHAR)</t>
  </si>
  <si>
    <t>Security Name</t>
  </si>
  <si>
    <t>Inquire on Investment Portfolio -&gt; Equities -&gt; Security Name</t>
  </si>
  <si>
    <t>SECURITY_NAME</t>
  </si>
  <si>
    <t>SELECT
    -- ACCOUNTS.ORGKEY AS ORGKEY,
    EQSMT.SECURITY_NAME AS Security_Name
FROM TBAADM.EQSMT
JOIN TBAADM.EQIBST
    ON EQSMT.SECURITY_CODE = EQIBST.SECURITY_CODE
JOIN TBAADM.WIGDT
    ON EQIBST.INV_ID = WIGDT.INV_ID
JOIN CRMUSER.ACCOUNTS
    ON WIGDT.CIF_ID = ACCOUNTS.ORGKEY;</t>
  </si>
  <si>
    <t>VARCHAR2(250 CHAR)</t>
  </si>
  <si>
    <t>Security Currency</t>
  </si>
  <si>
    <t>Inquire on Investment Portfolio -&gt; Equities -&gt; Security CCY</t>
  </si>
  <si>
    <t>SECURITY_CCY</t>
  </si>
  <si>
    <t>SELECT
    -- ACCOUNTS.ORGKEY AS ORGKEY,
    EQSMT.SECURITY_CCY AS Security_Currency
FROM TBAADM.EQSMT
JOIN TBAADM.EQIBST
    ON EQSMT.SECURITY_CODE = EQIBST.SECURITY_CODE
JOIN TBAADM.WIGDT
    ON EQIBST.INV_ID = WIGDT.INV_ID
JOIN CRMUSER.ACCOUNTS
    ON WIGDT.CIF_ID = ACCOUNTS.ORGKEY;</t>
  </si>
  <si>
    <t>No. of Shares</t>
  </si>
  <si>
    <t>Inquire on Investment Portfolio -&gt; Equities -&gt; No. Of Shares</t>
  </si>
  <si>
    <t>EQIBST</t>
  </si>
  <si>
    <t>confirmed_units</t>
  </si>
  <si>
    <t>EQIBST.INV_ID = WIGDT.INV_ID AND WIGDT.CIF_ID = ACCOUNTS.ORGKEY</t>
  </si>
  <si>
    <t>SELECT
    -- ACCOUNTS.ORGKEY AS ORGKEY,
    EQIBST.CONFIRMED_UNITS AS No_of_Shares
FROM TBAADM.EQIBST
JOIN TBAADM.WIGDT
    ON EQIBST.INV_ID = WIGDT.INV_ID
JOIN CRMUSER.ACCOUNTS
    ON WIGDT.CIF_ID = ACCOUNTS.ORGKEY;</t>
  </si>
  <si>
    <t>Inquire on Investment Portfolio -&gt; Equities -&gt; Average Cost</t>
  </si>
  <si>
    <t>AVG_PRICE</t>
  </si>
  <si>
    <t>SELECT
    -- ACCOUNTS.ORGKEY AS ORGKEY,
    EQIBST.AVG_PRICE AS Average_Cost
FROM TBAADM.EQIBST
JOIN TBAADM.WIGDT
    ON EQIBST.INV_ID = WIGDT.INV_ID
JOIN CRMUSER.ACCOUNTS
    ON WIGDT.CIF_ID = ACCOUNTS.ORGKEY;</t>
  </si>
  <si>
    <t>Inquire on Investment Portfolio -&gt; Equities -&gt; Market Price</t>
  </si>
  <si>
    <t>CLOSING_PRICE</t>
  </si>
  <si>
    <t>For latest price_date, No records</t>
  </si>
  <si>
    <t>Price Date</t>
  </si>
  <si>
    <t>Inquire on Investment Portfolio -&gt; Equities -&gt; Price Date</t>
  </si>
  <si>
    <t>PRICE_DATE</t>
  </si>
  <si>
    <t xml:space="preserve">SELECT
    -- ACCOUNTS.ORGKEY AS ORGKEY,
    EQSMT.PRICE_DATE AS Price_Date
FROM TBAADM.EQSMT
JOIN TBAADM.EQIBST
    ON EQSMT.SECURITY_CODE = EQIBST.SECURITY_CODE
JOIN TBAADM.WIGDT
    ON EQIBST.INV_ID = WIGDT.INV_ID
JOIN CRMUSER.ACCOUNTS
    ON WIGDT.CIF_ID = ACCOUNTS.ORGKEY;
</t>
  </si>
  <si>
    <t>latest price_date, No records</t>
  </si>
  <si>
    <t>Book Value in Security CCY</t>
  </si>
  <si>
    <t>Inquire on Investment Portfolio -&gt; Equities -&gt; Book Value in Security CCY</t>
  </si>
  <si>
    <t xml:space="preserve">This is a multiplication of   of Average Cost and   No. Of Shares
( Average Cost *No. Of Shares )  .
This value will calculate at run time , This will not be in any table  </t>
  </si>
  <si>
    <t>Market Value in Security CCY</t>
  </si>
  <si>
    <t>Inquire on Investment Portfolio -&gt; Equities -&gt; Market Value in Security CCY</t>
  </si>
  <si>
    <t xml:space="preserve">This is a multiplication of   of Market Price and   No. Of Shares( Market Price *No. Of Shares )  .This value will calculate at run time , This will not be in any table  </t>
  </si>
  <si>
    <t>Inquire on Investment Portfolio -&gt; Equities -&gt; Investment ID Preferred CCY</t>
  </si>
  <si>
    <t>SELECT
    -- ACCOUNTS.ORGKEY AS ORGKEY,
    WIGDT.PREF_CRNCY_CODE AS Investment_ID_Preferred_CCY
FROM TBAADM.WIGDT
JOIN CRMUSER.ACCOUNTS
    ON ACCOUNTS.ORGKEY = WIGDT.CIF_ID;
``</t>
  </si>
  <si>
    <t>without account join 15332</t>
  </si>
  <si>
    <t>Book Value in Preferred CCY</t>
  </si>
  <si>
    <t>Inquire on Investment Portfolio -&gt; Equities -&gt; Book Value in Preferred CCY</t>
  </si>
  <si>
    <t xml:space="preserve">This is a multiplication of   of Market Value in Security CCY and   Exchange rate( Market Value in Security CCY *exchange rate  )  .This value will calculate at run time , This will not be in any table  </t>
  </si>
  <si>
    <t>Market Value in Preferred CY</t>
  </si>
  <si>
    <t>Inquire on Investment Portfolio -&gt; Equities -&gt; Market Value in Preferred CY</t>
  </si>
  <si>
    <t>This value will calculate at run time , This will not be in any table.</t>
  </si>
  <si>
    <t xml:space="preserve">Unrealized Gain/Loss in Security CCY </t>
  </si>
  <si>
    <t xml:space="preserve">Inquire on Investment Portfolio -&gt; Equities -&gt; Unrealized Gain/Loss in Security CCY </t>
  </si>
  <si>
    <t>Unrealized Gain/Loss %</t>
  </si>
  <si>
    <t>Inquire on Investment Portfolio -&gt; Equities -&gt; Unrealized Gain/Loss Pcnt.</t>
  </si>
  <si>
    <t>Bond Name</t>
  </si>
  <si>
    <t>Bonds</t>
  </si>
  <si>
    <t>Inquire on Investment Portfolio -&gt; Bonds -&gt; Bond Name</t>
  </si>
  <si>
    <t xml:space="preserve">BOBM </t>
  </si>
  <si>
    <t>BOND_NAME</t>
  </si>
  <si>
    <t>BOBM.BOND_CODE = BOTBST.BOND_CODE
BOTBST.INV_ID = WIGDT.INV_ID
ACCOUNTS.ORGKEY = WIGDT.CIF_ID</t>
  </si>
  <si>
    <t>SELECT
    -- ACCOUNTS.ORGKEY AS ORGKEY,
    BOBM.BOND_NAME AS Bond_Name
FROM TBAADM.BOBM
JOIN TBAADM.BOTBST
    ON BOBM.BOND_CODE = BOTBST.BOND_CODE
JOIN TBAADM.WIGDT
    ON BOTBST.INV_ID = WIGDT.INV_ID
JOIN CRMUSER.ACCOUNTS
    ON ACCOUNTS.ORGKEY = WIGDT.CIF_ID;
``</t>
  </si>
  <si>
    <t>without account join 5435</t>
  </si>
  <si>
    <t xml:space="preserve">This is a Bond  level set up , This will be defind in  MBM </t>
  </si>
  <si>
    <t>Bond CCY</t>
  </si>
  <si>
    <t>Inquire on Investment Portfolio -&gt; Bonds -&gt; Bond CCY</t>
  </si>
  <si>
    <t>BOTBST</t>
  </si>
  <si>
    <t>BOND_CCY</t>
  </si>
  <si>
    <t>BOTBST.INV_ID = WIGDT.INV_ID AND WIGDT.CIF_ID = ACCOUNTS.ORGKEY</t>
  </si>
  <si>
    <t>SELECT
    -- ACCOUNTS.ORGKEY AS ORGKEY,
    BOTBST.BOND_CCY AS Bond_CCY
FROM TBAADM.BOTBST
JOIN TBAADM.WIGDT
    ON BOTBST.INV_ID = WIGDT.INV_ID
JOIN CRMUSER.ACCOUNTS
    ON WIGDT.CIF_ID = ACCOUNTS.ORGKEY;</t>
  </si>
  <si>
    <t>Total Quantity in Units</t>
  </si>
  <si>
    <t>Inquire on Investment Portfolio -&gt; Bonds -&gt; Total Quantity in Units</t>
  </si>
  <si>
    <t>CONFIRMED_QTY_IN_UNITS</t>
  </si>
  <si>
    <t>SELECT
    -- ACCOUNTS.ORGKEY AS ORGKEY,
    BOTBST.CONFIRMED_QTY_IN_UNITS AS Total_Quantity_in_Units
FROM TBAADM.BOTBST
JOIN TBAADM.WIGDT
    ON BOTBST.INV_ID = WIGDT.INV_ID
JOIN CRMUSER.ACCOUNTS
    ON WIGDT.CIF_ID = ACCOUNTS.ORGKEY;</t>
  </si>
  <si>
    <t>NUMBER(15,6)</t>
  </si>
  <si>
    <t>Total Quantity in Amount</t>
  </si>
  <si>
    <t>Inquire on Investment Portfolio -&gt; Bonds -&gt; Total Quantity in Amt.</t>
  </si>
  <si>
    <t>CONFIRMED_QTY</t>
  </si>
  <si>
    <t>SELECT
    -- ACCOUNTS.ORGKEY AS ORGKEY,
    BOTBST.CONFIRMED_QTY AS Total_Quantity_in_Amount
FROM TBAADM.BOTBST
JOIN TBAADM.WIGDT
    ON BOTBST.INV_ID = WIGDT.INV_ID
JOIN CRMUSER.ACCOUNTS
    ON WIGDT.CIF_ID = ACCOUNTS.ORGKEY;</t>
  </si>
  <si>
    <t>Accrued Interest</t>
  </si>
  <si>
    <t>Inquire on Investment Portfolio -&gt; Bonds -&gt; Accrued Interest</t>
  </si>
  <si>
    <t>Inquire on Investment Portfolio -&gt; Bonds -&gt; Average Cost</t>
  </si>
  <si>
    <t>AVG_COST</t>
  </si>
  <si>
    <t>SELECT
    -- ACCOUNTS.ORGKEY AS ORGKEY,
    BOTBST.AVG_COST AS Average_Cost
FROM TBAADM.BOTBST
JOIN TBAADM.WIGDT
    ON BOTBST.INV_ID = WIGDT.INV_ID
JOIN CRMUSER.ACCOUNTS
    ON WIGDT.CIF_ID = ACCOUNTS.ORGKEY;</t>
  </si>
  <si>
    <t>Average Cost %</t>
  </si>
  <si>
    <t>Inquire on Investment Portfolio -&gt; Bonds -&gt; Average Cost (Pcnt.)</t>
  </si>
  <si>
    <t>AVG_COST_PCNT</t>
  </si>
  <si>
    <t>SELECT
    -- ACCOUNTS.ORGKEY AS ORGKEY,
    BOTBST.AVG_COST_PCNT AS Average_Cost_Pcnt
FROM TBAADM.BOTBST
JOIN TBAADM.WIGDT
    ON BOTBST.INV_ID = WIGDT.INV_ID
JOIN CRMUSER.ACCOUNTS
    ON WIGDT.CIF_ID = ACCOUNTS.ORGKEY;</t>
  </si>
  <si>
    <t>Inquire on Investment Portfolio -&gt; Bonds -&gt; Market Price</t>
  </si>
  <si>
    <t>BOCPD</t>
  </si>
  <si>
    <t>CLOSING_PRICE_AMT</t>
  </si>
  <si>
    <t xml:space="preserve">
BOCPD.BOND_CODE=BOTBST.BOND_CODE AND BOTBST.INV_ID = WIGDT.INV_ID AND WIGDT.CIF_ID = ACCOUNTS.ORGKEY</t>
  </si>
  <si>
    <t>SELECT
    -- ACCOUNTS.ORGKEY AS ORGKEY,
    BOCPD.CLOSING_PRICE_AMT AS Market_Price
FROM TBAADM.BOCPD
JOIN TBAADM.BOTBST
    ON BOCPD.BOND_CODE = BOTBST.BOND_CODE
JOIN TBAADM.WIGDT
    ON BOTBST.INV_ID = WIGDT.INV_ID
JOIN CRMUSER.ACCOUNTS
    ON WIGDT.CIF_ID = ACCOUNTS.ORGKEY;</t>
  </si>
  <si>
    <t>without account join 4009290</t>
  </si>
  <si>
    <t>Market Price%</t>
  </si>
  <si>
    <t>Inquire on Investment Portfolio -&gt; Bonds -&gt; Market Price (Pcnt.)</t>
  </si>
  <si>
    <t>CLOSING_PRICE_PCNT</t>
  </si>
  <si>
    <t xml:space="preserve">SELECT
    -- ACCOUNTS.ORGKEY AS ORGKEY,
    BOCPD.CLOSING_PRICE_PCNT AS Market_Price_Pcnt
FROM TBAADM.BOCPD
JOIN TBAADM.BOTBST
    ON BOCPD.BOND_CODE = BOTBST.BOND_CODE
JOIN TBAADM.WIGDT
    ON BOTBST.INV_ID = WIGDT.INV_ID
JOIN CRMUSER.ACCOUNTS
    ON WIGDT.CIF_ID = ACCOUNTS.ORGKEY;
</t>
  </si>
  <si>
    <t>Inquire on Investment Portfolio -&gt; Bonds -&gt; Price Date</t>
  </si>
  <si>
    <t>SELECT
    -- ACCOUNTS.ORGKEY AS ORGKEY,
    BOCPD.PRICE_DATE AS Price_Date
FROM TBAADM.BOCPD
JOIN TBAADM.BOTBST
    ON BOCPD.BOND_CODE = BOTBST.BOND_CODE
JOIN TBAADM.WIGDT
    ON BOTBST.INV_ID = WIGDT.INV_ID
JOIN CRMUSER.ACCOUNTS
    ON WIGDT.CIF_ID = ACCOUNTS.ORGKEY;</t>
  </si>
  <si>
    <t>Inquire on Investment Portfolio -&gt; Bonds -&gt; Book Value</t>
  </si>
  <si>
    <t>Inquire on Investment Portfolio -&gt; Bonds -&gt; Market Value</t>
  </si>
  <si>
    <t>Notional Increase</t>
  </si>
  <si>
    <t>Inquire on Investment Portfolio -&gt; Bonds -&gt; Notional Increase</t>
  </si>
  <si>
    <t>Inquire on Investment Portfolio -&gt; Bonds -&gt; Investment ID Preferred CCY</t>
  </si>
  <si>
    <t xml:space="preserve">SELECT
    -- ACCOUNTS.ORGKEY AS ORGKEY,
    WIGDT.PREF_CRNCY_CODE AS Investment_ID_Preferred_CCY
FROM TBAADM.WIGDT
JOIN CRMUSER.ACCOUNTS
    ON ACCOUNTS.ORGKEY = WIGDT.CIF_ID;
</t>
  </si>
  <si>
    <t>Inquire on Investment Portfolio -&gt; Bonds -&gt; Book Value in Preferred CCY</t>
  </si>
  <si>
    <t>Inquire on Investment Portfolio -&gt; Bonds -&gt; Market Value in Preferred CY</t>
  </si>
  <si>
    <t>Unrealized Gain/Loss</t>
  </si>
  <si>
    <t>Inquire on Investment Portfolio -&gt; Bonds -&gt; Unrealized Gain/Loss</t>
  </si>
  <si>
    <t>Inquire on Investment Portfolio -&gt; Bonds -&gt; Unrealized Gain/Loss %</t>
  </si>
  <si>
    <t>Interest Accrual Upto Date</t>
  </si>
  <si>
    <t>Inquire on Investment Portfolio -&gt; Bonds -&gt; Interest Accrual Upto Date</t>
  </si>
  <si>
    <t>Inquire on Investment Portfolio -&gt; Bonds -&gt; Accrued Interest Date</t>
  </si>
  <si>
    <t>SELECT
    GCT.DB_STAT_DATE AS Accrued_Interest_Date
FROM TBAADM.GCT;</t>
  </si>
  <si>
    <t>Alternate Investments</t>
  </si>
  <si>
    <t>Inquire on Investment Portfolio -&gt; Alternate Investments -&gt; Product Type</t>
  </si>
  <si>
    <t>AIPCDT</t>
  </si>
  <si>
    <t>PRODUCT_TYPE</t>
  </si>
  <si>
    <t>AIPCDT.PRODUCT_CODE = PEIBST.PRODUCT_CODE AND PEIBST.INV_ID = WIGDT.INV_ID AND WIGDT.CIF_ID = ACCOUNTS.ORGKEY</t>
  </si>
  <si>
    <t>SELECT
  -- ACCOUNTS.ORGKEY,
    AIPCDT.PRODUCT_TYPE AS Product_Type
FROM TBAADM.AIPCDT AIPCDT
JOIN TBAADM.PEIBST PEIBST ON AIPCDT.PRODUCT_CODE = PEIBST.PRODUCT_CODE
JOIN TBAADM.WIGDT WIGDT ON PEIBST.INV_ID = WIGDT.INV_ID;
--JOIN CRMUSER.ACCOUNTS ACCOUNTS ON WIGDT.CIF_ID = ACCOUNTS.ORGKEY;</t>
  </si>
  <si>
    <t>No output in WMS</t>
  </si>
  <si>
    <t>A - Alternate Fund, P - Private Equity, H - Held Away Assets</t>
  </si>
  <si>
    <t xml:space="preserve">setup value </t>
  </si>
  <si>
    <t>Inquire on Investment Portfolio -&gt; Alternate Investments -&gt; Product name</t>
  </si>
  <si>
    <t>PRODUCT_NAME</t>
  </si>
  <si>
    <t xml:space="preserve">SELECT
    -- ACCOUNTS.ORGKEY AS ORGKEY,
    AIPCDT.PRODUCT_NAME AS Product_Name
FROM TBAADM.AIPCDT
JOIN TBAADM.PEIBST
    ON AIPCDT.PRODUCT_CODE = PEIBST.PRODUCT_CODE
JOIN TBAADM.WIGDT
    ON PEIBST.INV_ID = WIGDT.INV_ID
JOIN CRMUSER.ACCOUNTS
    ON WIGDT.CIF_ID = ACCOUNTS.ORGKE;
</t>
  </si>
  <si>
    <t>Product Currency</t>
  </si>
  <si>
    <t>Inquire on Investment Portfolio -&gt; Alternate Investments -&gt; Product CCY</t>
  </si>
  <si>
    <t>PRODUCT_CCY</t>
  </si>
  <si>
    <t xml:space="preserve">SELECT
    -- ACCOUNTS.ORGKEY AS ORGKEY,
    AIPCDT.PRODUCT_CCY AS Product_Currency
FROM TBAADM.AIPCDT
JOIN TBAADM.PEIBST
    ON AIPCDT.PRODUCT_CODE = PEIBST.PRODUCT_CODE
JOIN TBAADM.WIGDT
    ON PEIBST.INV_ID = WIGDT.INV_ID
JOIN CRMUSER.ACCOUNTS
    ON WIGDT.CIF_ID = ACCOUNTS.ORGKEY;
</t>
  </si>
  <si>
    <t>PE/Held-away Assets ID</t>
  </si>
  <si>
    <t>Inquire on Investment Portfolio -&gt; Alternate Investments -&gt; PE/Held-away Assets ID</t>
  </si>
  <si>
    <t>HAIDT</t>
  </si>
  <si>
    <t>HA_ID</t>
  </si>
  <si>
    <t>HAIDT.INV_ID = WIGDT.INV_ID AND WIGDT.CIF_ID = ACCOUNTS.ORGKEY</t>
  </si>
  <si>
    <t>SELECT
    -- ACCOUNTS.ORGKEY AS ORGKEY,
    HAIDT.HA_ID AS Held_Away_Assets_ID
FROM TBAADM.HAIDT
JOIN TBAADM.WIGDT
    ON HAIDT.INV_ID = WIGDT.INV_ID
JOIN CRMUSER.ACCOUNTS
    ON WIGDT.CIF_ID = ACCOUNTS.ORGKEY</t>
  </si>
  <si>
    <t>Valuation Date</t>
  </si>
  <si>
    <t>Inquire on Investment Portfolio -&gt; Alternate Investments -&gt; Valuation Date</t>
  </si>
  <si>
    <t>VALUATION_DATE or LATEST_VALUE_DATE</t>
  </si>
  <si>
    <t>SELECT
    -- ACCOUNTS.ORGKEY AS ORGKEY,
    HAIDT.VALUATION_DATE AS Valuation_Date
FROM TBAADM.HAIDT
JOIN TBAADM.WIGDT
    ON HAIDT.INV_ID = WIGDT.INV_ID
JOIN CRMUSER.ACCOUNTS
    ON WIGDT.CIF_ID = ACCOUNTS.ORGKEY;</t>
  </si>
  <si>
    <t>No. of Units</t>
  </si>
  <si>
    <t>Inquire on Investment Portfolio -&gt; Alternate Investments -&gt; No. of Units</t>
  </si>
  <si>
    <t>PEIBST</t>
  </si>
  <si>
    <t>confirmed_units_for_pe_fund</t>
  </si>
  <si>
    <t>PEIBST.INV_ID = WIGDT.INV_ID AND WIGDT.CIF_ID = ACCOUNTS.ORGKEY</t>
  </si>
  <si>
    <t>SELECT
    -- ACCOUNTS.ORGKEY AS ORGKEY,
    PEIBST.CONFIRMED_UNITS_FOR_PE_FUND AS No_of_Units
FROM TBAADM.PEIBST
JOIN TBAADM.WIGDT
    ON PEIBST.INV_ID = WIGDT.INV_ID
JOIN CRMUSER.ACCOUNTS
    ON WIGDT.CIF_ID = ACCOUNTS.ORGKEY;</t>
  </si>
  <si>
    <t>Inquire on Investment Portfolio -&gt; Alternate Investments -&gt; Average Cost</t>
  </si>
  <si>
    <t>AVG_COST_INCL_FEE</t>
  </si>
  <si>
    <t>SELECT
    -- ACCOUNTS.ORGKEY AS ORGKEY,
    PEIBST.AVG_COST_INCL_FEE AS Average_Cost
FROM TBAADM.PEIBST
JOIN TBAADM.WIGDT
    ON PEIBST.INV_ID = WIGDT.INV_ID
JOIN CRMUSER.ACCOUNTS
    ON WIGDT.CIF_ID = ACCOUNTS.ORGKEY;</t>
  </si>
  <si>
    <t>Book Value/Investment Amt. in Product CCY</t>
  </si>
  <si>
    <t>Inquire on Investment Portfolio -&gt; Alternate Investments -&gt; Book Value/Investment Amt. in Product CCY</t>
  </si>
  <si>
    <t>INV_AMT</t>
  </si>
  <si>
    <t>SELECT
    -- ACCOUNTS.ORGKEY AS ORGKEY,
    HAIDT.INV_AMT AS Book_Value_Investment_Amt
FROM TBAADM.HAIDT
JOIN TBAADM.WIGDT
    ON HAIDT.INV_ID = WIGDT.INV_ID
JOIN CRMUSER.ACCOUNTS
    ON WIGDT.CIF_ID = ACCOUNTS.ORGKEY;</t>
  </si>
  <si>
    <t>Current Market Price</t>
  </si>
  <si>
    <t>Inquire on Investment Portfolio -&gt; Alternate Investments -&gt; Current Market Price</t>
  </si>
  <si>
    <t>LATEST_VALUE</t>
  </si>
  <si>
    <t>SELECT
    -- ACCOUNTS.ORGKEY AS ORGKEY,
    HAIDT.LATEST_VALUE AS Current_Market_Price
FROM TBAADM.HAIDT
JOIN TBAADM.WIGDT
    ON HAIDT.INV_ID = WIGDT.INV_ID
JOIN CRMUSER.ACCOUNTS
    ON WIGDT.CIF_ID = ACCOUNTS.ORGKEY;</t>
  </si>
  <si>
    <t>Inquire on Investment Portfolio -&gt; Alternate Investments -&gt; Price Date</t>
  </si>
  <si>
    <t>LATEST_VALUE_DATE</t>
  </si>
  <si>
    <t xml:space="preserve">SELECT
    -- ACCOUNTS.ORGKEY AS ORGKEY,
    HAIDT.LATEST_VALUE_DATE AS Price_Date
FROM TBAADM.HAIDT
JOIN TBAADM.WIGDT
    ON HAIDT.INV_ID = WIGDT.INV_ID
JOIN CRMUSER.ACCOUNTS
    ON WIGDT.CIF_ID = ACCOUNTS.ORGKEY;
</t>
  </si>
  <si>
    <t>Market value in Product CCY</t>
  </si>
  <si>
    <t>Inquire on Investment Portfolio -&gt; Alternate Investments -&gt; Market value in Product CCY</t>
  </si>
  <si>
    <t>Book Value/Investment Amt. in Preferred CCY</t>
  </si>
  <si>
    <t>Inquire on Investment Portfolio -&gt; Alternate Investments -&gt; Book Value/Investment Amt. in Preferred CCY</t>
  </si>
  <si>
    <t>Market value in Preferred CCY</t>
  </si>
  <si>
    <t>Inquire on Investment Portfolio -&gt; Alternate Investments -&gt; Market value in Preferred CCY</t>
  </si>
  <si>
    <t>Unrealized Gain/Loss in Product CCY</t>
  </si>
  <si>
    <t>Inquire on Investment Portfolio -&gt; Alternate Investments -&gt; Unrealized Gain/Loss in Product CCY</t>
  </si>
  <si>
    <t>Inquire on Investment Portfolio -&gt; Alternate Investments -&gt; Unrealized Gain/Loss Pcnt.</t>
  </si>
  <si>
    <t>Insurance Investment ID</t>
  </si>
  <si>
    <t>Investment Insurance Details</t>
  </si>
  <si>
    <t>Maintain New Policy and Renewal Transactions -&gt; Investment ID</t>
  </si>
  <si>
    <t>INCTD.INV_ID = WIGDT.INV_ID AND WIGDT.CIF_ID = ACCOUNTS.ORGKEY</t>
  </si>
  <si>
    <t>SELECT
    -- ACCOUNTS.ORGKEY AS ORGKEY,
    INCTD.INV_ID AS INSURANCE_INVESTMENT_ID
FROM TBAADM.INCTD
JOIN TBAADM.WIGDT
    ON INCTD.INV_ID = WIGDT.INV_ID
   AND WIGDT.CIF_ID = ACCOUNTS.ORGKEY;</t>
  </si>
  <si>
    <t>without account join 282374</t>
  </si>
  <si>
    <t>Transactions Type</t>
  </si>
  <si>
    <t>Maintain New Policy and Renewal Transactions -&gt; Transactions Type</t>
  </si>
  <si>
    <t>SELECT
    -- ACCOUNTS.ORGKEY AS ORGKEY,
    INCTD.TRAN_TYPE AS TRANSACTIONS_TYPE
FROM TBAADM.INCTD
JOIN TBAADM.WIGDT
    ON INCTD.INV_ID = WIGDT.INV_ID
   AND WIGDT.CIF_ID = ACCOUNTS.ORGKEY;</t>
  </si>
  <si>
    <t>Product Code</t>
  </si>
  <si>
    <t>Maintain New Policy and Renewal Transactions -&gt; Product Code</t>
  </si>
  <si>
    <t>PROD_CODE</t>
  </si>
  <si>
    <t>SELECT
    -- ACCOUNTS.ORGKEY AS ORGKEY,
    INCTD.PROD_CODE AS PRODUCT_CODE
FROM TBAADM.INCTD
JOIN TBAADM.WIGDT
    ON INCTD.INV_ID = WIGDT.INV_ID
   AND WIGDT.CIF_ID = ACCOUNTS.ORGKEY;</t>
  </si>
  <si>
    <t xml:space="preserve">Set up value </t>
  </si>
  <si>
    <t>Maintain New Policy and Renewal Transactions -&gt; General Details -&gt;  Policy Details -&gt; Product Name</t>
  </si>
  <si>
    <t>INPMD</t>
  </si>
  <si>
    <t>INPMD.PROD_CODE = INCTD.PROD_CODE AND
INCTD.INV_ID = WIGDT.INV_ID AND WIGDT.CIF_ID = ACCOUNTS.ORGKEY</t>
  </si>
  <si>
    <t>SELECT
    -- ACCOUNTS.ORGKEY AS ORGKEY,
    INPMD.PROD_NAME AS PRODUCT_NAME
FROM TBAADM.INPMD
JOIN TBAADM.INCTD
    ON INPMD.PROD_CODE = INCTD.PROD_CODE
JOIN TBAADM.WIGDT
    ON INCTD.INV_ID = WIGDT.INV_ID
   AND WIGDT.CIF_ID = ACCOUNTS.ORGKEY;</t>
  </si>
  <si>
    <t>Maintain New Policy and Renewal Transactions -&gt; Confirmation Details -&gt; Policy No.</t>
  </si>
  <si>
    <t>POLICY_NO</t>
  </si>
  <si>
    <t>SELECT
    -- ACCOUNTS.ORGKEY AS ORGKEY,
    INCTD.POLICY_NO AS POLICY_NUMBER
FROM TBAADM.INCTD
JOIN TBAADM.WIGDT
    ON INCTD.INV_ID = WIGDT.INV_ID
   AND WIGDT.CIF_ID = ACCOUNTS.ORGKEY;</t>
  </si>
  <si>
    <t>MIPCT -&gt; General Details - &gt; Status</t>
  </si>
  <si>
    <t>INPD</t>
  </si>
  <si>
    <t>POLICY_STATUS</t>
  </si>
  <si>
    <t>INCTD.POL_B2K_ID = INPD.POL_B2K_ID  AND INCTD.INV_ID = WIGDT.INV_ID AND WIGDT.CIF_ID = ACCOUNTS.ORGKEY</t>
  </si>
  <si>
    <t>SELECT
    -- ACCOUNTS.ORGKEY AS ORGKEY,
    INPD.POLICY_STATUS AS POLICY_STATUS
FROM TBAADM.INPD
JOIN TBAADM.INCTD
    ON INCTD.POL_B2K_ID = INPD.POL_B2K_ID
JOIN TBAADM.WIGDT
    ON INCTD.INV_ID = WIGDT.INV_ID
   AND WIGDT.CIF_ID = ACCOUNTS.ORGKEY;</t>
  </si>
  <si>
    <t>without account join 281757</t>
  </si>
  <si>
    <t>Policy Commencement Date</t>
  </si>
  <si>
    <t>Maintain New Policy and Renewal Transactions -&gt; Confirmation Details -&gt; Date of Commencement</t>
  </si>
  <si>
    <t>POLICY_COMMENCE_DATE</t>
  </si>
  <si>
    <t>SELECT
    -- ACCOUNTS.ORGKEY AS ORGKEY,
    INPD.POLICY_COMMENCE_DATE AS POLICY_COMMENCEMENT_DATE
FROM TBAADM.INPD
JOIN TBAADM.INCTD
    ON INCTD.POL_B2K_ID = INPD.POL_B2K_ID
JOIN TBAADM.WIGDT
    ON INCTD.INV_ID = WIGDT.INV_ID
   AND WIGDT.CIF_ID = ACCOUNTS.ORGKEY;</t>
  </si>
  <si>
    <t>Policy Issuance Date</t>
  </si>
  <si>
    <t>Maintain New Policy and Renewal Transactions -&gt; Confirmation Details -&gt; Policy Issuance Date</t>
  </si>
  <si>
    <t>POLICY_ISSUANCE_DATE</t>
  </si>
  <si>
    <t>SELECT
    -- ACCOUNTS.ORGKEY AS ORGKEY,
    INPD.POLICY_ISSUANCE_DATE AS POLICY_ISSUANCE_DATE
FROM TBAADM.INPD
JOIN TBAADM.INCTD
    ON INCTD.POL_B2K_ID = INPD.POL_B2K_ID
JOIN TBAADM.WIGDT
    ON INCTD.INV_ID = WIGDT.INV_ID
   AND WIGDT.CIF_ID = ACCOUNTS.ORGKEY;</t>
  </si>
  <si>
    <t>Maintain New Policy and Renewal Transactions -&gt; Confirmation Details -&gt; Maturity Date</t>
  </si>
  <si>
    <t>POLICY_MATURITY_DATE</t>
  </si>
  <si>
    <t>SELECT
    -- ACCOUNTS.ORGKEY AS ORGKEY,
    INPD.POLICY_MATURITY_DATE AS MATURITY_DATE
FROM TBAADM.INPD
JOIN TBAADM.INCTD
    ON INCTD.POL_B2K_ID = INPD.POL_B2K_ID
JOIN TBAADM.WIGDT
    ON INCTD.INV_ID = WIGDT.INV_ID
   AND WIGDT.CIF_ID = ACCOUNTS.ORGKEY;</t>
  </si>
  <si>
    <t>Application Number</t>
  </si>
  <si>
    <t>Investment Insurance Additional Details</t>
  </si>
  <si>
    <t>Maintain New Policy and Renewal Transactions -&gt; General Details -&gt; Application No.</t>
  </si>
  <si>
    <t>REF_NO</t>
  </si>
  <si>
    <t>SELECT
    -- ACCOUNTS.ORGKEY AS ORGKEY,
    INCTD.REF_NO AS APPLICATION_NUMBER
FROM TBAADM.INCTD
JOIN TBAADM.WIGDT
    ON INCTD.INV_ID = WIGDT.INV_ID
   AND WIGDT.CIF_ID = ACCOUNTS.ORGKEY;</t>
  </si>
  <si>
    <t>Insurer Code</t>
  </si>
  <si>
    <t>Maintain New Policy and Renewal Transactions -&gt; Insurer Code</t>
  </si>
  <si>
    <t>INSURER_CODE</t>
  </si>
  <si>
    <t>SELECT
    -- ACCOUNTS.ORGKEY AS ORGKEY,
    INCTD.INSURER_CODE AS INSURER_CODE
FROM TBAADM.INCTD
JOIN TBAADM.WIGDT
    ON INCTD.INV_ID = WIGDT.INV_ID
   AND WIGDT.CIF_ID = ACCOUNTS.ORGKEY;</t>
  </si>
  <si>
    <t>VARCHAR2(9 CHAR)</t>
  </si>
  <si>
    <t xml:space="preserve">set up value </t>
  </si>
  <si>
    <t>Investor Details</t>
  </si>
  <si>
    <t>Maintain New Policy and Renewal Transactions -&gt; General Details -&gt;  Investor Details</t>
  </si>
  <si>
    <t xml:space="preserve">WIGDT </t>
  </si>
  <si>
    <t>inv_name</t>
  </si>
  <si>
    <t>SELECT
    -- ACCOUNTS.ORGKEY AS ORGKEY,
    WIGDT.INV_NAME AS INVESTOR_DETAILS
FROM TBAADM.WIGDT
WHERE ACCOUNTS.ORGKEY = WIGDT.CIF_ID;</t>
  </si>
  <si>
    <t>Maintain New Policy and Renewal Transactions -&gt; Premium Collection Instruction -&gt;  Channel ID</t>
  </si>
  <si>
    <t>channel_id</t>
  </si>
  <si>
    <t>INCTD.INV_ID=WIGDT.INV_ID AND WIGDT.CIF_ID = ACCOUNTS.ORGKEY</t>
  </si>
  <si>
    <t>SELECT
    -- ACCOUNTS.ORGKEY AS ORGKEY,
    INCTD.CHANNEL_ID AS CHANNEL_ID
FROM TBAADM.INCTD
JOIN TBAADM.WIGDT
    ON INCTD.INV_ID = WIGDT.INV_ID
   AND WIGDT.CIF_ID = ACCOUNTS.ORGKEY;</t>
  </si>
  <si>
    <t>Applicant Type</t>
  </si>
  <si>
    <t>Investment Insurance : Proposer and Life Insured Details</t>
  </si>
  <si>
    <t>Maintain New Policy and Renewal Transactions -&gt;Proposer and Life Insured Details -&gt; Proposer and Life Insured Details -&gt;  Applicant Type</t>
  </si>
  <si>
    <t>INTPIDT</t>
  </si>
  <si>
    <t>APPL_TYPE</t>
  </si>
  <si>
    <t>INTPIDT.TRAN_ID=INCTD.TRAN_ID AND INCTD.INV_ID = WIGDT.INV_ID AND WIGDT.CIF_ID = ACCOUNTS.ORGKEY</t>
  </si>
  <si>
    <t>SELECT
    -- ACCOUNTS.ORGKEY AS ORGKEY,
    INTPIDT.APPL_TYPE AS APPLICANT_TYPE
FROM TBAADM.INTPIDT
JOIN TBAADM.INCTD
    ON INTPIDT.TRAN_ID = INCTD.TRAN_ID
JOIN TBAADM.WIGDT
    ON INCTD.INV_ID = WIGDT.INV_ID
   AND WIGDT.CIF_ID = ACCOUNTS.ORGKEY;
``</t>
  </si>
  <si>
    <t>without account join 15633</t>
  </si>
  <si>
    <t>Maintain New Policy and Renewal Transactions -&gt;Proposer and Life Insured Details -&gt; Proposer and Life Insured Details -&gt;  Title</t>
  </si>
  <si>
    <t>TITLE</t>
  </si>
  <si>
    <t>SELECT
    -- ACCOUNTS.ORGKEY AS ORGKEY,
    INTPIDT.TITLE AS TITLE
FROM TBAADM.INTPIDT
JOIN TBAADM.INCTD
    ON INTPIDT.TRAN_ID = INCTD.TRAN_ID
JOIN TBAADM.WIGDT
    ON INCTD.INV_ID = WIGDT.INV_ID
   AND WIGDT.CIF_ID = ACCOUNTS.ORGKEY;</t>
  </si>
  <si>
    <t>Maintain New Policy and Renewal Transactions -&gt;Proposer and Life Insured Details -&gt; Proposer and Life Insured Details -&gt;  First Name</t>
  </si>
  <si>
    <t>FIRST_NAME</t>
  </si>
  <si>
    <t>SELECT
    -- ACCOUNTS.ORGKEY AS ORGKEY,
    INTPIDT.FIRST_NAME AS FIRST_NAME
FROM TBAADM.INTPIDT
JOIN TBAADM.INCTD
    ON INTPIDT.TRAN_ID = INCTD.TRAN_ID
JOIN TBAADM.WIGDT
    ON INCTD.INV_ID = WIGDT.INV_ID
   AND WIGDT.CIF_ID = ACCOUNTS.ORGKEY;</t>
  </si>
  <si>
    <t>VARCHAR2(80 CHAR)</t>
  </si>
  <si>
    <t>Maintain New Policy and Renewal Transactions -&gt;Proposer and Life Insured Details -&gt; Proposer and Life Insured Details -&gt;  Last Name</t>
  </si>
  <si>
    <t>LAST_NAME</t>
  </si>
  <si>
    <t>SELECT
    -- ACCOUNTS.ORGKEY AS ORGKEY,
    INTPIDT.LAST_NAME AS LAST_NAME
FROM TBAADM.INTPIDT
JOIN TBAADM.INCTD
    ON INTPIDT.TRAN_ID = INCTD.TRAN_ID
JOIN TBAADM.WIGDT
    ON INCTD.INV_ID = WIGDT.INV_ID
   AND WIGDT.CIF_ID = ACCOUNTS.ORGKEY;</t>
  </si>
  <si>
    <t>Age</t>
  </si>
  <si>
    <t>Maintain New Policy and Renewal Transactions -&gt;Proposer and Life Insured Details -&gt; Proposer and Life Insured Details -&gt;  Age</t>
  </si>
  <si>
    <t>AGE_MONTHS, AGE_YEARS</t>
  </si>
  <si>
    <t>SELECT
    -- ACCOUNTS.ORGKEY AS ORGKEY,
    INTPIDT.AGE_MONTHS AS AGE_MONTHS,
    INTPIDT.AGE_YEARS  AS AGE_YEARS
FROM TBAADM.INTPIDT
JOIN TBAADM.INCTD
    ON INTPIDT.TRAN_ID = INCTD.TRAN_ID
JOIN TBAADM.WIGDT
    ON INCTD.INV_ID = WIGDT.INV_ID
   AND WIGDT.CIF_ID = ACCOUNTS.ORGKEY;</t>
  </si>
  <si>
    <t xml:space="preserve">Two fields are involved </t>
  </si>
  <si>
    <t>NUMBER(4,0) ,NUMBER(3,0)</t>
  </si>
  <si>
    <t>Maintain New Policy and Renewal Transactions -&gt;Proposer and Life Insured Details -&gt; Proposer and Life Insured Details -&gt;  Date of Birth</t>
  </si>
  <si>
    <t>DATE_OF_BIRTH</t>
  </si>
  <si>
    <t>SELECT
    -- ACCOUNTS.ORGKEY AS ORGKEY,
    INTPIDT.DATE_OF_BIRTH AS DATE_OF_BIRTH
FROM TBAADM.INTPIDT
JOIN TBAADM.INCTD
    ON INTPIDT.TRAN_ID = INCTD.TRAN_ID
JOIN TBAADM.WIGDT
    ON INCTD.INV_ID = WIGDT.INV_ID
   AND WIGDT.CIF_ID = ACCOUNTS.ORGKEY;
``</t>
  </si>
  <si>
    <t>Maintain New Policy and Renewal Transactions -&gt;Proposer and Life Insured Details -&gt; Proposer and Life Insured Details -&gt; Gender</t>
  </si>
  <si>
    <t>GENDER_FLG</t>
  </si>
  <si>
    <t>SELECT
    -- ACCOUNTS.ORGKEY AS ORGKEY,
    INTPIDT.GENDER_FLG AS GENDER
FROM TBAADM.INTPIDT
JOIN TBAADM.INCTD
    ON INTPIDT.TRAN_ID = INCTD.TRAN_ID
JOIN TBAADM.WIGDT
    ON INCTD.INV_ID = WIGDT.INV_ID
   AND WIGDT.CIF_ID = ACCOUNTS.ORGKEY;</t>
  </si>
  <si>
    <t>Primary Proposer</t>
  </si>
  <si>
    <t>Maintain New Policy and Renewal Transactions -&gt;Proposer and Life Insured Details -&gt; Proposer and Life Insured Details -&gt;  Primary Proposer</t>
  </si>
  <si>
    <t>PRIM_PROPOSER_FLG</t>
  </si>
  <si>
    <t>SELECT
    -- ACCOUNTS.ORGKEY AS ORGKEY,
    INTPIDT.PRIM_PROPOSER_FLG AS PRIMARY_PROPOSER
FROM TBAADM.INTPIDT
JOIN TBAADM.INCTD
    ON INTPIDT.TRAN_ID = INCTD.TRAN_ID
JOIN TBAADM.WIGDT
    ON INCTD.INV_ID = WIGDT.INV_ID
   AND WIGDT.CIF_ID = ACCOUNTS.ORGKEY;</t>
  </si>
  <si>
    <t xml:space="preserve">Nationality </t>
  </si>
  <si>
    <t>Maintain New Policy and Renewal Transactions -&gt;Proposer and Life Insured Details -&gt; Proposer and Life Insured Details -&gt;  Nationality</t>
  </si>
  <si>
    <t>NATIONALITY</t>
  </si>
  <si>
    <t>SELECT
    -- ACCOUNTS.ORGKEY AS ORGKEY,
    INTPIDT.NATIONALITY AS NATIONALITY
FROM TBAADM.INTPIDT
JOIN TBAADM.INCTD
    ON INTPIDT.TRAN_ID = INCTD.TRAN_ID
JOIN TBAADM.WIGDT
    ON INCTD.INV_ID = WIGDT.INV_ID
   AND WIGDT.CIF_ID = ACCOUNTS.ORGKEY;</t>
  </si>
  <si>
    <t>VARCHAR2(50 CHAR)</t>
  </si>
  <si>
    <t>Del. Flag</t>
  </si>
  <si>
    <t>Maintain New Policy and Renewal Transactions -&gt;Proposer and Life Insured Details -&gt; Proposer and Life Insured Details -&gt;  Del.</t>
  </si>
  <si>
    <t>SELECT
    -- ACCOUNTS.ORGKEY AS ORGKEY,
    INTPIDT.DEL_FLG AS DEL_FLG
FROM TBAADM.INTPIDT
JOIN TBAADM.INCTD
    ON INTPIDT.TRAN_ID = INCTD.TRAN_ID
JOIN TBAADM.WIGDT
    ON INCTD.INV_ID = WIGDT.INV_ID
   AND WIGDT.CIF_ID = ACCOUNTS.ORGKEY;</t>
  </si>
  <si>
    <t>Y/N</t>
  </si>
  <si>
    <t>Premium Payment Frequency</t>
  </si>
  <si>
    <t>Investment Insurance : Premium Details</t>
  </si>
  <si>
    <t>Maintain New Policy and Renewal Transactions -&gt; Premium Details -&gt; Premium Payment Frequency</t>
  </si>
  <si>
    <t>PREM_FREQ</t>
  </si>
  <si>
    <t>SELECT
    -- ACCOUNTS.ORGKEY AS ORGKEY,
    INCTD.PREM_FREQ AS Premium_Payment_Frequency
FROM TBAADM.INCTD
JOIN TBAADM.WIGDT
    ON INCTD.INV_ID = WIGDT.INV_ID
JOIN CRMUSER.ACCOUNTS
    ON WIGDT.CIF_ID = ACCOUNTS.ORGKEY;</t>
  </si>
  <si>
    <t>Annual Premium Amount</t>
  </si>
  <si>
    <t>Maintain New Policy and Renewal Transactions -&gt; Premium Details -&gt; Annual Premium Amt.</t>
  </si>
  <si>
    <t>ANNUAL_PREM_AMT</t>
  </si>
  <si>
    <t>SELECT
    -- ACCOUNTS.ORGKEY AS ORGKEY,
    INCTD.ANNUAL_PREM_AMT AS Annual_Premium_Amount
FROM TBAADM.INCTD
JOIN TBAADM.WIGDT
    ON INCTD.INV_ID = WIGDT.INV_ID
JOIN CRMUSER.ACCOUNTS
    ON WIGDT.CIF_ID = ACCOUNTS.ORGKEY;</t>
  </si>
  <si>
    <t xml:space="preserve">Policy Term (Years) </t>
  </si>
  <si>
    <t>Maintain New Policy and Renewal Transactions -&gt; Premium Details -&gt; Policy Term (Years)</t>
  </si>
  <si>
    <t>POLICY_TERM</t>
  </si>
  <si>
    <t>SELECT
    -- ACCOUNTS.ORGKEY AS ORGKEY,
    INCTD.POLICY_TERM AS Policy_Term_Years
FROM TBAADM.INCTD
JOIN TBAADM.WIGDT
    ON INCTD.INV_ID = WIGDT.INV_ID
JOIN CRMUSER.ACCOUNTS
    ON WIGDT.CIF_ID = ACCOUNTS.ORGKEY;
SELECT
    -- ACCOUNTS.ORGKEY AS ORGKEY,
    INCTD.POLICY_TERM AS Policy_Term_Years
FROM TBAADM.INCTD
JOIN TBAADM.WIGDT
    ON INCTD.INV_ID = WIGDT.INV_ID
JOIN CRMUSER.ACCOUNTS
    ON WIGDT.CIF_ID = ACCOUNTS.ORGKEY;</t>
  </si>
  <si>
    <t>Next Recurring Premium Due Date</t>
  </si>
  <si>
    <t>Maintain New Policy and Renewal Transactions -&gt; General Details - &gt; Recurring Premium Preferences -&gt; Next Recurring Premium Due Date</t>
  </si>
  <si>
    <t>Recurring Premium Amount</t>
  </si>
  <si>
    <t>Maintain New Policy and Renewal Transactions -&gt; General Details - &gt; Recurring Premium Preferences -&gt;  Recurring  Amount</t>
  </si>
  <si>
    <t>Premium Type</t>
  </si>
  <si>
    <t>Maintain New Policy and Renewal Transactions -&gt; Premium Details -&gt;Premium Type</t>
  </si>
  <si>
    <t>INTPT</t>
  </si>
  <si>
    <t>PREMIUM_TYPE</t>
  </si>
  <si>
    <t>INTPT.TRAN_ID = INCTD.TRAN_ID AND INCTD.INV_ID = WIGDT.INV_ID AND WIGDT.CIF_ID = ACCOUNTS.ORGKEY</t>
  </si>
  <si>
    <t xml:space="preserve">SELECT
    -- ACCOUNTS.ORGKEY AS ORGKEY,
    INTPT.PREMIUM_TYPE AS Premium_Type
FROM TBAADM.INTPT
JOIN TBAADM.INCTD
    ON INTPT.TRAN_ID = INCTD.TRAN_ID
JOIN TBAADM.WIGDT
    ON INCTD.INV_ID = WIGDT.INV_ID
JOIN CRMUSER.ACCOUNTS
    ON WIGDT.CIF_ID = ACCOUNTS.ORGKEY;
SELECT
    -- ACCOUNTS.ORGKEY AS ORGKEY,
    INTPT.PREMIUM_TYPE AS Premium_Type
FROM TBAADM.INTPT
JOIN TBAADM.INCTD
    ON INTPT.TRAN_ID = INCTD.TRAN_ID
JOIN TBAADM.WIGDT
    ON INCTD.INV_ID = WIGDT.INV_ID
JOIN CRMUSER.ACCOUNTS
    ON WIGDT.CIF_ID = ACCOUNTS.ORGKEY;
</t>
  </si>
  <si>
    <t>without account join 281151</t>
  </si>
  <si>
    <t>B- BASIC PREMIUM
L - LOADING PREMIUM
T - TOP UP
R - RIDER PREMIUM</t>
  </si>
  <si>
    <t>Premium Subtype</t>
  </si>
  <si>
    <t>Maintain New Policy and Renewal Transactions -&gt; Premium Details -&gt;Premium Subtype</t>
  </si>
  <si>
    <t>PREMIUM_SUB_TYPE</t>
  </si>
  <si>
    <t>SELECT
    -- ACCOUNTS.ORGKEY AS ORGKEY,
    INTPT.PREMIUM_SUB_TYPE AS Premium_Subtype
FROM TBAADM.INTPT
JOIN TBAADM.INCTD
    ON INTPT.TRAN_ID = INCTD.TRAN_ID
JOIN TBAADM.WIGDT
    ON INCTD.INV_ID = WIGDT.INV_ID
JOIN CRMUSER.ACCOUNTS
    ON WIGDT.CIF_ID = ACCOUNTS.ORGKEY;</t>
  </si>
  <si>
    <t xml:space="preserve">Premium Payment Term </t>
  </si>
  <si>
    <t xml:space="preserve">Maintain New Policy and Renewal Transactions -&gt; Premium Details -&gt;Premium Payment Term </t>
  </si>
  <si>
    <t>PREMIUM_TERM</t>
  </si>
  <si>
    <t xml:space="preserve">SELECT
    -- ACCOUNTS.ORGKEY AS ORGKEY,
    INTPT.PREMIUM_TERM AS Premium_Payment_Term
FROM TBAADM.INTPT
JOIN TBAADM.INCTD
    ON INTPT.TRAN_ID = INCTD.TRAN_ID
JOIN TBAADM.WIGDT
    ON INCTD.INV_ID = WIGDT.INV_ID
JOIN CRMUSER.ACCOUNTS
    ON WIGDT.CIF_ID = ACCOUNTS.ORGKEY;
``SELECT
    -- ACCOUNTS.ORGKEY AS ORGKEY,
    INCTD.POLICY_TERM AS Policy_Term_Years
FROM TBAADM.INCTD
JOIN TBAADM.WIGDT
    ON INCTD.INV_ID = WIGDT.INV_ID
JOIN CRMUSER.ACCOUNTS
    ON WIGDT.CIF_ID = ACCOUNTS.ORGKEY;
</t>
  </si>
  <si>
    <t>CCY</t>
  </si>
  <si>
    <t>Maintain New Policy and Renewal Transactions -&gt; Premium Details -&gt;CCY</t>
  </si>
  <si>
    <t>PREMIUM_AMT_CRNCY</t>
  </si>
  <si>
    <t xml:space="preserve">SELECT
    -- ACCOUNTS.ORGKEY AS ORGKEY,
    INTPT.PREMIUM_AMT_CRNCY AS CCY
FROM TBAADM.INTPT
JOIN TBAADM.INCTD
    ON INTPT.TRAN_ID = INCTD.TRAN_ID
JOIN TBAADM.WIGDT
    ON INCTD.INV_ID = WIGDT.INV_ID
JOIN CRMUSER.ACCOUNTS
    ON WIGDT.CIF_ID = ACCOUNTS.ORGKEY;
</t>
  </si>
  <si>
    <t>Premium Amt.</t>
  </si>
  <si>
    <t>Maintain New Policy and Renewal Transactions -&gt; Premium Details -&gt;Premium Amt.</t>
  </si>
  <si>
    <t>PREMIUM_AMT</t>
  </si>
  <si>
    <t>SELECT
    -- ACCOUNTS.ORGKEY AS ORGKEY,
    INTPT.PREMIUM_AMT AS Premium_Amount
FROM TBAADM.INTPT
JOIN TBAADM.INCTD
    ON INTPT.TRAN_ID = INCTD.TRAN_ID
JOIN TBAADM.WIGDT
    ON INCTD.INV_ID = WIGDT.INV_ID
JOIN CRMUSER.ACCOUNTS
    ON WIGDT.CIF_ID = ACCOUNTS.ORGKEY;
``</t>
  </si>
  <si>
    <t>Discount</t>
  </si>
  <si>
    <t>Maintain New Policy and Renewal Transactions -&gt; Premium Details -&gt;Discount</t>
  </si>
  <si>
    <t>DISCOUNT_AMT</t>
  </si>
  <si>
    <t>SELECT
    -- ACCOUNTS.ORGKEY AS ORGKEY,
    INTPT.DISCOUNT_AMT AS Discount
FROM TBAADM.INTPT
JOIN TBAADM.INCTD
    ON INTPT.TRAN_ID = INCTD.TRAN_ID
JOIN TBAADM.WIGDT
    ON INCTD.INV_ID = WIGDT.INV_ID
JOIN CRMUSER.ACCOUNTS
    ON WIGDT.CIF_ID = ACCOUNTS.ORGKEY;</t>
  </si>
  <si>
    <t>Net Premium Amt.</t>
  </si>
  <si>
    <t>Maintain New Policy and Renewal Transactions -&gt; Premium Details -&gt;Net Premium Amt.</t>
  </si>
  <si>
    <t>NET_PREMIUM_AMT</t>
  </si>
  <si>
    <t xml:space="preserve">SELECT
    -- ACCOUNTS.ORGKEY AS ORGKEY,
    INTPT.NET_PREMIUM_AMT AS Net_Premium_Amount
FROM TBAADM.INTPT
JOIN TBAADM.INCTD
    ON INTPT.TRAN_ID = INCTD.TRAN_ID
JOIN TBAADM.WIGDT
    ON INCTD.INV_ID = WIGDT.INV_ID
JOIN CRMUSER.ACCOUNTS
    ON WIGDT.CIF_ID = ACCOUNTS.ORGKEY;
</t>
  </si>
  <si>
    <t xml:space="preserve">Penalty Amt </t>
  </si>
  <si>
    <t xml:space="preserve">Maintain New Policy and Renewal Transactions -&gt; Premium Details -&gt;Penalty Amt </t>
  </si>
  <si>
    <t>PENALTY_AMT</t>
  </si>
  <si>
    <t>SELECT
    -- ACCOUNTS.ORGKEY AS ORGKEY,
    INTPT.PENALTY_AMT AS Penalty_Amount
FROM TBAADM.INTPT
JOIN TBAADM.INCTD
    ON INTPT.TRAN_ID = INCTD.TRAN_ID
JOIN TBAADM.WIGDT
    ON INCTD.INV_ID = WIGDT.INV_ID
JOIN CRMUSER.ACCOUNTS
    ON WIGDT.CIF_ID = ACCOUNTS.ORGKEY;
``</t>
  </si>
  <si>
    <t>Tax Amt. 1</t>
  </si>
  <si>
    <t>Maintain New Policy and Renewal Transactions -&gt; Premium Details -&gt;Tax Amt. 1</t>
  </si>
  <si>
    <t>tax_amt</t>
  </si>
  <si>
    <t>SELECT
    -- ACCOUNTS.ORGKEY AS ORGKEY,
    INTPT.TAX_AMT AS Tax_Amount_1
FROM TBAADM.INTPT
JOIN TBAADM.INCTD
    ON INTPT.TRAN_ID = INCTD.TRAN_ID
JOIN TBAADM.WIGDT
    ON INCTD.INV_ID = WIGDT.INV_ID
JOIN CRMUSER.ACCOUNTS
    ON WIGDT.CIF_ID = ACCOUNTS.ORGKEY;</t>
  </si>
  <si>
    <t>Tax Amt. 2</t>
  </si>
  <si>
    <t>Maintain New Policy and Renewal Transactions -&gt; Premium Details -&gt;Tax Amt. 2</t>
  </si>
  <si>
    <t>tax_amt_1</t>
  </si>
  <si>
    <t>SELECT
    -- ACCOUNTS.ORGKEY AS ORGKEY,
    INTPT.TAX_AMT_1 AS Tax_Amount_2
FROM TBAADM.INTPT
JOIN TBAADM.INCTD
    ON INTPT.TRAN_ID = INCTD.TRAN_ID
JOIN TBAADM.WIGDT
    ON INCTD.INV_ID = WIGDT.INV_ID
JOIN CRMUSER.ACCOUNTS
    ON WIGDT.CIF_ID = ACCOUNTS.ORGKEY;</t>
  </si>
  <si>
    <t>Tax Amt. 3</t>
  </si>
  <si>
    <t>Maintain New Policy and Renewal Transactions -&gt; Premium Details -&gt;Tax Amt. 3</t>
  </si>
  <si>
    <t>tax_amt_2</t>
  </si>
  <si>
    <t>SELECT
    -- ACCOUNTS.ORGKEY AS ORGKEY,
    INTPT.TAX_AMT_2 AS Tax_Amount_3
FROM TBAADM.INTPT
JOIN TBAADM.INCTD
    ON INTPT.TRAN_ID = INCTD.TRAN_ID
JOIN TBAADM.WIGDT
    ON INCTD.INV_ID = WIGDT.INV_ID
JOIN CRMUSER.ACCOUNTS
    ON WIGDT.CIF_ID = ACCOUNTS.ORG</t>
  </si>
  <si>
    <t>Sum Insured</t>
  </si>
  <si>
    <t>Maintain New Policy and Renewal Transactions -&gt; Premium Details -&gt;Sum Insured</t>
  </si>
  <si>
    <t>SUM_INSURED</t>
  </si>
  <si>
    <t>SELECT
    -- ACCOUNTS.ORGKEY AS ORGKEY,
    INTPT.SUM_INSURED AS Sum_Insured
FROM TBAADM.INTPT
JOIN TBAADM.INCTD
    ON INTPT.TRAN_ID = INCTD.TRAN_ID
JOIN TBAADM.WIGDT
    ON INCTD.INV_ID = WIGDT.INV_ID
JOIN CRMUSER.ACCOUNTS
    ON WIGDT.CIF_ID = ACCOUNTS.ORGKEY;</t>
  </si>
  <si>
    <t>Maintain New Policy and Renewal Transactions -&gt; Premium Details -&gt;Remarks</t>
  </si>
  <si>
    <t>PREM_REMARKS</t>
  </si>
  <si>
    <t>SELECT
    -- ACCOUNTS.ORGKEY AS ORGKEY,
    INTPT.PREM_REMARKS AS Remarks
FROM TBAADM.INTPT
JOIN TBAADM.INCTD
    ON INTPT.TRAN_ID = INCTD.TRAN_ID
JOIN TBAADM.WIGDT
    ON INCTD.INV_ID = WIGDT.INV_ID
JOIN CRMUSER.ACCOUNTS
    ON WIGDT.CIF_ID = ACCOUNTS.ORGKEY;</t>
  </si>
  <si>
    <t>VARCHAR2(255 CHAR)</t>
  </si>
  <si>
    <t>Maintain New Policy and Renewal Transactions -&gt; Premium Details -&gt;Del. Flag</t>
  </si>
  <si>
    <t>SELECT
    -- ACCOUNTS.ORGKEY AS ORGKEY,
    INTPT.DEL_FLG AS Del_Flag
FROM TBAADM.INTPT
JOIN TBAADM.INCTD
    ON INTPT.TRAN_ID = INCTD.TRAN_ID
JOIN TBAADM.WIGDT
    ON INCTD.INV_ID = WIGDT.INV_ID
JOIN CRMUSER.ACCOUNTS
    ON WIGDT.CIF_ID = ACCOUNTS.ORGKEY;</t>
  </si>
  <si>
    <t>N?Y</t>
  </si>
  <si>
    <t xml:space="preserve">Auto Premium </t>
  </si>
  <si>
    <t>Investment Insurance : Premium Payment Details</t>
  </si>
  <si>
    <t>Maintain New Policy and Renewal Transactions -&gt; Premium Collection Instruction -&gt; Auto Premium Collected Opted</t>
  </si>
  <si>
    <t>INTPMT</t>
  </si>
  <si>
    <t>AUTO_PREM_COLL_FLG</t>
  </si>
  <si>
    <t>INTPMT.TRAN_ID = INCTD.TRAN_ID AND INCTD.INV_ID = WIGDT.INV_ID AND WIGDT.CIF_ID = ACCOUNTS.ORGKEY</t>
  </si>
  <si>
    <t>SELECT
    -- ACCOUNTS.ORGKEY AS ORGKEY,
    INTPMT.AUTO_PREM_COLL_FLG AS Auto_Premium_Collected
FROM TBAADM.INTPMT
JOIN TBAADM.INCTD
    ON INTPMT.TRAN_ID = INCTD.TRAN_ID
JOIN TBAADM.WIGDT
    ON INCTD.INV_ID = WIGDT.INV_ID
JOIN CRMUSER.ACCOUNTS
    ON WIGDT.CIF_ID = ACCOUNTS.ORGKEY;</t>
  </si>
  <si>
    <t>without account join 17828</t>
  </si>
  <si>
    <t>N/Y</t>
  </si>
  <si>
    <t>Instruction Provided For</t>
  </si>
  <si>
    <t>Maintain New Policy and Renewal Transactions -&gt; Premium Collection Instruction -&gt; Instruction Provided For</t>
  </si>
  <si>
    <t>PREMIUM_CATEGORY</t>
  </si>
  <si>
    <t> SELECT
    -- ACCOUNTS.ORGKEY AS ORGKEY,
    INTPMT.PREMIUM_CATEGORY AS Instruction_Provided_For
FROM TBAADM.INTPMT
JOIN TBAADM.INCTD
    ON INTPMT.TRAN_ID = INCTD.TRAN_ID
JOIN TBAADM.WIGDT
    ON INCTD.INV_ID = WIGDT.INV_ID
JOIN CRMUSER.ACCOUNTS
    ON WIGDT.CIF_ID = ACCOUNTS.ORGKEY;</t>
  </si>
  <si>
    <t>Payment Mode</t>
  </si>
  <si>
    <t>Maintain New Policy and Renewal Transactions -&gt; Premium Collection Instruction -&gt; Payment Details -&gt;Payment Mode</t>
  </si>
  <si>
    <t>PAYMENT_MODE</t>
  </si>
  <si>
    <t>SELECT
    -- ACCOUNTS.ORGKEY AS ORGKEY,
    INTPMT.PAYMENT_MODE AS Payment_Mode
FROM TBAADM.INTPMT
JOIN TBAADM.INCTD
    ON INTPMT.TRAN_ID = INCTD.TRAN_ID
JOIN TBAADM.WIGDT
    ON INCTD.INV_ID = WIGDT.INV_ID
JOIN CRMUSER.ACCOUNTS
    ON WIGDT.CIF_ID = ACCOUNTS.ORGKEY;</t>
  </si>
  <si>
    <t>Maintain New Policy and Renewal Transactions -&gt; Premium Collection Instruction -&gt; Payment Details -&gt;Product CCY</t>
  </si>
  <si>
    <t>PROD_CRNCY</t>
  </si>
  <si>
    <t>SELECT
    -- ACCOUNTS.ORGKEY AS ORGKEY,
    INTPMT.PROD_CRNCY AS Product_Currency
FROM TBAADM.INTPMT
JOIN TBAADM.INCTD
    ON INTPMT.TRAN_ID = INCTD.TRAN_ID
JOIN TBAADM.WIGDT
    ON INCTD.INV_ID = WIGDT.INV_ID
JOIN CRMUSER.ACCOUNTS
    ON WIGDT.CIF_ID = ACCOUNTS.ORGKEY;</t>
  </si>
  <si>
    <t>Maintain New Policy and Renewal Transactions -&gt; Premium Collection Instruction -&gt; Payment Details -&gt;Transaction CCY</t>
  </si>
  <si>
    <t>TRAN_CRNCY</t>
  </si>
  <si>
    <t>SELECT
    -- ACCOUNTS.ORGKEY AS ORGKEY,
    INTPMT.TRAN_CRNCY AS Transaction_Currency
FROM TBAADM.INTPMT
JOIN TBAADM.INCTD
    ON INTPMT.TRAN_ID = INCTD.TRAN_ID
JOIN TBAADM.WIGDT
    ON INCTD.INV_ID = WIGDT.INV_ID
JOIN CRMUSER.ACCOUNTS
    ON WIGDT.CIF_ID = ACCOUNTS.ORGKEY;</t>
  </si>
  <si>
    <t>Maintain New Policy and Renewal Transactions -&gt; Premium Collection Instruction -&gt; Payment Details -&gt;Operative A/c. ID</t>
  </si>
  <si>
    <t>OPER_ACCT_ID</t>
  </si>
  <si>
    <t>SELECT
    -- ACCOUNTS.ORGKEY AS ORGKEY,
    INTPMT.OPER_ACCT_ID AS Operative_Account_Number
FROM TBAADM.INTPMT
JOIN TBAADM.INCTD
    ON INTPMT.TRAN_ID = INCTD.TRAN_ID
JOIN TBAADM.WIGDT
    ON INCTD.INV_ID = WIGDT.INV_ID
JOIN CRMUSER.ACCOUNTS
    ON WIGDT.CIF_ID = ACCOUNTS.ORGKEY;</t>
  </si>
  <si>
    <t>VARCHAR2(60 CHAR)</t>
  </si>
  <si>
    <t>Sequence Number</t>
  </si>
  <si>
    <t>Operative Account Currency</t>
  </si>
  <si>
    <t>Maintain New Policy and Renewal Transactions -&gt; Premium Collection Instruction -&gt; Payment Details -&gt;Operative A/c. CCY</t>
  </si>
  <si>
    <t>STD_OPER_ACCT_CCY</t>
  </si>
  <si>
    <t>SELECT
    -- ACCOUNTS.ORGKEY AS ORGKEY,
    INTPMT.STD_OPER_ACCT_CCY AS Operative_Account_Currency
FROM TBAADM.INTPMT
JOIN TBAADM.INCTD
    ON INTPMT.TRAN_ID = INCTD.TRAN_ID
JOIN TBAADM.WIGDT
    ON INCTD.INV_ID = WIGDT.INV_ID
JOIN CRMUSER.ACCOUNTS
    ON WIGDT.CIF_ID = ACCOUNTS.ORGKEY;</t>
  </si>
  <si>
    <t>Cheque/Demand Draft Number</t>
  </si>
  <si>
    <t>Maintain New Policy and Renewal Transactions -&gt; Premium Collection Instruction -&gt; Cheque/Demand Draft Details -&gt; Cheque/Demand Draft No.</t>
  </si>
  <si>
    <t>CHEQUE_NO</t>
  </si>
  <si>
    <t>SELECT
    -- ACCOUNTS.ORGKEY AS ORGKEY,
    INTPMT.CHEQUE_NO AS Cheque_or_DD_Number
FROM TBAADM.INTPMT
JOIN TBAADM.INCTD
    ON INTPMT.TRAN_ID = INCTD.TRAN_ID
JOIN TBAADM.WIGDT
    ON INCTD.INV_ID = WIGDT.INV_ID
JOIN CRMUSER.ACCOUNTS
    ON WIGDT.CIF_ID = ACCOUNTS.ORGKEY;
``</t>
  </si>
  <si>
    <t>Maintain New Policy and Renewal Transactions -&gt; Premium Collection Instruction -&gt; Cheque/Demand Draft Details -&gt; Bank Name</t>
  </si>
  <si>
    <t>CHEQUE_BANK_NAME</t>
  </si>
  <si>
    <t xml:space="preserve">SELECT
    -- ACCOUNTS.ORGKEY AS ORGKEY,
    INTPMT.CHEQUE_BANK_NAME AS Bank_Name
FROM TBAADM.INTPMT
JOIN TBAADM.INCTD
    ON INTPMT.TRAN_ID = INCTD.TRAN_ID
JOIN TBAADM.WIGDT
    ON INCTD.INV_ID = WIGDT.INV_ID
JOIN CRMUSER.ACCOUNTS
    ON WIGDT.CIF_ID = ACCOUNTS.ORGKEY;
</t>
  </si>
  <si>
    <t>Investment Insurance :  Transaction Enquiry</t>
  </si>
  <si>
    <t>MRPT -&gt; Transaction ID</t>
  </si>
  <si>
    <t>INCTD.INV_ID = WIGDT.INV_ID &amp;
WIGDT.CIF_ID = ACCOUNTS.ORGKEY</t>
  </si>
  <si>
    <t>SELECT
    -- ACCOUNTS.ORGKEY AS ORGKEY,
    INCTD.TRAN_ID AS Transaction_ID
FROM TBAADM.INCTD
JOIN TBAADM.WIGDT
    ON INCTD.INV_ID = WIGDT.INV_ID
JOIN CRMUSER.ACCOUNTS
    ON WIGDT.CIF_ID = ACCOUNTS.ORGKEY;
``</t>
  </si>
  <si>
    <t>MRPT -&gt; Transaction Type</t>
  </si>
  <si>
    <t>SELECT
    -- ACCOUNTS.ORGKEY AS ORGKEY,
    INCTD.TRAN_TYPE AS Transaction_Type
FROM TBAADM.INCTD
JOIN TBAADM.WIGDT
    ON INCTD.INV_ID = WIGDT.INV_ID
JOIN CRMUSER.ACCOUNTS
    ON WIGDT.CIF_ID = ACCOUNTS.ORGKEY;</t>
  </si>
  <si>
    <t>Transaction Subtype</t>
  </si>
  <si>
    <t>MRPT -&gt; Transaction Subtype</t>
  </si>
  <si>
    <t>TRAN_SUB_TYPE</t>
  </si>
  <si>
    <t>SELECT
    -- ACCOUNTS.ORGKEY AS ORGKEY,
    INCTD.TRAN_SUB_TYPE AS Transaction_Subtype
FROM TBAADM.INCTD
JOIN TBAADM.WIGDT
    ON INCTD.INV_ID = WIGDT.INV_ID
JOIN CRMUSER.ACCOUNTS
    ON WIGDT.CIF_ID = ACCOUNTS.ORGKEY;</t>
  </si>
  <si>
    <t>MRPT -&gt; Product Code</t>
  </si>
  <si>
    <t>SELECT
    -- ACCOUNTS.ORGKEY AS ORGKEY,
    INCTD.INSURER_CODE AS Product_Code
FROM TBAADM.INCTD
JOIN TBAADM.WIGDT
    ON INCTD.INV_ID = WIGDT.INV_ID
JOIN CRMUSER.ACCOUNTS
    ON WIGDT.CIF_ID = ACCOUNTS.ORGKEY;</t>
  </si>
  <si>
    <t>MRPT -&gt; Transaction Date</t>
  </si>
  <si>
    <t>SELECT
    -- ACCOUNTS.ORGKEY AS ORGKEY,
    INCTD.TRAN_DATE AS Transaction_Date
FROM TBAADM.INCTD
JOIN TBAADM.WIGDT
    ON INCTD.INV_ID = WIGDT.INV_ID
JOIN CRMUSER.ACCOUNTS
    ON WIGDT.CIF_ID = ACCOUNTS.ORGKEY;</t>
  </si>
  <si>
    <t>Acceptance Date</t>
  </si>
  <si>
    <t>MRPT -&gt; Acceptance Date</t>
  </si>
  <si>
    <t>TRAN_CONF_DATE</t>
  </si>
  <si>
    <t>SELECT
    -- ACCOUNTS.ORGKEY AS ORGKEY,
    INCTD.TRAN_CONF_DATE AS Acceptance_Date
FROM TBAADM.INCTD
JOIN TBAADM.WIGDT
    ON INCTD.INV_ID = WIGDT.INV_ID
JOIN CRMUSER.ACCOUNTS
    ON WIGDT.CIF_ID = ACCOUNTS.ORGKEY;</t>
  </si>
  <si>
    <t>Transaction Status</t>
  </si>
  <si>
    <t>MRPT -&gt; Transaction Status</t>
  </si>
  <si>
    <t>TRAN_STATUS</t>
  </si>
  <si>
    <t>SELECT
    -- ACCOUNTS.ORGKEY AS ORGKEY,
    INCTD.TRAN_STATUS AS Transaction_Status
FROM TBAADM.INCTD
JOIN TBAADM.WIGDT
    ON INCTD.INV_ID = WIGDT.INV_ID
JOIN CRMUSER.ACCOUNTS
    ON WIGDT.CIF_ID = ACCOUNTS.ORGKEY;</t>
  </si>
  <si>
    <t>External Ref. No.</t>
  </si>
  <si>
    <t>MRPT -&gt; External Ref. No.</t>
  </si>
  <si>
    <t>EXTERNAL_REF_NUM</t>
  </si>
  <si>
    <t>SELECT
    -- ACCOUNTS.ORGKEY AS ORGKEY,
    INCTD.EXTERNAL_REF_NUM AS External_Reference_Number
FROM TBAADM.INCTD
JOIN TBAADM.WIGDT
    ON INCTD.INV_ID = WIGDT.INV_ID
JOIN CRMUSER.ACCOUNTS
    ON WIGDT.CIF_ID = ACCOUNTS.ORGKEY;</t>
  </si>
  <si>
    <t>Priority of support required</t>
  </si>
  <si>
    <t>Support status</t>
  </si>
  <si>
    <t>Support required from CARDS/ONLINE team</t>
  </si>
  <si>
    <t>Integration type</t>
  </si>
  <si>
    <t>API used</t>
  </si>
  <si>
    <t>DB Schema</t>
  </si>
  <si>
    <t>Support required?</t>
  </si>
  <si>
    <t>Comment</t>
  </si>
  <si>
    <t>05.Credit Card</t>
  </si>
  <si>
    <t>Card Account Status</t>
  </si>
  <si>
    <t>Account -&gt; General Status</t>
  </si>
  <si>
    <t>Support provided by CARDS</t>
  </si>
  <si>
    <t>1-Apr : CARDS team confirmed to go ahead with TSYS specs</t>
  </si>
  <si>
    <t>Drop1 - M2</t>
  </si>
  <si>
    <t>na</t>
  </si>
  <si>
    <t>TCTCD1</t>
  </si>
  <si>
    <t>STGENERAL</t>
  </si>
  <si>
    <t>cardx.CACCSERNO=caccounts.serno and cardx.PEOPLESERNO=people.serno &amp; CRMuser.accounts.orgkey=people.CUSTIDNUMBER (Remove any prefix 'C','D' or 'P' from CUSTIDNUMBER before join)</t>
  </si>
  <si>
    <t>If people.CUSTIDNUMBER starts with 'C' for Credit Cards, starts with 'D' for Debit Cards and 'P' for prepaid cards</t>
  </si>
  <si>
    <t>Business inputs required</t>
  </si>
  <si>
    <t>label</t>
  </si>
  <si>
    <t>n/a</t>
  </si>
  <si>
    <t>string</t>
  </si>
  <si>
    <t>char</t>
  </si>
  <si>
    <t>PrimeIssuerServices.EntityInquiry</t>
  </si>
  <si>
    <t>Not found/awaiting feedback</t>
  </si>
  <si>
    <t>not found in primeweb</t>
  </si>
  <si>
    <t>Credits</t>
  </si>
  <si>
    <t>Account Statement Details -&gt; Credits</t>
  </si>
  <si>
    <t>Drop1 - M3</t>
  </si>
  <si>
    <t>TOTALCREDITS</t>
  </si>
  <si>
    <t>CSTATEMENTS.CACCSERNO=Caccounts.serno</t>
  </si>
  <si>
    <t>ilcstatements.totalcredits + ilcstatements.totalbackdatedcredits</t>
  </si>
  <si>
    <t>asp:textbox</t>
  </si>
  <si>
    <t>NUMBER(16,3)</t>
  </si>
  <si>
    <t>decimal</t>
  </si>
  <si>
    <t>PrimeIssuerServices.StatementInquiry/DB</t>
  </si>
  <si>
    <t>Debits</t>
  </si>
  <si>
    <t>Account Statement Details -&gt; Debits</t>
  </si>
  <si>
    <t>TOTALDEBITS</t>
  </si>
  <si>
    <t>ilcstatements.totaldebits + ilcstatements.totalbackdatedcredits</t>
  </si>
  <si>
    <t>PrimeIssuerServices.statementInquiry/DB</t>
  </si>
  <si>
    <t>Statement Cycle</t>
  </si>
  <si>
    <t>Account Statement Details -&gt; Next Statement Date Increment</t>
  </si>
  <si>
    <t>1-Apr: Discussed with business/CARDS to just take direct DB field if it is matching with UI</t>
  </si>
  <si>
    <t>ILCACCOUNTSTMT</t>
  </si>
  <si>
    <t>STMTDATEINC</t>
  </si>
  <si>
    <t>cardx.CACCSERNO=CACCOUNTSTMT.serno</t>
  </si>
  <si>
    <t>public static string InterpretPeriod(double period, bool useCycle)
{
    string text = string.Empty;
    int num = 0;
    long num2 = default(long);
    if (Math.Abs(period) &gt; 2000.0)
    {
        num = 2;
        num2 = Convert.ToInt64(period / Math.Abs(period) * 2000.0);
    }
    if (Math.Abs(period) &lt; 2000.0 &amp;&amp; Math.Abs(period) &gt; 1000.0)
    {
        num = 1;
        num2 = Convert.ToInt64(period / Math.Abs(period) * 1000.0);
    }
    period -= (double)num2;
    double num3 = period;
    checked
    {
        if (num3 &gt;= -200.0 &amp;&amp; num3 &lt;= 0.0)
        {
            text = Conversions.ToString(0.0 - period) + ResourceProvider.GetString("msgPeriodDays", " day(s).");
        }
        else if (num3 &gt;= 0.0 &amp;&amp; num3 &lt;= 100.0)
        {
            text = Conversions.ToString(period) + ResourceProvider.GetString("msgPeriodMonths", " month(s).");
        }
        else if (num3 &gt;= 101.0 &amp;&amp; num3 &lt;= 199.0)
        {
            text = Conversions.ToString(period - 100.0) + ResourceProvider.GetString("msgPeriodEndofMonth", " month(s) at End-of-Month.");
        }
        else if (num3 &gt;= -231.0 &amp;&amp; num3 &lt;= -201.0)
        {
            text = Conversions.ToString(0.0 - (period + 200.0)) + (string)Interaction.IIf(0.0 - (period + 200.0) == 11.0 || 0.0 - (period + 200.0) == 12.0 || 0.0 - (period + 200.0) == 13.0, "th", RuntimeHelpers.GetObjectValue(Interaction.IIf(Operators.CompareString(Strings.Right(Convert.ToString(0.0 - (period + 200.0)), 1), "1", TextCompare: false) == 0, "st", RuntimeHelpers.GetObjectValue(Interaction.IIf(Operators.CompareString(Strings.Right(Convert.ToString(0.0 - (period + 200.0)), 1), "2", TextCompare: false) == 0, "nd", RuntimeHelpers.GetObjectValue(Interaction.IIf(Operators.CompareString(Strings.Right(Convert.ToString(0.0 - (period + 200.0)), 1), "3", TextCompare: false) == 0, "rd", "th"))))))) + ResourceProvider.GetString("msgPeriodDayMonth", " day of every month.");
        }
        else if (num3 == 200.0)
        {
            text = ResourceProvider.GetString("msgPeriodCurrentMonthEOM", "Current month at End-of-Month.");
        }
        else if (num3 &gt;= 201.0 &amp;&amp; num3 &lt;= 228.0)
        {
            text = Conversions.ToString(period - 200.0) + (string)Interaction.IIf(period - 200.0 == 11.0 || period - 200.0 == 12.0 || period - 200.0 == 13.0, "th", RuntimeHelpers.GetObjectValue(Interaction.IIf(Operators.CompareString(Strings.Right(Convert.ToString(period - 200.0), 1), "1", TextCompare: false) == 0, "st", RuntimeHelpers.GetObjectValue(Interaction.IIf(Operators.CompareString(Strings.Right(Convert.ToString(period - 200.0), 1), "2", TextCompare: false) == 0, "nd", RuntimeHelpers.GetObjectValue(Interaction.IIf(Operators.CompareString(Strings.Right(Convert.ToString(period - 200.0), 1), "3", TextCompare: false) == 0, "rd", "th"))))))) + ResourceProvider.GetString("msgPeriodDayMonthEOM", " day of every month and at End-of-Month (Bi-monthly).");
        }
        else if (num3 &gt;= -427.0 &amp;&amp; num3 &lt;= -300.0)
        {
            text = ResourceProvider.GetString("msgPeriodWeekly", "Weekly on") + " ";
            period = 0.0 - (period + 300.0);
            int num4 = 0;
            int num5 = 6;
            do
            {
                if (Math.Pow(2.0, num5) &lt;= period)
                {
                    text = text + (string)Interaction.IIf(num4 &gt; 0, ", ", string.Empty) + (string)Interaction.Choose(num5 + 1, ResourceProvider.GetString("msgPeriodSun", "Sun"), ResourceProvider.GetString("msgPeriodMon", "Mon"), ResourceProvider.GetString("msgPeriodTue", "Tue"), ResourceProvider.GetString("msgPeriodWed", "Wed"), ResourceProvider.GetString("msgPeriodThu", "Thu"), ResourceProvider.GetString("msgPeriodFri", "Fri"), ResourceProvider.GetString("msgPeriodSat", "Sat"));
                    num4++;
                    period = Convert.ToInt64(period - Math.Pow(2.0, num5));
                }
                num5 += -1;
            }
            while (num5 &gt;= 0);
            text += ".";
        }
        if (useCycle)
        {
            switch (num)
            {
                case 0:
                    text += ResourceProvider.GetString("msgPeriodStayInCycle", " Stay in cycle.");
                    break;
                case 1:
                    text += ResourceProvider.GetString("msgPeriodSkipNextCycle", " Skip next cycle.");
                    break;
                case 2:
                    text += ResourceProvider.GetString("msgPeriodSatrtNewCycle", " Start new cycle.");
                    break;
            }
        }
        return text;
    }
}</t>
  </si>
  <si>
    <t>1-Apr : Kavitha confirmed to take only the stat value if it matches with the 1st number shown in FE. Data Analyst to check the DB field name provided</t>
  </si>
  <si>
    <t>Complex logics involved. Please share API details, if exists</t>
  </si>
  <si>
    <t>Complex logic. Please share if API exisits</t>
  </si>
  <si>
    <t>converting ilcaccountstmt.stmtdateinc in frontend</t>
  </si>
  <si>
    <t>Next Statement Date</t>
  </si>
  <si>
    <t xml:space="preserve">Account Statement Details -&gt;Cycling -&gt; Next Statement Date </t>
  </si>
  <si>
    <t>Please confirm that there is no logics and this is one to one mapping</t>
  </si>
  <si>
    <t>date</t>
  </si>
  <si>
    <t>PrimeIssuerServices.GetAdditionalEntityInfo</t>
  </si>
  <si>
    <t>Address -&gt; Email</t>
  </si>
  <si>
    <t>ILCADDRESSES</t>
  </si>
  <si>
    <t>tctdbs.people people 
join tctdbs.caddresslinks addlinks on people.serno = addlinks.rowserno 
join tctdbs.caddresses addr on addlinks.serno = addr.serno where addlinks.tabindicator = 'P'
crmuser_accounts.orgkey=people.custidnumber(after removing any prefix 'C','D' or 'P)</t>
  </si>
  <si>
    <t>Mobile</t>
  </si>
  <si>
    <t>Address -&gt; Mobile</t>
  </si>
  <si>
    <t>MOBILE</t>
  </si>
  <si>
    <t>Telephone 1</t>
  </si>
  <si>
    <t>Address -&gt; Tel 1</t>
  </si>
  <si>
    <t>TEL1</t>
  </si>
  <si>
    <t>Unbilled Amount</t>
  </si>
  <si>
    <t>Authorization Data (Online) -&gt; Activity -&gt; O/S Amount</t>
  </si>
  <si>
    <t>AMT_CARD</t>
  </si>
  <si>
    <t>AUTHORIZATIONS.cardserno=cardx.serno</t>
  </si>
  <si>
    <t>Sum of AMT_CARD for all the approved outstanding authorizations of the card. Where MATCHTIME = NULL and TRXNSERNO = NULL</t>
  </si>
  <si>
    <t>unbilled amount not found. o/s aount is returned from the online prcedure mentioned in the end</t>
  </si>
  <si>
    <t>Card Closure Eligibility Details</t>
  </si>
  <si>
    <t>Last Status Change Date</t>
  </si>
  <si>
    <t>Based on Card History Grid, Date to be calculated</t>
  </si>
  <si>
    <t>TCTCD2</t>
  </si>
  <si>
    <t>ILAPPLOG</t>
  </si>
  <si>
    <t> cardx.serno=applog.rowserno &amp; cardx.PEOPLESERNO=people.serno &amp; CRMuser.accounts.orgkey=people.CUSTIDNUMBER (Remove any prefix 'C','D' or 'P' from CUSTIDNUMBER before join)</t>
  </si>
  <si>
    <t>asp:datagrid</t>
  </si>
  <si>
    <t>N/A</t>
  </si>
  <si>
    <t>DB/PrimeIssuerServices.GetEntityHistory</t>
  </si>
  <si>
    <t>Balance History</t>
  </si>
  <si>
    <t>Card -&gt; Authorization Data (Online Card -&gt; OTB Details -&gt; Click on Group Hyperlink -&gt; Group History Grid - &gt; Timestamp</t>
  </si>
  <si>
    <t>Drop1 - M4</t>
  </si>
  <si>
    <t>datagrid</t>
  </si>
  <si>
    <t>TIMESTAMP</t>
  </si>
  <si>
    <t>Card -&gt; Authorization Data (Online Card -&gt; OTB Details -&gt; Click on Group Hyperlink -&gt; Group History Grid -&gt; Action</t>
  </si>
  <si>
    <t>ACTION</t>
  </si>
  <si>
    <t>String displayed on frontend is not same as DB. For example in DB we have T52367. Here T represent transaction and 52367 is transaction serno in ONLINE DB and in frontend "Transaction" is displayed</t>
  </si>
  <si>
    <t>Changed</t>
  </si>
  <si>
    <t>Card -&gt; Authorization Data (Online Card -&gt; OTB Details -&gt; Click on Group Hyperlink -&gt; Group History Grid -&gt; Changed</t>
  </si>
  <si>
    <t>COLNAME</t>
  </si>
  <si>
    <t>String displayed on frontend is not same as DB. For example in DB we have cotb. And it is translated to Cash OTB at some place in code</t>
  </si>
  <si>
    <t>New Value</t>
  </si>
  <si>
    <t>Card -&gt; Authorization Data (Online Card -&gt; OTB Details -&gt; Click on Group Hyperlink -&gt; Group History Grid -&gt; New Value</t>
  </si>
  <si>
    <t>NEWVALUE</t>
  </si>
  <si>
    <t>Old Value</t>
  </si>
  <si>
    <t>Card -&gt; Authorization Data (Online Card -&gt; OTB Details -&gt; Click on Group Hyperlink -&gt; Group History Grid -&gt; Old Value</t>
  </si>
  <si>
    <t>OLDVALUE</t>
  </si>
  <si>
    <t>User</t>
  </si>
  <si>
    <t>Card -&gt; Authorization Data (Online Card -&gt; OTB Details -&gt; Click on Group Hyperlink -&gt; Group History Grid -&gt; User</t>
  </si>
  <si>
    <t>USERNAME</t>
  </si>
  <si>
    <t>Authorization Status</t>
  </si>
  <si>
    <t>Card -&gt; Authorization Status</t>
  </si>
  <si>
    <t>ILCARDX, ILCARDSTATUSX</t>
  </si>
  <si>
    <t>STAUTHORIZATION, DESCRIPTION</t>
  </si>
  <si>
    <t>cardx.PEOPLESERNO=people.serno &amp; CRMuser.accounts.orgkey=people.CUSTIDNUMBER (Remove any prefix 'C','D' or 'P' from CUSTIDNUMBER before join)</t>
  </si>
  <si>
    <t>ILCARDX.STAUTHORIZATION||' - '||ILCARDSTATUS.DESCRIPTION WHERE Where ILCARDX.STGENERAL=ILCARDSTATUS.CODE</t>
  </si>
  <si>
    <t>CHAR, VARCHAR2</t>
  </si>
  <si>
    <t>4+255</t>
  </si>
  <si>
    <t>PrimeIssuerServices.EntityInquiry/DB</t>
  </si>
  <si>
    <t>Primary Card Number</t>
  </si>
  <si>
    <t>Card -&gt; Calculated field based on Supplementary Primary linking</t>
  </si>
  <si>
    <t>Drop1 - M1, M2, M3</t>
  </si>
  <si>
    <t>NUMBERX</t>
  </si>
  <si>
    <t>ILCARDX.SERNO=OLDCARDSERNO</t>
  </si>
  <si>
    <t>Primary cardnumber not found, May be it is about "replaces" which is empty. But replaced by is filled by new supplementary card number</t>
  </si>
  <si>
    <t>04.Debit Card</t>
  </si>
  <si>
    <t>Card Activation Date</t>
  </si>
  <si>
    <t>Card -&gt; card activation</t>
  </si>
  <si>
    <t>ILCEXTENSION</t>
  </si>
  <si>
    <t>VALUE</t>
  </si>
  <si>
    <t>cardx.serno=cextension.rowserno</t>
  </si>
  <si>
    <t>ILCEXTENSION.FIELDNO=1500</t>
  </si>
  <si>
    <t>Embossed Name</t>
  </si>
  <si>
    <t>Card -&gt; Card Details -&gt; Embossing -&gt; Embossing Name</t>
  </si>
  <si>
    <t>EMBNAME</t>
  </si>
  <si>
    <t>CARDEMBOSSING.serno=cardx.serno</t>
  </si>
  <si>
    <t>Card Closure Date</t>
  </si>
  <si>
    <t>Card -&gt; Card Details -&gt; Extension Fields -&gt; Category = Card -&gt; Card Closure Date</t>
  </si>
  <si>
    <t>ILCEXTENSION.FIELDNO=320</t>
  </si>
  <si>
    <t>Input</t>
  </si>
  <si>
    <t>Card Closure Reason</t>
  </si>
  <si>
    <t>Card -&gt; Card Details -&gt; Extension Fields -&gt; Category = Card -&gt; Card Closure Reason</t>
  </si>
  <si>
    <t>ILCEXTENSION.FIELDNO=10013</t>
  </si>
  <si>
    <t>Input Dropdown</t>
  </si>
  <si>
    <t>Card Closure Reason 1</t>
  </si>
  <si>
    <t>Card -&gt; Card Details -&gt; Extension Fields -&gt; Category = Card -&gt; Card Closure Reason 1</t>
  </si>
  <si>
    <t>ILCEXTENSION.FIELDNO=10061</t>
  </si>
  <si>
    <t>Card Closure Reason 2</t>
  </si>
  <si>
    <t>Card -&gt; Card Details -&gt; Extension Fields -&gt; Category = Card -&gt; Card Closure Reason 2</t>
  </si>
  <si>
    <t>ILCEXTENSION.FIELDNO=10062</t>
  </si>
  <si>
    <t>Card Closure Reason 3</t>
  </si>
  <si>
    <t>Card -&gt; Card Details -&gt; Extension Fields -&gt; Category = Card -&gt; Card Closure Reason 3</t>
  </si>
  <si>
    <t>ILCEXTENSION.FIELDNO=10066</t>
  </si>
  <si>
    <t>Card Delivery Date</t>
  </si>
  <si>
    <t>Card -&gt; Card Details -&gt; Extension Fields -&gt; Category = Card -&gt; Card Delivery Date</t>
  </si>
  <si>
    <t>ILCEXTENSION.FIELDNO=10060</t>
  </si>
  <si>
    <t>Card Dispatch Channel</t>
  </si>
  <si>
    <t>Card -&gt; Card Details -&gt; Extension Fields -&gt; Category = Card -&gt; Card Dispatch Channel</t>
  </si>
  <si>
    <t>ILCEXTENSION.FIELDNO=10002</t>
  </si>
  <si>
    <t>Card Dispatch Date</t>
  </si>
  <si>
    <t>Card -&gt; Card Details -&gt; Extension Fields -&gt; Category = Card -&gt; Card Dispatch Date</t>
  </si>
  <si>
    <t>ILCEXTENSION.FIELDNO=10003</t>
  </si>
  <si>
    <t>Primary Card Mobile Number</t>
  </si>
  <si>
    <t>Card -&gt; Card Details -&gt; Extension Fields -&gt; Category = Card -&gt; Primary Card Mobile</t>
  </si>
  <si>
    <t>ILCEXTENSION.FIELDNO=10050</t>
  </si>
  <si>
    <t xml:space="preserve">Primary Card Email </t>
  </si>
  <si>
    <t>Card -&gt; Card Details -&gt; Extension Fields -&gt; Category = Card -&gt; Primary Email</t>
  </si>
  <si>
    <t>ILCEXTENSION.FIELDNO=10051</t>
  </si>
  <si>
    <t>Correct field is Primary Card Email</t>
  </si>
  <si>
    <t>Retention Flag</t>
  </si>
  <si>
    <t>Card -&gt; Card Details -&gt; Extension Fields -&gt; Category = Card -&gt; Retention Flag</t>
  </si>
  <si>
    <t>ILCEXTENSION.FIELDNO=10063</t>
  </si>
  <si>
    <t>Retention Reason</t>
  </si>
  <si>
    <t>Card -&gt; Card Details -&gt; Extension Fields -&gt; Category = Card -&gt; Retention Reason</t>
  </si>
  <si>
    <t>ILCEXTENSION.FIELDNO=10064</t>
  </si>
  <si>
    <t>RVC Package Code</t>
  </si>
  <si>
    <t>Card -&gt; Card Details -&gt; Extension Fields -&gt; Category = Card -&gt; RVC Package Code</t>
  </si>
  <si>
    <t>ILCEXTENSION.FIELDNO=10048</t>
  </si>
  <si>
    <t>RVC Package Status</t>
  </si>
  <si>
    <t>Card -&gt; Card Details -&gt; Extension Fields -&gt; Category = Card -&gt; RVC Package Status</t>
  </si>
  <si>
    <t>ILCEXTENSION.FIELDNO=10049</t>
  </si>
  <si>
    <t>Air Arabia Identifier</t>
  </si>
  <si>
    <t>Card -&gt; Card Details -&gt; Extension Fields -&gt; Category = Others -&gt;  Air Arabia Identifier</t>
  </si>
  <si>
    <t>ILCEXTENSION.FIELDNO=21075</t>
  </si>
  <si>
    <t>Business to review the field</t>
  </si>
  <si>
    <t>not found, The mapping appears to be inaccurate.</t>
  </si>
  <si>
    <t>Creation Date</t>
  </si>
  <si>
    <t>Card -&gt; Creation Date</t>
  </si>
  <si>
    <t>Drop1 - M2,M3</t>
  </si>
  <si>
    <t>CREATEDATE</t>
  </si>
  <si>
    <t>Embossing Status</t>
  </si>
  <si>
    <t>Card -&gt; Embossing Status</t>
  </si>
  <si>
    <t>STEMBOSSING, DESCRIPTION</t>
  </si>
  <si>
    <t>ILCARDX.STEMBOSSING||' - '||ILCARDSTATUS.DESCRIPTION</t>
  </si>
  <si>
    <t>4, 255</t>
  </si>
  <si>
    <t>Financial Status</t>
  </si>
  <si>
    <t>Card -&gt; Financial Status</t>
  </si>
  <si>
    <t>STFINANCIAL, DESCRIPTION</t>
  </si>
  <si>
    <t>ILCARDX.STFINANCIAL||' - '||ILCARDSTATUS.DESCRIPTION</t>
  </si>
  <si>
    <t>Card -&gt; General -&gt; Activation</t>
  </si>
  <si>
    <t>PrimeIssuerServices.GetEntityHistory/DB</t>
  </si>
  <si>
    <t>Activation Status</t>
  </si>
  <si>
    <t>Card -&gt; General -&gt; Current Card -&gt; Activation Status</t>
  </si>
  <si>
    <t>EXPIRYDATESTATUS</t>
  </si>
  <si>
    <t>A - active (default)\nI - inactive\nD - deactivated</t>
  </si>
  <si>
    <t>Last Re-issue</t>
  </si>
  <si>
    <t>Card -&gt; General -&gt; Last Re-issue</t>
  </si>
  <si>
    <t>REISSUEDATE</t>
  </si>
  <si>
    <t>Last Renew Date</t>
  </si>
  <si>
    <t>Card -&gt; General -&gt; Last Renew</t>
  </si>
  <si>
    <t>RENEWDATE</t>
  </si>
  <si>
    <t>Card Expiry Date</t>
  </si>
  <si>
    <t>Card-&gt; Expiry Date</t>
  </si>
  <si>
    <t>New Replaced Card Number</t>
  </si>
  <si>
    <t>Card -&gt; General -&gt; Replaced By</t>
  </si>
  <si>
    <t>ILCARDX.NEWCARDSERNO=ILCARDX.SERNO=</t>
  </si>
  <si>
    <t>Old Card Number</t>
  </si>
  <si>
    <t>Card -&gt; General -&gt; Replaces</t>
  </si>
  <si>
    <t>ILCARDX.OLDCARDSERNO=ILCARDX.SERNO=</t>
  </si>
  <si>
    <t>ilcardx.oldcardserno can be utitilize to fetch cardnumber.</t>
  </si>
  <si>
    <t>Card -&gt; Product</t>
  </si>
  <si>
    <t>Products.serno=cardx.product</t>
  </si>
  <si>
    <t>Card CRN</t>
  </si>
  <si>
    <t>cextensions</t>
  </si>
  <si>
    <t>Value</t>
  </si>
  <si>
    <t> cardx.serno=cextension.rowserno</t>
  </si>
  <si>
    <t>tabindicator ='C' and fieldno=10010 and If people.CUSTIDNUMBER starts with 'C' for Credit Cards, starts with 'D' for Debit Cards and 'P' for prepaid cards</t>
  </si>
  <si>
    <t>not found in primeweb, Card CRN, what is CRN?</t>
  </si>
  <si>
    <t>Authorization Transactions</t>
  </si>
  <si>
    <t>Customer Services -&gt; Card Section Drilldown -&gt; Online Card -&gt; Activity -&gt; Authorizations -&gt;ISO Message Record -&gt;I014_EXP_DATE</t>
  </si>
  <si>
    <t>I014_EXP_DATE</t>
  </si>
  <si>
    <t>asp:Gridview</t>
  </si>
  <si>
    <t>Card Number</t>
  </si>
  <si>
    <t>Card-&gt; Number</t>
  </si>
  <si>
    <t>Drop1 - M1,M2,M3,M4</t>
  </si>
  <si>
    <t>ilcaccounts.AccoutType='D' for debit Or sometime with creditLimit=0. Should be checked internally.</t>
  </si>
  <si>
    <t>Refer to column "Remarks" for the action required</t>
  </si>
  <si>
    <t>Drop1 - M1,M2,M3</t>
  </si>
  <si>
    <t>Auth ID</t>
  </si>
  <si>
    <t>Card-&gt;Authorization Data (Online)-&gt;Activity -&gt;Auth ID</t>
  </si>
  <si>
    <t>I038_AUTH_ID</t>
  </si>
  <si>
    <t>asp:boundColumn</t>
  </si>
  <si>
    <t>OnlineServices.AuthorizationInquiry/DB</t>
  </si>
  <si>
    <t>Card-&gt;Authorization Data (Online)-&gt;Activity -&gt;Country</t>
  </si>
  <si>
    <t>I019_ACQ_COUNTRY</t>
  </si>
  <si>
    <t xml:space="preserve">not confirm about front end logic as available data inside country was empty on web. </t>
  </si>
  <si>
    <t>MCC Code</t>
  </si>
  <si>
    <t>Card-&gt;Authorization Data (Online)-&gt;Activity -&gt;MCC</t>
  </si>
  <si>
    <t>I018_MERCH_TYPE</t>
  </si>
  <si>
    <t>asp:templateColumn</t>
  </si>
  <si>
    <t>Token expiry</t>
  </si>
  <si>
    <t>Card Tokens -&gt; Details -&gt; Expiration Date</t>
  </si>
  <si>
    <t>No support required</t>
  </si>
  <si>
    <t>Confirm type of field and provide DB specs or API</t>
  </si>
  <si>
    <t>EXPIRATIONDATE</t>
  </si>
  <si>
    <t>CARDX.serno = CARDTOKENS.PRIMECARDSERNO</t>
  </si>
  <si>
    <t>Requestor ID</t>
  </si>
  <si>
    <t>Card Tokens -&gt; Details -&gt; Requestor ID</t>
  </si>
  <si>
    <t>REQUESTORID</t>
  </si>
  <si>
    <t>Device Type</t>
  </si>
  <si>
    <t>Card Tokens-&gt;Details -&gt; Device Type</t>
  </si>
  <si>
    <t>DEVICETYPE</t>
  </si>
  <si>
    <t>Additional Details: Authorization Details</t>
  </si>
  <si>
    <t>Card-&gt;Authorization Data (Online)-&gt;Card Details-&gt;Status Code</t>
  </si>
  <si>
    <t>ILCARDSTATUS, ILCARDSTATUS</t>
  </si>
  <si>
    <t>CODE, DESCRIPTION</t>
  </si>
  <si>
    <t>Cards.STAUTHORIZATION=Cardstatus.code &amp; cards.PRIMECARDSERNO=cardx.SERNO &amp; cardx.PEOPLESERNO=people.serno &amp; CRMuser.accounts.orgkey=people.CUSTIDNUMBER (Remove any prefix 'C','D' or 'P' from CUSTIDNUMBER before join)</t>
  </si>
  <si>
    <t>CHAR, CHAR</t>
  </si>
  <si>
    <t>2, 40</t>
  </si>
  <si>
    <t>PIN Incorrect Attempts</t>
  </si>
  <si>
    <t>Card-&gt;Authorization Data (Online)-&gt;PIN Details-&gt;Incorrect Attempts</t>
  </si>
  <si>
    <t>ILCARDS</t>
  </si>
  <si>
    <t>WRONGPINS</t>
  </si>
  <si>
    <t>cards.PRIMECARDSERNO=cardx.SERNO &amp; cardx.PEOPLESERNO=people.serno &amp; CRMuser.accounts.orgkey=people.CUSTIDNUMBER (Remove any prefix 'C','D' or 'P' from CUSTIDNUMBER before join)</t>
  </si>
  <si>
    <t>OnlineServices.InfoRquest/DB</t>
  </si>
  <si>
    <t>PIN Max Allowed</t>
  </si>
  <si>
    <t>Card-&gt;Authorization Data (Online)-&gt;PIN Details-&gt;Max Allowed</t>
  </si>
  <si>
    <t>ILGLOBALPARAMETERVALUES</t>
  </si>
  <si>
    <t>GLOBALPARAMETERS.SERNO = GLOBALPARAMETERVALUES.GLOBALPARAMETERSERNO and 
GLOBALPARAMETERS.SERNO=groups.serno &amp;
cards.groupserno1=GROUPS.serno &amp;
cards.PRIMECARDSERNO=cardx.SERNO &amp; cardx.PEOPLESERNO=people.serno &amp; CRMuser.accounts.orgkey=people.CUSTIDNUMBER (Remove any prefix 'C','D' or 'P' from CUSTIDNUMBER before join)</t>
  </si>
  <si>
    <t>ILGLOBALPARAMETERS.SERNO = ILGLOBALPARAMETERVALUES.GLOBALPARAMETERSERNO AND ILGLOBALPARAMETERS.SECTION = 'Authorization' AND ILGLOBALPARAMETERS.CATEGORY = 'Cardholder Verification' AND ILGLOBALPARAMETERS.SUBCATEGORY = '&lt;n&gt;' AND ILGLOBALPARAMETERS.ITEM = 'pin retries'</t>
  </si>
  <si>
    <t>NCHAR</t>
  </si>
  <si>
    <t>PIN Last Change</t>
  </si>
  <si>
    <t>Card-&gt;Authorization Data (Online)-&gt;PIN Details-&gt;PIN Last Change</t>
  </si>
  <si>
    <t>PINLASTCHANGE</t>
  </si>
  <si>
    <t>Authorization Control Profile</t>
  </si>
  <si>
    <t>Card-&gt;Authorization Data (Online)-&gt;Usage ACPs-&gt;Authorization Control Profile</t>
  </si>
  <si>
    <t>ILACPROFILES</t>
  </si>
  <si>
    <t>SHORTCODE, DESCRIPTION</t>
  </si>
  <si>
    <t>acprofiles.serno = acplinks.serno &amp; acplinks.rowserno=cardx.serno where acplinks.tabindicator = 'C'
&amp; cardx.PEOPLESERNO=people.serno &amp; CRMuser.accounts.orgkey=people.CUSTIDNUMBER (Remove any prefix 'C','D' or 'P' from CUSTIDNUMBER before join)</t>
  </si>
  <si>
    <t>SHORTCODE || " - " || DESCRIPTION where ILACPLINKS.ACPROFILESERNO = ILACPROFILES.SERNO</t>
  </si>
  <si>
    <t>asp:boundfield</t>
  </si>
  <si>
    <t>VARCHAR2, VARCHAR2</t>
  </si>
  <si>
    <t>50, 255</t>
  </si>
  <si>
    <t>Deactivate From</t>
  </si>
  <si>
    <t>Card-&gt;Authorization Data (Online)-&gt;Usage ACPs-&gt;Deactivate From</t>
  </si>
  <si>
    <t>ILACPLINKS</t>
  </si>
  <si>
    <t>DEACTIVATEFROM</t>
  </si>
  <si>
    <t> acplinks.rowserno=cardx.serno where acplinks.tabindicator = 'C'
&amp; cardx.PEOPLESERNO=people.serno &amp; CRMuser.accounts.orgkey=people.CUSTIDNUMBER (Remove any prefix 'C','D' or 'P' from CUSTIDNUMBER before join)</t>
  </si>
  <si>
    <t>Deactivate Until</t>
  </si>
  <si>
    <t>Card-&gt;Authorization Data (Online)-&gt;Usage ACPs-&gt;Deactivate Until</t>
  </si>
  <si>
    <t>DEACTIVATEUNTIL</t>
  </si>
  <si>
    <t>Embossed Company's Name</t>
  </si>
  <si>
    <t>Card-&gt;Embossing-&gt;Embossing Company's Name</t>
  </si>
  <si>
    <t>EMBCOMPANY</t>
  </si>
  <si>
    <t>Temporary Credit</t>
  </si>
  <si>
    <t>Card-&gt;Extensions-&gt;Category = Other -&gt;Temporary Credit</t>
  </si>
  <si>
    <t>ILCEXTENSION.FIELDNO=10007</t>
  </si>
  <si>
    <t>input</t>
  </si>
  <si>
    <t>Primary Card</t>
  </si>
  <si>
    <t>Card-&gt;General-&gt;Primary Card</t>
  </si>
  <si>
    <t>PRIMARYCARD</t>
  </si>
  <si>
    <t>asp:checkbox</t>
  </si>
  <si>
    <t>boolean</t>
  </si>
  <si>
    <t>0,1</t>
  </si>
  <si>
    <t>Memo Date</t>
  </si>
  <si>
    <t>Additional Details - Memo</t>
  </si>
  <si>
    <t>Card-&gt;Memos-&gt;History-&gt;Memo Date</t>
  </si>
  <si>
    <t>ILMEMOS</t>
  </si>
  <si>
    <t>cardx.serno=memos.rowserno &amp; cardx.PEOPLESERNO=people.serno &amp; CRMuser.accounts.orgkey=people.CUSTIDNUMBER (Remove any prefix 'C','D' or 'P' from CUSTIDNUMBER before join)</t>
  </si>
  <si>
    <t>PrimeIssuerServices.RetrieveMemos/DB</t>
  </si>
  <si>
    <t>Memo Message</t>
  </si>
  <si>
    <t>Card-&gt;Memos-&gt;History-&gt;Memo Message</t>
  </si>
  <si>
    <t>MEMOMESSAGE</t>
  </si>
  <si>
    <t>Memo Type</t>
  </si>
  <si>
    <t>Card-&gt;Memos-&gt;History-&gt;Type</t>
  </si>
  <si>
    <t>ILMEMOTYPES</t>
  </si>
  <si>
    <t>TYPE</t>
  </si>
  <si>
    <t>memotypes.serno=memo.typeserno &amp; cardx.serno=memos.rowserno &amp; cardx.PEOPLESERNO=people.serno &amp; CRMuser.accounts.orgkey=people.CUSTIDNUMBER (Remove any prefix 'C','D' or 'P' from CUSTIDNUMBER before join)</t>
  </si>
  <si>
    <t>Memo User</t>
  </si>
  <si>
    <t>Card-&gt;Memos-&gt;History-&gt;User</t>
  </si>
  <si>
    <t>Cards -&gt; Authorization Data -&gt; OTB Details -&gt; Currency</t>
  </si>
  <si>
    <t>ALPHACODE</t>
  </si>
  <si>
    <t>CURRENCIES.NUMCODE = GROUPS.AUTHCURRENCY AND cards.GROUPSerno1 = GROUPS.serno AND cards.primecardserno=cardx.serno
cardx.PEOPLESERNO=people.serno &amp; CRMuser.accounts.orgkey=people.CUSTIDNUMBER (Remove any prefix 'C','D' or 'P' from CUSTIDNUMBER before join)</t>
  </si>
  <si>
    <t>where ILCURRENCIES.NUMCODE = ILGROUPS.AUTHCURRENCY</t>
  </si>
  <si>
    <t>Cards -&gt; Authorization Data -&gt; OTB Details -&gt; Description</t>
  </si>
  <si>
    <t>ILGROUPS</t>
  </si>
  <si>
    <t> tctdbs_cards.groupserno1=groups.serno, cards.PRIMECARDSERNO=cardx.SERNO &amp; cardx.PEOPLESERNO=people.serno &amp; CRMuser.accounts.orgkey=people.CUSTIDNUMBER (Remove any prefix 'C','D' or 'P' from CUSTIDNUMBER before join)</t>
  </si>
  <si>
    <t>Cards -&gt; Authorization Data -&gt; OTB Details -&gt; Name</t>
  </si>
  <si>
    <t>"Group - " || ILGROUPS.NAME</t>
  </si>
  <si>
    <t>Sequence</t>
  </si>
  <si>
    <t>Cards -&gt; Authorization Data -&gt; OTB Details -&gt; Sequence</t>
  </si>
  <si>
    <t>Not required</t>
  </si>
  <si>
    <t>Sequence is just a serial number. Clarified to business</t>
  </si>
  <si>
    <t>Is this field required? Check with Business</t>
  </si>
  <si>
    <t>This is not coming from DB. This is just sequence number of record displayed.</t>
  </si>
  <si>
    <t>Supplementary CIF Number</t>
  </si>
  <si>
    <t>Supplementary card enquiry</t>
  </si>
  <si>
    <t>CIF number tagged to the supplementary card</t>
  </si>
  <si>
    <t>CUSTIDNUMBER</t>
  </si>
  <si>
    <t xml:space="preserve"> CRMuser.accounts.orgkey=people.CUSTIDNUMBER (Remove any prefix 'C','D' or 'P' from CUSTIDNUMBER before join)</t>
  </si>
  <si>
    <t>CARDX.PRIMARYCARD = 0 
If people.CUSTIDNUMBER starts with 'C' for Credit Cards, starts with 'D' for Debit Cards and 'P' for prepaid cards</t>
  </si>
  <si>
    <t xml:space="preserve">Remove the Prefix 'C', 'D, 'P' and any blank spaces </t>
  </si>
  <si>
    <t>Customer -&gt; Name</t>
  </si>
  <si>
    <t>ILCCUSTOMERS</t>
  </si>
  <si>
    <t>CUSTOMERNAME</t>
  </si>
  <si>
    <t>ccustomers.serno=caccounts.custserno</t>
  </si>
  <si>
    <t>DB ONLY</t>
  </si>
  <si>
    <t>Card Activity History</t>
  </si>
  <si>
    <t>Customer Limits -&gt; Extension Fields -&gt; Category = Customer Limit -&gt; History -&gt; Action
Customer Limits -&gt; Extension Fields -&gt; Category = Others -&gt; History -&gt; Action
Customer -&gt; Customer Risk Domain -&gt; History -&gt; Action
Financial Account Details -&gt; Extensions -&gt; History -&gt; Action
Card -&gt; Extensions -&gt; History -&gt; Action
Card -&gt; History -&gt; Action</t>
  </si>
  <si>
    <t xml:space="preserve">                  </t>
  </si>
  <si>
    <t>Change Date</t>
  </si>
  <si>
    <t>Customer Limits -&gt; Extension Fields -&gt; Category = Customer Limit -&gt; History -&gt; Change Timestamp
Customer Limits -&gt; Extension Fields -&gt; Category = Others -&gt; History -&gt; Change Timestamp
Customer -&gt; Customer Risk Domain -&gt; History -&gt; Change Timestamp
Financial Account Details -&gt; Extensions -&gt; History -&gt; Change Timestamp
Card -&gt; Extensions -&gt; History -&gt; Change Timestamp
Card -&gt; History -&gt; Change Timestamp</t>
  </si>
  <si>
    <t>Customer Limits -&gt; Extension Fields -&gt; Category = Customer Limit -&gt; History -&gt; Field Name
Customer Limits -&gt; Extension Fields -&gt; Category = Others -&gt; History -&gt; Field Name
Customer -&gt; Customer Risk Domain -&gt; History -&gt; Field Name
Financial Account Details -&gt; Extensions -&gt; History -&gt; Field Name
Card -&gt; Extensions -&gt; History -&gt; Field Name
Card -&gt; History -&gt; Field Name</t>
  </si>
  <si>
    <t>ILEXTENSIONFIELDS</t>
  </si>
  <si>
    <t>FIELDNAME</t>
  </si>
  <si>
    <t>extensionfields.pserno=cardx.serno and  cardx.serno=applog.rowserno &amp; cardx.PEOPLESERNO=people.serno &amp; CRMuser.accounts.orgkey=people.CUSTIDNUMBER (Remove any prefix 'C','D' or 'P' from CUSTIDNUMBER before join)</t>
  </si>
  <si>
    <t>Customer Limits -&gt; Extension Fields -&gt; Category = Customer Limit -&gt; History -&gt; New Value
Customer Limits -&gt; Extension Fields -&gt; Category = Others -&gt; History -&gt; New Value
Customer -&gt; Customer Risk Domain -&gt; History -&gt; New Value
Financial Account Details -&gt; Extensions -&gt; History -&gt; New Value
Card -&gt; Extensions -&gt; History -&gt; New Value
Card -&gt; History -&gt; New value</t>
  </si>
  <si>
    <t>Customer Limits -&gt; Extension Fields -&gt; Category = Customer Limit -&gt; History -&gt; Old Value
Customer Limits -&gt; Extension Fields -&gt; Category = Others -&gt; History -&gt; Old Value
Customer -&gt; Customer Risk Domain -&gt; History -&gt; Old Value
Financial Account Details -&gt; Extensions -&gt; History -&gt; Old Value
Card -&gt; Extensions -&gt; History -&gt; Old Value
Card -&gt; History -&gt; Old value</t>
  </si>
  <si>
    <t>Customer Limits -&gt; Extension Fields -&gt; Category = Customer Limit -&gt; History -&gt; User
Customer Limits -&gt; Extension Fields -&gt; Category = Others -&gt; History -&gt; User
Customer -&gt; Customer Risk Domain -&gt; History -&gt; User
Financial Account Details -&gt; Extensions -&gt; History -&gt; User
Card -&gt; Extensions -&gt; History -&gt; User
Card -&gt; History -&gt; User</t>
  </si>
  <si>
    <t>EMCH Initiation Date</t>
  </si>
  <si>
    <t>Customer Limits -&gt; Extension Fields -&gt; Category = Others -&gt; EMCH Initiation Date</t>
  </si>
  <si>
    <t>ILCEXTENSION.FIELDNO=10000</t>
  </si>
  <si>
    <t>Review field, seems incorrect. We need date here</t>
  </si>
  <si>
    <t>EMCH Revised Credit Limit</t>
  </si>
  <si>
    <t>Customer Limits -&gt; Extension Fields -&gt; Category = Others -&gt; EMCH Revised Credit Limit</t>
  </si>
  <si>
    <t>sting</t>
  </si>
  <si>
    <t>Review field, seems incorrect. We need limit here</t>
  </si>
  <si>
    <t>EMCH Revised Credit Limit Date</t>
  </si>
  <si>
    <t>Customer Limits -&gt; Extension Fields -&gt; Category = Others -&gt; EMCH Revised Credit Limit Date</t>
  </si>
  <si>
    <t>ILCEXTENSION.FIELDNO=10001</t>
  </si>
  <si>
    <t>Customer Services -&gt; Card Section Drilldown -&gt; Online Card -&gt; Activity -&gt; Authorizations -&gt; Auth ID</t>
  </si>
  <si>
    <t>Transaction Date &amp; Time</t>
  </si>
  <si>
    <t>Customer Services -&gt; Card Section Drilldown -&gt; Online Card -&gt; Activity -&gt; Authorizations -&gt; Date &amp; Time</t>
  </si>
  <si>
    <t>Online Card button not available on primeweb</t>
  </si>
  <si>
    <t>Response Code Description</t>
  </si>
  <si>
    <t>Customer Services -&gt; Card Section Drilldown -&gt; Online Card -&gt; Activity -&gt; Authorizations -&gt; Description based on Response value</t>
  </si>
  <si>
    <t>ILRESPCODES</t>
  </si>
  <si>
    <t> AUTHORIZATIONS.I039_RSP_CD = RESPCODES.CODE AND substr( AUTHORIZATIONS.FORMAT, 1, 1) = RESPCODES.FORMAT AND AUTHORIZATIONS.cardserno=cardx.serno</t>
  </si>
  <si>
    <r>
      <rPr>
        <strike/>
        <sz val="11"/>
        <color theme="1"/>
        <rFont val="Aptos Narrow"/>
        <family val="2"/>
        <scheme val="minor"/>
      </rPr>
      <t xml:space="preserve">Failure Reason </t>
    </r>
    <r>
      <rPr>
        <sz val="11"/>
        <color theme="1"/>
        <rFont val="Aptos Narrow"/>
        <family val="2"/>
        <scheme val="minor"/>
      </rPr>
      <t>Condition</t>
    </r>
  </si>
  <si>
    <t>Customer Services -&gt; Card Section Drilldown -&gt; Online Card -&gt; Activity -&gt; Authorizations -&gt; Feature Checks -&gt; Name = Card Usage -&gt; Details -&gt; Condition</t>
  </si>
  <si>
    <t>Support needed from ONLINE/TSYS</t>
  </si>
  <si>
    <t>Specs yet to be received</t>
  </si>
  <si>
    <t>tbd</t>
  </si>
  <si>
    <t>1-Apr: Shaikh advised to take from Online DB. Reach Guru</t>
  </si>
  <si>
    <t>no option for condition found</t>
  </si>
  <si>
    <t>Featue checks have only option to drop authorization.</t>
  </si>
  <si>
    <t>Condition result</t>
  </si>
  <si>
    <t>Customer Services -&gt; Card Section Drilldown -&gt; Online Card -&gt; Activity -&gt; Authorizations -&gt; Feature Checks -&gt; Name = Card Usage -&gt; Details -&gt; Condition result</t>
  </si>
  <si>
    <t>Merchant ID</t>
  </si>
  <si>
    <t>Customer Services -&gt; Card Section Drilldown -&gt; Online Card -&gt; Activity -&gt; Authorizations -&gt; ISO Message Record -&gt; I042_MERCH_ID</t>
  </si>
  <si>
    <t>I042_MERCH_ID</t>
  </si>
  <si>
    <t>Customer Services -&gt; Card Section Drilldown -&gt; Online Card -&gt; Activity -&gt; Authorizations -&gt; ISO Message Record -&gt; MCCCODE</t>
  </si>
  <si>
    <t>Customer Services -&gt; Card Section Drilldown -&gt; Online Card -&gt; Activity -&gt; Authorizations -&gt; Transaction Amount</t>
  </si>
  <si>
    <t>I004_AMT_TRXN</t>
  </si>
  <si>
    <t>Billing Amount</t>
  </si>
  <si>
    <t>Customer Services -&gt; Card Section Drilldown -&gt; Online Card -&gt; Activity -&gt; Authorizations -&gt;Billing Amount</t>
  </si>
  <si>
    <t>I006_AMT_BILL</t>
  </si>
  <si>
    <t>Billing Currency</t>
  </si>
  <si>
    <t>Customer Services -&gt; Card Section Drilldown -&gt; Online Card -&gt; Activity -&gt; Authorizations -&gt;Billing Amount (Currency)</t>
  </si>
  <si>
    <t>I051_CUR_BILL</t>
  </si>
  <si>
    <t>Acquiring Country</t>
  </si>
  <si>
    <t>Customer Services -&gt; Card Section Drilldown -&gt; Online Card -&gt; Activity -&gt; Authorizations -&gt;ISO Message Record -&gt; I019_ACQ_COUNTRY</t>
  </si>
  <si>
    <t>Acquiring ID</t>
  </si>
  <si>
    <t>Customer Services -&gt; Card Section Drilldown -&gt; Online Card -&gt; Activity -&gt; Authorizations -&gt;ISO Message Record -&gt; I032_ACQUIRER_ID</t>
  </si>
  <si>
    <t>I032_ACQUIRER_ID</t>
  </si>
  <si>
    <t>Terminal ID</t>
  </si>
  <si>
    <t>Customer Services -&gt; Card Section Drilldown -&gt; Online Card -&gt; Activity -&gt; Authorizations -&gt;ISO Message Record -&gt; I041_POS_ID</t>
  </si>
  <si>
    <t>I041_POS_ID</t>
  </si>
  <si>
    <t>Merchant City</t>
  </si>
  <si>
    <t>Customer Services -&gt; Card Section Drilldown -&gt; Online Card -&gt; Activity -&gt; Authorizations -&gt;ISO Message Record -&gt; I043B_MERCH_CITY</t>
  </si>
  <si>
    <t>I043B_MERCH_CITY</t>
  </si>
  <si>
    <t>Customer Services -&gt; Card Section Drilldown -&gt; Online Card -&gt; Activity -&gt; Authorizations -&gt;ISO Message Record -&gt; I043C_MERCH_CNT</t>
  </si>
  <si>
    <t>I043C_MERCH_CNT</t>
  </si>
  <si>
    <t>Please share debir card flag</t>
  </si>
  <si>
    <t>Mapping and field names are creating the confusion but it's filled</t>
  </si>
  <si>
    <t>Matched Date</t>
  </si>
  <si>
    <t>Customer Services -&gt; Card Section Drilldown -&gt; Online Card -&gt; Activity -&gt; Authorizations -&gt;ISO Message Record -&gt;MATCHTIME</t>
  </si>
  <si>
    <t>MATCHTIME</t>
  </si>
  <si>
    <t>Customer Services -&gt; Card Section Drilldown -&gt; Online Card -&gt; Activity -&gt; Authorizations -&gt;ISO Message Record -&gt;REASONCODE</t>
  </si>
  <si>
    <t>Reason Code Description</t>
  </si>
  <si>
    <t>Customer Services -&gt; Card Section Drilldown -&gt; Online Card -&gt; Activity -&gt; Authorizations -&gt;ISO Message Record -&gt;REASONCODEDESCRIPTION</t>
  </si>
  <si>
    <t>Please advice whether we should use DB specs or API (DB specs is complex)</t>
  </si>
  <si>
    <t>Runtime</t>
  </si>
  <si>
    <t>Runtime fields. Require confirmation on API tags. Refer remarks</t>
  </si>
  <si>
    <t>Please confirm if API has required tag for this field and share details</t>
  </si>
  <si>
    <t xml:space="preserve">main tables not available in IL. </t>
  </si>
  <si>
    <t>Transaction Mode</t>
  </si>
  <si>
    <t>Customer Services -&gt; Card Section Drilldown -&gt; Online Card -&gt; Activity -&gt; Authorizations -&gt;ISO Message Record -&gt;TRXNMODE</t>
  </si>
  <si>
    <t>ILINTERNALTYPEDESCRIPTIONS</t>
  </si>
  <si>
    <t>authorizations.MSGTRXNMODE = INTERNALTYPEDESCRIPTIONS.VALUE AND AUTHORIZATIONS.cardserno=cardx.serno</t>
  </si>
  <si>
    <t>If people.CUSTIDNUMBER starts with 'C' for Credit Cards, starts with 'D' for Debit Cards and 'P' for prepaid cards AND INTERNALTYPEDESCRIPTIONS.TYPE = '15'</t>
  </si>
  <si>
    <t xml:space="preserve">SHORTCODE || " - " DESCRIPTION, where ILISSUER_AUTHORIZATIONS.MSGTRXNMODE = ILINTERNALTYPEDESCRIPTIONS.VALUE AND ILINTERNALTYPEDESCRIPTIONS.TYPE = 15 </t>
  </si>
  <si>
    <t>20, 100</t>
  </si>
  <si>
    <t>Merchant Name</t>
  </si>
  <si>
    <t>Customer Services -&gt; Card Section Drilldown -&gt; Online Card -&gt; Activity -&gt; Authorizations -&gt;Merchant Name</t>
  </si>
  <si>
    <t>I043A_MERCH_NAME</t>
  </si>
  <si>
    <t>POS Entry</t>
  </si>
  <si>
    <t>Customer Services -&gt; Card Section Drilldown -&gt; Online Card -&gt; Activity -&gt; Authorizations -&gt;POS Entry</t>
  </si>
  <si>
    <t>I022_POS_ENTRY</t>
  </si>
  <si>
    <t>Response Code</t>
  </si>
  <si>
    <t>Customer Services -&gt; Card Section Drilldown -&gt; Online Card -&gt; Activity -&gt; Authorizations -&gt;Response</t>
  </si>
  <si>
    <t>I039_RSP_CD</t>
  </si>
  <si>
    <t>Customer Services -&gt; Card Section Drilldown -&gt; Online Card -&gt; Activity -&gt; Authorizations -&gt;Status</t>
  </si>
  <si>
    <t>If not ( (ILISSUER_AUTHORIZATIONS.I000_MSG_TYPE) = '0110' and (First 2 characters of ILISSUER_AUTHORIZATIONS.I003_PROC_CODE = '30') and ILISSUER_AUTHORIZATIONS.I018_MERCH_TYPE is null and ILISSUER_AUTHORIZATIONS.I019_ACQ_COUNTRY is null ) then
            if (ILISSUER_AUTHORIZATIONS.MSGSOURCENAME = 'NOTIFY_DEBIT_STIP') And ((It is Approved)) then
                status is 'Approved Debit STIP Advice';
            elseif (ILISSUER_AUTHORIZATIONS.MSGSOURCENAME = 'NOTIFY_DEBIT_STIP') AND (It is not Approved) then
                status is 'Declined Debit STIP Advice';
            elseif (ILISSUER_AUTHORIZATIONS.MSGSOURCENAME like 'NOTIFY_DEBIT%') then
                status is 'Debit Notification';
            elseif ILISSUER_AUTHORIZATIONS.MSGTRXNTYPE In (30, 31, 32, 33, 34) and
                  ILISSUER_AUTHORIZATIONS.REASONCODE In (0, 16, 300, 3000, 3085, 5010) and ((It is Approved)) then
                status is 'Non Financial Approval';
            elseif ILISSUER_AUTHORIZATIONS.MSGTRXNTYPE In (30, 31, 32, 33, 34) and
                  ILISSUER_AUTHORIZATIONS.REASONCODE Not In (0, 16, 300, 3000, 3085, 5010) then
                status is 'Declined Authorization';
            elseif ( ((ILISSUER_AUTHORIZATIONS.I000_MSG_TYPE) IN ('0110', '0120', '0121', '0122', '0130', '1110' , '1210', '1430', '1120', '1130') Or
                    ( (First character of ILISSUER_AUTHORIZATIONS.FORMAT = 'C') And ((ILISSUER_AUTHORIZATIONS.I000_MSG_TYPE) In ('0230', '0210')))) and
                    (ILISSUER_AUTHORIZATIONS.REASONCODE IN (0, 16, 300, 3000, 3010, 5010)) and ((It is Approved)) ) then
                case
                    when ILISSUER_AUTHORIZATIONS.TRXNSERNO &gt; 0     then status is 'Matched';
                    when ILISSUER_AUTHORIZATIONS.TRXNSERNO = -1    then status is 'Dropped because of too old';
                    when ILISSUER_AUTHORIZATIONS.TRXNSERNO = -3    then status is 'Manually Cancelled';
                    when (ILISSUER_AUTHORIZATIONS.TRXNSERNO = -4   or BitwiseAnd(ILISSUER_AUTHORIZATIONS.MSGFLAGS, 2) &gt; 0) then status is 'Reversed';
                    when ILISSUER_AUTHORIZATIONS.TRXNSERNO = -5    then status is 'Finc Cleared';
                    when ILISSUER_AUTHORIZATIONS.TRXNSERNO = -6    then status is 'Confirmed';
                    when ILISSUER_AUTHORIZATIONS.TRXNSERNO = -7    then status is 'Incremental';
                    when ILISSUER_AUTHORIZATIONS.TRXNSERNO = -8    then status is 'Pre-Auth Completed';
                    when ILISSUER_AUTHORIZATIONS.TRXNSERNO = -9    then status is 'Closed because of too old';
                    else
                        If ((ILISSUER_AUTHORIZATIONS.TRXNSERNO = 0) And (It Is Partially Reversed)) Then
                            status is 'Partially Reversed';
                        End If;
                        if ILISSUER_AUTHORIZATIONS.MATCHTIME is null then
                            status is 'Outstanding';
                        elseif (BitwiseAnd(ILISSUER_AUTHORIZATIONS.MSGFLAGS, 2) &gt; 0) Then
                            status is 'Reversed';
                        else
                            status is 'Undefined';
                        end if;
                end case;
            elseif ( (((ILISSUER_AUTHORIZATIONS.I000_MSG_TYPE) IN ('0210', '0230', '0430')) and
                    (ILISSUER_AUTHORIZATIONS.REASONCODE IN (0, 16, 162, 300, 3000)) and ((It is Approved))) or
                    (((ILISSUER_AUTHORIZATIONS.I000_MSG_TYPE) IN ('0420', '0410', '0421')) and (ILISSUER_AUTHORIZATIONS.REASONCODE IN (0, 16, 236, 3000, 300))) ) then
                case
                    when ILISSUER_AUTHORIZATIONS.TRXNSERNO = -4    then status is 'Reversed';
                    when ILISSUER_AUTHORIZATIONS.TRXNSERNO = -5    then status is 'Finc Cleared';
                    when ILISSUER_AUTHORIZATIONS.TRXNSERNO = -6    then status is 'Confirmed';
                    else
                        if ILISSUER_AUTHORIZATIONS.MATCHTIME is null then
                            status is 'Outstanding';
                        elseif (BitwiseAnd(ILISSUER_AUTHORIZATIONS.MSGFLAGS, 2) &gt; 0) Then
                             status is 'Reversed';                    
                        else
                            status is 'Undefined';
                        end if;
                end case;
            elseif ((ILISSUER_AUTHORIZATIONS.REASONCODE &gt;= 5000 And ILISSUER_AUTHORIZATIONS.REASONCODE &lt;= 5999) Or (ILISSUER_AUTHORIZATIONS.REASONCODE = 124 And ((It is Approved)))) then
                status is 'Non Financial Approval';
            elseif ((ILISSUER_AUTHORIZATIONS.I000_MSG_TYPE) In ('0120', '0121', '0130') And ILISSUER_AUTHORIZATIONS.REASONCODE = 300 And ((It is not Approved))) Then
                status is 'Declined Debit STIP Advice';
            elseif ((ILISSUER_AUTHORIZATIONS.I000_MSG_TYPE) In ('0120', '0121', '0130') And ILISSUER_AUTHORIZATIONS.REASONCODE = 300 And ((It is Approved))) Then
                status is 'Approved Debit STIP Advice';
            elseif ((ILISSUER_AUTHORIZATIONS.REASONCODE NOT IN (0, 16, 300, 3000, 5010)) and (It is not Approved)) then
                status is 'Declined Authorization';
            elseif ((ILISSUER_AUTHORIZATIONS.I000_MSG_TYPE) = '0130' And ILISSUER_AUTHORIZATIONS.REASONCODE NOT IN (0, 16, 300, 3000, 5010)) then
                status is 'Declined Advice';
            elseif ((ILISSUER_AUTHORIZATIONS.I000_MSG_TYPE) = '0130' And ILISSUER_AUTHORIZATIONS.REASONCODE IN (0, 16, 300, 3000, 5010)) then
                status is 'Approved Advice';
            elseif ((ILISSUER_AUTHORIZATIONS.I000_MSG_TYPE) = '0410' And ILISSUER_AUTHORIZATIONS.REASONCODE NOT IN (0, 16, 236, 3000, 300)) then
                status is 'Declined Authorization';
            elseif (((ILISSUER_AUTHORIZATIONS.I000_MSG_TYPE) = '0114') And (ILISSUER_AUTHORIZATIONS.REASONCODE = 0)) then
                status is 'Non Financial Approval';
            end if;
        end if;
        status is 'Undefined';</t>
  </si>
  <si>
    <t>Please confirm that API gives direct field value or is the logic need to be applied on top of API values?</t>
  </si>
  <si>
    <t>Field is not coming from Database column. Logic is explained</t>
  </si>
  <si>
    <t>Token Number</t>
  </si>
  <si>
    <t xml:space="preserve">Customer Services -&gt; Card Section Drilldown -&gt; Online Card -&gt; Activity -&gt; Authorizations -&gt;Token Number </t>
  </si>
  <si>
    <t>ILCARDTOKENS</t>
  </si>
  <si>
    <t>TOKENNUMBER</t>
  </si>
  <si>
    <t> ILCARDTOKENS.PRIMECARDSERNO =cardx.serno</t>
  </si>
  <si>
    <t>Customer Services -&gt; Card Section Drilldown -&gt; Online Card -&gt; Activity -&gt; Authorizations -&gt;Transaction Amount (Currency)</t>
  </si>
  <si>
    <t>I049_CUR_TRXN</t>
  </si>
  <si>
    <t>Customer Services -&gt; Card Section Drilldown -&gt; Online Card -&gt; Activity -&gt; Authorizations -&gt;Transaction Mode</t>
  </si>
  <si>
    <t xml:space="preserve">where ILISSUER_AUTHORIZATIONS.MSGTRXNMODE = ILINTERNALTYPEDESCRIPTIONS.VALUE AND ILINTERNALTYPEDESCRIPTIONS.TYPE = 15 </t>
  </si>
  <si>
    <t>Customer Services -&gt; Card Section Drilldown -&gt; Online Card -&gt; Activity -&gt; Authorizations -&gt;Transaction Type</t>
  </si>
  <si>
    <t>ILISSUER_AUTHORIZATIONS, ILINTERNALTYPEDESCRIPTIONS</t>
  </si>
  <si>
    <t>TRXNTYPE, DESCRIPTION</t>
  </si>
  <si>
    <t xml:space="preserve">DISPLAY VALUE  is ILISSUER_AUTHORIZATIONS.TRXNTYPE || ' - ' ||  ILINTERNALTYPEDESCRIPTIONS.DESCRIPTION. LOGIC is IF ILISSUER_AUTHORIZATIONS.MSGCLASS = 1 then where ILISSUER_AUTHORIZATIONS.TRXNTYPE = ILINTERNALTYPEDESCRIPTIONS.VALUE AND ILINTERNALTYPEDESCRIPTIONS.TYPE = 6. ELSE IF then ILISSUER_AUTHORIZATIONS.MSGCLASS = 2 then where ILISSUER_AUTHORIZATIONS.TRXNTYPE = ILINTERNALTYPEDESCRIPTIONS.VALUE AND ILINTERNALTYPEDESCRIPTIONS.TYPE = 7 </t>
  </si>
  <si>
    <t>NUMBER, VARCHAR2</t>
  </si>
  <si>
    <t>10, 100</t>
  </si>
  <si>
    <t>NUMBER, CHAR</t>
  </si>
  <si>
    <t>Cash OTB</t>
  </si>
  <si>
    <t>Customer Services -&gt; Card Section Drilldown -&gt; Online Card -&gt; OTB Details -&gt; Cash OTB</t>
  </si>
  <si>
    <t>CASHOTB</t>
  </si>
  <si>
    <t>infragistic.ultrawebtab</t>
  </si>
  <si>
    <t>OnlineService.InfoRequest</t>
  </si>
  <si>
    <t>Cash Transaction Left</t>
  </si>
  <si>
    <t>Customer Services -&gt; Card Section Drilldown -&gt; Online Card -&gt; OTB Details -&gt; Cash Trxn Left</t>
  </si>
  <si>
    <t>CASHTRXNLEFT</t>
  </si>
  <si>
    <t>int</t>
  </si>
  <si>
    <t>Total OTB</t>
  </si>
  <si>
    <t>Customer Services -&gt; Card Section Drilldown -&gt; Online Card -&gt; OTB Details -&gt; Total OTB</t>
  </si>
  <si>
    <t>OTB</t>
  </si>
  <si>
    <t>Total Transactions Left</t>
  </si>
  <si>
    <t>Customer Services -&gt; Card Section Drilldown -&gt; Online Card -&gt; OTB Details -&gt; Total Transactions Left</t>
  </si>
  <si>
    <t>TRXNLEFT</t>
  </si>
  <si>
    <t>Insurance Name</t>
  </si>
  <si>
    <t>Insurance Details</t>
  </si>
  <si>
    <t>Default value = CREDIT SHIELD</t>
  </si>
  <si>
    <t>Support needed from CARDS/TSYS</t>
  </si>
  <si>
    <t>Confirm this is runtime and share API details</t>
  </si>
  <si>
    <t>PrimeIssuerServices.AdditionalAgreementInquiry</t>
  </si>
  <si>
    <t>Insurance data for additionalAgreement not available</t>
  </si>
  <si>
    <t>Activation Date</t>
  </si>
  <si>
    <t>Default value = CREDIT SHIELD -&gt; Activation Date</t>
  </si>
  <si>
    <t>Auto Un-enrollment Date</t>
  </si>
  <si>
    <t>Default value = CREDIT SHIELD -&gt; Auto Un-enrollment Date</t>
  </si>
  <si>
    <t>Deactivation Date</t>
  </si>
  <si>
    <t>Default value = CREDIT SHIELD -&gt; De-activation Date</t>
  </si>
  <si>
    <t>Insurance Status</t>
  </si>
  <si>
    <t>Default value = CREDIT SHIELD -&gt; Enable Credit Shield</t>
  </si>
  <si>
    <t>Free Cycle Count</t>
  </si>
  <si>
    <t>Default value = CREDIT SHIELD -&gt; Free Cycle Count</t>
  </si>
  <si>
    <t>Free Period End Date</t>
  </si>
  <si>
    <t>Default value = CREDIT SHIELD -&gt; Free Period End Date</t>
  </si>
  <si>
    <t>Re-activation Date</t>
  </si>
  <si>
    <t>Default value = CREDIT SHIELD -&gt; Re-activation Date</t>
  </si>
  <si>
    <t>Un-Enrolled Reason</t>
  </si>
  <si>
    <t>Default value = CREDIT SHIELD -&gt; Un-Enrolled Reason</t>
  </si>
  <si>
    <t>Un-Enrolment User</t>
  </si>
  <si>
    <t>Default value = CREDIT SHIELD -&gt; Un-Enrolment User</t>
  </si>
  <si>
    <t>Available Funds</t>
  </si>
  <si>
    <t>Financial Account Details -&gt; Available Funds</t>
  </si>
  <si>
    <t>primedb</t>
  </si>
  <si>
    <t>ilcaccountS</t>
  </si>
  <si>
    <t>creditlimit, balance</t>
  </si>
  <si>
    <t>if gp 'user credit limit for available fund' &lt;&gt; 0 then
ilcaccount.creditlimit + ilcaccount.balance</t>
  </si>
  <si>
    <t>NUMBER, NUMBE</t>
  </si>
  <si>
    <t>NUMBER(16,3),NUMBER(16,3)</t>
  </si>
  <si>
    <t>Decimal</t>
  </si>
  <si>
    <t>PrimeIssuerServices.CorporateEntityInquiry</t>
  </si>
  <si>
    <t>Balance Breakdown</t>
  </si>
  <si>
    <t>Financial Account Details -&gt; Breakdown of Balances -&gt; Amount</t>
  </si>
  <si>
    <t>2-Apr: API tested and fields are clarified. Concurrence provided on 25-Mar for using API</t>
  </si>
  <si>
    <t>amount</t>
  </si>
  <si>
    <t>Select t.serno, t.partitionkey, tt.rectype, t.amount, t.outstandingamount,
            t.valuedate, t.duedate, t.totalbalance, t.lastbalupddate, t.trxnserno,
            Case When t.trxnserno Is Null Then Null Else t.baleffectdate End, t.baleffectdate,
            t.trxnpartitionkey, t.rectype balancetype
        From TCTCD1.iltBalances t
          Inner Join TCTCD1.ilTrxntypes tt On t.transactiontype = tt.serno
        Where t.stmtserno = &lt;arg&gt;tbalances.caccserno
            And t.partitionkey = &lt;arg&gt;aStmtpartitionkey
            And (&lt;arg&gt;tbalances.rectype Is Null Or t.rectype = &lt;arg&gt;tbalances.rectype)
            And Instr('NISBUWC', t.status) != 0
        Union All
        Select t.serno, t.partitionkey, tt.rectype, t.amount, t.outstandingamount,
            t.valuedate, t.duedate, t.totalbalance, t.lastbalupddate, t.trxnserno,
            Case When t.trxnserno Is Null Then Null Else t.baleffectdate End, t.baleffectdate,
            t.trxnpartitionkey, t.rectype balancetype
        From TCTCD1.ilarchtBalances t
          Inner Join TCTCD1.ilTrxntypes tt On t.transactiontype = tt.serno
        Where t.stmtserno = &lt;arg&gt;tbalances.caccserno
            And t.partitionkey = &lt;arg&gt;aStmtpartitionkey
            And (&lt;arg&gt;tbalances.rectype Is Null Or t.rectype = &lt;arg&gt;aBalanceType)
            And Instr('NISBUWC', t.status) != 0
        Order By 6 Desc;</t>
  </si>
  <si>
    <t>PrimeIssuerServices.BalanceBreakdownInquiry</t>
  </si>
  <si>
    <t>Please provide join conditions for union</t>
  </si>
  <si>
    <t>Financial Account Details -&gt; Breakdown of Balances -&gt; Due Date</t>
  </si>
  <si>
    <t>duedate</t>
  </si>
  <si>
    <t>Last Balance Update</t>
  </si>
  <si>
    <t>Financial Account Details -&gt; Breakdown of Balances -&gt; Last Balance Update</t>
  </si>
  <si>
    <t>lastbalupdate</t>
  </si>
  <si>
    <t>Outstanding Amount</t>
  </si>
  <si>
    <t>Financial Account Details -&gt; Breakdown of Balances -&gt; Outstanding Amount</t>
  </si>
  <si>
    <t>oustandingamount</t>
  </si>
  <si>
    <t>Financial Account Details -&gt; Breakdown of Balances -&gt; Transaction Type</t>
  </si>
  <si>
    <t>ilTrxntypes</t>
  </si>
  <si>
    <t>rectype</t>
  </si>
  <si>
    <t>iltBalances.transactiontype = ilTrxntypes.serno and
ilarchtBalances.transactiontype = ilTrxntypes.serno</t>
  </si>
  <si>
    <t>If people.CUSTIDNUMBER starts with 'C' for Credit Cards, starts with 'D' for Debit Cards and 'P' for prepaid cards
iltBalances.stmtserno = &lt;arg&gt;tbalances.caccserno  And iltBalances.partitionkey = &lt;arg&gt;aStmtpartitionkey And (&lt;arg&gt;tbalances.rectype Is Null Or iltBalances.rectype = &lt;arg&gt;tbalances.rectype) And Instr('NISBUWC', iltBalances.status) != 0
ilarchtBalances.stmtserno = &lt;arg&gt;tbalances.caccserno And ilarchtBalances.partitionkey = &lt;arg&gt;aStmtpartitionkey And (&lt;arg&gt;tbalances.rectype Is Null Or ilarchtBalances.rectype = &lt;arg&gt;aBalanceType) And Instr('NISBUWC', ilarchtBalances.status) != 0</t>
  </si>
  <si>
    <t>Financial Account Details -&gt; Breakdown of Balances -&gt; Value Date</t>
  </si>
  <si>
    <t>value date</t>
  </si>
  <si>
    <t>Primary Card Limit</t>
  </si>
  <si>
    <t>Financial Account Details -&gt; Credit Limit</t>
  </si>
  <si>
    <t>CREDITLIMIT</t>
  </si>
  <si>
    <t>ILCACCOUNTS.Creditlimit according to ilcurrencies.decdigits</t>
  </si>
  <si>
    <t>Credit Limit</t>
  </si>
  <si>
    <t>available Funds</t>
  </si>
  <si>
    <t>Financial Account Details -&gt; Extensions -&gt; Category = Account -&gt; Avoid Interest Message</t>
  </si>
  <si>
    <t>ILCEXTENSION.FIELDNO=100148</t>
  </si>
  <si>
    <t>PrimeIssuerServices.EntityInquiryByExtensionField/DB</t>
  </si>
  <si>
    <t>BT/CCC Eligibility</t>
  </si>
  <si>
    <t>Financial Account Details -&gt; Extensions -&gt; Category = Account -&gt; BT/CCC Eligibility</t>
  </si>
  <si>
    <t>ILCEXTENSION.FIELDNO=21081</t>
  </si>
  <si>
    <t>Marketing Code</t>
  </si>
  <si>
    <t>Financial Account Details -&gt; Extensions -&gt; Category = Account -&gt; Extension Fields -&gt; Marketing Code</t>
  </si>
  <si>
    <t>ILCEXTENSION.FIELDNO=21026</t>
  </si>
  <si>
    <t>Promotion Code</t>
  </si>
  <si>
    <t>Financial Account Details -&gt; Extensions -&gt; Category = Account -&gt; Extension Fields -&gt; Promotion Code</t>
  </si>
  <si>
    <t>ILCEXTENSION.FIELDNO=20001</t>
  </si>
  <si>
    <t>Promotion Code 1</t>
  </si>
  <si>
    <t>Financial Account Details -&gt; Extensions -&gt; Category = Account -&gt; Extension Fields -&gt; Promotion Code 1</t>
  </si>
  <si>
    <t>ILCEXTENSION.FIELDNO=21071</t>
  </si>
  <si>
    <t>Promotion Code 2</t>
  </si>
  <si>
    <t>Financial Account Details -&gt; Extensions -&gt; Category = Account -&gt; Extension Fields -&gt; Promotion Code 2</t>
  </si>
  <si>
    <t>ILCEXTENSION.FIELDNO=21072</t>
  </si>
  <si>
    <t>Annual Fee Waiver Eligibility</t>
  </si>
  <si>
    <t>Financial Account Details -&gt; Extensions -&gt; Category = Annual Spent  -&gt; Annual Fee Waiver Eligibility</t>
  </si>
  <si>
    <t>ILCEXTENSION.FIELDNO=20006</t>
  </si>
  <si>
    <t>Category-Annual Spent/ error when opening in primeweb</t>
  </si>
  <si>
    <t>Annual Spent Remaining</t>
  </si>
  <si>
    <t>Financial Account Details -&gt; Extensions -&gt; Category = Annual Spent  -&gt; Annual Spend Remaining</t>
  </si>
  <si>
    <t>ILCEXTENSION.FIELDNO=20005</t>
  </si>
  <si>
    <t>Enrollment Date</t>
  </si>
  <si>
    <t>Financial Account Details -&gt; Extensions -&gt; Category = Annual Spent  -&gt; Enrollment Date</t>
  </si>
  <si>
    <t>ILCEXTENSION.FIELDNO=20008</t>
  </si>
  <si>
    <t>Annual Spent Amount</t>
  </si>
  <si>
    <t>Financial Account Details -&gt; Extensions -&gt; Category = Annual Spent -&gt; Annual Spend Amount</t>
  </si>
  <si>
    <t>ILCEXTENSION.FIELDNO=20004</t>
  </si>
  <si>
    <t>Balance Transfer Eligibility</t>
  </si>
  <si>
    <t>Financial Account Details -&gt; Extensions -&gt; Category = BalanceTransfer &amp; CCC -&gt; Balance Transfer Eligibility</t>
  </si>
  <si>
    <t>Is this the right mapping. Remarks has been mentioned that "not found in primeweb"</t>
  </si>
  <si>
    <t>Other Party CCC Eligibility</t>
  </si>
  <si>
    <t>Financial Account Details -&gt; Extensions -&gt; Category = BalanceTransfer &amp; CCC -&gt; Other party CCC Eligibility</t>
  </si>
  <si>
    <t>ILCEXTENSION.FIELDNO=20003</t>
  </si>
  <si>
    <t>Self &amp; 3rd Party CCC Eligibility</t>
  </si>
  <si>
    <t>Financial Account Details -&gt; Extensions -&gt; Category = BalanceTransfer &amp; CCC -&gt; Self&amp;3rd party CCC Eligibility</t>
  </si>
  <si>
    <t>ILCEXTENSION.FIELDNO=20002</t>
  </si>
  <si>
    <t>Payment Behavior History</t>
  </si>
  <si>
    <t>Financial Account Details -&gt; General -&gt; Payment Behavior History</t>
  </si>
  <si>
    <t>TRANSACTORHISTORY</t>
  </si>
  <si>
    <t>string delimiter = "|"c
Dim delimitedString As New StringBuilder(ilcaccount.transactorhistory.Length + (ilcaccount.transactorhistory.Length * delimiter.Length))
For Each c As Char In ilcaccount.transactorhistory.ToCharArray
    delimitedString.Append(c).Append(delimiter)
Next c
delimitedString.Remove(delimitedString.Length - delimiter.Length, delimiter.Length)
Return delimitedString.ToString</t>
  </si>
  <si>
    <t>Minimum Due</t>
  </si>
  <si>
    <t>Financial Account Details -&gt; General -&gt; Amounts Due -&gt; Minimum Amount</t>
  </si>
  <si>
    <t>MINAMOUNT</t>
  </si>
  <si>
    <t>Overdue Amount</t>
  </si>
  <si>
    <t>Financial Account Details -&gt; General -&gt; Amounts Due -&gt; Overdue Amount</t>
  </si>
  <si>
    <t>OVERDUEAMOUNT</t>
  </si>
  <si>
    <t>Outstanding Balance</t>
  </si>
  <si>
    <t>Financial Account Details -&gt; General -&gt; Balance</t>
  </si>
  <si>
    <t>ABS(BALANCE)</t>
  </si>
  <si>
    <t>not found in web. Considering 'Balance' field</t>
  </si>
  <si>
    <t>Card Currency</t>
  </si>
  <si>
    <t>Financial Account Details -&gt; General -&gt; Currency</t>
  </si>
  <si>
    <t>ilcaccounts, lILCURRENCIES</t>
  </si>
  <si>
    <t>NUMCODE, ALPHACODE, NAME</t>
  </si>
  <si>
    <t>cardx.CACCSERNO=caccounts.serno &amp; caccounts.currency = CURRENCIES.NUMCODE
cardx.CACCSERNO=caccounts.serno and cardx.PEOPLESERNO=people.serno &amp; CRMuser.accounts.orgkey=people.CUSTIDNUMBER (Remove any prefix 'C','D' or 'P' from CUSTIDNUMBER before join)
caccounts.currency = currency.alphacode</t>
  </si>
  <si>
    <t>ilcaccounts.currency + ilcurrency.alphacode</t>
  </si>
  <si>
    <t>CHAR, CHAR, VARCHAR2</t>
  </si>
  <si>
    <t>3+3+30</t>
  </si>
  <si>
    <t>Financial Account Details -&gt; General -&gt; Product</t>
  </si>
  <si>
    <t>NAME, DESCRIPTION</t>
  </si>
  <si>
    <t>cardx.product=product.serno</t>
  </si>
  <si>
    <t>NAME||' - '||DESCRIPTION</t>
  </si>
  <si>
    <t>Card Status</t>
  </si>
  <si>
    <t>Financial Account Details -&gt; General Status</t>
  </si>
  <si>
    <t>Drop1 - M2,M4</t>
  </si>
  <si>
    <t>ilcardx.stgeneral||' - '||ilcardstatusx.description Where ILCARDX.STGENERAL=ILCARDSTATUSX.CODE</t>
  </si>
  <si>
    <t>STGENERAL, ilcardstatus.description</t>
  </si>
  <si>
    <t>CHAR,  VARCHAR2</t>
  </si>
  <si>
    <t>Outstanding Interest Amount</t>
  </si>
  <si>
    <t>Installment Enquiry</t>
  </si>
  <si>
    <t>Financial Account Details -&gt; Installments -&gt;  Installment Amounts -&gt; Outstanding Interest Amount (Including Interest)</t>
  </si>
  <si>
    <t>25-Mar: CARDS team concurred to use Installment API</t>
  </si>
  <si>
    <t>Card Installment List</t>
  </si>
  <si>
    <t xml:space="preserve">ilcinstalment : origtrxnserno, outstinstamount, outstprincipalamount, serno, EOLpartitionkey, instalmentseq
ilctransaction : instalmentpaymentallocation
ilCinstalmentamortization : instalmentserno, partitionkey, trxnmsgtype, seq
DL_PARAMS_INSTALMENTPLANS : cInstalmentInterestMsg </t>
  </si>
  <si>
    <t>ilCinstalmentamortization.instalmentserno = ilcinstalment.serno And ilCinstalmentamortization.partitionkey = ilcinstalment.EOLpartitionkey And ilCinstalmentamortization.trxnmsgtype = DL_PARAMS_INSTALMENTPLANS.cInstalmentInterestMsg And ilCinstalmentamortization.seq &gt;= ilcinstalment.instalmentseq
and CSTATEMENTS.CACCSERNO=Caccounts.serno and cardx.CACCSERNO=caccounts.serno and cardx.PEOPLESERNO=people.serno &amp; CRMuser.accounts.orgkey=people.CUSTIDNUMBER (Remove any prefix 'C','D' or 'P' from CUSTIDNUMBER before join)</t>
  </si>
  <si>
    <t>When ilcinstalment.origtrxnserno Is Null Then ilcinstalmenti.outstinstamount - ilcinstalment.outstprincipalamount Else
                                        Case
                                                When ilctransaction.instalmentpaymentallocation = 1
                                                        Then ilcinstalment.totalinterestamount - ilcinstalment.interestchargedtotal Else
                                                                ABS((Select NVL(Sum(cia.trxnamount),0) From ilCinstalmentamortization cia Where cia.instalmentserno = ilcinstalment.serno And cia.partitionkey = ilcinstalment.EOLpartitionkey And cia.trxnmsgtype = DL_PARAMS_INSTALMENTPLANS.cInstalmentInterestMsg        And cia.seq &gt;= ci.instalmentseq)) End
                                                End
                                        End As outstinterestamount,</t>
  </si>
  <si>
    <t>Complex logic. Please share API if it exists. If not share, Table, DB details</t>
  </si>
  <si>
    <t>Outstanding Principal Amount</t>
  </si>
  <si>
    <t>Financial Account Details -&gt; Installments -&gt;  Installment Amounts -&gt; Outstanding Principal Amount</t>
  </si>
  <si>
    <t>ILCINSTALMENTS</t>
  </si>
  <si>
    <t>OUTSTPRINCIPALAMOUNT</t>
  </si>
  <si>
    <t xml:space="preserve">CINSTALMENTS.CARDSERNO=cardsx.serno and cardx.PEOPLESERNO=people.serno &amp; CRMuser.accounts.orgkey=people.CUSTIDNUMBER (Remove any prefix 'C','D' or 'P' from CUSTIDNUMBER before join) </t>
  </si>
  <si>
    <t>PrimeIssuerServices.InstalmentInquiry/DB</t>
  </si>
  <si>
    <t>Total Interest Amount</t>
  </si>
  <si>
    <t>Financial Account Details -&gt; Installments -&gt;  Installment Amounts -&gt; Total interest amount</t>
  </si>
  <si>
    <t>TOTALINTERESTAMOUNT</t>
  </si>
  <si>
    <t>Actual Amortization Date</t>
  </si>
  <si>
    <t>Installment Schedule</t>
  </si>
  <si>
    <t>Financial Account Details -&gt; Installments -&gt; Amortization -&gt;  Actual Amortization Date</t>
  </si>
  <si>
    <t>ILCINSTALMENTAMORTIZATION</t>
  </si>
  <si>
    <t>TRXNPOSTDATE</t>
  </si>
  <si>
    <t>CINSTALMENTAMORTIZATION.instalmentserno=cinstalments.serno &amp; CINSTALMENTAMORTIZATION.partitionkey=cinstalments.eolpartitionkey  and CINSTALMENTS.CARDSERNO=cardsx.serno and CRMuser.accounts.orgkey=people.CUSTIDNUMBER (Remove any prefix 'C','D' or 'P' from CUSTIDNUMBER before join)</t>
  </si>
  <si>
    <t>CINSTALMENTAMORTIZATION.trxnreasoncode='INST' and take latest CINSTALMENTAMORTIZATION.trxndate If people.CUSTIDNUMBER starts with 'C' for Credit Cards, starts with 'D' for Debit Cards and 'P' for prepaid cards</t>
  </si>
  <si>
    <t>PrimeIssuerServices.InstalmentImortizationInquiry/DB</t>
  </si>
  <si>
    <t>Financial Account Details -&gt; Installments -&gt; Amortization -&gt;  Amount</t>
  </si>
  <si>
    <t>TRXNAMOUNT</t>
  </si>
  <si>
    <t>Financial Account Details -&gt; Installments -&gt; Amortization -&gt;  Description</t>
  </si>
  <si>
    <t>TRXNDESCRIPTION</t>
  </si>
  <si>
    <t>Initial Amortization Date</t>
  </si>
  <si>
    <t>Financial Account Details -&gt; Installments -&gt; Amortization -&gt;  Initial Amortization Date</t>
  </si>
  <si>
    <t>TRXNDATE</t>
  </si>
  <si>
    <t>Msg Type</t>
  </si>
  <si>
    <t>Financial Account Details -&gt; Installments -&gt; Amortization -&gt;  Msg Type</t>
  </si>
  <si>
    <t>TRXNMSGTYPE</t>
  </si>
  <si>
    <t>Financial Account Details -&gt; Installments -&gt; Amortization -&gt;  Reason Code</t>
  </si>
  <si>
    <t>TRXNREASONCODE</t>
  </si>
  <si>
    <t>Financial Account Details -&gt; Installments -&gt; Amortization -&gt;  Status</t>
  </si>
  <si>
    <t>TRXNSTGENERAL</t>
  </si>
  <si>
    <t>Trxn Seq.</t>
  </si>
  <si>
    <t>Financial Account Details -&gt; Installments -&gt; Amortization -&gt; Trxn Seq.</t>
  </si>
  <si>
    <t>SEQ</t>
  </si>
  <si>
    <t>Current Number of Installments</t>
  </si>
  <si>
    <t>Financial Account Details -&gt; Installments -&gt; Current number of installments</t>
  </si>
  <si>
    <t>ilcinstalmentamortization</t>
  </si>
  <si>
    <t>Select Count(Seq) From ilcinstalmentamortization a
Where a.instalmentserno = ilcinstalments.serno
And a.partitionkey = ci.eolpartitionkey
And a.trxnstgeneral = 'NEW'
And a.trxnmsgtype in ('IPRNC', 'INST');</t>
  </si>
  <si>
    <t>EMI</t>
  </si>
  <si>
    <t>Financial Account Details -&gt; Installments -&gt; EMI</t>
  </si>
  <si>
    <t>FIXEDPAYMENTAMOUNT</t>
  </si>
  <si>
    <t>CINSTALMENTS.CARDSERNO=cardsx.serno and CRMuser.accounts.orgkey=people.CUSTIDNUMBER (Remove any prefix 'C','D' or 'P' from CUSTIDNUMBER before join)</t>
  </si>
  <si>
    <t>EMI Pending</t>
  </si>
  <si>
    <t>Financial Account Details -&gt; Installments -&gt; EMI Pending</t>
  </si>
  <si>
    <t>InstalmentsNumber - InstalmentsProcessed</t>
  </si>
  <si>
    <t xml:space="preserve"> Case When ci.status = 'PAID' Then 0 Else (ILCINSTALMENTS.InstalmentsNumber - ILCINSTALMENTS.InstalmentsProcessed) End pendinginstalments</t>
  </si>
  <si>
    <t>NUMBER(5),NUMBER(5)</t>
  </si>
  <si>
    <t>Financial Account Details -&gt; Installments -&gt; End Date</t>
  </si>
  <si>
    <t>Cinstalmentamortization, ILCINSTALMENTS</t>
  </si>
  <si>
    <t xml:space="preserve"> Nvl(     (
                  Select max(cia.trxndate) From Cinstalmentamortization cia Where cia.instalmentserno = ILCINSTALMENTS.serno And cia.partitionkey = ILCINSTALMENTS.EOLpartitionkey
                ), Add_months(ILCINSTALMENTS.creationdate, ILCINSTALMENTS.instalmentsnumber)) As enddate</t>
  </si>
  <si>
    <t>Total Installment Amount</t>
  </si>
  <si>
    <t>Financial Account Details -&gt; Installments -&gt; Installment Amounts -&gt; Total installment amount (including interest)</t>
  </si>
  <si>
    <t>TOTALINSTAMOUNT</t>
  </si>
  <si>
    <t>Review field, seems incorrect. Installment amount is requested, not interest amount</t>
  </si>
  <si>
    <t>Installment Booked Card Number</t>
  </si>
  <si>
    <t>Financial Account Details -&gt; Installments -&gt; Installment Booked Card Number (Masked)</t>
  </si>
  <si>
    <t>Need to confirm about masking from Primeweb. Not found in primeweb</t>
  </si>
  <si>
    <t>Authorization Code</t>
  </si>
  <si>
    <t>Financial Account Details -&gt; Installments -&gt; Installment Details -&gt; Authorization Code</t>
  </si>
  <si>
    <t>AUTHCODE</t>
  </si>
  <si>
    <t>Installment Date Increment</t>
  </si>
  <si>
    <t>Financial Account Details -&gt; Installments -&gt; Installment Details -&gt; Installment date increment</t>
  </si>
  <si>
    <t>INSTALMENTDATEINC</t>
  </si>
  <si>
    <t>IIf(instalmentDetails.Instalmentdateinc.Value &gt;= 0, "month(s)", "day(s)")</t>
  </si>
  <si>
    <t>Next Billing Date</t>
  </si>
  <si>
    <t>Financial Account Details -&gt; Installments -&gt; Installment Details -&gt; Next billing date</t>
  </si>
  <si>
    <t>INSTALMENTNEXTDATE</t>
  </si>
  <si>
    <t>hyperlink</t>
  </si>
  <si>
    <t>Installment Number</t>
  </si>
  <si>
    <t>Financial Account Details -&gt; Installments -&gt; Installment Number</t>
  </si>
  <si>
    <t>LPAD(CINTALMENT.SERNO, 10, '0')</t>
  </si>
  <si>
    <t>asp:Datagrid:ButtonColumn</t>
  </si>
  <si>
    <t>Review field and confirm if it is right mapping</t>
  </si>
  <si>
    <t>Financial Account Details -&gt; Installments -&gt; Installment Plan Details -&gt; Description</t>
  </si>
  <si>
    <t>ILINSTALMENTPLANS</t>
  </si>
  <si>
    <t>ILCINSTALMENTS.INSTALMENTPLANSERNO=ILINSTALMENTPLANS.serno</t>
  </si>
  <si>
    <t>Installment Type</t>
  </si>
  <si>
    <t>Financial Account Details -&gt; Installments -&gt; Installment Type</t>
  </si>
  <si>
    <t>ORIGINATOR, ORIGINATORREASONCODE</t>
  </si>
  <si>
    <t>ORIGINATOR||-||ORIGINATORREASONCODE</t>
  </si>
  <si>
    <t>VARCHAR2(30 CHAR),VARCHAR2(10)</t>
  </si>
  <si>
    <t>30+10</t>
  </si>
  <si>
    <t>Financial Account Details -&gt; Installments -&gt; Merchant Name</t>
  </si>
  <si>
    <t>MERCHNAME</t>
  </si>
  <si>
    <t>Original Installment Amount</t>
  </si>
  <si>
    <t>Financial Account Details -&gt; Installments -&gt; Original Installment Amount</t>
  </si>
  <si>
    <t>ORIGINALAMOUNT</t>
  </si>
  <si>
    <t>Financial Account Details -&gt; Installments -&gt; Outstanding Amount</t>
  </si>
  <si>
    <t>OUTSTINSTAMOUNT</t>
  </si>
  <si>
    <t>Financial Account Details -&gt; Installments -&gt; Start Date</t>
  </si>
  <si>
    <t>CREATIONDATE</t>
  </si>
  <si>
    <t>Financial Account Details -&gt; Installments -&gt; Status</t>
  </si>
  <si>
    <t>Tenure</t>
  </si>
  <si>
    <t>Financial Account Details -&gt; Installments -&gt; Tenure</t>
  </si>
  <si>
    <t>INSTALMENTSNUMBER</t>
  </si>
  <si>
    <t>Linked Account Number</t>
  </si>
  <si>
    <t>Financial Account Details -&gt; Number</t>
  </si>
  <si>
    <t>remarks mentioned as "not found of primeweb". Is this right DB field name? review</t>
  </si>
  <si>
    <t>not found on primeweb</t>
  </si>
  <si>
    <t>Card Account Number</t>
  </si>
  <si>
    <t>Financial Account Details -&gt; Product</t>
  </si>
  <si>
    <t>NAME + DESCRIPTION</t>
  </si>
  <si>
    <t>Textbox</t>
  </si>
  <si>
    <t>VARCHAR2(30 CHAR), VARCHAR2(255 CHAR)</t>
  </si>
  <si>
    <t>30+255</t>
  </si>
  <si>
    <t>Fee Profile</t>
  </si>
  <si>
    <t>Financial Account Details -&gt; Profiles -&gt; Fee Profile</t>
  </si>
  <si>
    <t>ILPROFILES</t>
  </si>
  <si>
    <t>PROFILES.serno=cardx.FEEPROFSERNO</t>
  </si>
  <si>
    <t>For Primary Card -&gt; Financial Account Details -&gt; Credit Limit
For Supplementary Card -&gt; Card-&gt;Risk Domain Details-&gt;General-&gt;Authorization Limit</t>
  </si>
  <si>
    <t>Last Payment Date</t>
  </si>
  <si>
    <t>Last Payment</t>
  </si>
  <si>
    <t>ILCTRANSACTIONS</t>
  </si>
  <si>
    <t>CTRANSCATIONS.CACCSERNO=CACCOUNTS.SERNO and cardx.CACCSERNO=caccounts.serno and cardx.PEOPLESERNO=people.serno &amp; CRMuser.accounts.orgkey=people.CUSTIDNUMBER (Remove any prefix 'C','D' or 'P' from CUSTIDNUMBER before join)</t>
  </si>
  <si>
    <t>PrimeIssuerServices.EntityInquiry.PaymentEntity.PaymentDate/DB</t>
  </si>
  <si>
    <t>Last Payment Amount</t>
  </si>
  <si>
    <t>AMOUNT</t>
  </si>
  <si>
    <t>decimail</t>
  </si>
  <si>
    <t>PrimeIssuerServices.EntityInquiry.PaymentEntity.PaymentAmount/DB</t>
  </si>
  <si>
    <t>Statement Balance Breakdown</t>
  </si>
  <si>
    <t>Last Statement -&gt;  Balance Breakdown -&gt; Amount</t>
  </si>
  <si>
    <t>Please share join condition for union of two tables</t>
  </si>
  <si>
    <t>Done. &lt;arg&gt; specified the value coming from the proc argument</t>
  </si>
  <si>
    <t>Last Statement -&gt;  Balance Breakdown -&gt; Due Date</t>
  </si>
  <si>
    <t>Last Statement -&gt;  Balance Breakdown -&gt; Last Balance Update</t>
  </si>
  <si>
    <t>Last Statement -&gt;  Balance Breakdown -&gt; Outstanding Amount</t>
  </si>
  <si>
    <t>Last Statement -&gt;  Balance Breakdown -&gt; Transaction Type</t>
  </si>
  <si>
    <t>Last Statement -&gt;  Balance Breakdown -&gt; Value Date</t>
  </si>
  <si>
    <t>Last Statement -&gt; Account Statement Details -&gt; Current -&gt; Transactions -&gt; Source</t>
  </si>
  <si>
    <t>ILBATCHES</t>
  </si>
  <si>
    <t>FILESOURCE</t>
  </si>
  <si>
    <t> ctransactions.batchserno=batches.serno &amp; CTRANSCATIONS.CACCSERNO=CACCOUNTS.SERNO and cardx.CACCSERNO=caccounts.serno and cardx.PEOPLESERNO=people.serno &amp; CRMuser.accounts.orgkey=people.CUSTIDNUMBER (Remove any prefix 'C','D' or 'P' from CUSTIDNUMBER before join)</t>
  </si>
  <si>
    <t>asp:Datagrid</t>
  </si>
  <si>
    <t>just following mappig</t>
  </si>
  <si>
    <t>Last Statement -&gt; Account Statement Details -&gt; Current -&gt; Transactions -&gt; Trxn Amount</t>
  </si>
  <si>
    <t>ILCTRANSACTIONS, ILCURRENCIES</t>
  </si>
  <si>
    <t>I006_AMT_BILL||' '||ALPHACODE</t>
  </si>
  <si>
    <t>CTRANSCATIONS.CACCSERNO=CACCOUNTS.SERNO
cardx.CACCSERNO=caccounts.serno and cardx.PEOPLESERNO=people.serno &amp; CRMuser.accounts.orgkey=people.CUSTIDNUMBER (Remove any prefix 'C','D' or 'P' from CUSTIDNUMBER before join)
ctransactions.I049_CUR_TRXN=ilcurrencies.NUMCODE</t>
  </si>
  <si>
    <t>ILCTRANSACTIONS.I049_CUR_TRXN=ILCURRENCIES.NUMCODE</t>
  </si>
  <si>
    <t>NUMBER(16,3) ,CHAR(3 CHAR)</t>
  </si>
  <si>
    <t>NUMBER(16,3) + CHAR(3 CHAR)</t>
  </si>
  <si>
    <t>Date &amp; Time</t>
  </si>
  <si>
    <t>Last Statement -&gt; Account Statement Details -&gt; Current -&gt; Transactions -&gt; Trxn Date</t>
  </si>
  <si>
    <t>Last Statement -&gt; Account Statement Details -&gt; Current -&gt; Transactions -&gt; Type</t>
  </si>
  <si>
    <t>ilctransactions</t>
  </si>
  <si>
    <t>I000_MSG_TYPE</t>
  </si>
  <si>
    <t>If ILCTRANSACTIONS.I000_MSG_TYPE = "0620" Then   
    Sign = ""
Else
    'Case when message type starts with "04"
    If Left(ILCTRANSACTIONS.I000_MSG_TYPE, 2) = "04" Then
        If Left( ILCTRANSACTIONS.I003_PROC_CODE, 1) = "2" Then
            Sign = " Db"
        Else
            Sign = " Cr"
        End If
    'Case when message type does NOT start with "04"
    Else
        If Left(ILCTRANSACTIONS.I003_PROC_CODE, 1) = "2" Then
            Sign = " Cr"
        Else
            Sign = " Db"
        End If
    End If
End If</t>
  </si>
  <si>
    <t>Last Statement -&gt; Account Statement Details -&gt; Current -&gt; Transactions -&gt; View -&gt;  POS -&gt; Entry</t>
  </si>
  <si>
    <t>ILCISOTRXNS</t>
  </si>
  <si>
    <t>ctransactions.serno = cisotrxns.serno(left outer join) &amp; CTRANSCATIONS.CACCSERNO=CACCOUNTS.SERNO and cardx.CACCSERNO=caccounts.serno and cardx.PEOPLESERNO=people.serno &amp; CRMuser.accounts.orgkey=people.CUSTIDNUMBER (Remove any prefix 'C','D' or 'P' from CUSTIDNUMBER before join)</t>
  </si>
  <si>
    <t>crystal report</t>
  </si>
  <si>
    <t>Transaction Type Allocation</t>
  </si>
  <si>
    <t>Last Statement -&gt; Account Statement Details -&gt; Current -&gt; Transactions -&gt; View -&gt;  Transaction Types -&gt; Allocation</t>
  </si>
  <si>
    <t>ILTRXNTYPES</t>
  </si>
  <si>
    <t>RECTYPE</t>
  </si>
  <si>
    <t>tctdbs.CTRANSACTIONS a join
tctdbs.trxntypes b
on a.Typeserno_alloc=b.serno where b.usedfor='I'
and 
CTRANSCATIONS.CACCSERNO=CACCOUNTS.SERNO and cardx.CACCSERNO=caccounts.serno and cardx.PEOPLESERNO=people.serno &amp; CRMuser.accounts.orgkey=people.CUSTIDNUMBER (Remove any prefix 'C','D' or 'P' from CUSTIDNUMBER before join)</t>
  </si>
  <si>
    <t>Acquirer ID</t>
  </si>
  <si>
    <t>Last Statement -&gt; Account Statement Details -&gt; Current -&gt; Transactions -&gt; View -&gt; Acquirer -&gt; Acq ID</t>
  </si>
  <si>
    <t>Last Statement -&gt; Account Statement Details -&gt; Current -&gt; Transactions -&gt; View -&gt; Amounts and Currencies -&gt; Billing</t>
  </si>
  <si>
    <t>Fees</t>
  </si>
  <si>
    <t>Last Statement -&gt; Account Statement Details -&gt; Current -&gt; Transactions -&gt; View -&gt; Amounts and Currencies -&gt;Fee</t>
  </si>
  <si>
    <t>EMBEDDEDFEE</t>
  </si>
  <si>
    <t>Settlement Amount</t>
  </si>
  <si>
    <t>Last Statement -&gt; Account Statement Details -&gt; Current -&gt; Transactions -&gt; View -&gt; Amounts and Currencies -&gt;Settlement</t>
  </si>
  <si>
    <t>I005_AMT_SETTLE</t>
  </si>
  <si>
    <t>MCC</t>
  </si>
  <si>
    <t xml:space="preserve">Last Statement -&gt; Account Statement Details -&gt; Current -&gt; Transactions -&gt; View -&gt; Merchant -&gt; MCC </t>
  </si>
  <si>
    <t>I018_MERCH_TYPE,</t>
  </si>
  <si>
    <t>Need second column details from primeweb</t>
  </si>
  <si>
    <t>Last Statement -&gt; Account Statement Details -&gt; Current -&gt; Transactions -&gt; View -&gt; Merchant -&gt; Name</t>
  </si>
  <si>
    <t>Merchant Number</t>
  </si>
  <si>
    <t>Last Statement -&gt; Account Statement Details -&gt; Current -&gt; Transactions -&gt; View -&gt; Merchant -&gt; Number</t>
  </si>
  <si>
    <t>Last Statement -&gt; Account Statement Details -&gt; Current -&gt; Transactions -&gt; View -&gt; Merchant -&gt;Auth ID</t>
  </si>
  <si>
    <t>City</t>
  </si>
  <si>
    <t>Last Statement -&gt; Account Statement Details -&gt; Current -&gt; Transactions -&gt; View -&gt; Merchant -&gt;City</t>
  </si>
  <si>
    <t>Last Statement -&gt; Account Statement Details -&gt; Current -&gt; Transactions -&gt; View -&gt; Merchant -&gt;Country</t>
  </si>
  <si>
    <t>Rewards/ Cash back</t>
  </si>
  <si>
    <t>Last Statement -&gt; Account Statement Details -&gt; Current -&gt; Transactions -&gt; View -&gt; Rewards and Rebates -&gt; Points</t>
  </si>
  <si>
    <t>TOTALPOINTS</t>
  </si>
  <si>
    <t>NUMBER(32,16)</t>
  </si>
  <si>
    <t>Authorization Reason</t>
  </si>
  <si>
    <t>Last Statement -&gt; Account Statement Details -&gt; Current -&gt; Transactions -&gt; View -&gt; Transaction Current Status -&gt; Authorization Reason</t>
  </si>
  <si>
    <t>AUTHREASONCODE, AUTHREASONDESCRIPTION</t>
  </si>
  <si>
    <t>AUTHREASONCODE + AUTHREASONDESCRIPTION</t>
  </si>
  <si>
    <t>Please share the DB mapping or API</t>
  </si>
  <si>
    <t>Last Statement -&gt; Account Statement Details -&gt; Current -&gt; Transactions -&gt; View -&gt; Transaction Current Status -&gt; Status</t>
  </si>
  <si>
    <t>ILCTRANSACTIONS, ILTRXNSTATUS</t>
  </si>
  <si>
    <t>STGENERAL:DESCRIPTION</t>
  </si>
  <si>
    <t>CTRANSCATIONS.CACCSERNO=CACCOUNTS.SERNO</t>
  </si>
  <si>
    <t>Status Reason</t>
  </si>
  <si>
    <t>Last Statement -&gt; Account Statement Details -&gt; Current -&gt; Transactions -&gt; View -&gt; Transaction Current Status -&gt; Status Reason</t>
  </si>
  <si>
    <t>LOGACTION</t>
  </si>
  <si>
    <t>Reports</t>
  </si>
  <si>
    <t>Last Statement -&gt; Account Statement Details -&gt; Current -&gt; Transactions -&gt; View -&gt; Transaction Types  -&gt; Reports</t>
  </si>
  <si>
    <t>tctdbs.CTRANSACTIONS a join
tctdbs.trxntypes b
on a.Typeserno_alloc=b.serno where b.usedfor='R'
and 
CTRANSCATIONS.CACCSERNO=CACCOUNTS.SERNO and cardx.CACCSERNO=caccounts.serno and cardx.PEOPLESERNO=people.serno &amp; CRMuser.accounts.orgkey=people.CUSTIDNUMBER (Remove any prefix 'C','D' or 'P' from CUSTIDNUMBER before join)</t>
  </si>
  <si>
    <t>ILTRXNTYPES.SERNO=70 and If people.CUSTIDNUMBER starts with 'C' for Credit Cards, starts with 'D' for Debit Cards and 'P' for prepaid cards</t>
  </si>
  <si>
    <t>ILTRXNTYPES.SERNO=70</t>
  </si>
  <si>
    <t>Rewards</t>
  </si>
  <si>
    <t>Last Statement -&gt; Account Statement Details -&gt; Current -&gt; Transactions -&gt; View -&gt; Transaction Types  -&gt; Rewards</t>
  </si>
  <si>
    <t>tctdbs.CTRANSACTIONS a join
tctdbs.trxntypes b
on a.Typeserno_alloc=b.serno where b.usedfor='W'
and 
CTRANSCATIONS.CACCSERNO=CACCOUNTS.SERNO and cardx.CACCSERNO=caccounts.serno and cardx.PEOPLESERNO=people.serno &amp; CRMuser.accounts.orgkey=people.CUSTIDNUMBER (Remove any prefix 'C','D' or 'P' from CUSTIDNUMBER before join)</t>
  </si>
  <si>
    <t>ILTRXNTYPES.SERNO=2559 and If people.CUSTIDNUMBER starts with 'C' for Credit Cards, starts with 'D' for Debit Cards and 'P' for prepaid cards</t>
  </si>
  <si>
    <t>ILTRXNTYPES.SERNO=2559</t>
  </si>
  <si>
    <t>Last Statement -&gt; Account Statement Details -&gt; Current -&gt; Transactions -&gt;Currency</t>
  </si>
  <si>
    <t>Statement Date</t>
  </si>
  <si>
    <t>Statement Enquiry</t>
  </si>
  <si>
    <t>Last Statement -&gt; Account Statement Details -&gt; Date</t>
  </si>
  <si>
    <t>PrimeDB</t>
  </si>
  <si>
    <t>cstatements</t>
  </si>
  <si>
    <t>generatedate</t>
  </si>
  <si>
    <t>Need to specify the filed name / not found in web</t>
  </si>
  <si>
    <t>Quote For Closure</t>
  </si>
  <si>
    <t>Last Statement -&gt; Account Statement Details -&gt; Quote For Closure</t>
  </si>
  <si>
    <t>Not found in web/ It is a button not a field.</t>
  </si>
  <si>
    <t>Rewards Closing Balance</t>
  </si>
  <si>
    <t>Last Statement -&gt; Account Statement Details -&gt; Reward Details -&gt; Closing Balance</t>
  </si>
  <si>
    <t>CLOSINGBALANCE</t>
  </si>
  <si>
    <t>Select  cs1.closingbalance RewardClosing -- rewards closing balance
          From ilcstatements c
          Left Outer Join ilcaccountrelations car On car.fromaccount = c.caccserno
            And car.relationship = 'R'
          Left Outer Join ilcstatements cs1 On cs1.caccserno = car.toaccount
            And cs1.partitionkey = c.partitionkey
            And cs1.billingdate = c.billingdate
            And cs1.batchserno = c.batchserno
          Where c.serno = &amp;aStatementSerno
            And c.partitionkey = &amp;aStatementPartitionkey;</t>
  </si>
  <si>
    <t>Earned Points</t>
  </si>
  <si>
    <t>Last Statement -&gt; Account Statement Details -&gt; Reward Details -&gt; Earned Points</t>
  </si>
  <si>
    <t>Select  (Select Sum(Nvl(Nvl(tx.amount, atx.amount), 0))
          From ilcstatementlinks csl
            Left Outer Join ilctransactions tx On tx.serno = csl.trxnserno And tx.orig_msg_type = 'TFEE'
            Left Outer Join ilarchctransactions atx On atx.serno = csl.trxnserno And atx.orig_msg_type = 'TFEE'
          Where csl.statementserno = cs1.serno And csl.partitionkey = cs1.partitionkey) EarnedPoints
          From ilcstatements c
          Left Outer Join ilcaccountrelations car On car.fromaccount = c.caccserno
            And car.relationship = 'R'
          Left Outer Join ilcstatements cs1 On cs1.caccserno = car.toaccount
            And cs1.partitionkey = c.partitionkey
            And cs1.billingdate = c.billingdate
            And cs1.batchserno = c.batchserno
          Where c.serno = &amp;aStatementSerno
            And c.partitionkey = &amp;aStatementPartitionkey;</t>
  </si>
  <si>
    <t>Please refer to column T for table and field details</t>
  </si>
  <si>
    <t>Rewards Opening Balance</t>
  </si>
  <si>
    <t>Last Statement -&gt; Account Statement Details -&gt; Reward Details -&gt; Opening Balance</t>
  </si>
  <si>
    <t>OPENINGBALANCE</t>
  </si>
  <si>
    <t>Select   cs1.openingbalance RewardOpening, -- rewards opening balance
          From ilcstatements c
          Left Outer Join ilcaccountrelations car On car.fromaccount = c.caccserno
            And car.relationship = 'R'
          Left Outer Join ilcstatements cs1 On cs1.caccserno = car.toaccount
            And cs1.partitionkey = c.partitionkey
            And cs1.billingdate = c.billingdate
            And cs1.batchserno = c.batchserno
          Where c.serno = &amp;aStatementSerno
            And c.partitionkey = &amp;aStatementPartitionkey;</t>
  </si>
  <si>
    <t>Redeemed Points</t>
  </si>
  <si>
    <t>Last Statement -&gt; Account Statement Details -&gt; Reward Details -&gt; Redeemed Points</t>
  </si>
  <si>
    <t>Select  (Select Sum(Nvl(Nvl(tx.amount, atx.amount), 0))
          From ilcstatementlinks csl
            Left Outer Join ilctransactions tx On tx.serno = csl.trxnserno And tx.orig_msg_type = 'REDEM'
            Left Outer Join ilarchctransactions atx On atx.serno = csl.trxnserno And atx.orig_msg_type = 'REDEM'
          Where csl.statementserno = cs1.serno And csl.partitionkey = cs1.partitionkey) RedeemedPoints
          From ilcstatements c
          Left Outer Join ilcaccountrelations car On car.fromaccount = c.caccserno
            And car.relationship = 'R'
          Left Outer Join ilcstatements cs1 On cs1.caccserno = car.toaccount
            And cs1.partitionkey = c.partitionkey
            And cs1.billingdate = c.billingdate
            And cs1.batchserno = c.batchserno
          Where c.serno = &amp;aStatementSerno
            And c.partitionkey = &amp;aStatementPartitionkey;</t>
  </si>
  <si>
    <t>Total Credits</t>
  </si>
  <si>
    <t>Last Statement -&gt; Account Statement Details -&gt; Reward Details -&gt; Total Credits</t>
  </si>
  <si>
    <t>Total Debits</t>
  </si>
  <si>
    <t>Last Statement -&gt; Account Statement Details -&gt; Reward Details -&gt; Total Debits</t>
  </si>
  <si>
    <t>Billing Date</t>
  </si>
  <si>
    <t>Last Statement -&gt; Account Statement Details -&gt; Statement Details -&gt; Billing Date</t>
  </si>
  <si>
    <t>BILLINGDATE</t>
  </si>
  <si>
    <t>Closing Balance</t>
  </si>
  <si>
    <t>Last Statement -&gt; Account Statement Details -&gt; Statement Details -&gt; Closing Balance</t>
  </si>
  <si>
    <t>remove minus sign(ABS function) and add CR or DR. ((decimal.Compare(value, 0m) &gt;= 0) ? "CR" :  "DB")</t>
  </si>
  <si>
    <t>Last Statement -&gt; Account Statement Details -&gt; Statement Details -&gt; Credits</t>
  </si>
  <si>
    <t>TOTALCREDITS+ backdatedcredits</t>
  </si>
  <si>
    <t>Last Statement -&gt; Account Statement Details -&gt; Statement Details -&gt; Debits</t>
  </si>
  <si>
    <t>TOTALDEBITS+ backdateddebits</t>
  </si>
  <si>
    <t>Printed Due Date</t>
  </si>
  <si>
    <t>Last Statement -&gt; Account Statement Details -&gt; Statement Details -&gt; Due Printed</t>
  </si>
  <si>
    <t>PRINTDUEDATE</t>
  </si>
  <si>
    <t xml:space="preserve">Due Date </t>
  </si>
  <si>
    <t>Last Statement -&gt; Account Statement Details -&gt; Statement Details -&gt; Due(Real)</t>
  </si>
  <si>
    <t>DUEDATE</t>
  </si>
  <si>
    <t>Extra Payment</t>
  </si>
  <si>
    <t>Last Statement -&gt; Account Statement Details -&gt; Statement Details -&gt; Extra Payment</t>
  </si>
  <si>
    <t>EXCESSPAYMENTAMOUNT</t>
  </si>
  <si>
    <t>Last Statement -&gt; Account Statement Details -&gt; Statement Details -&gt; Minimum</t>
  </si>
  <si>
    <t>MINDUEAMOUNT</t>
  </si>
  <si>
    <t>Last Statement -&gt; Account Statement Details -&gt; Statement Details -&gt; Overdue Amount</t>
  </si>
  <si>
    <t>Opening Balance</t>
  </si>
  <si>
    <t>Last Statement -&gt; Account Statement Details -&gt; Statement Details -&gt; Opening Balance</t>
  </si>
  <si>
    <t>remove minus sign(ABS function) and add CR or DR. ((decimal.Compare(value, 0m) &gt;= 0) ? "CR" : "DB"))</t>
  </si>
  <si>
    <t>Pay-In-Full Amount</t>
  </si>
  <si>
    <t>Last Statement -&gt; Account Statement Details -&gt; Statement Details -&gt; Pay-In-Full Amount</t>
  </si>
  <si>
    <t>PAIDINFULLBALANCE</t>
  </si>
  <si>
    <t>Printed Date</t>
  </si>
  <si>
    <t>Last Statement -&gt; Account Statement Details -&gt; Statement Details -&gt; Printed Date</t>
  </si>
  <si>
    <t>LASTPRINTDATE</t>
  </si>
  <si>
    <t>PrimeIssuerServices.StatementInquiry.LastPrintDate/DB</t>
  </si>
  <si>
    <t>Statement Enquiry : Transaction Details</t>
  </si>
  <si>
    <t>Last Statement -&gt; Account Statement Details -&gt; Transactions -&gt; Currency</t>
  </si>
  <si>
    <t xml:space="preserve">datagrid making in runtime </t>
  </si>
  <si>
    <t>Linked to Campaign</t>
  </si>
  <si>
    <t>Last Statement -&gt; Account Statement Details -&gt; Transactions -&gt; Linked to Campaign</t>
  </si>
  <si>
    <t>ilctrxncampaignlinks</t>
  </si>
  <si>
    <t>Select Case When count(ccl.campaignserno) &lt;&gt; 0 Then 1 Else 0 End From ilctrxncampaignlinks</t>
  </si>
  <si>
    <t>Load Date</t>
  </si>
  <si>
    <t>Last Statement -&gt; Account Statement Details -&gt; Transactions -&gt; Load Date</t>
  </si>
  <si>
    <t>I007_LOAD_DATE</t>
  </si>
  <si>
    <t>Originator</t>
  </si>
  <si>
    <t>Last Statement -&gt; Account Statement Details -&gt; Transactions -&gt; Originator</t>
  </si>
  <si>
    <t>ORIGINATOR</t>
  </si>
  <si>
    <t>Last Statement -&gt; Account Statement Details -&gt; Transactions -&gt; Source</t>
  </si>
  <si>
    <t>Trxn Amount</t>
  </si>
  <si>
    <t>Last Statement -&gt; Account Statement Details -&gt; Transactions -&gt; Trxn Amount</t>
  </si>
  <si>
    <t>Trxn Date</t>
  </si>
  <si>
    <t>Last Statement -&gt; Account Statement Details -&gt; Transactions -&gt; Trxn Date</t>
  </si>
  <si>
    <t>Last Statement -&gt; Account Statement Details -&gt; Transactions -&gt; Type</t>
  </si>
  <si>
    <t>View (PDF)</t>
  </si>
  <si>
    <t>Last Statement -&gt; Account Statement Details -&gt; View (PDF)</t>
  </si>
  <si>
    <t>CCM API</t>
  </si>
  <si>
    <t>CCM API is consumed for this feature</t>
  </si>
  <si>
    <t>it is a Crystal report. not any field</t>
  </si>
  <si>
    <t>Last Statement Balance</t>
  </si>
  <si>
    <t>Last Statement -&gt; Closing Balance</t>
  </si>
  <si>
    <t>remove minus sign and add CR or DR. ((decimal.Compare(value, 0m) &gt;= 0) ? ""CR"" : ""DB"")</t>
  </si>
  <si>
    <t>asp:label</t>
  </si>
  <si>
    <t>Last Statement -&gt; Date</t>
  </si>
  <si>
    <t>Last Statement -&gt; Due Date</t>
  </si>
  <si>
    <t>Cash Limit</t>
  </si>
  <si>
    <t>ONLINE CARD -&gt; Card Details -&gt; Authorization Limits -&gt; Cash</t>
  </si>
  <si>
    <t>AUTHCASHLIMIT</t>
  </si>
  <si>
    <t>asp:GridView</t>
  </si>
  <si>
    <t>ONLINE CARD -&gt; Card Details -&gt; OTB Details -&gt; Cash OTB</t>
  </si>
  <si>
    <t>Group with replenishment, minimum OTB and same account type as default account type in ilcards.</t>
  </si>
  <si>
    <t>OnlineService.InfoRequest/DB</t>
  </si>
  <si>
    <t>ONLINE CARD -&gt; Card Details -&gt; OTB Details -&gt; Total OTB</t>
  </si>
  <si>
    <t>Reward Balance</t>
  </si>
  <si>
    <t>Reward Account -&gt; Points Balance</t>
  </si>
  <si>
    <t>BALANCE</t>
  </si>
  <si>
    <t>asp:Textbox</t>
  </si>
  <si>
    <t>PrimeIssuerServicesGetRewardInformation</t>
  </si>
  <si>
    <t>Reward Profile</t>
  </si>
  <si>
    <t>Rewards Account -&gt;  Status  Reward Profile</t>
  </si>
  <si>
    <t>description</t>
  </si>
  <si>
    <t>PROFILES.serno=cardx.rewardprofserno</t>
  </si>
  <si>
    <t xml:space="preserve">filling data for the reward profile </t>
  </si>
  <si>
    <t>Previous Card Activation Status</t>
  </si>
  <si>
    <t>Card -&gt; General -&gt; Previous Card -&gt; Activation Status</t>
  </si>
  <si>
    <t>1-Apr: CARDX table field was shown by Shaikh to Data Analyst. DA to update DB maping</t>
  </si>
  <si>
    <t>Required Amount to Avoid Interest</t>
  </si>
  <si>
    <t>Financial Account Details -&gt; Extensions -&gt; Category = Account -&gt; Req. Amount to avoid Interest</t>
  </si>
  <si>
    <t>1-Apr: API details and concurrence provided by Ravish</t>
  </si>
  <si>
    <t>CardAccount Details/Entity Details</t>
  </si>
  <si>
    <t>1-Apr: Confirmed as runtime field by Ravish. Shaikh will check with Ravish and come back</t>
  </si>
  <si>
    <t>Previous Expiry Date</t>
  </si>
  <si>
    <t>Card -&gt; General -&gt; Previous Card -&gt; Expiry Date</t>
  </si>
  <si>
    <t>Drop1 - M3,M4</t>
  </si>
  <si>
    <t>PREVIOUSEXPIRYDATE</t>
  </si>
  <si>
    <t>Available Amount</t>
  </si>
  <si>
    <t>Rewards Statement Enquiry: Balance Details</t>
  </si>
  <si>
    <t>Rewards Account -&gt; Current Point Balance … -&gt; Rewards Balance Components Details -&gt; Available Amount</t>
  </si>
  <si>
    <t>1-Apr: Shaikh confirmed to use static mapping for this field after checking PRIME screens</t>
  </si>
  <si>
    <t>OutStandingAmount</t>
  </si>
  <si>
    <t>Tbalances.CACCSERNO=caccounts.serno</t>
  </si>
  <si>
    <t>1-Apr: Shaikh confirmed to use static mapping for this field</t>
  </si>
  <si>
    <t>Rewards Account -&gt; Current Point Balance … -&gt; Rewards Balance Components Details -&gt; Expiry Date</t>
  </si>
  <si>
    <t>rollingdate</t>
  </si>
  <si>
    <t>If null then &lt;never&gt;</t>
  </si>
  <si>
    <t>Points</t>
  </si>
  <si>
    <t>Rewards Account -&gt; Current Point Balance … -&gt; Rewards Balance Components Details -&gt; Points</t>
  </si>
  <si>
    <t>Is this the correct mapping for points? Pls review</t>
  </si>
  <si>
    <t>Rewards Account -&gt; Current Point Balance … -&gt; Rewards Balance Components Details -&gt; Transaction Type</t>
  </si>
  <si>
    <t>iltrxntypes</t>
  </si>
  <si>
    <t>if null then &lt;undefined&gt; and If people.CUSTIDNUMBER starts with 'C' for Credit Cards, starts with 'D' for Debit Cards and 'P' for prepaid cards</t>
  </si>
  <si>
    <t>if null then &lt;undefined&gt;</t>
  </si>
  <si>
    <t>Rewards Statement Enquiry</t>
  </si>
  <si>
    <t>Rewards Account -&gt; Point Transactions -&gt; Load Date</t>
  </si>
  <si>
    <t>Reworded to Cashback Enquiry</t>
  </si>
  <si>
    <t>Message</t>
  </si>
  <si>
    <t>Rewards Account -&gt; Point Transactions -&gt; Message</t>
  </si>
  <si>
    <t>I048_TEXT_DATA</t>
  </si>
  <si>
    <t>Rewards Account -&gt; Point Transactions -&gt; Points</t>
  </si>
  <si>
    <t>Rewards Account -&gt; Point Transactions -&gt; Status</t>
  </si>
  <si>
    <t>ilcTrxnRewardGifts</t>
  </si>
  <si>
    <t> cTrxnRewardGifts.caccserno=caccount.serno &amp; cardx.CACCSERNO=caccounts.serno and cardx.PEOPLESERNO=people.serno &amp; CRMuser.accounts.orgkey=people.CUSTIDNUMBER (Remove any prefix 'C','D' or 'P' from CUSTIDNUMBER before join)</t>
  </si>
  <si>
    <t xml:space="preserve"> Only 'PRCS' values gets displayed</t>
  </si>
  <si>
    <t>Rewards Account -&gt; Transaction Details -&gt; Transaction Types -&gt; Reports</t>
  </si>
  <si>
    <t>Service Name</t>
  </si>
  <si>
    <t>Card Services Enquiry</t>
  </si>
  <si>
    <t>Services -&gt; Service Name in Active Section</t>
  </si>
  <si>
    <t>ILSERVICELIST</t>
  </si>
  <si>
    <t> cardx.serno= servicelist.rowserno where servicelist.tabindicator='C'
&amp; cardx.PEOPLESERNO=people.serno &amp; CRMuser.accounts.orgkey=people.CUSTIDNUMBER (Remove any prefix 'C','D' or 'P' from CUSTIDNUMBER before join)</t>
  </si>
  <si>
    <t>Services-&gt;Active-&gt;Action</t>
  </si>
  <si>
    <t>ILSERVICES</t>
  </si>
  <si>
    <t> cardx.serno= services.rowserno where servicelist.tabindicator='C'
 &amp; cardx.PEOPLESERNO=people.serno &amp; CRMuser.accounts.orgkey=people.CUSTIDNUMBER (Remove any prefix 'C','D' or 'P' from CUSTIDNUMBER before join)</t>
  </si>
  <si>
    <t>Services-&gt;Active-&gt;Added</t>
  </si>
  <si>
    <t>Services-&gt;Active-&gt;Type</t>
  </si>
  <si>
    <t>SERVICETYPE</t>
  </si>
  <si>
    <t>Supplementary Card Number</t>
  </si>
  <si>
    <t>List of all the supplementary cards for the primary card</t>
  </si>
  <si>
    <t xml:space="preserve">Need clarification. Not found in web. </t>
  </si>
  <si>
    <t>Supplementary Customer Name</t>
  </si>
  <si>
    <t>Supplementary card customer name</t>
  </si>
  <si>
    <t> ccustomers.serno = cardx.caccserno &amp; cardx.PEOPLESERNO=people.serno &amp; CRMuser.accounts.orgkey=people.CUSTIDNUMBER (Remove any prefix 'C','D' or 'P' from CUSTIDNUMBER before join)</t>
  </si>
  <si>
    <t>awaiting client feedback</t>
  </si>
  <si>
    <t>Supplementary Card Expiry Date</t>
  </si>
  <si>
    <t>Supplementary card expiry date</t>
  </si>
  <si>
    <t>Supplementary Limit</t>
  </si>
  <si>
    <t>Supplementary card limit</t>
  </si>
  <si>
    <t>CARDX.PRIMARYCARD = 0  
If people.CUSTIDNUMBER starts with 'C' for Credit Cards, starts with 'D' for Debit Cards and 'P' for prepaid cards</t>
  </si>
  <si>
    <t>Supplementary Card relationship with Primary card number</t>
  </si>
  <si>
    <t>PERSON.CIF=finacle.crmuser_accounts.Orgkey</t>
  </si>
  <si>
    <t>Coming from CAPS</t>
  </si>
  <si>
    <t>Supplementary Card Status</t>
  </si>
  <si>
    <t>Supplementary card status</t>
  </si>
  <si>
    <t>CARDX.PRIMARYCARD = 0  
If people.CUSTIDNUMBER starts with 'C' for Credit Cards, starts with 'D' for Debit Cards and 'P' for prepaid cards</t>
  </si>
  <si>
    <t>which status, general, financial, authorization?</t>
  </si>
  <si>
    <t>Token Details Enquiry</t>
  </si>
  <si>
    <t>Tokens-&gt;Creation Date</t>
  </si>
  <si>
    <t>If people.CUSTIDNUMBER starts with 'C' for 05.Credit Cards, starts with 'D' for 04.Debit Cards and 'P' for prepaid cards</t>
  </si>
  <si>
    <t>PrimeIssuerServices.CardTokenInquiry/DB</t>
  </si>
  <si>
    <t>Device Name</t>
  </si>
  <si>
    <t>Tokens-&gt;Device Name</t>
  </si>
  <si>
    <t>DEVICENAME</t>
  </si>
  <si>
    <t>Tokens-&gt;Device Type</t>
  </si>
  <si>
    <t>Expiration Date</t>
  </si>
  <si>
    <t>Tokens-&gt;Expiration Date</t>
  </si>
  <si>
    <t>Initial Activation Date</t>
  </si>
  <si>
    <t>Tokens-&gt;Initial Activation Date</t>
  </si>
  <si>
    <t>INITIALACTIVATIONDATE</t>
  </si>
  <si>
    <t>Wallet Provider ID</t>
  </si>
  <si>
    <t>Tokens-&gt;Wallet Provider ID</t>
  </si>
  <si>
    <t>WALLETPROVIDERID</t>
  </si>
  <si>
    <t>WALLETPROVIDERID - WALLETNAME</t>
  </si>
  <si>
    <t>Fields same as Transaction enquiry</t>
  </si>
  <si>
    <t>Statement Transaction Details</t>
  </si>
  <si>
    <t>Specs already given. This is same fields as transaction enquiry - MCC&lt; Billing, TXN date, etc</t>
  </si>
  <si>
    <t xml:space="preserve">Need clarfiication about field names and mapping. </t>
  </si>
  <si>
    <t>Original Transaction Details</t>
  </si>
  <si>
    <t>Installment Details</t>
  </si>
  <si>
    <t>Transaction Enquiry Details for the specific transaction only</t>
  </si>
  <si>
    <t>1-Apr: Kavitha confirmed this field is not needed anymore</t>
  </si>
  <si>
    <t>Descoped</t>
  </si>
  <si>
    <t>Last Statement -&gt; Account Statement Details -&gt; Transactions -&gt; Currency -&gt; View -&gt; Serno</t>
  </si>
  <si>
    <t>Ctransaction</t>
  </si>
  <si>
    <t>Serno</t>
  </si>
  <si>
    <t>Correlation ID</t>
  </si>
  <si>
    <t>Token Provisioning Enquiry</t>
  </si>
  <si>
    <t>Customer Services -&gt; Card Section Drilldown -&gt; Online Card -&gt; Activity -&gt; Authorizations -&gt; Drilldown on Date &amp; Time field -&gt; ISO= 124 -&gt;  124.003 =  Correlation ID</t>
  </si>
  <si>
    <t>Token Unique Reference</t>
  </si>
  <si>
    <t>Customer Services -&gt; Card Section Drilldown -&gt; Online Card -&gt; Activity -&gt; Authorizations -&gt; TBD</t>
  </si>
  <si>
    <t>Eligibility</t>
  </si>
  <si>
    <t>Customer Services -&gt; Card Section Drilldown -&gt; Online Card -&gt; Activity -&gt; Authorizations -&gt; Status (for Transaction Type =  Tokenization Eligibility Request (TER))</t>
  </si>
  <si>
    <t>Provisioning</t>
  </si>
  <si>
    <t>Customer Services -&gt; Card Section Drilldown -&gt; Online Card -&gt; Activity -&gt; Authorizations -&gt; Status (for Transaction Type =  Tokenization Authorization  Request (TAR))</t>
  </si>
  <si>
    <t>Verification</t>
  </si>
  <si>
    <t>Customer Services -&gt; Card Section Drilldown -&gt; Online Card -&gt; Activity -&gt; Authorizations -&gt; Status (for Transaction Type =  Activation Code Notification Request (ACN))</t>
  </si>
  <si>
    <t>Completion</t>
  </si>
  <si>
    <t>Customer Services -&gt; Card Section Drilldown -&gt; Online Card -&gt; Activity -&gt; Authorizations -&gt; Status (for Transaction Type =  Tokenization Complete Notification Request (TCN))</t>
  </si>
  <si>
    <t>Customer Services -&gt; Card Section Drilldown -&gt; Online Card -&gt; Activity -&gt; Authorizations -&gt; Merchant Name</t>
  </si>
  <si>
    <t>Customer Services -&gt; Card Section Drilldown -&gt; Online Card -&gt; Activity -&gt; Authorizations -&gt; MCC</t>
  </si>
  <si>
    <t>Customer Services -&gt; Card Section Drilldown -&gt; Online Card -&gt; Activity -&gt; Authorizations -&gt; Country</t>
  </si>
  <si>
    <t>Token Provisioning Enquiry -&gt; Additional Details</t>
  </si>
  <si>
    <t>Not found</t>
  </si>
  <si>
    <t>Dispute Transaction</t>
  </si>
  <si>
    <t>Financial Account Details -&gt; Extensions -&gt; Category = Others-&gt;Dispute Transaction</t>
  </si>
  <si>
    <t>ILCEXTENSION.FIELDNO=21014</t>
  </si>
  <si>
    <t>input dropdown</t>
  </si>
  <si>
    <t>-Y, -N, NONE</t>
  </si>
  <si>
    <t>Data</t>
  </si>
  <si>
    <t>Calculated field. Eligibility to be enabled only if all the card closure conditions are met.</t>
  </si>
  <si>
    <t>Support needed from CARDS</t>
  </si>
  <si>
    <t>Development of new API based on logic provided</t>
  </si>
  <si>
    <t>Active Installment flag</t>
  </si>
  <si>
    <t>Calculated field based on the installments. Flag to be Y if any installment is still active</t>
  </si>
  <si>
    <t>Memos</t>
  </si>
  <si>
    <t>Calculated field based on the compliance memo alert</t>
  </si>
  <si>
    <t>Previous Retention Tag</t>
  </si>
  <si>
    <t>Calculated field. Flag to be enabled if Previous retention tag is within 6 months</t>
  </si>
  <si>
    <t>Cashback Balance</t>
  </si>
  <si>
    <t>Calculated field. Flag to be enabled if cashback balance &lt; 0</t>
  </si>
  <si>
    <t>Annual Fee posting flag</t>
  </si>
  <si>
    <t>Calculated field. Flag to be enabled if annual fee posting date is current day</t>
  </si>
  <si>
    <t>VIP (Normal)</t>
  </si>
  <si>
    <t>People -&gt; Person Details -&gt; Person Type -&gt; Very Important Person (Normal)</t>
  </si>
  <si>
    <t>VIP (High)</t>
  </si>
  <si>
    <t>People -&gt; Person Details -&gt; Person Type -&gt; Very Important Person (High)</t>
  </si>
  <si>
    <t>Card Type</t>
  </si>
  <si>
    <t>Staff Account</t>
  </si>
  <si>
    <t>People -&gt; Person Details -&gt; Person Type -&gt; Staff Account</t>
  </si>
  <si>
    <t>Priority Pass Card</t>
  </si>
  <si>
    <t>Card -&gt; Priority Pass Card</t>
  </si>
  <si>
    <t>Virtual Card Flag</t>
  </si>
  <si>
    <t>Card -&gt; General -&gt; Virtual Card</t>
  </si>
  <si>
    <t>Card Account Type</t>
  </si>
  <si>
    <t>Card -&gt; Default Account Type</t>
  </si>
  <si>
    <t>People -&gt; ID Number</t>
  </si>
  <si>
    <t>People -&gt; Title</t>
  </si>
  <si>
    <t>People -&gt; First Name</t>
  </si>
  <si>
    <t>People -&gt; Last Name</t>
  </si>
  <si>
    <t>Mother Name</t>
  </si>
  <si>
    <t>People -&gt; Mother Name</t>
  </si>
  <si>
    <t>People -&gt; DOB</t>
  </si>
  <si>
    <t>Resident</t>
  </si>
  <si>
    <t>People -&gt; Resident</t>
  </si>
  <si>
    <t>Address -&gt; Address</t>
  </si>
  <si>
    <t>City/Postal Code</t>
  </si>
  <si>
    <t>Address -&gt; City/ Postal Code</t>
  </si>
  <si>
    <t>Address -&gt; State</t>
  </si>
  <si>
    <t>Address -&gt; Country</t>
  </si>
  <si>
    <t>Campaign Links - Code</t>
  </si>
  <si>
    <t>Campaign Links -&gt; Code</t>
  </si>
  <si>
    <t>Campaign Links -&gt; Description</t>
  </si>
  <si>
    <t>Subscribed From</t>
  </si>
  <si>
    <t>Campaign Links -&gt; Subscribed From</t>
  </si>
  <si>
    <t>Subscribed Until</t>
  </si>
  <si>
    <t>Campaign Links -&gt; Subscribed Until</t>
  </si>
  <si>
    <t>Charity Combination</t>
  </si>
  <si>
    <t>Financial Account Details -&gt; Extensions -&gt; Category = Islamic -&gt; Charity Combination</t>
  </si>
  <si>
    <t>Charity Flat Amount</t>
  </si>
  <si>
    <t>Financial Account Details -&gt; Extensions -&gt; Category = Islamic -&gt; Charity Flat Amount</t>
  </si>
  <si>
    <t>Charity Organization ID</t>
  </si>
  <si>
    <t>Financial Account Details -&gt; Extensions -&gt; Category = Islamic -&gt; Charity Organization ID</t>
  </si>
  <si>
    <t>Charity Percentage Amount</t>
  </si>
  <si>
    <t>Financial Account Details -&gt; Extensions -&gt; Category = Islamic -&gt; Charity Percentage Amount</t>
  </si>
  <si>
    <t>Exempt Paper Statement Fee</t>
  </si>
  <si>
    <t>Card -&gt; Card Details -&gt; Extension Fields -&gt; Category = Others -&gt;  Exempt Paper Statement Fee</t>
  </si>
  <si>
    <t>Enrolled for Falcon</t>
  </si>
  <si>
    <t>Product Specific Details</t>
  </si>
  <si>
    <t>Card -&gt; Extensions -&gt; Category = Falcon -&gt; Enrolled for Falcon</t>
  </si>
  <si>
    <t>Falcon Number</t>
  </si>
  <si>
    <t>Card -&gt; Extensions -&gt; Category = Falcon -&gt; Falcon Number</t>
  </si>
  <si>
    <t>Skywards FYF</t>
  </si>
  <si>
    <t>Card -&gt; Extensions -&gt; Category = Falcon -&gt; Skywards FYF</t>
  </si>
  <si>
    <t>Tokens-&gt;Status</t>
  </si>
  <si>
    <t>if ilCardTokens.Status = 0 then 'ALL'
elseif ilCardTokens.Status = 1 then 'Activate'
elseif ilCardTokens.Status = 2 then 'Suspend'
elseif ilCardTokens.Status = 3 then 'Deactivate'
elseif ilCardTokens.Status = 4 then 'Expired'
elseif ilCardTokens.Status = 5 then 'Inactive'
elseif ilCardTokens.Status = 6 then 'CardSuspend'
Note: Final string might slightly differ as the values are coming using system.globalization.CultureInfo library.</t>
  </si>
  <si>
    <t>Tokens-&gt;Type</t>
  </si>
  <si>
    <t>TOKENTYPE</t>
  </si>
  <si>
    <t>New system</t>
  </si>
  <si>
    <t>New Front End mapping</t>
  </si>
  <si>
    <t>Support required from CARDS team</t>
  </si>
  <si>
    <t>Drop</t>
  </si>
  <si>
    <t xml:space="preserve">remarks </t>
  </si>
  <si>
    <t>Comments (Kavi)</t>
  </si>
  <si>
    <t>App. Source</t>
  </si>
  <si>
    <t>05.Credit Card Details (ACCOUNT CODES) -&gt; App. Source</t>
  </si>
  <si>
    <t>Static</t>
  </si>
  <si>
    <t>APPSOURCE</t>
  </si>
  <si>
    <t>Already discussed on 17th Mar WS. Confirmed this field mapping</t>
  </si>
  <si>
    <t>Sourcing CRN Number</t>
  </si>
  <si>
    <t>05.Credit Card Details (ACCOUNT CODES) -&gt; CRN</t>
  </si>
  <si>
    <t>05.Credit Card Details (ACCOUNT CODES) -&gt; Statement Cycle</t>
  </si>
  <si>
    <t>Already available in PRIME</t>
  </si>
  <si>
    <t>Delinquency Enquiry</t>
  </si>
  <si>
    <t>05.Credit Card Details -&gt; Month</t>
  </si>
  <si>
    <t xml:space="preserve">RLS Collection -&gt; Deliquency Calendar-&gt; Month </t>
  </si>
  <si>
    <t>RLS - WIP</t>
  </si>
  <si>
    <t>Shared by Collections dated 17 feb; as these fields were not available on CAPS which was mentioned as part of BRD sign off</t>
  </si>
  <si>
    <t>Bucket</t>
  </si>
  <si>
    <t>05.Credit Card Details -&gt; Bucket</t>
  </si>
  <si>
    <t xml:space="preserve">RLS Collection -&gt; Deliquency Calendar-&gt; Bucket </t>
  </si>
  <si>
    <t>Current Overdue Amount</t>
  </si>
  <si>
    <t>05.Credit Card Details -&gt; Cur. Overdue Amt.</t>
  </si>
  <si>
    <t xml:space="preserve">RLS Collection -&gt; Deliquency Calendar-&gt; Cur. Overdue Amt. </t>
  </si>
  <si>
    <t>Current Outstanding Balance Amount</t>
  </si>
  <si>
    <t>05.Credit Card Details -&gt; Cur. Out.Bal.Total</t>
  </si>
  <si>
    <t xml:space="preserve">RLS Collection -&gt; Deliquency Calendar-&gt; Cur. Out. Bal. Total </t>
  </si>
  <si>
    <t>Master Card : Wallet Transaction Details</t>
  </si>
  <si>
    <t>MDES Customer Service -&gt; Transaction History -&gt; Transaction Date</t>
  </si>
  <si>
    <t>Option to view only the mobile Wallet transactions.
19 Nov 2025: As part of the alignment meeting, it is agreed to map this enquiry from Prime -&gt; Activity (Authorizations). Easy option view the wallet transactions from Authorizations. This is taken care of in the design. Clubbed with Authorized Transactions.</t>
  </si>
  <si>
    <t>MDES Customer Service -&gt; Transaction History -&gt; Transaction Type</t>
  </si>
  <si>
    <t>MDES Customer Service -&gt; Transaction History -&gt; Transaction Status</t>
  </si>
  <si>
    <t>MDES Customer Service -&gt; Transaction History -&gt; Merchant Name</t>
  </si>
  <si>
    <t>Merchant Category</t>
  </si>
  <si>
    <t>MDES Customer Service -&gt; Transaction History -&gt; Merchant Category</t>
  </si>
  <si>
    <t>MDES Customer Service -&gt; Transaction History -&gt; Transaction Amount</t>
  </si>
  <si>
    <t>Master Card Token Enquiry</t>
  </si>
  <si>
    <r>
      <rPr>
        <sz val="11"/>
        <color theme="1"/>
        <rFont val="Aptos Narrow"/>
        <family val="2"/>
        <scheme val="minor"/>
      </rPr>
      <t xml:space="preserve">MDES Customer Service -&gt; Device Name
</t>
    </r>
  </si>
  <si>
    <t>Card Tokens -&gt; Details -&gt; Device Name</t>
  </si>
  <si>
    <t>DB specs required</t>
  </si>
  <si>
    <t>Drop2 - M5</t>
  </si>
  <si>
    <t>19 Nov 2025: Alternate mapping from Prime shared by Ravish and accepted by Contact center team.</t>
  </si>
  <si>
    <t>MDES Customer Service -&gt; Serial Number</t>
  </si>
  <si>
    <t>FE mapping and DB specs required</t>
  </si>
  <si>
    <t>Masked value
19 Nov 2025: Awating mapping</t>
  </si>
  <si>
    <t>Wallet Provider</t>
  </si>
  <si>
    <t>MDES Customer Service -&gt; Wallet Provider</t>
  </si>
  <si>
    <t>Card Tokens -&gt; Details -&gt; Wallet Provider ID</t>
  </si>
  <si>
    <t>Token Requestor</t>
  </si>
  <si>
    <r>
      <rPr>
        <sz val="11"/>
        <color theme="1"/>
        <rFont val="Aptos Narrow"/>
        <family val="2"/>
        <scheme val="minor"/>
      </rPr>
      <t xml:space="preserve">MDES Customer Service -&gt; Token Requestor
</t>
    </r>
  </si>
  <si>
    <r>
      <rPr>
        <sz val="11"/>
        <color theme="1"/>
        <rFont val="Aptos Narrow"/>
        <family val="2"/>
        <scheme val="minor"/>
      </rPr>
      <t xml:space="preserve">MDES Customer Service -&gt; Status
</t>
    </r>
  </si>
  <si>
    <t>Card Tokens -&gt; Details -&gt; Status</t>
  </si>
  <si>
    <r>
      <rPr>
        <sz val="11"/>
        <color theme="1"/>
        <rFont val="Aptos Narrow"/>
        <family val="2"/>
        <scheme val="minor"/>
      </rPr>
      <t xml:space="preserve">MDES Customer Service -&gt; Token
</t>
    </r>
  </si>
  <si>
    <t>Card Tokens -&gt; Details -&gt; Number</t>
  </si>
  <si>
    <t>Token Type</t>
  </si>
  <si>
    <t>MDES Customer Service -&gt; Token Type</t>
  </si>
  <si>
    <t>19 Nov 2025: Field agreed to be removed by Contact center team.</t>
  </si>
  <si>
    <t>Token Expiry Date</t>
  </si>
  <si>
    <r>
      <rPr>
        <sz val="11"/>
        <color theme="1"/>
        <rFont val="Aptos Narrow"/>
        <family val="2"/>
        <scheme val="minor"/>
      </rPr>
      <t xml:space="preserve">MDES Customer Service -&gt; Token (Expiry Date)
</t>
    </r>
  </si>
  <si>
    <r>
      <rPr>
        <sz val="11"/>
        <color theme="1"/>
        <rFont val="Aptos Narrow"/>
        <family val="2"/>
        <scheme val="minor"/>
      </rPr>
      <t xml:space="preserve">MDES Customer Service -&gt; Token Unique Reference
</t>
    </r>
  </si>
  <si>
    <t>Card Tokens -&gt; Details -&gt; Reference ID</t>
  </si>
  <si>
    <t>Virtual Card Number ID</t>
  </si>
  <si>
    <t>MDES Customer Service -&gt; Virtual Card Number ID</t>
  </si>
  <si>
    <t>Masked value
30 Dec 2025: As per confirmation from Contact center - Mina and Essam, the field does not have data, so removed from CRM integration</t>
  </si>
  <si>
    <t>Virtual Card Expiry</t>
  </si>
  <si>
    <t>MDES Customer Service -&gt; Virtual Card Number (Expiry Date)</t>
  </si>
  <si>
    <t>30 Dec 2025: As per confirmation from Contact center - Mina and Essam, the field does not have data, so removed from CRM integration</t>
  </si>
  <si>
    <t>Issuer Phone</t>
  </si>
  <si>
    <t>Master Card Token Enquiry: Additional Details</t>
  </si>
  <si>
    <t>MDES Customer Service -&gt; (Pre) Digitization Activities -&gt; Issuer Phone</t>
  </si>
  <si>
    <t>Issuer Email</t>
  </si>
  <si>
    <t>MDES Customer Service -&gt; (Pre) Digitization Activities -&gt; Issuer Email</t>
  </si>
  <si>
    <t>Provisioning Status: Eligibility Check</t>
  </si>
  <si>
    <t>MDES Customer Service -&gt; (Pre) Digitization Activities -&gt; Provisioning Status -&gt; Eligibility Check</t>
  </si>
  <si>
    <t>Moved to Token Provisioning Enquiry of PRIMe</t>
  </si>
  <si>
    <t>Flag to be shown
30 Dec 2025: Alternate enquiry with mapping from Prime provided. Details are aligned with contact center and designed together basis the meeting held with Mina, Essam, Kavitha, Sowmya on 29 Dec 2025</t>
  </si>
  <si>
    <t>Provisioning Status: Terms and Conditions</t>
  </si>
  <si>
    <t>MDES Customer Service -&gt; (Pre) Digitization Activities -&gt; Provisioning Status -&gt; Terms and Conditions</t>
  </si>
  <si>
    <t>Provisioning Status: Preparing</t>
  </si>
  <si>
    <t>MDES Customer Service -&gt; (Pre) Digitization Activities -&gt; Provisioning Status -&gt; Preparing</t>
  </si>
  <si>
    <t>Provisioning Status: Delivery</t>
  </si>
  <si>
    <t>MDES Customer Service -&gt; (Pre) Digitization Activities -&gt; Provisioning Status -&gt; Delivery</t>
  </si>
  <si>
    <t>Provisioning Status: Provisioning</t>
  </si>
  <si>
    <t>MDES Customer Service -&gt; (Pre) Digitization Activities -&gt; Provisioning Status -&gt; Provisioning</t>
  </si>
  <si>
    <t>Provisioning Status: Activation</t>
  </si>
  <si>
    <t>MDES Customer Service -&gt; (Pre) Digitization Activities -&gt; Provisioning Status -&gt; Activation</t>
  </si>
  <si>
    <t>Master Card Token History</t>
  </si>
  <si>
    <t>MDES Customer Service -&gt; Token -&gt; Date</t>
  </si>
  <si>
    <t>Upon selection of a particular Token, History to be shown
19 Nov 2025: As per discussion with Contact center team, no need to have a separate enquiry for this. Provisioning enquiry designed will have the required details.</t>
  </si>
  <si>
    <t>MDES Customer Service -&gt; Token -&gt; Status</t>
  </si>
  <si>
    <t>19 Nov 2025: As per discussion with Contact center team, no need to have a separate enquiry for this. Provisioning enquiry designed will have the required details.</t>
  </si>
  <si>
    <t>VISA Token Enquiry</t>
  </si>
  <si>
    <t>My Services -&gt; Token Life-cycle Management -&gt; Token Number</t>
  </si>
  <si>
    <t>30 Dec 2025: Duplicate based on MDES enquiry, alternate Prime mapping</t>
  </si>
  <si>
    <t>My Services -&gt; Token Life-cycle Management -&gt; Status</t>
  </si>
  <si>
    <t>My Services -&gt; Token Life-cycle Management -&gt; Token Expiry</t>
  </si>
  <si>
    <t>Token Requestor ID</t>
  </si>
  <si>
    <t>My Services -&gt; Token Life-cycle Management -&gt; Token Requestor ID</t>
  </si>
  <si>
    <t>Requestor Name</t>
  </si>
  <si>
    <t>My Services -&gt; Token Life-cycle Management -&gt; Token Requestor Name</t>
  </si>
  <si>
    <t>My Services -&gt; Token Life-cycle Management -&gt; Token Type</t>
  </si>
  <si>
    <t>25 Nov 2025: Field agreed to be removed by Contact center team.</t>
  </si>
  <si>
    <t>As of Date</t>
  </si>
  <si>
    <t>My Services -&gt; Token Life-cycle Management -&gt; As of Date and As of Time</t>
  </si>
  <si>
    <t>Card Tokens-&gt; Details -&gt; Initial Activation Date</t>
  </si>
  <si>
    <t>30 Dec 2025: Duplicate of the field in Token detail enquiry</t>
  </si>
  <si>
    <t>Action Taken By</t>
  </si>
  <si>
    <r>
      <rPr>
        <sz val="11"/>
        <color theme="1"/>
        <rFont val="Aptos Narrow"/>
        <family val="2"/>
        <scheme val="minor"/>
      </rPr>
      <t>VISA Token Enquiry
Token Details Enquiry</t>
    </r>
  </si>
  <si>
    <t>My Services -&gt; Token Life-cycle Management -&gt; Action Taken By</t>
  </si>
  <si>
    <t>Prime mapping tto be shared by IT</t>
  </si>
  <si>
    <t>Token Reference ID</t>
  </si>
  <si>
    <t>My Services -&gt; Token Life-cycle Management -&gt; Token Reference ID</t>
  </si>
  <si>
    <t>Device ID</t>
  </si>
  <si>
    <t>My Services -&gt; Token Life-cycle Management -&gt; Device ID</t>
  </si>
  <si>
    <t>My Services -&gt; Token Life-cycle Management -&gt;Device Type</t>
  </si>
  <si>
    <t>Device Number</t>
  </si>
  <si>
    <t>VISA Token Enquiry
Token Details Enquiry</t>
  </si>
  <si>
    <t>My Services -&gt; Token Life-cycle Management -&gt;Device Number
Card Tokens -&gt; Details -&gt; Device Number</t>
  </si>
  <si>
    <t>31 Dec 2025:  Field agreed to be removed by Contact center team.</t>
  </si>
  <si>
    <t>Device Serial#</t>
  </si>
  <si>
    <t>My Services -&gt; Token Life-cycle Management -&gt;Device Serial#</t>
  </si>
  <si>
    <t>30 Dec 2025: Duplicate based on MDES enquiry, alternate Prime mapping Mapping to be shared by IT</t>
  </si>
  <si>
    <t>My Services -&gt; Token Life-cycle Management -&gt;Device Name</t>
  </si>
  <si>
    <t>Final Provisioning Decision</t>
  </si>
  <si>
    <t>My Services -&gt; Token Life-cycle Management -&gt;Final Provisioning Decision</t>
  </si>
  <si>
    <t>31 Dec 2025: Details in VISA is not clear and confirmed with Mina from Contact center to remove it.</t>
  </si>
  <si>
    <t>Issuer Reason Code</t>
  </si>
  <si>
    <t>My Services -&gt; Token Life-cycle Management -&gt;Issuer Reason Code</t>
  </si>
  <si>
    <t>31 Dec 2025: Details in VISA is blank and confirmed with Mina from Contact center to remove it.</t>
  </si>
  <si>
    <t>Direct Debit Flag</t>
  </si>
  <si>
    <t>Enquiry Cpps -&gt; SI Details -&gt; SI Enquiry -&gt; SI Details -&gt; SI on Due Date</t>
  </si>
  <si>
    <t>2-Apr: Shaikh checked and confirmed to use CPPS control-M solution if all fields are mandatory as only yellow highlighted are available in CAPS</t>
  </si>
  <si>
    <t>SI_DEFAULT_DATE</t>
  </si>
  <si>
    <t>SI_DETAILS.SI_account_number=prime_tctdbs_caccounts.numberx and cardx.CACCSERNO=caccounts.serno and tctdbs_cardx.numberx=PAYMENT_TRANS.Card_number and cardx.PEOPLESERNO=people.serno &amp; CRMuser.accounts.orgkey=people.CUSTIDNUMBER (Remove any prefix 'C','D' or 'P' from CUSTIDNUMBER before join)</t>
  </si>
  <si>
    <t>IF value is coming Y then it will show Y-Yes and if value is coming N then it will show N-No</t>
  </si>
  <si>
    <t>Apr 1 : CAPS to be used</t>
  </si>
  <si>
    <t>Direct Debit Account</t>
  </si>
  <si>
    <t>Enquiry Cpps -&gt; SI Details -&gt; SI Enquiry -&gt; SI Details -&gt; Account</t>
  </si>
  <si>
    <t>SI_ACCOUNT_NUMBER</t>
  </si>
  <si>
    <t>Direct Debit %</t>
  </si>
  <si>
    <t>Enquiry Cpps -&gt; SI Details -&gt; SI Enquiry -&gt; SI Details -&gt; SI Percentage</t>
  </si>
  <si>
    <t>SI_PERCENTAGE</t>
  </si>
  <si>
    <t>Mode</t>
  </si>
  <si>
    <t>Enquiry Cpps -&gt; SI Details -&gt; SI Enquiry -&gt; SI Details -&gt; Mode of SI</t>
  </si>
  <si>
    <t>SI_MODE</t>
  </si>
  <si>
    <t>If value is coming P then it will show P-PERCENTAGE, if value is coming F then it will show F-FLAT,If value is coming M then it will show M-MINIMUM</t>
  </si>
  <si>
    <t>SI Day</t>
  </si>
  <si>
    <t>Enquiry Cpps -&gt; SI Details -&gt; SI Enquiry -&gt; SI Details -&gt; SI Day</t>
  </si>
  <si>
    <t>SI_DAY</t>
  </si>
  <si>
    <t>Start Month</t>
  </si>
  <si>
    <t>Enquiry Cpps -&gt; SI Details -&gt; SI Enquiry -&gt; SI Details -&gt; SI start Month</t>
  </si>
  <si>
    <t>SI_MONTH</t>
  </si>
  <si>
    <t>Next SI Date</t>
  </si>
  <si>
    <t>Enquiry Cpps -&gt; SI Details -&gt; SI Enquiry -&gt; SI Details -&gt; Next SI Date</t>
  </si>
  <si>
    <t>SI_DATE</t>
  </si>
  <si>
    <t>Hold</t>
  </si>
  <si>
    <t>Enquiry Cpps -&gt; SI Details -&gt; SI Enquiry -&gt; SI Details -&gt; Hold</t>
  </si>
  <si>
    <t>SI_HOLD</t>
  </si>
  <si>
    <t>If value is coming P then it will show P-Permenant, if value is coming T then it will show T-Temporary,If value is coming N then it will show N-None</t>
  </si>
  <si>
    <t>Hold Start Date</t>
  </si>
  <si>
    <t>Enquiry Cpps -&gt; SI Details -&gt; SI Enquiry -&gt; SI Details -&gt; Hold Start Date</t>
  </si>
  <si>
    <t>SI_HOLD_START_DATE</t>
  </si>
  <si>
    <t>Hold End Date</t>
  </si>
  <si>
    <t>Enquiry Cpps -&gt; SI Details -&gt; SI Enquiry -&gt; SI Details -&gt; Hold End Date</t>
  </si>
  <si>
    <t>SI_HOLD_END_DATE</t>
  </si>
  <si>
    <t>SI Flat Amount</t>
  </si>
  <si>
    <t>Enquiry Cpps -&gt; SI Details -&gt; SI Enquiry -&gt; SI Details -&gt; SI Flat Amount</t>
  </si>
  <si>
    <t>SI_FLAT_AMOUNT</t>
  </si>
  <si>
    <t>Enquiry Cpps -&gt; SI Details -&gt; SI Enquiry -&gt; SI Details -&gt; SI  Amount</t>
  </si>
  <si>
    <t>SI_AMOUNT</t>
  </si>
  <si>
    <t>Transaction Number</t>
  </si>
  <si>
    <t>CPPS-&gt;Enquiry CPPS-&gt;Payment-&gt;Payment Enquiry -&gt;Transaction Number</t>
  </si>
  <si>
    <t>Cards - Transactions - Last statement - Current</t>
  </si>
  <si>
    <t>Apr 1: Record comparison between CPPS and PRIME - workshop with CCO/Cards team
Apr 2 : CCO confirmed to take from PRIME. Shaikh to provide FE mapping
Apr 8 - record comparison did and aligned to take from PRIME</t>
  </si>
  <si>
    <t>ORIG_MSG_TYPE = 'PAYMT'</t>
  </si>
  <si>
    <t>Apr 1: Record comparison between CPPS and PRIME - workshop with CCO/Cards team</t>
  </si>
  <si>
    <t>Transaction Description</t>
  </si>
  <si>
    <t>CPPS-&gt;Enquiry CPPS-&gt;Payment-&gt;Payment Enquiry -&gt;Transaction Description</t>
  </si>
  <si>
    <t>CPPS-&gt;Enquiry CPPS-&gt;Payment-&gt;Payment Enquiry -&gt;Transaction Amount</t>
  </si>
  <si>
    <t>CPPS-&gt;Enquiry CPPS-&gt;Payment-&gt;Payment Enquiry -&gt;Debit Account</t>
  </si>
  <si>
    <t>Apr 8 : Discussed with CCO and Descoped</t>
  </si>
  <si>
    <t>ACCOUNT_NUMBER</t>
  </si>
  <si>
    <t>CPPS-&gt;Enquiry CPPS-&gt;Payment-&gt; Payment Enquiry -&gt;Transaction Date</t>
  </si>
  <si>
    <t>CPPS-&gt;Enquiry CPPS-&gt;Payment-&gt; Payment Enquiry -&gt;Transaction Status</t>
  </si>
  <si>
    <t>CPPS-&gt;Enquiry CPPS-&gt;Payment-&gt; Payment Enquiry -&gt;User</t>
  </si>
  <si>
    <t>TRAN_USER</t>
  </si>
  <si>
    <t>Online Status</t>
  </si>
  <si>
    <t>CPPS-&gt;Enquiry CPPS-&gt;Payment-&gt;Payment Enquiry -&gt;Online Status</t>
  </si>
  <si>
    <t xml:space="preserve">Descoped </t>
  </si>
  <si>
    <t>ONLINE_NOTIFY_STATUS</t>
  </si>
  <si>
    <t>If value is coming P then it will show Pending,if value is coming U then it will show Unknown,if  value is coming S then it will show Success,if value is coming I then it will show In Progress,if value is coming F then it will show Failure</t>
  </si>
  <si>
    <t>Join Condition</t>
  </si>
  <si>
    <t>IBPS -&gt; User Desktop -&gt; Search -&gt; Search Results -&gt; Registration No.</t>
  </si>
  <si>
    <t>cas</t>
  </si>
  <si>
    <t>processinstanceid</t>
  </si>
  <si>
    <t>Auto generated by ibps system basis sequence</t>
  </si>
  <si>
    <t>nvarchar(128)</t>
  </si>
  <si>
    <t>IBPS -&gt; User Desktop -&gt; Search -&gt; Search Results -&gt; Registration No. drilldown -&gt; Heading</t>
  </si>
  <si>
    <t>processname</t>
  </si>
  <si>
    <t>processdeftable.processdefid=WFINSTRUMENTTABLE.ProcessDefId</t>
  </si>
  <si>
    <t>IBPS -&gt; User Desktop -&gt; Search -&gt; Search Results -&gt; Workstep Name</t>
  </si>
  <si>
    <t>activityname</t>
  </si>
  <si>
    <t>PRedefined system workstep name</t>
  </si>
  <si>
    <t>nvarchar(200)</t>
  </si>
  <si>
    <t>Assigned To</t>
  </si>
  <si>
    <t>IBPS -&gt; User Desktop -&gt; Search -&gt; Search Results -&gt; Assigned To</t>
  </si>
  <si>
    <t>AssignedUser</t>
  </si>
  <si>
    <t>Assigned to Username</t>
  </si>
  <si>
    <t>IBPS -&gt; User Desktop -&gt; Search -&gt; Search Results -&gt; MaskedCreditCardNo</t>
  </si>
  <si>
    <t>Mappping below for all transa. table</t>
  </si>
  <si>
    <t>IBPS -&gt; User Desktop -&gt; Search -&gt; Search Results -&gt; Workitem State</t>
  </si>
  <si>
    <t>Workitemstate</t>
  </si>
  <si>
    <t>Predefined ibps system states</t>
  </si>
  <si>
    <t>IBPS -&gt; User Desktop -&gt; Search -&gt; Search Results -&gt; Introduced By</t>
  </si>
  <si>
    <t>IntroducedBy</t>
  </si>
  <si>
    <t>WI introduced username</t>
  </si>
  <si>
    <t>IBPS -&gt; User Desktop -&gt; Search -&gt; Search Results -&gt; Introduced On</t>
  </si>
  <si>
    <t>IntroductionDateTime</t>
  </si>
  <si>
    <t>Wi introduced datetime</t>
  </si>
  <si>
    <t>Datetime</t>
  </si>
  <si>
    <t>IBPS -&gt; User Desktop -&gt; Search -&gt; Search Results -&gt; Registration No. drilldown -&gt; Remarks</t>
  </si>
  <si>
    <t>IBPS -&gt; Request Drilldown -&gt; Decision History
Date &amp; Time, User Name, Workstep, Entry Date Time, Decision, Remarks</t>
  </si>
  <si>
    <t>Sub Type</t>
  </si>
  <si>
    <t>IBPS -&gt; User Desktop -&gt; Search -&gt; Search Results -&gt; Registration No. drilldown -&gt; Service Request type/SubCategory</t>
  </si>
  <si>
    <t>drop 2</t>
  </si>
  <si>
    <t>SRB:
usr_0_srb_wihistory
BSR:
USR_0_BSR_WIHISTORY</t>
  </si>
  <si>
    <t>SRB:
SubCatgory
BSR:
SERVICE_REQUEST_TYPE</t>
  </si>
  <si>
    <t>01. Customer Enquiries</t>
  </si>
  <si>
    <t>Work Item Created Date</t>
  </si>
  <si>
    <t>Digital Onboarding</t>
  </si>
  <si>
    <t>Digital on-boarding Tracking -&gt;Account-&gt;Prospects Details from IBPS -&gt;WI Created Date</t>
  </si>
  <si>
    <t>Accw</t>
  </si>
  <si>
    <t>IBPS -&gt; User Desktop -&gt; Search -&gt; Search Results -&gt; CIF</t>
  </si>
  <si>
    <t>Current WI Status</t>
  </si>
  <si>
    <t>Current Status Name</t>
  </si>
  <si>
    <t>IBPS -&gt; User Desktop -&gt; Search -&gt; Search Results -&gt; Work step Name</t>
  </si>
  <si>
    <t>Previous Status Name</t>
  </si>
  <si>
    <r>
      <rPr>
        <sz val="11"/>
        <color rgb="FF000000"/>
        <rFont val="Aptos Narrow"/>
        <family val="2"/>
        <scheme val="minor"/>
      </rPr>
      <t xml:space="preserve">IBPS -&gt; User Desktop -&gt; Search -&gt; Search Results -&gt; click on Registration No -&gt; </t>
    </r>
    <r>
      <rPr>
        <sz val="11"/>
        <color rgb="FFFF0000"/>
        <rFont val="Aptos Narrow"/>
        <family val="2"/>
      </rPr>
      <t>? NA in IBPS</t>
    </r>
  </si>
  <si>
    <t>Decision</t>
  </si>
  <si>
    <t>IBPS -&gt; User Desktop -&gt; Search -&gt; Search Results -&gt; click on Registration No -&gt; Decision-&gt; Decision History.</t>
  </si>
  <si>
    <t>Last Updated Date</t>
  </si>
  <si>
    <t>IBPS -&gt; User Desktop -&gt; Search -&gt; Search Results -&gt; Entry Date Time</t>
  </si>
  <si>
    <t>AWB Number</t>
  </si>
  <si>
    <r>
      <rPr>
        <sz val="11"/>
        <color rgb="FF000000"/>
        <rFont val="Aptos Narrow"/>
        <family val="2"/>
        <scheme val="minor"/>
      </rPr>
      <t xml:space="preserve">IBPS -&gt; User Desktop -&gt; Search -&gt; Search Results -&gt; click on Registration No -&gt; </t>
    </r>
    <r>
      <rPr>
        <sz val="11"/>
        <color rgb="FFFF0000"/>
        <rFont val="Aptos Narrow"/>
        <family val="2"/>
      </rPr>
      <t>? ( NA in IBPS only AWB Creation status will be updated in decision history remarks)</t>
    </r>
  </si>
  <si>
    <t>AWB Generation Success Date</t>
  </si>
  <si>
    <t>IBPS -&gt; User Desktop -&gt; Search -&gt; Search Results -&gt; click on Registration No -&gt; Decision-&gt; Decision History-&gt; Decision date</t>
  </si>
  <si>
    <t>Delivery Status</t>
  </si>
  <si>
    <r>
      <t xml:space="preserve">IBPS -&gt; User Desktop -&gt; Search -&gt; Search Results -&gt; click on Registration No -&gt; </t>
    </r>
    <r>
      <rPr>
        <sz val="11"/>
        <color rgb="FFFF0000"/>
        <rFont val="Aptos Narrow"/>
        <family val="2"/>
      </rPr>
      <t>? (NA in IBPS)</t>
    </r>
  </si>
  <si>
    <t>Delivery Date</t>
  </si>
  <si>
    <t>IBPS -&gt; User Desktop -&gt; Search -&gt; Search Results -&gt; click on Registration No -&gt; Decision-&gt; Decision History-&gt; Remarks.</t>
  </si>
  <si>
    <t>Cheque Book Required</t>
  </si>
  <si>
    <t>Digital Onboarding: Account Details</t>
  </si>
  <si>
    <t>IBPS -&gt; User Desktop -&gt; Search -&gt; Search Results -&gt; click on Registration No -&gt; Account Details-&gt; Cheque Book Required ( Digital AO)</t>
  </si>
  <si>
    <t>Debit Card Required</t>
  </si>
  <si>
    <t>SBR_Trans_Table</t>
  </si>
  <si>
    <t>For SBR process Product Number</t>
  </si>
  <si>
    <t>Main Table join</t>
  </si>
  <si>
    <t>select CifId from RB_SRB_EXTTABLE join on wfinstrumenttable.processinstanceid =RB_SRB_EXTTABLE.wi_name   WHERE CIFID IS NOT NULL</t>
  </si>
  <si>
    <t>Select * from USR_0_SRB_TR_SRB023 JOIN RB_SRB_EXTTABLEON RB_SRB_EXTTABLE.WI_NAME = USR_0_SRB_TR_SRB023.WI_NAME</t>
  </si>
  <si>
    <t>Select * from USR_0_SRB_TR_SRB024 JOIN RB_SRB_EXTTABLEON RB_SRB_EXTTABLE.WI_NAME = USR_0_SRB_TR_SRB024.WI_NAME</t>
  </si>
  <si>
    <t>Select * from USR_0_SRB_TR_SRB025 JOIN RB_SRB_EXTTABLEON RB_SRB_EXTTABLE.WI_NAME = USR_0_SRB_TR_SRB025.WI_NAME</t>
  </si>
  <si>
    <t>Select * from USR_0_SRB_TR_SRB026 JOIN RB_SRB_EXTTABLEON RB_SRB_EXTTABLE.WI_NAME = USR_0_SRB_TR_SRB026.WI_NAME</t>
  </si>
  <si>
    <t>Select * from USR_0_SRB_TR_SRB027 JOIN RB_SRB_EXTTABLEON RB_SRB_EXTTABLE.WI_NAME = USR_0_SRB_TR_SRB027.WI_NAME</t>
  </si>
  <si>
    <t>Select * from USR_0_SRB_TR_SRB028 JOIN RB_SRB_EXTTABLEON RB_SRB_EXTTABLE.WI_NAME = USR_0_SRB_TR_SRB028.WI_NAME</t>
  </si>
  <si>
    <t>Select * from USR_0_SRB_TR_SRB029 JOIN RB_SRB_EXTTABLEON RB_SRB_EXTTABLE.WI_NAME = USR_0_SRB_TR_SRB029.WI_NAME</t>
  </si>
  <si>
    <t>Select * from USR_0_SRB_TR_SRB030 JOIN RB_SRB_EXTTABLEON RB_SRB_EXTTABLE.WI_NAME = USR_0_SRB_TR_SRB030.WI_NAME</t>
  </si>
  <si>
    <t>Select * from USR_0_SRB_TR_SRB031 JOIN RB_SRB_EXTTABLEON RB_SRB_EXTTABLE.WI_NAME = USR_0_SRB_TR_SRB031.WI_NAME</t>
  </si>
  <si>
    <t>Select * from USR_0_SRB_TR_SRB032 JOIN RB_SRB_EXTTABLEON RB_SRB_EXTTABLE.WI_NAME = USR_0_SRB_TR_SRB032.WI_NAME</t>
  </si>
  <si>
    <t>Select * from USR_0_SRB_TR_SRB033 JOIN RB_SRB_EXTTABLEON RB_SRB_EXTTABLE.WI_NAME = USR_0_SRB_TR_SRB033.WI_NAME</t>
  </si>
  <si>
    <t>Select * from USR_0_SRB_TR_SRB034 JOIN RB_SRB_EXTTABLEON RB_SRB_EXTTABLE.WI_NAME = USR_0_SRB_TR_SRB034.WI_NAME</t>
  </si>
  <si>
    <t>Select * from USR_0_SRB_TR_SRB035 JOIN RB_SRB_EXTTABLEON RB_SRB_EXTTABLE.WI_NAME = USR_0_SRB_TR_SRB035.WI_NAME</t>
  </si>
  <si>
    <t>Select * from USR_0_SRB_TR_SRB036 JOIN RB_SRB_EXTTABLEON RB_SRB_EXTTABLE.WI_NAME = USR_0_SRB_TR_SRB036.WI_NAME</t>
  </si>
  <si>
    <t>Select * from USR_0_SRB_TR_SRB037 JOIN RB_SRB_EXTTABLEON RB_SRB_EXTTABLE.WI_NAME = USR_0_SRB_TR_SRB037.WI_NAME</t>
  </si>
  <si>
    <t>Select * from USR_0_SRB_TR_SRB040 JOIN RB_SRB_EXTTABLEON RB_SRB_EXTTABLE.WI_NAME = USR_0_SRB_TR_SRB040.WI_NAME</t>
  </si>
  <si>
    <t>Select * from USR_0_SRB_TR_SRB041 JOIN RB_SRB_EXTTABLEON RB_SRB_EXTTABLE.WI_NAME = USR_0_SRB_TR_SRB041.WI_NAME</t>
  </si>
  <si>
    <t>Select * from USR_0_SRB_TR_SRB042 JOIN RB_SRB_EXTTABLEON RB_SRB_EXTTABLE.WI_NAME = USR_0_SRB_TR_SRB042.WI_NAME</t>
  </si>
  <si>
    <t>Select * from USR_0_SRB_TR_SRB043 JOIN RB_SRB_EXTTABLEON RB_SRB_EXTTABLE.WI_NAME = USR_0_SRB_TR_SRB043.WI_NAME</t>
  </si>
  <si>
    <t>Select * from USR_0_SRB_TR_SRB044 JOIN RB_SRB_EXTTABLEON RB_SRB_EXTTABLE.WI_NAME = USR_0_SRB_TR_SRB044.WI_NAME</t>
  </si>
  <si>
    <t>Select * from USR_0_SRB_TR_SRB046 JOIN RB_SRB_EXTTABLEON RB_SRB_EXTTABLE.WI_NAME = USR_0_SRB_TR_SRB046.WI_NAME</t>
  </si>
  <si>
    <t>Select * from USR_0_SRB_TR_SRB047 JOIN RB_SRB_EXTTABLEON RB_SRB_EXTTABLE.WI_NAME = USR_0_SRB_TR_SRB047.WI_NAME</t>
  </si>
  <si>
    <t>Select * from USR_0_SRB_TR_SRB048 JOIN RB_SRB_EXTTABLEON RB_SRB_EXTTABLE.WI_NAME = USR_0_SRB_TR_SRB048.WI_NAME</t>
  </si>
  <si>
    <t>Select * from USR_0_SRB_TR_SRB051 JOIN RB_SRB_EXTTABLEON RB_SRB_EXTTABLE.WI_NAME = USR_0_SRB_TR_SRB051.WI_NAME</t>
  </si>
  <si>
    <t>Select * from USR_0_SRB_TR_SRB064 JOIN RB_SRB_EXTTABLEON RB_SRB_EXTTABLE.WI_NAME = USR_0_SRB_TR_SRB064.WI_NAME</t>
  </si>
  <si>
    <t>Select * from USR_0_SRB_TR_SRB088 JOIN RB_SRB_EXTTABLEON RB_SRB_EXTTABLE.WI_NAME = USR_0_SRB_TR_SRB088.WI_NAME</t>
  </si>
  <si>
    <t>Select * from USR_0_SRB_TR_SRB089 JOIN RB_SRB_EXTTABLEON RB_SRB_EXTTABLE.WI_NAME = USR_0_SRB_TR_SRB089.WI_NAME</t>
  </si>
  <si>
    <t>Select * from USR_0_SRB_TR_SRB090 JOIN RB_SRB_EXTTABLEON RB_SRB_EXTTABLE.WI_NAME = USR_0_SRB_TR_SRB090.WI_NAME</t>
  </si>
  <si>
    <t>Select * from USR_0_SRB_TR_SRB177 JOIN RB_SRB_EXTTABLEON RB_SRB_EXTTABLE.WI_NAME = USR_0_SRB_TR_SRB177.WI_NAME</t>
  </si>
  <si>
    <t>Select * from USR_0_SRB_TR_SRB178 JOIN RB_SRB_EXTTABLEON RB_SRB_EXTTABLE.WI_NAME = USR_0_SRB_TR_SRB178.WI_NAME</t>
  </si>
  <si>
    <t>Select * from USR_0_SRB_TR_SRB179 JOIN RB_SRB_EXTTABLEON RB_SRB_EXTTABLE.WI_NAME = USR_0_SRB_TR_SRB179.WI_NAME</t>
  </si>
  <si>
    <t>Select * from USR_0_SRB_TR_SRB001 JOIN RB_SRB_EXTTABLEON RB_SRB_EXTTABLE.WI_NAME = USR_0_SRB_TR_SRB001.WI_NAME</t>
  </si>
  <si>
    <t>Select * from USR_0_SRB_TR_SRB002 JOIN RB_SRB_EXTTABLEON RB_SRB_EXTTABLE.WI_NAME = USR_0_SRB_TR_SRB002.WI_NAME</t>
  </si>
  <si>
    <t>Select * from USR_0_SRB_TR_SRB004 JOIN RB_SRB_EXTTABLEON RB_SRB_EXTTABLE.WI_NAME = USR_0_SRB_TR_SRB004.WI_NAME</t>
  </si>
  <si>
    <t>Select * from USR_0_SRB_TR_SRB005 JOIN RB_SRB_EXTTABLEON RB_SRB_EXTTABLE.WI_NAME = USR_0_SRB_TR_SRB005.WI_NAME</t>
  </si>
  <si>
    <t>Select * from USR_0_SRB_TR_SRB006 JOIN RB_SRB_EXTTABLEON RB_SRB_EXTTABLE.WI_NAME = USR_0_SRB_TR_SRB006.WI_NAME</t>
  </si>
  <si>
    <t>Select * from USR_0_SRB_TR_SRB007 JOIN RB_SRB_EXTTABLEON RB_SRB_EXTTABLE.WI_NAME = USR_0_SRB_TR_SRB007.WI_NAME</t>
  </si>
  <si>
    <t>Select * from USR_0_SRB_TR_SRB011 JOIN RB_SRB_EXTTABLEON RB_SRB_EXTTABLE.WI_NAME = USR_0_SRB_TR_SRB011.WI_NAME</t>
  </si>
  <si>
    <t>Select * from USR_0_SRB_TR_SRB012 JOIN RB_SRB_EXTTABLEON RB_SRB_EXTTABLE.WI_NAME = USR_0_SRB_TR_SRB012.WI_NAME</t>
  </si>
  <si>
    <t>Select * from USR_0_SRB_TR_SRB013 JOIN RB_SRB_EXTTABLEON RB_SRB_EXTTABLE.WI_NAME = USR_0_SRB_TR_SRB013.WI_NAME</t>
  </si>
  <si>
    <t>Select * from USR_0_SRB_TR_SRB014 JOIN RB_SRB_EXTTABLEON RB_SRB_EXTTABLE.WI_NAME = USR_0_SRB_TR_SRB014.WI_NAME</t>
  </si>
  <si>
    <t>Select * from USR_0_SRB_TR_SRB016 JOIN RB_SRB_EXTTABLEON RB_SRB_EXTTABLE.WI_NAME = USR_0_SRB_TR_SRB016.WI_NAME</t>
  </si>
  <si>
    <t>Select * from USR_0_SRB_TR_SRB017 JOIN RB_SRB_EXTTABLEON RB_SRB_EXTTABLE.WI_NAME = USR_0_SRB_TR_SRB017.WI_NAME</t>
  </si>
  <si>
    <t>Select * from USR_0_SRB_TR_SRB018 JOIN RB_SRB_EXTTABLEON RB_SRB_EXTTABLE.WI_NAME = USR_0_SRB_TR_SRB018.WI_NAME</t>
  </si>
  <si>
    <t>Select * from USR_0_SRB_TR_SRB020 JOIN RB_SRB_EXTTABLEON RB_SRB_EXTTABLE.WI_NAME = USR_0_SRB_TR_SRB020.WI_NAME</t>
  </si>
  <si>
    <t>Select * from USR_0_SRB_TR_SRB021 JOIN RB_SRB_EXTTABLEON RB_SRB_EXTTABLE.WI_NAME = USR_0_SRB_TR_SRB021.WI_NAME</t>
  </si>
  <si>
    <t>Select * from USR_0_SRB_TR_SRB022 JOIN RB_SRB_EXTTABLEON RB_SRB_EXTTABLE.WI_NAME = USR_0_SRB_TR_SRB022.WI_NAME</t>
  </si>
  <si>
    <t>Select * from USR_0_SRB_TR_SRB050 JOIN RB_SRB_EXTTABLEON RB_SRB_EXTTABLE.WI_NAME = USR_0_SRB_TR_SRB050.WI_NAME</t>
  </si>
  <si>
    <t>Select * from USR_0_SRB_TR_SRB053 JOIN RB_SRB_EXTTABLEON RB_SRB_EXTTABLE.WI_NAME = USR_0_SRB_TR_SRB053.WI_NAME</t>
  </si>
  <si>
    <t>Select * from USR_0_SRB_TR_SRB055 JOIN RB_SRB_EXTTABLEON RB_SRB_EXTTABLE.WI_NAME = USR_0_SRB_TR_SRB055.WI_NAME</t>
  </si>
  <si>
    <t>Select * from USR_0_SRB_TR_SRB056 JOIN RB_SRB_EXTTABLEON RB_SRB_EXTTABLE.WI_NAME = USR_0_SRB_TR_SRB056.WI_NAME</t>
  </si>
  <si>
    <t>Select * from USR_0_SRB_TR_SRB057 JOIN RB_SRB_EXTTABLEON RB_SRB_EXTTABLE.WI_NAME = USR_0_SRB_TR_SRB057.WI_NAME</t>
  </si>
  <si>
    <t>Select * from USR_0_SRB_TR_SRB058 JOIN RB_SRB_EXTTABLEON RB_SRB_EXTTABLE.WI_NAME = USR_0_SRB_TR_SRB058.WI_NAME</t>
  </si>
  <si>
    <t>Select * from USR_0_SRB_TR_SRB059 JOIN RB_SRB_EXTTABLEON RB_SRB_EXTTABLE.WI_NAME = USR_0_SRB_TR_SRB059.WI_NAME</t>
  </si>
  <si>
    <t>Select * from USR_0_SRB_TR_SRB060 JOIN RB_SRB_EXTTABLEON RB_SRB_EXTTABLE.WI_NAME = USR_0_SRB_TR_SRB060.WI_NAME</t>
  </si>
  <si>
    <t>Select * from USR_0_SRB_TR_SRB062 JOIN RB_SRB_EXTTABLEON RB_SRB_EXTTABLE.WI_NAME = USR_0_SRB_TR_SRB062.WI_NAME</t>
  </si>
  <si>
    <t>Select * from USR_0_SRB_TR_SRB063 JOIN RB_SRB_EXTTABLEON RB_SRB_EXTTABLE.WI_NAME = USR_0_SRB_TR_SRB063.WI_NAME</t>
  </si>
  <si>
    <t>Select * from USR_0_SRB_TR_SRB086 JOIN RB_SRB_EXTTABLEON RB_SRB_EXTTABLE.WI_NAME = USR_0_SRB_TR_SRB086.WI_NAME</t>
  </si>
  <si>
    <t>Select * from USR_0_SRB_TR_SRB087 JOIN RB_SRB_EXTTABLEON RB_SRB_EXTTABLE.WI_NAME = USR_0_SRB_TR_SRB087.WI_NAME</t>
  </si>
  <si>
    <t>Select * from USR_0_SRB_TR_SRB138 JOIN RB_SRB_EXTTABLEON RB_SRB_EXTTABLE.WI_NAME = USR_0_SRB_TR_SRB138.WI_NAME</t>
  </si>
  <si>
    <t>Select * from USR_0_SRB_TR_SRB146 JOIN RB_SRB_EXTTABLEON RB_SRB_EXTTABLE.WI_NAME = USR_0_SRB_TR_SRB146.WI_NAME</t>
  </si>
  <si>
    <t>Select * from USR_0_SRB_TR_SRB147 JOIN RB_SRB_EXTTABLEON RB_SRB_EXTTABLE.WI_NAME = USR_0_SRB_TR_SRB147.WI_NAME</t>
  </si>
  <si>
    <t>Select * from USR_0_SRB_TR_SRB152 JOIN RB_SRB_EXTTABLEON RB_SRB_EXTTABLE.WI_NAME = USR_0_SRB_TR_SRB152.WI_NAME</t>
  </si>
  <si>
    <t>Select * from USR_0_SRB_TR_SRB153 JOIN RB_SRB_EXTTABLEON RB_SRB_EXTTABLE.WI_NAME = USR_0_SRB_TR_SRB153.WI_NAME</t>
  </si>
  <si>
    <t>Select * from USR_0_SRB_TR_SRB154 JOIN RB_SRB_EXTTABLEON RB_SRB_EXTTABLE.WI_NAME = USR_0_SRB_TR_SRB154.WI_NAME</t>
  </si>
  <si>
    <t>Select * from USR_0_SRB_TR_SRB156 JOIN RB_SRB_EXTTABLEON RB_SRB_EXTTABLE.WI_NAME = USR_0_SRB_TR_SRB156.WI_NAME</t>
  </si>
  <si>
    <t>Select * from USR_0_SRB_TR_SRB165 JOIN RB_SRB_EXTTABLEON RB_SRB_EXTTABLE.WI_NAME = USR_0_SRB_TR_SRB165.WI_NAME</t>
  </si>
  <si>
    <t>Select * from USR_0_SRB_TR_SRB166 JOIN RB_SRB_EXTTABLEON RB_SRB_EXTTABLE.WI_NAME = USR_0_SRB_TR_SRB166.WI_NAME</t>
  </si>
  <si>
    <t>Select * from USR_0_SRB_TR_SRB167 JOIN RB_SRB_EXTTABLEON RB_SRB_EXTTABLE.WI_NAME = USR_0_SRB_TR_SRB167.WI_NAME</t>
  </si>
  <si>
    <t>Select * from USR_0_SRB_TR_SRB171 JOIN RB_SRB_EXTTABLEON RB_SRB_EXTTABLE.WI_NAME = USR_0_SRB_TR_SRB171.WI_NAME</t>
  </si>
  <si>
    <t>Select * from USR_0_SRB_TR_SRB172 JOIN RB_SRB_EXTTABLEON RB_SRB_EXTTABLE.WI_NAME = USR_0_SRB_TR_SRB172.WI_NAME</t>
  </si>
  <si>
    <t>Select * from USR_0_SRB_TR_SRB173 JOIN RB_SRB_EXTTABLEON RB_SRB_EXTTABLE.WI_NAME = USR_0_SRB_TR_SRB173.WI_NAME</t>
  </si>
  <si>
    <t>Select * from USR_0_SRB_TR_SRB174 JOIN RB_SRB_EXTTABLEON RB_SRB_EXTTABLE.WI_NAME = USR_0_SRB_TR_SRB174.WI_NAME</t>
  </si>
  <si>
    <t>Select * from USR_0_SRB_TR_SRB175 JOIN RB_SRB_EXTTABLEON RB_SRB_EXTTABLE.WI_NAME = USR_0_SRB_TR_SRB175.WI_NAME</t>
  </si>
  <si>
    <t>Select * from USR_0_SRB_TR_SRB074 JOIN RB_SRB_EXTTABLEON RB_SRB_EXTTABLE.WI_NAME = USR_0_SRB_TR_SRB074.WI_NAME</t>
  </si>
  <si>
    <t>Select * from USR_0_SRB_TR_SRB075 JOIN RB_SRB_EXTTABLEON RB_SRB_EXTTABLE.WI_NAME = USR_0_SRB_TR_SRB075.WI_NAME</t>
  </si>
  <si>
    <t>Select * from USR_0_SRB_TR_SRB076 JOIN RB_SRB_EXTTABLEON RB_SRB_EXTTABLE.WI_NAME = USR_0_SRB_TR_SRB076.WI_NAME</t>
  </si>
  <si>
    <t>Select * from USR_0_SRB_TR_SRB077 JOIN RB_SRB_EXTTABLEON RB_SRB_EXTTABLE.WI_NAME = USR_0_SRB_TR_SRB077.WI_NAME</t>
  </si>
  <si>
    <t>Select * from USR_0_SRB_TR_SRB078 JOIN RB_SRB_EXTTABLEON RB_SRB_EXTTABLE.WI_NAME = USR_0_SRB_TR_SRB078.WI_NAME</t>
  </si>
  <si>
    <t>Select * from USR_0_SRB_TR_SRB079 JOIN RB_SRB_EXTTABLEON RB_SRB_EXTTABLE.WI_NAME = USR_0_SRB_TR_SRB079.WI_NAME</t>
  </si>
  <si>
    <t>Select * from USR_0_SRB_TR_SRB080 JOIN RB_SRB_EXTTABLEON RB_SRB_EXTTABLE.WI_NAME = USR_0_SRB_TR_SRB080.WI_NAME</t>
  </si>
  <si>
    <t>Select * from USR_0_SRB_TR_SRB081 JOIN RB_SRB_EXTTABLEON RB_SRB_EXTTABLE.WI_NAME = USR_0_SRB_TR_SRB081.WI_NAME</t>
  </si>
  <si>
    <t>Select * from USR_0_SRB_TR_SRB082 JOIN RB_SRB_EXTTABLEON RB_SRB_EXTTABLE.WI_NAME = USR_0_SRB_TR_SRB082.WI_NAME</t>
  </si>
  <si>
    <t>Select * from USR_0_SRB_TR_SRB065 JOIN RB_SRB_EXTTABLEON RB_SRB_EXTTABLE.WI_NAME = USR_0_SRB_TR_SRB065.WI_NAME</t>
  </si>
  <si>
    <t>Select * from USR_0_SRB_TR_SRB066 JOIN RB_SRB_EXTTABLEON RB_SRB_EXTTABLE.WI_NAME = USR_0_SRB_TR_SRB066.WI_NAME</t>
  </si>
  <si>
    <t>Select * from USR_0_SRB_TR_SRB067 JOIN RB_SRB_EXTTABLEON RB_SRB_EXTTABLE.WI_NAME = USR_0_SRB_TR_SRB067.WI_NAME</t>
  </si>
  <si>
    <t>Select * from USR_0_SRB_TR_SRB068 JOIN RB_SRB_EXTTABLEON RB_SRB_EXTTABLE.WI_NAME = USR_0_SRB_TR_SRB068.WI_NAME</t>
  </si>
  <si>
    <t>Select * from USR_0_SRB_TR_SRB069 JOIN RB_SRB_EXTTABLEON RB_SRB_EXTTABLE.WI_NAME = USR_0_SRB_TR_SRB069.WI_NAME</t>
  </si>
  <si>
    <t>Select * from USR_0_SRB_TR_SRB070 JOIN RB_SRB_EXTTABLEON RB_SRB_EXTTABLE.WI_NAME = USR_0_SRB_TR_SRB070.WI_NAME</t>
  </si>
  <si>
    <t>Select * from USR_0_SRB_TR_SRB071 JOIN RB_SRB_EXTTABLEON RB_SRB_EXTTABLE.WI_NAME = USR_0_SRB_TR_SRB071.WI_NAME</t>
  </si>
  <si>
    <t>Select * from USR_0_SRB_TR_SRB072 JOIN RB_SRB_EXTTABLEON RB_SRB_EXTTABLE.WI_NAME = USR_0_SRB_TR_SRB072.WI_NAME</t>
  </si>
  <si>
    <t>Select * from USR_0_SRB_TR_SRB168 JOIN RB_SRB_EXTTABLEON RB_SRB_EXTTABLE.WI_NAME = USR_0_SRB_TR_SRB168.WI_NAME</t>
  </si>
  <si>
    <t>Select * from USR_0_SRB_TR_SRB169 JOIN RB_SRB_EXTTABLEON RB_SRB_EXTTABLE.WI_NAME = USR_0_SRB_TR_SRB169.WI_NAME</t>
  </si>
  <si>
    <t>Select * from USR_0_SRB_TR_SRB083 JOIN RB_SRB_EXTTABLEON RB_SRB_EXTTABLE.WI_NAME = USR_0_SRB_TR_SRB083.WI_NAME</t>
  </si>
  <si>
    <t>Select * from USR_0_SRB_TR_SRB084 JOIN RB_SRB_EXTTABLEON RB_SRB_EXTTABLE.WI_NAME = USR_0_SRB_TR_SRB084.WI_NAME</t>
  </si>
  <si>
    <t>Select * from USR_0_SRB_TR_SRB085 JOIN RB_SRB_EXTTABLEON RB_SRB_EXTTABLE.WI_NAME = USR_0_SRB_TR_SRB085.WI_NAME</t>
  </si>
  <si>
    <t>Select * from USR_0_SRB_TR_SRB091 JOIN RB_SRB_EXTTABLEON RB_SRB_EXTTABLE.WI_NAME = USR_0_SRB_TR_SRB091.WI_NAME</t>
  </si>
  <si>
    <t>Select * from USR_0_SRB_TR_SRB092 JOIN RB_SRB_EXTTABLEON RB_SRB_EXTTABLE.WI_NAME = USR_0_SRB_TR_SRB092.WI_NAME</t>
  </si>
  <si>
    <t>Select * from USR_0_SRB_TR_SRB093 JOIN RB_SRB_EXTTABLEON RB_SRB_EXTTABLE.WI_NAME = USR_0_SRB_TR_SRB093.WI_NAME</t>
  </si>
  <si>
    <t>Select * from USR_0_SRB_TR_SRB094 JOIN RB_SRB_EXTTABLEON RB_SRB_EXTTABLE.WI_NAME = USR_0_SRB_TR_SRB094.WI_NAME</t>
  </si>
  <si>
    <t>Select * from USR_0_SRB_TR_SRB095 JOIN RB_SRB_EXTTABLEON RB_SRB_EXTTABLE.WI_NAME = USR_0_SRB_TR_SRB095.WI_NAME</t>
  </si>
  <si>
    <t>Select * from USR_0_SRB_TR_SRB096 JOIN RB_SRB_EXTTABLEON RB_SRB_EXTTABLE.WI_NAME = USR_0_SRB_TR_SRB096.WI_NAME</t>
  </si>
  <si>
    <t>Select * from USR_0_SRB_TR_SRB097 JOIN RB_SRB_EXTTABLEON RB_SRB_EXTTABLE.WI_NAME = USR_0_SRB_TR_SRB097.WI_NAME</t>
  </si>
  <si>
    <t>Select * from USR_0_SRB_TR_SRB098 JOIN RB_SRB_EXTTABLEON RB_SRB_EXTTABLE.WI_NAME = USR_0_SRB_TR_SRB098.WI_NAME</t>
  </si>
  <si>
    <t>Select * from USR_0_SRB_TR_SRB099 JOIN RB_SRB_EXTTABLEON RB_SRB_EXTTABLE.WI_NAME = USR_0_SRB_TR_SRB099.WI_NAME</t>
  </si>
  <si>
    <t>Select * from USR_0_SRB_TR_SRB100 JOIN RB_SRB_EXTTABLEON RB_SRB_EXTTABLE.WI_NAME = USR_0_SRB_TR_SRB100.WI_NAME</t>
  </si>
  <si>
    <t>Select * from USR_0_SRB_TR_SRB101 JOIN RB_SRB_EXTTABLEON RB_SRB_EXTTABLE.WI_NAME = USR_0_SRB_TR_SRB101.WI_NAME</t>
  </si>
  <si>
    <t>Select * from USR_0_SRB_TR_SRB102 JOIN RB_SRB_EXTTABLEON RB_SRB_EXTTABLE.WI_NAME = USR_0_SRB_TR_SRB102.WI_NAME</t>
  </si>
  <si>
    <t>Select * from USR_0_SRB_TR_SRB103 JOIN RB_SRB_EXTTABLEON RB_SRB_EXTTABLE.WI_NAME = USR_0_SRB_TR_SRB103.WI_NAME</t>
  </si>
  <si>
    <t>Select * from USR_0_SRB_TR_SRB104 JOIN RB_SRB_EXTTABLEON RB_SRB_EXTTABLE.WI_NAME = USR_0_SRB_TR_SRB104.WI_NAME</t>
  </si>
  <si>
    <t>Select * from USR_0_SRB_TR_SRB105 JOIN RB_SRB_EXTTABLEON RB_SRB_EXTTABLE.WI_NAME = USR_0_SRB_TR_SRB105.WI_NAME</t>
  </si>
  <si>
    <t>Select * from USR_0_SRB_TR_SRB106 JOIN RB_SRB_EXTTABLEON RB_SRB_EXTTABLE.WI_NAME = USR_0_SRB_TR_SRB106.WI_NAME</t>
  </si>
  <si>
    <t>Select * from USR_0_SRB_TR_SRB107 JOIN RB_SRB_EXTTABLEON RB_SRB_EXTTABLE.WI_NAME = USR_0_SRB_TR_SRB107.WI_NAME</t>
  </si>
  <si>
    <t>Select * from USR_0_SRB_TR_SRB108 JOIN RB_SRB_EXTTABLEON RB_SRB_EXTTABLE.WI_NAME = USR_0_SRB_TR_SRB108.WI_NAME</t>
  </si>
  <si>
    <t>Select * from USR_0_SRB_TR_SRB109 JOIN RB_SRB_EXTTABLEON RB_SRB_EXTTABLE.WI_NAME = USR_0_SRB_TR_SRB109.WI_NAME</t>
  </si>
  <si>
    <t>Select * from USR_0_SRB_TR_SRB110 JOIN RB_SRB_EXTTABLEON RB_SRB_EXTTABLE.WI_NAME = USR_0_SRB_TR_SRB110.WI_NAME</t>
  </si>
  <si>
    <t>Select * from USR_0_SRB_TR_SRB111 JOIN RB_SRB_EXTTABLEON RB_SRB_EXTTABLE.WI_NAME = USR_0_SRB_TR_SRB111.WI_NAME</t>
  </si>
  <si>
    <t>Select * from USR_0_SRB_TR_SRB112 JOIN RB_SRB_EXTTABLEON RB_SRB_EXTTABLE.WI_NAME = USR_0_SRB_TR_SRB112.WI_NAME</t>
  </si>
  <si>
    <t>Select * from USR_0_SRB_TR_SRB113 JOIN RB_SRB_EXTTABLEON RB_SRB_EXTTABLE.WI_NAME = USR_0_SRB_TR_SRB113.WI_NAME</t>
  </si>
  <si>
    <t>Select * from USR_0_SRB_TR_SRB114 JOIN RB_SRB_EXTTABLEON RB_SRB_EXTTABLE.WI_NAME = USR_0_SRB_TR_SRB114.WI_NAME</t>
  </si>
  <si>
    <t>Select * from USR_0_SRB_TR_SRB115 JOIN RB_SRB_EXTTABLEON RB_SRB_EXTTABLE.WI_NAME = USR_0_SRB_TR_SRB115.WI_NAME</t>
  </si>
  <si>
    <t>Select * from USR_0_SRB_TR_SRB116 JOIN RB_SRB_EXTTABLEON RB_SRB_EXTTABLE.WI_NAME = USR_0_SRB_TR_SRB116.WI_NAME</t>
  </si>
  <si>
    <t>Select * from USR_0_SRB_TR_SRB117 JOIN RB_SRB_EXTTABLEON RB_SRB_EXTTABLE.WI_NAME = USR_0_SRB_TR_SRB117.WI_NAME</t>
  </si>
  <si>
    <t>Select * from USR_0_SRB_TR_SRB118 JOIN RB_SRB_EXTTABLEON RB_SRB_EXTTABLE.WI_NAME = USR_0_SRB_TR_SRB118.WI_NAME</t>
  </si>
  <si>
    <t>Select * from USR_0_SRB_TR_SRB119 JOIN RB_SRB_EXTTABLEON RB_SRB_EXTTABLE.WI_NAME = USR_0_SRB_TR_SRB119.WI_NAME</t>
  </si>
  <si>
    <t>Select * from USR_0_SRB_TR_SRB120 JOIN RB_SRB_EXTTABLEON RB_SRB_EXTTABLE.WI_NAME = USR_0_SRB_TR_SRB120.WI_NAME</t>
  </si>
  <si>
    <t>Select * from USR_0_SRB_TR_SRB121 JOIN RB_SRB_EXTTABLEON RB_SRB_EXTTABLE.WI_NAME = USR_0_SRB_TR_SRB121.WI_NAME</t>
  </si>
  <si>
    <t>Select * from USR_0_SRB_TR_SRB122 JOIN RB_SRB_EXTTABLEON RB_SRB_EXTTABLE.WI_NAME = USR_0_SRB_TR_SRB122.WI_NAME</t>
  </si>
  <si>
    <t>Select * from USR_0_SRB_TR_SRB123 JOIN RB_SRB_EXTTABLEON RB_SRB_EXTTABLE.WI_NAME = USR_0_SRB_TR_SRB123.WI_NAME</t>
  </si>
  <si>
    <t>Select * from USR_0_SRB_TR_SRB124 JOIN RB_SRB_EXTTABLEON RB_SRB_EXTTABLE.WI_NAME = USR_0_SRB_TR_SRB124.WI_NAME</t>
  </si>
  <si>
    <t>Select * from USR_0_SRB_TR_SRB125 JOIN RB_SRB_EXTTABLEON RB_SRB_EXTTABLE.WI_NAME = USR_0_SRB_TR_SRB125.WI_NAME</t>
  </si>
  <si>
    <t>Select * from USR_0_SRB_TR_SRB126 JOIN RB_SRB_EXTTABLEON RB_SRB_EXTTABLE.WI_NAME = USR_0_SRB_TR_SRB126.WI_NAME</t>
  </si>
  <si>
    <t>Select * from USR_0_SRB_TR_SRB127 JOIN RB_SRB_EXTTABLEON RB_SRB_EXTTABLE.WI_NAME = USR_0_SRB_TR_SRB127.WI_NAME</t>
  </si>
  <si>
    <t>Select * from USR_0_SRB_TR_SRB128 JOIN RB_SRB_EXTTABLEON RB_SRB_EXTTABLE.WI_NAME = USR_0_SRB_TR_SRB128.WI_NAME</t>
  </si>
  <si>
    <t>Select * from USR_0_SRB_TR_SRB129 JOIN RB_SRB_EXTTABLEON RB_SRB_EXTTABLE.WI_NAME = USR_0_SRB_TR_SRB129.WI_NAME</t>
  </si>
  <si>
    <t>Select * from USR_0_SRB_TR_SRB130 JOIN RB_SRB_EXTTABLEON RB_SRB_EXTTABLE.WI_NAME = USR_0_SRB_TR_SRB130.WI_NAME</t>
  </si>
  <si>
    <t>Select * from USR_0_SRB_TR_SRB131 JOIN RB_SRB_EXTTABLEON RB_SRB_EXTTABLE.WI_NAME = USR_0_SRB_TR_SRB131.WI_NAME</t>
  </si>
  <si>
    <t>Select * from USR_0_SRB_TR_SRB132 JOIN RB_SRB_EXTTABLEON RB_SRB_EXTTABLE.WI_NAME = USR_0_SRB_TR_SRB132.WI_NAME</t>
  </si>
  <si>
    <t>Select * from USR_0_SRB_TR_SRB133 JOIN RB_SRB_EXTTABLEON RB_SRB_EXTTABLE.WI_NAME = USR_0_SRB_TR_SRB133.WI_NAME</t>
  </si>
  <si>
    <t>Select * from USR_0_SRB_TR_SRB134 JOIN RB_SRB_EXTTABLEON RB_SRB_EXTTABLE.WI_NAME = USR_0_SRB_TR_SRB134.WI_NAME</t>
  </si>
  <si>
    <t>Select * from USR_0_SRB_TR_SRB164 JOIN RB_SRB_EXTTABLEON RB_SRB_EXTTABLE.WI_NAME = USR_0_SRB_TR_SRB164.WI_NAME</t>
  </si>
  <si>
    <t>Select * from USR_0_SRB_TR_SRB170 JOIN RB_SRB_EXTTABLEON RB_SRB_EXTTABLE.WI_NAME = USR_0_SRB_TR_SRB170.WI_NAME</t>
  </si>
  <si>
    <t>Prospect -&gt; Enquiry -&gt; Search Prospects -&gt; Prospect Search Result -&gt; Ref No.</t>
  </si>
  <si>
    <t>Hyperlink</t>
  </si>
  <si>
    <t>Long/Numeric</t>
  </si>
  <si>
    <t>Variable</t>
  </si>
  <si>
    <t>BIGINT</t>
  </si>
  <si>
    <t>Text with link</t>
  </si>
  <si>
    <t>Numeric</t>
  </si>
  <si>
    <t xml:space="preserve">Both are possible , API needs to be build newly </t>
  </si>
  <si>
    <t>Auto-generated sequence number, displayed as clickable link to prospect details</t>
  </si>
  <si>
    <t>Prospect -&gt; Enquiry -&gt; Search Prospects -&gt; Prospect Search Result -&gt; Type of Call</t>
  </si>
  <si>
    <t>VARCHAR(50)</t>
  </si>
  <si>
    <t>Plain text</t>
  </si>
  <si>
    <t>Dropdown values</t>
  </si>
  <si>
    <t>Code values</t>
  </si>
  <si>
    <t>CALLTYPE</t>
  </si>
  <si>
    <t>Direct mapping from database field</t>
  </si>
  <si>
    <t>Prospect -&gt; Enquiry -&gt; Search Prospects -&gt; Prospect Search Result -&gt; Called For</t>
  </si>
  <si>
    <t>VARCHAR(100)</t>
  </si>
  <si>
    <t>CalledFor</t>
  </si>
  <si>
    <t>Processed through getCalledFor() method for formatting</t>
  </si>
  <si>
    <t>Prospect -&gt; Enquiry -&gt; Search Prospects -&gt; Prospect Search Result -&gt; Pending Unit</t>
  </si>
  <si>
    <t>Dynamic list</t>
  </si>
  <si>
    <t>Unit codes</t>
  </si>
  <si>
    <t>PROSPECTS_PENDING_UNITS</t>
  </si>
  <si>
    <t>UNIT_NAME</t>
  </si>
  <si>
    <t>Fetched via JOIN: PROSPECT_CALLS → LEAD_MANAGEMENT → PROSPECTS_PENDING_UNITS</t>
  </si>
  <si>
    <t>Prospect -&gt; Enquiry -&gt; Search Prospects -&gt; Prospect Search Result -&gt; Product /(s) (Masked value to be shown for cards)</t>
  </si>
  <si>
    <t>VARCHAR(500)</t>
  </si>
  <si>
    <t>Comma-separated</t>
  </si>
  <si>
    <t>Comma-separated codes</t>
  </si>
  <si>
    <t>Product list</t>
  </si>
  <si>
    <t>Product codes</t>
  </si>
  <si>
    <t>Codes tokenized and resolved to descriptions via PROSPECT_PRODUCTS lookup table. Masking applied for card products</t>
  </si>
  <si>
    <t>Prospect -&gt; Enquiry -&gt; Search Prospects -&gt; Prospect Search Result -&gt; Lead Status</t>
  </si>
  <si>
    <t>Status values</t>
  </si>
  <si>
    <t>Status codes</t>
  </si>
  <si>
    <t>LEAD_MANAGEMENT</t>
  </si>
  <si>
    <t>LEAD_STATUS</t>
  </si>
  <si>
    <t>Default to 'UNASSIGNED' if null. Fetched via LEFT JOIN on CRNNO</t>
  </si>
  <si>
    <t>Prospect -&gt; Enquiry -&gt; Search Prospects -&gt; Prospect Search Result -&gt; Input by (User ID component)</t>
  </si>
  <si>
    <t>User IDs</t>
  </si>
  <si>
    <t>INPUTBY</t>
  </si>
  <si>
    <t>Direct mapping, displayed with "on" + formatted date</t>
  </si>
  <si>
    <t>Prospect -&gt; Enquiry -&gt; Search Prospects -&gt; Prospect Search Result -&gt; Input by (Date &amp; Time component)</t>
  </si>
  <si>
    <t>Timestamp</t>
  </si>
  <si>
    <t>DATETIME</t>
  </si>
  <si>
    <t>DD/MM/YYYY,HH:MM:SS</t>
  </si>
  <si>
    <t>YYYY-MM-DD HH:MM:SS</t>
  </si>
  <si>
    <t>INPUTDATE</t>
  </si>
  <si>
    <t>Timestamp formatted to DD/MM/YYYY,HH:MM:SS and combined with user ID</t>
  </si>
  <si>
    <t>Prospect -&gt; Enquiry -&gt; Search Prospects -&gt; Prospect Search Result -&gt; Remarks</t>
  </si>
  <si>
    <t>PROSPECT_CALLS / LEAD_MANAGEMENT</t>
  </si>
  <si>
    <t>REMARKS / USERID, USERDATE</t>
  </si>
  <si>
    <t>Original remarks often replaced with "Updated by &lt;USERID&gt; on &lt;USERDATE&gt;" from LEAD_MANAGEMENT table</t>
  </si>
  <si>
    <t>Prospect -&gt; Enquiry -&gt; Search Prospects -&gt; Prospect Search Result -&gt;Edit -&gt; History</t>
  </si>
  <si>
    <t>Link text</t>
  </si>
  <si>
    <t>Edit links to leadMgnt_select.do. History queries PROSPECT_CALLS with TOP 10 filter by mobile and POBox</t>
  </si>
  <si>
    <t>11. Leads View</t>
  </si>
  <si>
    <t>Customer CIF</t>
  </si>
  <si>
    <t>Leads</t>
  </si>
  <si>
    <t>Cross Sell: Cross Sell -&gt; Main Menu -&gt; Lead -&gt; Lead Details -&gt; Customer CIF</t>
  </si>
  <si>
    <t>varchar(15)</t>
  </si>
  <si>
    <t>Direct filed value from the table</t>
  </si>
  <si>
    <t>Cross-sell</t>
  </si>
  <si>
    <t>Customers</t>
  </si>
  <si>
    <t>CUSTCIF</t>
  </si>
  <si>
    <t>Prospect CIF</t>
  </si>
  <si>
    <t>Cross Sell: Cross Sell -&gt; Main Menu -&gt; Lead -&gt; Lead Details -&gt; Prospect CIF</t>
  </si>
  <si>
    <t>CustPCIF</t>
  </si>
  <si>
    <t>Lead Reference No</t>
  </si>
  <si>
    <t>Cross Sell -&gt; Main Menu -&gt; Lead -&gt; Lead Details -&gt; Lead Reference</t>
  </si>
  <si>
    <t>bigint(8,0)</t>
  </si>
  <si>
    <t>LEADREFERENCE</t>
  </si>
  <si>
    <t>Cross Sell -&gt; Leads -&gt; Lead Details -&gt;Product Code</t>
  </si>
  <si>
    <t>varchar(8)</t>
  </si>
  <si>
    <t>Products</t>
  </si>
  <si>
    <t>ProdCode</t>
  </si>
  <si>
    <t>Lead Assigned To</t>
  </si>
  <si>
    <t>Cross Sell -&gt; Leads -&gt; Lead Details -&gt;Lead Convertor</t>
  </si>
  <si>
    <t>MINA,HYMA,KIRAN….</t>
  </si>
  <si>
    <t>1017,14717,14724..</t>
  </si>
  <si>
    <t>Leadconverters_Aview</t>
  </si>
  <si>
    <t>LeadStatusDesc</t>
  </si>
  <si>
    <t>Lead Status</t>
  </si>
  <si>
    <t>Cross Sell -&gt; Leads -&gt; Lead Details -&gt;Lead Status Code</t>
  </si>
  <si>
    <t>Varchar(20)</t>
  </si>
  <si>
    <t>FollowUp, In-Progess, Materialization..</t>
  </si>
  <si>
    <t>Example : (FU,IP,MT...)</t>
  </si>
  <si>
    <t>Leadstatuses</t>
  </si>
  <si>
    <t>Cross Sell -&gt; Leads -&gt; Lead Details -&gt;LG Date</t>
  </si>
  <si>
    <t>TimeStamp</t>
  </si>
  <si>
    <t>Example :  06-04-2019  12:00:00 AM</t>
  </si>
  <si>
    <t>CreatedOn</t>
  </si>
  <si>
    <t>Creator</t>
  </si>
  <si>
    <t>Cross Sell -&gt; Leads -&gt; Lead Details -&gt;Lead Generator</t>
  </si>
  <si>
    <t>Leadgenerators_view</t>
  </si>
  <si>
    <t>LovDescLGUsrID</t>
  </si>
  <si>
    <t>Creator Unit</t>
  </si>
  <si>
    <t>Cross Sell -&gt; Leads -&gt; Lead Details -&gt;Lead Generator Subunit</t>
  </si>
  <si>
    <t>LovDescSUName</t>
  </si>
  <si>
    <t>Assigned To Unit</t>
  </si>
  <si>
    <t>Cross Sell -&gt; Leads -&gt; Lead Details -&gt;Lead Convertor Subunit</t>
  </si>
  <si>
    <t>Leadconverters_view</t>
  </si>
  <si>
    <t>Source Description</t>
  </si>
  <si>
    <t>Cross Sell -&gt; Leads -&gt; Lead Details -&gt;Lead Source Desc</t>
  </si>
  <si>
    <t>INTEGER(4)</t>
  </si>
  <si>
    <t>LeadSources</t>
  </si>
  <si>
    <t>LEADSOURCEDESC</t>
  </si>
  <si>
    <t>Campaign Name</t>
  </si>
  <si>
    <t>Cross Sell -&gt; Leads -&gt; Lead Details -&gt;Campaign Name</t>
  </si>
  <si>
    <t>Campaigns</t>
  </si>
  <si>
    <t>CAMPAIGNDESC</t>
  </si>
  <si>
    <t>Cross Sell -&gt; Leads -&gt; Lead Details -&gt;Company Name</t>
  </si>
  <si>
    <t>Varchar(100)</t>
  </si>
  <si>
    <t>CustCompanyName</t>
  </si>
  <si>
    <t>Product Description</t>
  </si>
  <si>
    <t>Cross Sell -&gt; Leads -&gt; Lead Details -&gt; Product Description</t>
  </si>
  <si>
    <t>Varchar(50)</t>
  </si>
  <si>
    <t>ProdDesc</t>
  </si>
  <si>
    <t>Follow Up Date</t>
  </si>
  <si>
    <t>Cross Sell -&gt; Leads -&gt; Lead Details -&gt; Followup Date</t>
  </si>
  <si>
    <t>FOLLOWUPDATE</t>
  </si>
  <si>
    <t>Cross Sell -&gt; Leads -&gt; Lead Details -&gt; Drill down -&gt; Basic Details -&gt; Customer Type</t>
  </si>
  <si>
    <t>Varchar(10)</t>
  </si>
  <si>
    <t>CUSTTYPECODE</t>
  </si>
  <si>
    <t>Customer First Name</t>
  </si>
  <si>
    <t>Cross Sell -&gt; Leads -&gt; Lead Details -&gt; Drill down -&gt; Basic Details -&gt; Customer First Name</t>
  </si>
  <si>
    <t>CUSTFNAME</t>
  </si>
  <si>
    <t>Customer Middle Name</t>
  </si>
  <si>
    <t>Cross Sell -&gt; Leads -&gt; Lead Details -&gt; Drill down -&gt; Basic Details -&gt;Customer Middle Name</t>
  </si>
  <si>
    <t>CUSTMNAME</t>
  </si>
  <si>
    <t>Customer Last Name</t>
  </si>
  <si>
    <t>Cross Sell -&gt; Leads -&gt; Lead Details -&gt; Drill down -&gt; Basic Details -&gt;Customer Last Name</t>
  </si>
  <si>
    <t>CUSTLNAME</t>
  </si>
  <si>
    <t>Mobile Number</t>
  </si>
  <si>
    <t>Cross Sell -&gt; Leads -&gt; Lead Details -&gt; Drill down -&gt; Basic Details -&gt; Mobile number</t>
  </si>
  <si>
    <t>MobileNumber</t>
  </si>
  <si>
    <t>Cross Sell -&gt; Leads -&gt; Lead Details -&gt; Drill down -&gt; Basic Details -&gt; Email ID</t>
  </si>
  <si>
    <t>Customers/Leads</t>
  </si>
  <si>
    <t>EMAILID</t>
  </si>
  <si>
    <t>Preferred Language</t>
  </si>
  <si>
    <t>Cross Sell -&gt; Leads -&gt; Lead Details -&gt; Drill down -&gt; Basic Details -&gt; Preferred Language</t>
  </si>
  <si>
    <t>CHARACTER(2)</t>
  </si>
  <si>
    <t>ENGLISH,ARABIC…</t>
  </si>
  <si>
    <t>EN,AR….</t>
  </si>
  <si>
    <t>BMTLanguage</t>
  </si>
  <si>
    <t>LngCode</t>
  </si>
  <si>
    <t>Preferred Contact Date</t>
  </si>
  <si>
    <t>Cross Sell -&gt; Leads -&gt; Lead Details -&gt; Drill down -&gt; Basic Details -&gt; Preferred Contact Date</t>
  </si>
  <si>
    <t>Example : (2025-08-25)</t>
  </si>
  <si>
    <t>PrefContactDate</t>
  </si>
  <si>
    <t>Preferred Time</t>
  </si>
  <si>
    <t>Cross Sell -&gt; Leads -&gt; Lead Details -&gt; Drill down -&gt; Basic Details -&gt; Preferred Time</t>
  </si>
  <si>
    <t>Time</t>
  </si>
  <si>
    <t>TIME</t>
  </si>
  <si>
    <t>Example : (00:00:00)</t>
  </si>
  <si>
    <t>PREFTIME</t>
  </si>
  <si>
    <t>Cross Sell -&gt; Leads -&gt; Lead Details -&gt; Drill down -&gt; Basic Details -&gt; Above Lead Details -&gt; Notes</t>
  </si>
  <si>
    <t>Varchar(3500)</t>
  </si>
  <si>
    <t>06.Retail Loan</t>
  </si>
  <si>
    <t>Product Category</t>
  </si>
  <si>
    <t>RLS - Collection -&gt; follow up -&gt; enquiry -&gt; Drilldown on Agreement NO. -&gt; Product Category</t>
  </si>
  <si>
    <t>LEA_AGREEMENT_dtl</t>
  </si>
  <si>
    <t>PRODUCT_CATG</t>
  </si>
  <si>
    <t>accounts.orgkey=CS_CASE_INFO.cif_number and CS_CASE_INFO.appl_id=LEA_APPL_DTL.ApplID</t>
  </si>
  <si>
    <t>Current Outstanding</t>
  </si>
  <si>
    <t>RLS - Collection -&gt; follow up -&gt; enquiry -&gt; Drilldown on Agreement NO. -&gt; Current Loan O/S</t>
  </si>
  <si>
    <t>AMOUNT_OUTSTANDING</t>
  </si>
  <si>
    <t>with df as (select ag.*, nb.CIF_No from fin_leam.LEA_AGREEMENT_DTL ag
join
fin_leam.LEA_APPL_DTL ap
on
ap.applid=ag.applid
join fin_leam.NBFC_CUSTOMER_M nb
on
nb.customerid=ap.PRIMARYLESSEEID)
select * from RAK_JSITPH3.CS_CASE_INFO
where cif_number in (select CIF_No from df) and APPL_ID in (select APPLID from df)</t>
  </si>
  <si>
    <t>Outstanding Charges</t>
  </si>
  <si>
    <t>RLS - Collection -&gt; follow up -&gt; enquiry -&gt; Drilldown on Agreement NO. -&gt; O/S Charges</t>
  </si>
  <si>
    <t>CHARGES_OUTSTANDING</t>
  </si>
  <si>
    <t>Excess Amount</t>
  </si>
  <si>
    <t>RLS - Collection -&gt; follow up -&gt; enquiry -&gt; Drilldown on Agreement NO. -&gt; Excess Amt.</t>
  </si>
  <si>
    <t>EXCESS_AMOUNT</t>
  </si>
  <si>
    <t>RLS - Collection -&gt; follow up -&gt; enquiry -&gt; Drilldown on Agreement NO. -&gt; Delinquency Info - &gt; OverDue Amt.</t>
  </si>
  <si>
    <t>AMOUNT_OVERDUE</t>
  </si>
  <si>
    <t>DDA Reference Number</t>
  </si>
  <si>
    <t>RLS - Collection -&gt; follow up -&gt; enquiry -&gt; Drilldown on Agreement NO. -&gt; DDA reference Number</t>
  </si>
  <si>
    <t>DDA_REF_NUMBER</t>
  </si>
  <si>
    <t>Fixed Date Expiry Date</t>
  </si>
  <si>
    <t>Additional Information</t>
  </si>
  <si>
    <t>RLS - Collection -&gt; follow up -&gt; enquiry -&gt; Drilldown on Agreement NO. -&gt; Fixed Date Expiry Date</t>
  </si>
  <si>
    <t>FIN_LEAN</t>
  </si>
  <si>
    <t>NEXT_FLOAT_PRIME_DATE</t>
  </si>
  <si>
    <t>LEA_APPL_DTL.applid=LEA_AGREEMENT_DTL.applid &amp; NBFC_CUSTOMER_M.customerid=LEA_APPL_DTL.PRIMARYLESSEEID &amp; ACCOUNTS .ORGKEY=NBFC_CUSTOMER_M.CIF_No</t>
  </si>
  <si>
    <t>Pre EMI Amount</t>
  </si>
  <si>
    <t>RLS - Collection -&gt; follow up -&gt; enquiry -&gt; Drilldown on Agreement NO. -&gt; Pre EMI Amount</t>
  </si>
  <si>
    <t>LAST_EMI_COLLECTED</t>
  </si>
  <si>
    <t>Last Deferral Date</t>
  </si>
  <si>
    <t>RLS - Collection -&gt; follow up -&gt; enquiry -&gt; Drilldown on Agreement NO. -&gt; Last Deferral Date</t>
  </si>
  <si>
    <t>LAST_DEFERRAL_DATE</t>
  </si>
  <si>
    <t>RLS - Collection-&gt;ENQUIRY/COLLECTIONS-&gt;FOLLOW-UP-&gt;Enquiry Search-&gt;Agreement No./CRNNo. -&gt;Loan Financial  Details-&gt;Rate</t>
  </si>
  <si>
    <t>INTEREST_RATE</t>
  </si>
  <si>
    <t>PI Premium Amount</t>
  </si>
  <si>
    <t>RLS - Collection-&gt;ENQUIRY/COLLECTIONS-&gt;FOLLOW-UP-&gt;Enquiry Search-&gt;Agreement No./CRNNo. -&gt;Loan Financial  Details-&gt;PI Premium Amount</t>
  </si>
  <si>
    <t>PI_PREM_AMT</t>
  </si>
  <si>
    <t>LI Premium Amount</t>
  </si>
  <si>
    <t>RLS - Collection-&gt;ENQUIRY/COLLECTIONS-&gt;FOLLOW-UP-&gt;Enquiry Search-&gt;Agreement No./CRNNo. -&gt;Loan Financial  Details-&gt;LI Premium Amount</t>
  </si>
  <si>
    <t>LI_PREM_AMT</t>
  </si>
  <si>
    <t>Total Repayable (Installment + Insurance Premium)</t>
  </si>
  <si>
    <t>RLS - Collection-&gt;ENQUIRY/COLLECTIONS-&gt;FOLLOW-UP-&gt;Enquiry Search-&gt;Agreement No./CRNNo. -&gt;Loan Financial  Details&gt;Total Repayable (Installment + Insurance Premium)</t>
  </si>
  <si>
    <t>Specs yet to receive</t>
  </si>
  <si>
    <t>Deferral</t>
  </si>
  <si>
    <t>RLS - Collection-&gt;ENQUIRY/COLLECTIONS-&gt;FOLLOW-UP-&gt;Enquiry Search-&gt;Agreement No./CRNNo. -&gt;Loan Financial  Details-&gt; Deferral</t>
  </si>
  <si>
    <t>Advice ID</t>
  </si>
  <si>
    <t>Receipt Details Enquiry</t>
  </si>
  <si>
    <t>RLS - Collection-&gt;ENQUIRY/COLLECTIONS-&gt;FOLLOW-UP-&gt;Enquiry Search-&gt;Agreement No./CRNNo. -&gt;Loan Financial Details-&gt; Receipts -&gt; Advice ID</t>
  </si>
  <si>
    <t>TXNADVICEID</t>
  </si>
  <si>
    <t>RLS - Collection-&gt;ENQUIRY/COLLECTIONS-&gt;FOLLOW-UP-&gt;Enquiry Search-&gt;Agreement No./CRNNo. -&gt;Loan Financial Details-&gt; Receipts -&gt; Transaction Date</t>
  </si>
  <si>
    <t>TRANSACTION_DATE</t>
  </si>
  <si>
    <t>Mode of Transaction</t>
  </si>
  <si>
    <t>RLS - Collection-&gt;ENQUIRY/COLLECTIONS-&gt;FOLLOW-UP-&gt;Enquiry Search-&gt;Agreement No./CRNNo. -&gt;Loan Financial Details-&gt; Receipts -&gt; Mode of Transaction</t>
  </si>
  <si>
    <t>PAY_MODE</t>
  </si>
  <si>
    <t>RLS - Collection-&gt;ENQUIRY/COLLECTIONS-&gt;FOLLOW-UP-&gt;Enquiry Search-&gt;Agreement No./CRNNo. -&gt;Loan Financial Details-&gt; Receipts -&gt; Cheque Number</t>
  </si>
  <si>
    <t>Cheque Date</t>
  </si>
  <si>
    <t>RLS - Collection-&gt;ENQUIRY/COLLECTIONS-&gt;FOLLOW-UP-&gt;Enquiry Search-&gt;Agreement No./CRNNo. -&gt;Loan Financial Details-&gt; Receipts -&gt; Cheque Date</t>
  </si>
  <si>
    <t>CHEQUE_DATE</t>
  </si>
  <si>
    <t>RLS - Collection-&gt;ENQUIRY/COLLECTIONS-&gt;FOLLOW-UP-&gt;Enquiry Search-&gt;Agreement No./CRNNo. -&gt;Loan Financial Details-&gt; Receipts -&gt; Due Date</t>
  </si>
  <si>
    <t>INSTALLMENT_DUE_DATE</t>
  </si>
  <si>
    <t>Principle Amount</t>
  </si>
  <si>
    <t>RLS - Collection-&gt;ENQUIRY/COLLECTIONS-&gt;FOLLOW-UP-&gt;Enquiry Search-&gt;Agreement No./CRNNo. -&gt;Loan Financial Details-&gt; Receipts -&gt; Principle Amount</t>
  </si>
  <si>
    <t>PRINCIPLE_AMT</t>
  </si>
  <si>
    <t>Interest Amount</t>
  </si>
  <si>
    <t>RLS - Collection-&gt;ENQUIRY/COLLECTIONS-&gt;FOLLOW-UP-&gt;Enquiry Search-&gt;Agreement No./CRNNo. -&gt;Loan Financial Details-&gt; Receipts -&gt; Interest Amount</t>
  </si>
  <si>
    <t>INTEREST_AMT</t>
  </si>
  <si>
    <t>Other Amount</t>
  </si>
  <si>
    <t>RLS - Collection-&gt;ENQUIRY/COLLECTIONS-&gt;FOLLOW-UP-&gt;Enquiry Search-&gt;Agreement No./CRNNo. -&gt;Loan Financial Details-&gt; Receipts -&gt; Other Amount</t>
  </si>
  <si>
    <t>OTHER_AMT</t>
  </si>
  <si>
    <t>Total Amount</t>
  </si>
  <si>
    <t>RLS - Collection-&gt;ENQUIRY/COLLECTIONS-&gt;FOLLOW-UP-&gt;Enquiry Search-&gt;Agreement No./CRNNo. -&gt;Loan Financial Details-&gt; Receipts -&gt; Total Amount</t>
  </si>
  <si>
    <t>TOTAL_AMT_DUE</t>
  </si>
  <si>
    <t>Refer screenshot below</t>
  </si>
  <si>
    <t>10.Insurance</t>
  </si>
  <si>
    <t>varchar</t>
  </si>
  <si>
    <t>IDD_INSURANCE_PRODUCT_M</t>
  </si>
  <si>
    <t>INS_PRODUCT_DESC</t>
  </si>
  <si>
    <t>IDD -&gt; Enquiry -&gt; Policy Search  -&gt; Plan Name</t>
  </si>
  <si>
    <t>IDD_INSURANCE_PLAN_M</t>
  </si>
  <si>
    <t>INS_PLAN_DESC</t>
  </si>
  <si>
    <t>POLICY_CURRENCY</t>
  </si>
  <si>
    <t>INS_TYPE_ID</t>
  </si>
  <si>
    <t>ISP Name</t>
  </si>
  <si>
    <t>IDD -&gt; Enquiry -&gt; Policy Search -&gt; Policy Details -&gt; Policy Details -&gt; ISP Name</t>
  </si>
  <si>
    <t>IDD_INSURANCE_SERVICE_PROVIDER_M</t>
  </si>
  <si>
    <t>ISP_NAME</t>
  </si>
  <si>
    <t>IDD -&gt; Enquiry -&gt; Policy Search -&gt; Policy Details -&gt; Policy Details -&gt;  Plan Terms (Years)</t>
  </si>
  <si>
    <t>PLAN_TERM</t>
  </si>
  <si>
    <t>20,4</t>
  </si>
  <si>
    <t>M_PREMIUM_AMOUNT</t>
  </si>
  <si>
    <t>Premium Amount</t>
  </si>
  <si>
    <t>IDD -&gt; Enquiry -&gt; Policy Search -&gt; Policy Details -&gt;Policy Details -&gt;  Premium Amount</t>
  </si>
  <si>
    <t>PREMIUM_AMOUNT</t>
  </si>
  <si>
    <t>PAYMENT_FREQUENCY</t>
  </si>
  <si>
    <t>datetime</t>
  </si>
  <si>
    <t>EFFECTIVE_POLICY_DATE</t>
  </si>
  <si>
    <t>Recovery Type</t>
  </si>
  <si>
    <t>IDD -&gt; Enquiry -&gt; Policy Search -&gt;  Policy Details -&gt; Policy Details -&gt; Recovery Type</t>
  </si>
  <si>
    <t>RECOVERY_TYPE</t>
  </si>
  <si>
    <t>Beneficiary Name 1</t>
  </si>
  <si>
    <t>Beneficiary Details</t>
  </si>
  <si>
    <t>IDD -&gt; Enquiry -&gt; Policy Search -&gt;  Policy Details -&gt; Beneficiary Details -&gt; Beneficiary Name 1</t>
  </si>
  <si>
    <t>IDD_BENEFICIARY_DTL_T</t>
  </si>
  <si>
    <t>Relationship 1</t>
  </si>
  <si>
    <t>IDD -&gt; Enquiry -&gt; Policy Search -&gt;  Policy Details -&gt; Beneficiary Details -&gt; Relationship1</t>
  </si>
  <si>
    <t>Investment Details</t>
  </si>
  <si>
    <t>IDD -&gt; Enquiry -&gt; Policy Search -&gt;  Policy Details -&gt; Beneficiary Details -&gt; Investment Details</t>
  </si>
  <si>
    <t>IDD_ADDN_POLICY_DTL_T</t>
  </si>
  <si>
    <t>INVESTMENT_DETAILS</t>
  </si>
  <si>
    <t>Covered Member Name</t>
  </si>
  <si>
    <t>IDD -&gt; Enquiry -&gt; Policy Search -&gt;  Policy Details -&gt; Beneficiary Details -&gt; Covered Member Name</t>
  </si>
  <si>
    <t>COVERED_MEM_DETAILS</t>
  </si>
  <si>
    <t>Sum Covered</t>
  </si>
  <si>
    <t xml:space="preserve">IDD -&gt; Enquiry -&gt; Policy Search -&gt;  Policy Details -&gt; Beneficiary Details -&gt; Sum Covered </t>
  </si>
  <si>
    <t>SUM_COVERED</t>
  </si>
  <si>
    <t>Reason for Cover</t>
  </si>
  <si>
    <t>IDD -&gt; Enquiry -&gt; Policy Search -&gt;  Policy Details -&gt; Beneficiary Details -&gt; Reason for Cover</t>
  </si>
  <si>
    <t>REASON_FOR_COVER</t>
  </si>
  <si>
    <t>First Payment Mode</t>
  </si>
  <si>
    <t>Payment Details</t>
  </si>
  <si>
    <t>IDD -&gt; Enquiry -&gt; Policy Search -&gt; Payment Details -&gt; First Time Payment Details -&gt; First Payment Mode</t>
  </si>
  <si>
    <t>FIRST_MODE_OF_PAYMENT</t>
  </si>
  <si>
    <t>First Payment Account Number</t>
  </si>
  <si>
    <t>IDD -&gt; Enquiry -&gt; Policy Search -&gt; Payment Details -&gt; First Time Payment Details -&gt; First Payment AccountNo</t>
  </si>
  <si>
    <t>FP_ACNT_CC_NO</t>
  </si>
  <si>
    <t>First Payment Account Currency</t>
  </si>
  <si>
    <t>IDD -&gt; Enquiry -&gt; Policy Search -&gt; Payment Details -&gt; First Time Payment Details -&gt; First Payment Account Currency</t>
  </si>
  <si>
    <t>FP_ACNT_CC_CURRENCY</t>
  </si>
  <si>
    <t>First Payment Credit Card Number</t>
  </si>
  <si>
    <t>IDD -&gt; Enquiry -&gt; Policy Search -&gt; Payment Details -&gt; First Time Payment Details -&gt; First Payment CreditCardNo</t>
  </si>
  <si>
    <t>CC Expiry Date</t>
  </si>
  <si>
    <t>IDD -&gt; Enquiry -&gt; Policy Search -&gt; Payment Details -&gt; Recurring Payment Details -&gt; SI CreditCard Expiry Date (MM/YY)</t>
  </si>
  <si>
    <t>SI_CC_EXP_DATE</t>
  </si>
  <si>
    <t>SI Required</t>
  </si>
  <si>
    <t>IDD -&gt; Enquiry -&gt; Policy Search -&gt; Payment Details -&gt; Recurring Payment Details -&gt; SI Required</t>
  </si>
  <si>
    <t>SI_REQD</t>
  </si>
  <si>
    <t>SI Payment Mode</t>
  </si>
  <si>
    <t>IDD -&gt; Enquiry -&gt; Policy Search -&gt; Payment Details -&gt; Recurring Payment Details -&gt; SI Payment Mode</t>
  </si>
  <si>
    <t>SI_MODE_OF_PAYMENT</t>
  </si>
  <si>
    <t>Total Premiums Paid</t>
  </si>
  <si>
    <t>IDD -&gt; Enquiry -&gt; Policy Search -&gt; Payment Details -&gt; Recurring Payment Details -&gt; Total premiums paid (Amount)</t>
  </si>
  <si>
    <t>IDD_POLICY_PYMT_SUMMARY_T</t>
  </si>
  <si>
    <t>TOTAL_PREMIUM_PAID_AMOUNT</t>
  </si>
  <si>
    <t>Total Number of Premiums Paid</t>
  </si>
  <si>
    <t>IDD -&gt; Enquiry -&gt; Policy Search -&gt; Payment Details -&gt; Recurring Payment Details -&gt; Total number of premiums paid</t>
  </si>
  <si>
    <t>bigint</t>
  </si>
  <si>
    <t>TOTAL_PREMIUM_PAID_COUNT</t>
  </si>
  <si>
    <t>SI Payment Credit Card</t>
  </si>
  <si>
    <t>IDD -&gt; Enquiry -&gt; Policy Search -&gt; Payment Details -&gt; Recurring Payment Details -&gt; SI Payment CreditCardNo</t>
  </si>
  <si>
    <t>SI_ACNT_CC_NO</t>
  </si>
  <si>
    <t>SI CC Expiry Date</t>
  </si>
  <si>
    <t>Total Premium Amount Missed</t>
  </si>
  <si>
    <t>IDD -&gt; Enquiry -&gt; Policy Search -&gt; Payment Details -&gt; Recurring Payment Details -&gt; Total premiums missed (Amount)</t>
  </si>
  <si>
    <t>MISSED_SI_TOTAL_AMOUNT</t>
  </si>
  <si>
    <t>Total Number of Premiums Missed</t>
  </si>
  <si>
    <t>IDD -&gt; Enquiry -&gt; Policy Search -&gt; Payment Details -&gt; Recurring Payment Details -&gt; Total No of premiums missed</t>
  </si>
  <si>
    <t>MISSED_SI_COUNT</t>
  </si>
  <si>
    <t>IDD -&gt; Enquiry -&gt; Policy Search -&gt; Payment Details -&gt; Recurring Payment Details -&gt; SI Amount</t>
  </si>
  <si>
    <t>IDD_POLICY_SI_DTL_T</t>
  </si>
  <si>
    <t>SI Date</t>
  </si>
  <si>
    <t>IDD -&gt; Enquiry -&gt; Policy Search -&gt; Payment Details -&gt; Recurring Payment Details -&gt; SI Date</t>
  </si>
  <si>
    <t>SI From Date</t>
  </si>
  <si>
    <t>IDD -&gt; Enquiry -&gt; Policy Search -&gt; Payment Details -&gt; Recurring Payment Details -&gt; SI From Date</t>
  </si>
  <si>
    <t>SI_PERIOD_START</t>
  </si>
  <si>
    <t>SI To Date</t>
  </si>
  <si>
    <t>IDD -&gt; Enquiry -&gt; Policy Search -&gt; Payment Details -&gt; Recurring Payment Details -&gt; SI To Date</t>
  </si>
  <si>
    <t>SI_PERIOD_END</t>
  </si>
  <si>
    <t>Last Premium Collection Date</t>
  </si>
  <si>
    <t>IDD -&gt; Enquiry -&gt; Policy Search -&gt; Payment Details -&gt; Recurring Payment Details -&gt; Last premium collection Date</t>
  </si>
  <si>
    <t>LAST_SUCCESS_PREMIUM_COLLECTION_DATE</t>
  </si>
  <si>
    <t>Number of Premiums Paid</t>
  </si>
  <si>
    <t>IDD -&gt; Enquiry -&gt; Policy Search -&gt; Payment Details -&gt; Recurring Payment Details -&gt; No. of premium Paid (Monthly)</t>
  </si>
  <si>
    <t>MPREMIUM_COUNT</t>
  </si>
  <si>
    <t>Number of Premiums Missed</t>
  </si>
  <si>
    <t>IDD -&gt; Enquiry -&gt; Policy Search -&gt; Payment Details -&gt; Recurring Payment Details -&gt; No. of premium Missed (Monthly)</t>
  </si>
  <si>
    <t>MISSED_MPREMIUM_COUNT</t>
  </si>
  <si>
    <t>Business Cycle</t>
  </si>
  <si>
    <t xml:space="preserve">IDD -&gt; Enquiry -&gt; Policy Search -&gt;  Policy Details -&gt; Beneficiary Details -&gt; Business Cycle </t>
  </si>
  <si>
    <t>BUSINESS_CYCLE_MONTH</t>
  </si>
  <si>
    <t>Business Cycle Year</t>
  </si>
  <si>
    <t>IDD -&gt; Enquiry -&gt; Policy Search -&gt;  Policy Details -&gt; Beneficiary Details -&gt; Business Cycle Year</t>
  </si>
  <si>
    <t>BUSINESS_CYCLE_YEAR</t>
  </si>
  <si>
    <t>Third Party Payment</t>
  </si>
  <si>
    <t>IDD -&gt; Enquiry -&gt; Policy Search -&gt;  Policy Details -&gt; Beneficiary Details -&gt; Third Party Payment</t>
  </si>
  <si>
    <t>THIRD_PARTY_PYMT</t>
  </si>
  <si>
    <t>RM ID</t>
  </si>
  <si>
    <t>IDD -&gt; Enquiry -&gt; Policy Search -&gt;  Policy Details -&gt; Policy Details -&gt; RM ID</t>
  </si>
  <si>
    <t>RM_ID</t>
  </si>
  <si>
    <t>Maker ID</t>
  </si>
  <si>
    <t>IDD -&gt; Enquiry -&gt; Policy Search -&gt; Maker ID</t>
  </si>
  <si>
    <t>MAKER_USER_ID</t>
  </si>
  <si>
    <t>IDD -&gt; Enquiry -&gt; Policy Search -&gt; Policy Details -&gt; Application No.</t>
  </si>
  <si>
    <t>POLICY_APPLICATION_NO</t>
  </si>
  <si>
    <t>Staff Case</t>
  </si>
  <si>
    <t>IDD -&gt; Enquiry -&gt; Policy Search -&gt; Policy Details -&gt; Staff Case</t>
  </si>
  <si>
    <t>STAFF_CASE</t>
  </si>
  <si>
    <t>IDD -&gt; Enquiry -&gt; Policy Search -&gt; Policy Details -&gt; Document Expiry Date</t>
  </si>
  <si>
    <t>DOCUMENT_EXP_DATE</t>
  </si>
  <si>
    <t>Sourced By</t>
  </si>
  <si>
    <t xml:space="preserve">IDD -&gt; Enquiry -&gt; Policy Search -&gt; Policy Details -&gt; Sourced By </t>
  </si>
  <si>
    <t>SOURCED_BY</t>
  </si>
  <si>
    <t>Accidental Death Benefit</t>
  </si>
  <si>
    <t>Additional Details - Other Benefits Required</t>
  </si>
  <si>
    <t>IDD -&gt; Enquiry -&gt; Policy Search -&gt; Policy Other Details -&gt; Other Benefit Details -&gt; Accidental Death Benefit</t>
  </si>
  <si>
    <t>ACCIDENTAL_DEATH_BENEFIT</t>
  </si>
  <si>
    <t xml:space="preserve">Other Benefit Amount </t>
  </si>
  <si>
    <t xml:space="preserve">IDD -&gt; Enquiry -&gt; Policy Search -&gt; Policy Other Details -&gt; Other Benefit Details -&gt; Other Benefit Amount </t>
  </si>
  <si>
    <t>ACCIDENTAL_DEATH_BENEFIT_AMOUNT</t>
  </si>
  <si>
    <t>PTD</t>
  </si>
  <si>
    <t>IDD -&gt; Enquiry -&gt; Policy Search -&gt; Policy Other Details -&gt; Other Benefit Details -&gt; PTD</t>
  </si>
  <si>
    <t>Terminal Illness Benefit</t>
  </si>
  <si>
    <t>IDD -&gt; Enquiry -&gt; Policy Search -&gt; Policy Other Details -&gt; Other Benefit Details -&gt; Terminal Illness Benefit</t>
  </si>
  <si>
    <t>TERMINAL_ILLNESS_BENEFIT</t>
  </si>
  <si>
    <t>Critical Illness Benefit</t>
  </si>
  <si>
    <t>IDD -&gt; Enquiry -&gt; Policy Search -&gt; Policy Other Details -&gt; Other Benefit Details -&gt; Critical Illness Benefit</t>
  </si>
  <si>
    <t>CRITICAL_ILLNESS_BENEFIT</t>
  </si>
  <si>
    <t>Waiver of Contribution Benefit</t>
  </si>
  <si>
    <t>IDD -&gt; Enquiry -&gt; Policy Search -&gt; Policy Other Details -&gt; Other Benefit Details -&gt; Waiver of Contribution Benefit</t>
  </si>
  <si>
    <t>WAIVER_OF_CONTRI_BENEFIT</t>
  </si>
  <si>
    <t>IDD -&gt; Enquiry -&gt; Policy Search -&gt; Notes -&gt; Notes -&gt; All Remarks</t>
  </si>
  <si>
    <t>IDD_POLICY_NOTES_T</t>
  </si>
  <si>
    <t>INPUT_DATETIME, INPUT_BY, NOTES</t>
  </si>
  <si>
    <t>Transactions Enquiry</t>
  </si>
  <si>
    <t>IDD -&gt; Enquiry -&gt; Policy Search -&gt; Payment Details -&gt; Last 10 Transaction -&gt; DATE TIME</t>
  </si>
  <si>
    <t>IDD_PAYMENT_LOG_L</t>
  </si>
  <si>
    <t>REQUEST_SENT_DATE</t>
  </si>
  <si>
    <t>IDD -&gt; Enquiry -&gt; Policy Search -&gt; Payment Details -&gt; Last 10 Transaction -&gt; TYPE</t>
  </si>
  <si>
    <t>PROCESS_OF_PAYMENT</t>
  </si>
  <si>
    <t>IDD -&gt; Enquiry -&gt; Policy Search -&gt; Payment Details -&gt; Last 10 Transaction -&gt; MODE</t>
  </si>
  <si>
    <t>MODE_OF_PAYMENT</t>
  </si>
  <si>
    <t>Account/ Credit Card Number</t>
  </si>
  <si>
    <t>IDD -&gt; Enquiry -&gt; Policy Search -&gt; Payment Details -&gt; Last 10 Transaction -&gt; ACCOUNT/CARD NO</t>
  </si>
  <si>
    <t>CUST_ACNT_OR_CC_NO</t>
  </si>
  <si>
    <t>IDD -&gt; Enquiry -&gt; Policy Search -&gt; Payment Details -&gt; Last 10 Transaction -&gt;Amount</t>
  </si>
  <si>
    <t>TRANSACTION_AMOUNT</t>
  </si>
  <si>
    <t>Payment Status</t>
  </si>
  <si>
    <t>IDD -&gt; Enquiry -&gt; Policy Search -&gt; Payment Details -&gt; Last 10 Transaction -&gt; PAYENT STATUS</t>
  </si>
  <si>
    <t>PAYMENT_STATUS</t>
  </si>
  <si>
    <t>Record ID</t>
  </si>
  <si>
    <t>Policy History</t>
  </si>
  <si>
    <t>IDD -&gt; Enquiry -&gt; Policy Search -&gt; Policy  Details -&gt; Last 10 Activity -&gt; Record ID</t>
  </si>
  <si>
    <t>IDD_USER_ACTIVITY_LOG_L</t>
  </si>
  <si>
    <t>RECORD_ID</t>
  </si>
  <si>
    <t>IDD -&gt; Enquiry -&gt; Policy Search -&gt; Policy  Details -&gt; Last 10 Activity -&gt; Seq No</t>
  </si>
  <si>
    <t>REQUEST_SEQ_NO</t>
  </si>
  <si>
    <t>IDD -&gt; Enquiry -&gt; Policy Search -&gt; Policy  Details -&gt; Last 10 Activity -&gt; User</t>
  </si>
  <si>
    <t>IDD -&gt; Enquiry -&gt; Policy Search -&gt; Policy  Details -&gt; Last 10 Activity -&gt; Date Time</t>
  </si>
  <si>
    <t>INPUT_DATETIME</t>
  </si>
  <si>
    <t>Activity</t>
  </si>
  <si>
    <t>IDD -&gt; Enquiry -&gt; Policy Search -&gt; Policy  Details -&gt; Last 10 Activity -&gt; Activity</t>
  </si>
  <si>
    <t>ACTIVITY_DONE</t>
  </si>
  <si>
    <t>Pending Transactions Enquiry</t>
  </si>
  <si>
    <t>IDD -&gt; Enquiry -&gt; Policy Search -&gt; Payment Details -&gt; Pending Transaction for Retry -&gt; Seq No</t>
  </si>
  <si>
    <t>IDD_PYMT_ENGINE_STAGING_T</t>
  </si>
  <si>
    <t>Type of Payment</t>
  </si>
  <si>
    <t>IDD -&gt; Enquiry -&gt; Policy Search -&gt; Payment Details -&gt; Pending Transaction for Retry -&gt; Type of payment</t>
  </si>
  <si>
    <t>PAYMENT_TYPE</t>
  </si>
  <si>
    <t>IDD -&gt; Enquiry -&gt; Policy Search -&gt; Payment Details -&gt; Pending Transaction for Retry -&gt; Mode of Payment</t>
  </si>
  <si>
    <t>Next Processing Date</t>
  </si>
  <si>
    <t>IDD -&gt; Enquiry -&gt; Policy Search -&gt; Payment Details -&gt; Pending Transaction for Retry -&gt; Next Processing Date</t>
  </si>
  <si>
    <t>PROCESSING_DATE</t>
  </si>
  <si>
    <t>Retry Count</t>
  </si>
  <si>
    <t>IDD -&gt; Enquiry -&gt; Policy Search -&gt; Payment Details -&gt; Pending Transaction for Retry -&gt; Retry Count</t>
  </si>
  <si>
    <t>RETRY_ATTEMPT</t>
  </si>
  <si>
    <t>Max Retry</t>
  </si>
  <si>
    <t>IDD -&gt; Enquiry -&gt; Policy Search -&gt; Payment Details -&gt; Pending Transaction for Retry -&gt; Max  Retry</t>
  </si>
  <si>
    <t>MAX_RETRY_ATTEMPT</t>
  </si>
  <si>
    <t>Last Updated</t>
  </si>
  <si>
    <t>IDD -&gt; Enquiry -&gt; Policy Search -&gt; Payment Details -&gt; Pending Transaction for Retry -&gt; Last Updated</t>
  </si>
  <si>
    <t>UPDATE_DATETIME</t>
  </si>
  <si>
    <t>Database name</t>
  </si>
  <si>
    <t>Agreement No.</t>
  </si>
  <si>
    <t>Loan Query -&gt; Agreement No.</t>
  </si>
  <si>
    <t>AGREEMENTNO</t>
  </si>
  <si>
    <t>Agreement ID</t>
  </si>
  <si>
    <t>Loan Query -&gt; Agreement ID</t>
  </si>
  <si>
    <t>Loan Query -&gt; Product</t>
  </si>
  <si>
    <t>PRODUCTFLAG</t>
  </si>
  <si>
    <t>Agreement Details -&gt;Loan Details -&gt; Currency</t>
  </si>
  <si>
    <t>CURRENCYID</t>
  </si>
  <si>
    <t>Loan Query -&gt; Scheme</t>
  </si>
  <si>
    <t>SCHEMEDESC</t>
  </si>
  <si>
    <t>LEA_APPL_DTL.SCHEMEID=LEA_SCHEME_M.SCHEMEID &amp; NBFC_CUSTOMER_M.customerid=LEA_APPL_DTL.PRIMARYLESSEEID &amp; ACCOUNTS .ORGKEY=NBFC_CUSTOMER_M.CIF_No</t>
  </si>
  <si>
    <t xml:space="preserve">Customer Name </t>
  </si>
  <si>
    <t xml:space="preserve">Loan Query -&gt; Customer Name </t>
  </si>
  <si>
    <t>FIN_GCDM</t>
  </si>
  <si>
    <t>ACCOUNTS .ORGKEY=NBFC_CUSTOMER_M.CIF_No</t>
  </si>
  <si>
    <t>Loan Query -&gt; Status</t>
  </si>
  <si>
    <t>Disbursal Status</t>
  </si>
  <si>
    <t>Loan Query -&gt; Disbursal Status</t>
  </si>
  <si>
    <t>DISB_STATUS</t>
  </si>
  <si>
    <t>EMI Start Date</t>
  </si>
  <si>
    <t>Repayment Parameters -&gt; Regular Schedule -&gt; EMI Int. Start Date</t>
  </si>
  <si>
    <t>INTSTART_DATE_REGULAR</t>
  </si>
  <si>
    <t>Statement of Account -&gt; Maturity Date</t>
  </si>
  <si>
    <t>MATURITYDATE</t>
  </si>
  <si>
    <t>Loan Amount</t>
  </si>
  <si>
    <t>Loan Enquiry -&gt; Amount Finance</t>
  </si>
  <si>
    <t>AMTFIN</t>
  </si>
  <si>
    <t>Loan Enquiry -&gt; EMI</t>
  </si>
  <si>
    <t>Loan Enquiry -&gt; Tenor</t>
  </si>
  <si>
    <t>TENURE</t>
  </si>
  <si>
    <t>Balance Tenure (months)</t>
  </si>
  <si>
    <t>Statement of Account -&gt; Balance Tenor(months)</t>
  </si>
  <si>
    <t>Duplicate field</t>
  </si>
  <si>
    <t>Balance Repayments</t>
  </si>
  <si>
    <t>Statement of Account -&gt; Balance Repayments</t>
  </si>
  <si>
    <t>Loan Enquiry -&gt; Rate</t>
  </si>
  <si>
    <t>EFFRATE</t>
  </si>
  <si>
    <t>Installment Plan</t>
  </si>
  <si>
    <t>Loan Enquiry -&gt; Installment Plan</t>
  </si>
  <si>
    <t>INSTALTYPE</t>
  </si>
  <si>
    <t>Installment Mode</t>
  </si>
  <si>
    <t>Loan Enquiry -&gt; Installment Mode</t>
  </si>
  <si>
    <t>INSTLMODE</t>
  </si>
  <si>
    <t>Loan Enquiry -&gt; Frequency</t>
  </si>
  <si>
    <t>FREQ</t>
  </si>
  <si>
    <t>NPA Stage ID</t>
  </si>
  <si>
    <t>Loan Enquiry -&gt;NPA Stage ID</t>
  </si>
  <si>
    <t>NPA_STAGEID</t>
  </si>
  <si>
    <t>Topped-up Amount</t>
  </si>
  <si>
    <t>Loan Enquiry -&gt; Topped-up Amount</t>
  </si>
  <si>
    <t>TOPPED_UP_AMOUNT</t>
  </si>
  <si>
    <t>Due Day</t>
  </si>
  <si>
    <t>Loan Enquiry -&gt; Due Day</t>
  </si>
  <si>
    <t>DUEDAY</t>
  </si>
  <si>
    <t>Loan Enquiry -&gt; Month</t>
  </si>
  <si>
    <t>INTEREST_STARTMONTH</t>
  </si>
  <si>
    <t>Repayment Mode</t>
  </si>
  <si>
    <t>Statement of Account -&gt; Repayment Mode</t>
  </si>
  <si>
    <t>Repayment Account Number</t>
  </si>
  <si>
    <t>Statement of Account -&gt; Repayment Mode (Account Number Component)</t>
  </si>
  <si>
    <t>Run time field - RLS phase 1 dev</t>
  </si>
  <si>
    <t>LEA_CRM_INTERFACE_TXN_DTL</t>
  </si>
  <si>
    <t>REPAYMENT_ACCOUNT_NUMBER</t>
  </si>
  <si>
    <t> LEA_CRM_INTERFACE_TXN_DTL.REPAYMENT_ACCOUNT_NUMBER = LEA_AGREEMENT_DTL.AGREEMENTNO &amp;
LEA_APPL_DTL.applid=LEA_AGREEMENT_DTL.applid &amp; NBFC_CUSTOMER_M.customerid=LEA_APPL_DTL.PRIMARYLESSEEID &amp; ACCOUNTS .ORGKEY=NBFC_CUSTOMER_M.CIF_No</t>
  </si>
  <si>
    <t>Vehicle Registration Number</t>
  </si>
  <si>
    <t>Product Specific Details: Auto Loan</t>
  </si>
  <si>
    <t>Loan Query -&gt; Veh. Regd. No.</t>
  </si>
  <si>
    <t>REGDNUM</t>
  </si>
  <si>
    <t>LEA_ASSET_M.assetid=LEA_ASSET_DTL.assetid &amp; LEA_AGREEMENT_DT.agreementid=LEA_ASSET_M.agreementid &amp; LEA_APPL_DTL.applid=LEA_AGREEMENT_DTL.applid &amp; NBFC_CUSTOMER_M.customerid=LEA_APPL_DTL.PRIMARYLESSEEID &amp; ACCOUNTS .ORGKEY=NBFC_CUSTOMER_M.CIF_No</t>
  </si>
  <si>
    <t>Driving License</t>
  </si>
  <si>
    <t>Loan Details -&gt; Individual -&gt; Personal Details -&gt; Driving License</t>
  </si>
  <si>
    <t>DRIVINGLICENSENO</t>
  </si>
  <si>
    <t>Asset Category</t>
  </si>
  <si>
    <t>Agreement Details -&gt; Asset -&gt; Asset Category</t>
  </si>
  <si>
    <t>CATGDESC</t>
  </si>
  <si>
    <t>Asset Description</t>
  </si>
  <si>
    <t>Agreement Details -&gt; Asset -&gt; Asset Description</t>
  </si>
  <si>
    <t>ASSETDESC</t>
  </si>
  <si>
    <t>LEA_AGREEMENT_DT.agreementid=LEA_ASSET_M.agreementid &amp; LEA_APPL_DTL.applid=LEA_AGREEMENT_DTL.applid &amp; NBFC_CUSTOMER_M.customerid=LEA_APPL_DTL.PRIMARYLESSEEID &amp; ACCOUNTS .ORGKEY=NBFC_CUSTOMER_M.CIF_No</t>
  </si>
  <si>
    <t>Asset Type</t>
  </si>
  <si>
    <t>Agreement Details -&gt; Asset -&gt; Asset Type</t>
  </si>
  <si>
    <t>ASSETTYPE</t>
  </si>
  <si>
    <t>Type of Vehicle</t>
  </si>
  <si>
    <t>Agreement Details -&gt; Asset -&gt; Type of Vehicle</t>
  </si>
  <si>
    <t>VEHICLE_TYPE</t>
  </si>
  <si>
    <t>Manufacturer</t>
  </si>
  <si>
    <t>Agreement Details -&gt; Asset -&gt; Manufacturer</t>
  </si>
  <si>
    <t>MANUFACTURERDESC</t>
  </si>
  <si>
    <t>Make</t>
  </si>
  <si>
    <t>Agreement Details -&gt; Asset -&gt; Make</t>
  </si>
  <si>
    <t>MAKE</t>
  </si>
  <si>
    <t>Model</t>
  </si>
  <si>
    <t>Agreement Details -&gt; Asset -&gt; Model</t>
  </si>
  <si>
    <t>MODEL_NO</t>
  </si>
  <si>
    <t>Year Model</t>
  </si>
  <si>
    <t>Agreement Details -&gt; Asset -&gt; Year Model</t>
  </si>
  <si>
    <t>YEAR_MODEL</t>
  </si>
  <si>
    <t>Dealer Name</t>
  </si>
  <si>
    <t>Agreement Details -&gt; Asset -&gt; Dealer Name</t>
  </si>
  <si>
    <t>SUPPLIERID</t>
  </si>
  <si>
    <t>Vehicle Cost</t>
  </si>
  <si>
    <t>Agreement Details -&gt; Asset -&gt; Vehicle Cost</t>
  </si>
  <si>
    <t>VEHICLE_COST</t>
  </si>
  <si>
    <t>Insurance Cost</t>
  </si>
  <si>
    <t>Agreement Details -&gt; Asset -&gt; Insurance Cost</t>
  </si>
  <si>
    <t>INSURANCE_COST</t>
  </si>
  <si>
    <t>Down Payment</t>
  </si>
  <si>
    <t>Agreement Details -&gt; Asset -&gt; Down Payment</t>
  </si>
  <si>
    <t>MARGINMONEY</t>
  </si>
  <si>
    <t>Asset Age at Maturity</t>
  </si>
  <si>
    <t>Agreement Details -&gt; Asset -&gt; Asset Age at Maturity</t>
  </si>
  <si>
    <t>LIFE_OF_ASSET</t>
  </si>
  <si>
    <t>Accessories Cost</t>
  </si>
  <si>
    <t>Agreement Details -&gt; Asset -&gt; Accessories Cost</t>
  </si>
  <si>
    <t>ACCESSORIES_COST</t>
  </si>
  <si>
    <t>Others Cost</t>
  </si>
  <si>
    <t>Agreement Details -&gt; Asset -&gt; Others Cost</t>
  </si>
  <si>
    <t>OTHER_COSTS</t>
  </si>
  <si>
    <t>Down Payment%</t>
  </si>
  <si>
    <t>Agreement Details -&gt; Asset -&gt; Down Payment%</t>
  </si>
  <si>
    <t>DOWN_PAYMENT_PER</t>
  </si>
  <si>
    <t>Appraiser Value</t>
  </si>
  <si>
    <t>Agreement Details -&gt; Asset -&gt; Appraiser Value</t>
  </si>
  <si>
    <t>APPRAISERVALUE</t>
  </si>
  <si>
    <t>Agreement Details -&gt; Asset -&gt; Valuation Required</t>
  </si>
  <si>
    <t>VALUATION_FLAG</t>
  </si>
  <si>
    <t>Gross LTV</t>
  </si>
  <si>
    <t>Agreement Details -&gt; Asset -&gt; Gross LTV</t>
  </si>
  <si>
    <t>GROSS_LTV</t>
  </si>
  <si>
    <t>Net LTV</t>
  </si>
  <si>
    <t>Agreement Details -&gt; Asset -&gt; Net LTV</t>
  </si>
  <si>
    <t>NET_LTV</t>
  </si>
  <si>
    <t>Asset Color</t>
  </si>
  <si>
    <t>RLS - Collection-&gt;ENQUIRY/COLLECTIONS-&gt;FOLLOW-UP-&gt;Enquiry Search-&gt;Agreement No./CRNNo. -&gt;Loan Details-&gt;Asset Color</t>
  </si>
  <si>
    <t>COLOUR</t>
  </si>
  <si>
    <t>Developer Code</t>
  </si>
  <si>
    <t>Product Specific Details: Home Loan</t>
  </si>
  <si>
    <t>Loan Query -&gt; Details-&gt;  Developer Code</t>
  </si>
  <si>
    <t>BUILDERID</t>
  </si>
  <si>
    <t>LEA_APPL_DTL.applid=LEA_PROPERTY_DTL.applid &amp; NBFC_CUSTOMER_M.customerid=LEA_APPL_DTL.PRIMARYLESSEEID &amp; ACCOUNTS .ORGKEY=NBFC_CUSTOMER_M.CIF_No</t>
  </si>
  <si>
    <t>Property ID</t>
  </si>
  <si>
    <t>Property Details -&gt; Property ID</t>
  </si>
  <si>
    <t>Property Type</t>
  </si>
  <si>
    <t>Property Details -&gt; Property Type</t>
  </si>
  <si>
    <t>PROPERTY_TYPE</t>
  </si>
  <si>
    <t>Property Description</t>
  </si>
  <si>
    <t>Property Details -&gt; Property Description</t>
  </si>
  <si>
    <t>PROPERTY_DESC</t>
  </si>
  <si>
    <t>Lien Position</t>
  </si>
  <si>
    <t>Property Details -&gt; Lien Position</t>
  </si>
  <si>
    <t>LIEN_POSITION</t>
  </si>
  <si>
    <t>Lien Value</t>
  </si>
  <si>
    <t>Property Details -&gt; Lien Value</t>
  </si>
  <si>
    <t>FIRST_LIEN_VALUE</t>
  </si>
  <si>
    <t>Total Collateral Value</t>
  </si>
  <si>
    <t>Property Details -&gt; Total Collateral Value</t>
  </si>
  <si>
    <t>COLLATERAL_VALUE</t>
  </si>
  <si>
    <t>LEA_COLLATERAL_DTL.Agreementid= LEA_AGREEMENT_DT.agreementid=LEA_ASSET_M.agreementid &amp; LEA_APPL_DTL.applid=LEA_AGREEMENT_DTL.applid &amp; NBFC_CUSTOMER_M.customerid=LEA_APPL_DTL.PRIMARYLESSEEID &amp; ACCOUNTS .ORGKEY=NBFC_CUSTOMER_M.CIF_No</t>
  </si>
  <si>
    <t>Property Transaction Type</t>
  </si>
  <si>
    <t>Property Details -&gt; Documents</t>
  </si>
  <si>
    <t>PROPERTY_TXN_TYPE</t>
  </si>
  <si>
    <t>Property Address</t>
  </si>
  <si>
    <t>Statement of Account -&gt; Property Address</t>
  </si>
  <si>
    <t>PROPERTY_ADDR1</t>
  </si>
  <si>
    <t>CIF No.</t>
  </si>
  <si>
    <t>Loan Query -&gt; CIF No.</t>
  </si>
  <si>
    <t>CIF_NO</t>
  </si>
  <si>
    <t>Customer ID</t>
  </si>
  <si>
    <t>Loan Query -&gt; Customer ID</t>
  </si>
  <si>
    <t>Personal Details -&gt; Title</t>
  </si>
  <si>
    <t>Loan Query -&gt; First Name</t>
  </si>
  <si>
    <t>FNAME</t>
  </si>
  <si>
    <t>Loan Query -&gt; Middle  Name</t>
  </si>
  <si>
    <t>MNAME</t>
  </si>
  <si>
    <t>Loan Query -&gt; Last  Name</t>
  </si>
  <si>
    <t>LNAME</t>
  </si>
  <si>
    <t>Loan Query -&gt; Gender</t>
  </si>
  <si>
    <t>SEX</t>
  </si>
  <si>
    <t>Loan Query -&gt; Marital Status</t>
  </si>
  <si>
    <t>Spouse Name</t>
  </si>
  <si>
    <t>Loan Query -&gt; Spouse Name</t>
  </si>
  <si>
    <t>SPOUSENAME</t>
  </si>
  <si>
    <t>Dependents</t>
  </si>
  <si>
    <t>Loan Query -&gt; Dependents</t>
  </si>
  <si>
    <t>Branch ID</t>
  </si>
  <si>
    <t>Loan Query -&gt; Branch ID</t>
  </si>
  <si>
    <t>BRANCHID</t>
  </si>
  <si>
    <t>Minor</t>
  </si>
  <si>
    <t>Loan Query -&gt; Minor</t>
  </si>
  <si>
    <t>MINOR</t>
  </si>
  <si>
    <t>Guardian</t>
  </si>
  <si>
    <t>Loan Query -&gt; Guardian</t>
  </si>
  <si>
    <t>GUARDIAN</t>
  </si>
  <si>
    <t>Constitution</t>
  </si>
  <si>
    <t>Loan Query -&gt; Constitution</t>
  </si>
  <si>
    <t>CONSTDESC</t>
  </si>
  <si>
    <t>Deceased Flag</t>
  </si>
  <si>
    <t>Loan Query -&gt; Deceased Flag</t>
  </si>
  <si>
    <t>DECEASED_FLAG</t>
  </si>
  <si>
    <t>Deceased Date</t>
  </si>
  <si>
    <t>Loan Query -&gt; Deceased Date</t>
  </si>
  <si>
    <t>DATE_OF_DECEASE</t>
  </si>
  <si>
    <t>Loan Query -&gt; National Id</t>
  </si>
  <si>
    <t>NATIONALID</t>
  </si>
  <si>
    <t>Loan Query -&gt; Mobile No.</t>
  </si>
  <si>
    <t>PHONE1</t>
  </si>
  <si>
    <t>Loan Query -&gt; Passport No.</t>
  </si>
  <si>
    <t>PASSPORTNO</t>
  </si>
  <si>
    <t>VISA File No</t>
  </si>
  <si>
    <t>Loan Query -&gt; VISA File No</t>
  </si>
  <si>
    <t>VISA_FILENO</t>
  </si>
  <si>
    <t>VISA Expiry Date</t>
  </si>
  <si>
    <t>Loan Query -&gt; VISA Expiry Date</t>
  </si>
  <si>
    <t>VISA_EXPIRY_DATE</t>
  </si>
  <si>
    <t>Loan Query -&gt; DOB</t>
  </si>
  <si>
    <t>DOB</t>
  </si>
  <si>
    <t>Loan Query -&gt; Age</t>
  </si>
  <si>
    <t>AGE</t>
  </si>
  <si>
    <t>Loan Query -&gt; Maker ID</t>
  </si>
  <si>
    <t>CRDECBY</t>
  </si>
  <si>
    <t>LEA_APPL_DTL.applid=CR_DECISION_M.applid &amp; NBFC_CUSTOMER_M.customerid=LEA_APPL_DTL.PRIMARYLESSEEID &amp; ACCOUNTS .ORGKEY=NBFC_CUSTOMER_M.CIF_No</t>
  </si>
  <si>
    <t>Maker Date</t>
  </si>
  <si>
    <t>Loan Query -&gt; Maker Date</t>
  </si>
  <si>
    <t>CRDATE</t>
  </si>
  <si>
    <t>Authorizer ID</t>
  </si>
  <si>
    <t>Loan Query -&gt; Author ID</t>
  </si>
  <si>
    <t>AUTHDECBY</t>
  </si>
  <si>
    <t>Authorizer Date</t>
  </si>
  <si>
    <t>Loan Query -&gt; Author Date</t>
  </si>
  <si>
    <t>AUTHDATE</t>
  </si>
  <si>
    <t>Application Date</t>
  </si>
  <si>
    <t>Loan Query -&gt; Application Date</t>
  </si>
  <si>
    <t>APPDATE</t>
  </si>
  <si>
    <t>NBFC_CUSTOMER_M.customerid=LEA_APPL_DTL.PRIMARYLESSEEID &amp; ACCOUNTS .ORGKEY=NBFC_CUSTOMER_M.CIF_No</t>
  </si>
  <si>
    <t>Loan Query -&gt; Application Type</t>
  </si>
  <si>
    <t>LOANTYPE</t>
  </si>
  <si>
    <t>Disbursal Date</t>
  </si>
  <si>
    <t>Loan Query -&gt; Disbursal Date</t>
  </si>
  <si>
    <t>DISBURSALDATE</t>
  </si>
  <si>
    <t>Corporate Details -&gt; Company Name</t>
  </si>
  <si>
    <t>COMP_NAME</t>
  </si>
  <si>
    <t>Corporate Details -&gt; Constitution</t>
  </si>
  <si>
    <t>Nature of Business</t>
  </si>
  <si>
    <t>Corporate Details -&gt; Nature of Business</t>
  </si>
  <si>
    <t>NATURE_OF_BUSINESS</t>
  </si>
  <si>
    <t>Industry</t>
  </si>
  <si>
    <t>Corporate Details -&gt; Industry</t>
  </si>
  <si>
    <t>INDUSTRYDESC</t>
  </si>
  <si>
    <t>Date Established</t>
  </si>
  <si>
    <t>Corporate Details -&gt; Date Established</t>
  </si>
  <si>
    <t>Trade License No.</t>
  </si>
  <si>
    <t>Corporate Details -&gt; Trade License No.</t>
  </si>
  <si>
    <t>TRADE_LIC_NO</t>
  </si>
  <si>
    <t>Trade License Issue Date</t>
  </si>
  <si>
    <t>Corporate Details -&gt; Trade License Issue Date</t>
  </si>
  <si>
    <t>TRADE_LIC_DATE</t>
  </si>
  <si>
    <t>Trade License Expiry Date</t>
  </si>
  <si>
    <t>Corporate Details -&gt; Trade License Expiry Date</t>
  </si>
  <si>
    <t>TRADE_LIC_EXP_DATE</t>
  </si>
  <si>
    <t>Contact Person</t>
  </si>
  <si>
    <t>Corporate Details -&gt; Contact Person</t>
  </si>
  <si>
    <t>CONTACT_PERSON</t>
  </si>
  <si>
    <t>Corporate Details -&gt; Designation</t>
  </si>
  <si>
    <t>DESIGNATION</t>
  </si>
  <si>
    <t>Disbursed Amount</t>
  </si>
  <si>
    <t>Statement of Account -&gt; Disbursed Amount</t>
  </si>
  <si>
    <t>DISBURSEDAMOUNT</t>
  </si>
  <si>
    <t>Agreement Details -&gt; Installment Parameters -&gt; Interest Details</t>
  </si>
  <si>
    <t>RATE_EMI_FLAG</t>
  </si>
  <si>
    <t>Interest Type</t>
  </si>
  <si>
    <t>Agreement Details -&gt; Installment Parameters -&gt; Interest Type</t>
  </si>
  <si>
    <t>INTTYPE</t>
  </si>
  <si>
    <t>Rate Type</t>
  </si>
  <si>
    <t>Agreement Details -&gt; Installment Parameters -&gt; Rate Type</t>
  </si>
  <si>
    <t>FLOATINGFLG</t>
  </si>
  <si>
    <t>Fixed For</t>
  </si>
  <si>
    <t>Agreement Details -&gt; Installment Parameters -&gt; Fixed For</t>
  </si>
  <si>
    <t>FLOATING_FREQUENCY</t>
  </si>
  <si>
    <t>Floating Rate</t>
  </si>
  <si>
    <t>Agreement Details -&gt; Installment Parameters -&gt; Floating Rate</t>
  </si>
  <si>
    <t>MIN_FLOAT_RATE</t>
  </si>
  <si>
    <t>Flat (%)</t>
  </si>
  <si>
    <t>Agreement Details -&gt; Installment Parameters -&gt; Flat (%)</t>
  </si>
  <si>
    <t>INTRATE</t>
  </si>
  <si>
    <t>IRR (%)</t>
  </si>
  <si>
    <t>Agreement Details -&gt; Installment Parameters -&gt; IRR (%)</t>
  </si>
  <si>
    <t>PRETAXIRR</t>
  </si>
  <si>
    <t>PTPM</t>
  </si>
  <si>
    <t>Agreement Details -&gt; Installment Parameters -&gt; PTPM</t>
  </si>
  <si>
    <t>Effective Rate</t>
  </si>
  <si>
    <t>Agreement Details -&gt; Installment Parameters -&gt; Effective Rate</t>
  </si>
  <si>
    <t>Base Rate Type</t>
  </si>
  <si>
    <t>Agreement Details -&gt; Installment Parameters -&gt; Base Rate Type</t>
  </si>
  <si>
    <t>PLRTYPE</t>
  </si>
  <si>
    <t>Base Rate</t>
  </si>
  <si>
    <t>Agreement Details -&gt; Installment Parameters -&gt; Base Rate</t>
  </si>
  <si>
    <t>PLRRATE</t>
  </si>
  <si>
    <t>Life Insurance Base Rate</t>
  </si>
  <si>
    <t>Agreement Details -&gt; Installment Parameters -&gt; Life Insurance Base Rate</t>
  </si>
  <si>
    <t>li_prem_base_rate</t>
  </si>
  <si>
    <t>Life Insurance Premium Margin</t>
  </si>
  <si>
    <t>Agreement Details -&gt; Installment Parameters -&gt; Life Insurance Premium Margin</t>
  </si>
  <si>
    <t>li_prem_margin_rate</t>
  </si>
  <si>
    <t>Life Insurance Premium Derived Rate</t>
  </si>
  <si>
    <t>Agreement Details -&gt; Installment Parameters -&gt; Life Insurance Premium Derived Rate</t>
  </si>
  <si>
    <t>li_prem_der_rate</t>
  </si>
  <si>
    <t>Property Insurance Base Rate</t>
  </si>
  <si>
    <t>Agreement Details -&gt; Installment Parameters -&gt; Property Insurance Base Rate</t>
  </si>
  <si>
    <t>pi_prem_base_rate</t>
  </si>
  <si>
    <t>Property Insurance Premium Margin</t>
  </si>
  <si>
    <t>Agreement Details -&gt; Installment Parameters -&gt; Property Insurance Premium Margin</t>
  </si>
  <si>
    <t>pi_prem_margin_rate</t>
  </si>
  <si>
    <t>Property Insurance Premium Derived Rate</t>
  </si>
  <si>
    <t>Agreement Details -&gt; Installment Parameters -&gt; Property Insurance Premium Derived Rate</t>
  </si>
  <si>
    <t>pi_prem_der_rate</t>
  </si>
  <si>
    <t>Property Insurance Premium Calculation Basis</t>
  </si>
  <si>
    <t>Agreement Details -&gt; Installment Parameters -&gt; Property Insurance Premium Calculation Basis</t>
  </si>
  <si>
    <t>PROPERTY_INS_PREMIUM_CALC</t>
  </si>
  <si>
    <t>Application Receipt Date</t>
  </si>
  <si>
    <t>Sourcing Information</t>
  </si>
  <si>
    <t>Sourcing Information -&gt; Application Receipt date</t>
  </si>
  <si>
    <t>APP_RECEIPT_DATE</t>
  </si>
  <si>
    <t>Source Branch</t>
  </si>
  <si>
    <t>Sourcing Information -&gt; Source Branch</t>
  </si>
  <si>
    <t>SOURCE_BRANCH</t>
  </si>
  <si>
    <t>Referrer Code</t>
  </si>
  <si>
    <t>Sourcing Information -&gt; Referrer Code</t>
  </si>
  <si>
    <t>FINALSOURCE</t>
  </si>
  <si>
    <t>Referrer Name</t>
  </si>
  <si>
    <t>Sourcing Information -&gt; Referrer Name</t>
  </si>
  <si>
    <t>REFERRER_NAME </t>
  </si>
  <si>
    <t>Referrer Group</t>
  </si>
  <si>
    <t>Sourcing Information -&gt; Referral Group</t>
  </si>
  <si>
    <t>REFERRER_GROUP</t>
  </si>
  <si>
    <t>Referral Amount</t>
  </si>
  <si>
    <t>Sourcing Information -&gt; Referral Amount</t>
  </si>
  <si>
    <t>REFERRAL_AMOUNT</t>
  </si>
  <si>
    <t>DSA/ CSO Code</t>
  </si>
  <si>
    <t>Sourcing Information -&gt; DSA/CSO Code</t>
  </si>
  <si>
    <t>BROKERID</t>
  </si>
  <si>
    <t>DSA/ CSO Name</t>
  </si>
  <si>
    <t>Sourcing Information -&gt; DSA/CSO Name</t>
  </si>
  <si>
    <t>DSA_CSO_NAME</t>
  </si>
  <si>
    <t>Team Leader</t>
  </si>
  <si>
    <t>Sourcing Information -&gt; Team Leader</t>
  </si>
  <si>
    <t>TEAM_LEADER</t>
  </si>
  <si>
    <t>Channel Code</t>
  </si>
  <si>
    <t>Sourcing Information -&gt; Channel Code</t>
  </si>
  <si>
    <t>CHANNEL_CODE</t>
  </si>
  <si>
    <t>Guarantor/Co-applicant Details</t>
  </si>
  <si>
    <t>Guarantor/Co-applicant Details - &gt; Applicant Type</t>
  </si>
  <si>
    <t>FLAG</t>
  </si>
  <si>
    <t>LEA_APPL_DTL.applid=LEA_GUARANTOR_HIRER_DTL.applid &amp; NBFC_CUSTOMER_M.customerid=LEA_APPL_DTL.PRIMARYLESSEEID &amp; ACCOUNTS .ORGKEY=NBFC_CUSTOMER_M.CIF_No</t>
  </si>
  <si>
    <t>Guarantor/ Co-Applicant</t>
  </si>
  <si>
    <t>Guarantor/Co-applicant Details - &gt;  Guarantor/Co-Applicant</t>
  </si>
  <si>
    <t>Relation</t>
  </si>
  <si>
    <t>Guarantor/Co-applicant Details - &gt;  Relation</t>
  </si>
  <si>
    <t>COAPPL_TYPE</t>
  </si>
  <si>
    <t>Guarantor/Co-applicant Details - &gt;  Name</t>
  </si>
  <si>
    <t>DPD</t>
  </si>
  <si>
    <t>Delinquency</t>
  </si>
  <si>
    <t>Agreement Details -&gt; DPD</t>
  </si>
  <si>
    <t>Agreement Details -&gt; Bucket</t>
  </si>
  <si>
    <t>BUCKET</t>
  </si>
  <si>
    <t>DPD String</t>
  </si>
  <si>
    <t>Agreement Details -&gt; DPD String</t>
  </si>
  <si>
    <t>DPD_STRING</t>
  </si>
  <si>
    <t>Repayment Schedule (Regular) -&gt; Instl No.</t>
  </si>
  <si>
    <t>INSTLNUM</t>
  </si>
  <si>
    <t>LEA_AGREEMENT_DT.agreementid=LEA_REPAYSCH_DTL.agreementid &amp; LEA_APPL_DTL.applid=LEA_AGREEMENT_DTL.applid &amp; NBFC_CUSTOMER_M.customerid=LEA_APPL_DTL.PRIMARYLESSEEID &amp; ACCOUNTS .ORGKEY=NBFC_CUSTOMER_M.CIF_No</t>
  </si>
  <si>
    <t>Repayment Schedule (Regular) -&gt; Due Date</t>
  </si>
  <si>
    <t>Opening Principle</t>
  </si>
  <si>
    <t>Repayment Schedule (Regular) -&gt; Opening Principal</t>
  </si>
  <si>
    <t>BALPRIN</t>
  </si>
  <si>
    <t>Installment Amount</t>
  </si>
  <si>
    <t>Repayment Schedule (Regular) -&gt; Installment Amount</t>
  </si>
  <si>
    <t>INSTLAMT</t>
  </si>
  <si>
    <t>Principle Component</t>
  </si>
  <si>
    <t>Repayment Schedule (Regular) -&gt; Principal Comp</t>
  </si>
  <si>
    <t>PRINCOMP</t>
  </si>
  <si>
    <t>Interest Component</t>
  </si>
  <si>
    <t>Repayment Schedule (Regular) -&gt; Interest Comp</t>
  </si>
  <si>
    <t>INTCOMP</t>
  </si>
  <si>
    <t>Days</t>
  </si>
  <si>
    <t>Repayment Schedule (Regular) -&gt; Days</t>
  </si>
  <si>
    <t>DAYS</t>
  </si>
  <si>
    <t>Closing Principal</t>
  </si>
  <si>
    <t>Repayment Schedule (Regular) -&gt; Closing Principal</t>
  </si>
  <si>
    <t>CLOSING_PRINCIPAL</t>
  </si>
  <si>
    <t>Statement of Account -&gt; Statement Date</t>
  </si>
  <si>
    <t>FIN_SECM</t>
  </si>
  <si>
    <t>Statement of Account -&gt; Tenor (months)</t>
  </si>
  <si>
    <t>Interest Rate</t>
  </si>
  <si>
    <t>Statement of Account -&gt; Interest Rate</t>
  </si>
  <si>
    <t>EMI Amount</t>
  </si>
  <si>
    <t>Statement of Account -&gt; EMI Amount</t>
  </si>
  <si>
    <t>Repayment Frequency</t>
  </si>
  <si>
    <t>Statement of Account -&gt; Repayment Freq</t>
  </si>
  <si>
    <t>Statement of Account -&gt; Status</t>
  </si>
  <si>
    <t>Overdue Installment</t>
  </si>
  <si>
    <t>Statement of Account -&gt; Overdue Installment</t>
  </si>
  <si>
    <t>OVERDUE_INSTALLMENT</t>
  </si>
  <si>
    <t>Overdue Charges</t>
  </si>
  <si>
    <t>Statement of Account -&gt; Overdue Charges</t>
  </si>
  <si>
    <t>OVERDUE_CHARGES</t>
  </si>
  <si>
    <t>Installment Paid</t>
  </si>
  <si>
    <t>Statement of Account -&gt; Installment Paid</t>
  </si>
  <si>
    <t>INSTALLMENT_PAID</t>
  </si>
  <si>
    <t>Principle Paid</t>
  </si>
  <si>
    <t>Statement of Account -&gt; Principal Paid</t>
  </si>
  <si>
    <t>PRINCIPLE_PAID</t>
  </si>
  <si>
    <t>Interest Paid</t>
  </si>
  <si>
    <t>Statement of Account -&gt; Interest Paid</t>
  </si>
  <si>
    <t>INTEREST_PAID</t>
  </si>
  <si>
    <t>Balance Tenure  (months)</t>
  </si>
  <si>
    <t>Statement of Account -&gt; Balance Tenor  (months)</t>
  </si>
  <si>
    <t>BALANCE_TENURE</t>
  </si>
  <si>
    <t>BALANCE_REPAYMENTS</t>
  </si>
  <si>
    <t xml:space="preserve">Transaction Date </t>
  </si>
  <si>
    <t>Statement of Account -&gt; Date</t>
  </si>
  <si>
    <t>Run time field - RLS phase 2 poc</t>
  </si>
  <si>
    <t>Particulars</t>
  </si>
  <si>
    <t>Statement of Account -&gt; Particulars</t>
  </si>
  <si>
    <t>Payable</t>
  </si>
  <si>
    <t>Statement of Account -&gt; Payable</t>
  </si>
  <si>
    <t>Paid</t>
  </si>
  <si>
    <t>Statement of Account -&gt; Paid</t>
  </si>
  <si>
    <t>Due Raised</t>
  </si>
  <si>
    <t>Statement of Account -&gt; Due Raised</t>
  </si>
  <si>
    <t>Repayments</t>
  </si>
  <si>
    <t>Statement of Account -&gt; Repayments</t>
  </si>
  <si>
    <t>Penalty</t>
  </si>
  <si>
    <t>Early Closure Details</t>
  </si>
  <si>
    <t>Early Settlement -&gt; Penalty</t>
  </si>
  <si>
    <t>PENALTY</t>
  </si>
  <si>
    <t>LEA_AGREEMENT_DT.agreementid=LEA_TERMINATION_DTL.agreementid &amp; LEA_APPL_DTL.applid=LEA_AGREEMENT_DTL.applid &amp; NBFC_CUSTOMER_M.customerid=LEA_APPL_DTL.PRIMARYLESSEEID &amp; ACCOUNTS .ORGKEY=NBFC_CUSTOMER_M.CIF_No</t>
  </si>
  <si>
    <t>**These details will be available only for closed loan.</t>
  </si>
  <si>
    <t>Penalty Calculated On</t>
  </si>
  <si>
    <t>Early Settlement -&gt; Penalty Calculated On</t>
  </si>
  <si>
    <t>Balance Principle</t>
  </si>
  <si>
    <t>Early Settlement -&gt; Bal Principal</t>
  </si>
  <si>
    <t>Past Due Installments</t>
  </si>
  <si>
    <t>Early Settlement -&gt; Past Due Installments</t>
  </si>
  <si>
    <t>INSTALLMENTS</t>
  </si>
  <si>
    <t>Other Charges</t>
  </si>
  <si>
    <t>Early Settlement -&gt; Other Charges</t>
  </si>
  <si>
    <t>RECADVICES</t>
  </si>
  <si>
    <t>Prepayment Penalty</t>
  </si>
  <si>
    <t>Early Settlement -&gt; Prepayment Penalty</t>
  </si>
  <si>
    <t>Current Month Interest Till Date</t>
  </si>
  <si>
    <t>Early Settlement -&gt; Current Month Int</t>
  </si>
  <si>
    <t>CURRENTMONTHINT</t>
  </si>
  <si>
    <t>LPI</t>
  </si>
  <si>
    <t>Early Settlement -&gt; LPI</t>
  </si>
  <si>
    <t>OVERDUECHARGES</t>
  </si>
  <si>
    <t>LPI Premium Amount</t>
  </si>
  <si>
    <t>Early Settlement -&gt; LPI Premium Amount</t>
  </si>
  <si>
    <t>LI_AMOUNT</t>
  </si>
  <si>
    <t>Early Settlement -&gt; PI Premium Amount</t>
  </si>
  <si>
    <t>PI_AMOUNT</t>
  </si>
  <si>
    <t>Total Dues</t>
  </si>
  <si>
    <t>Early Settlement -&gt; Total Dues</t>
  </si>
  <si>
    <t>Total Refunds</t>
  </si>
  <si>
    <t>Early Settlement -&gt; Total Refunds</t>
  </si>
  <si>
    <t>Net Receivable</t>
  </si>
  <si>
    <t>Early Settlement -&gt; Net Receivable</t>
  </si>
  <si>
    <t>TERMINATIION_AMOUNT</t>
  </si>
  <si>
    <t>Paid On</t>
  </si>
  <si>
    <t>Initial Money Receipt Details</t>
  </si>
  <si>
    <t>Initial Money Receipt Details -&gt; Paid On</t>
  </si>
  <si>
    <t>PAID_ON</t>
  </si>
  <si>
    <t>Initial Money Receipt Details -&gt; Transaction Date</t>
  </si>
  <si>
    <t>CHEQUESENTDATE</t>
  </si>
  <si>
    <t>Initial Money Receipt Details -&gt; Status</t>
  </si>
  <si>
    <t>Cheque ID</t>
  </si>
  <si>
    <t>Initial Money Receipt Details -&gt; Cheque ID</t>
  </si>
  <si>
    <t>CHEQUEID</t>
  </si>
  <si>
    <t>Initial Money Receipt Details -&gt; Payment Mode</t>
  </si>
  <si>
    <t>PAYMENTMODE</t>
  </si>
  <si>
    <t>Initial Money Receipt Details -&gt; Amount</t>
  </si>
  <si>
    <t>CHEQUEAMT</t>
  </si>
  <si>
    <t>Initial Money Receipt Details -&gt; Currency</t>
  </si>
  <si>
    <t>CURRENCY</t>
  </si>
  <si>
    <t>Credit/Cheque/DD No.</t>
  </si>
  <si>
    <t>Initial Money Receipt Details -&gt; Credit/Cheque/DD No.</t>
  </si>
  <si>
    <t>CHEQUENUM</t>
  </si>
  <si>
    <t>Initial Money Receipt Details -&gt; Cheque Date</t>
  </si>
  <si>
    <t>In Favor of</t>
  </si>
  <si>
    <t>Initial Money Receipt Details -&gt; In Favor of</t>
  </si>
  <si>
    <t>INFAVOUROF</t>
  </si>
  <si>
    <t>Dealing Bank</t>
  </si>
  <si>
    <t>Initial Money Receipt Details -&gt; Dealing Bank</t>
  </si>
  <si>
    <t>DEALINGBANKID</t>
  </si>
  <si>
    <t>Drawn On</t>
  </si>
  <si>
    <t>Initial Money Receipt Details -&gt; Drawn On</t>
  </si>
  <si>
    <t>DRAWNON</t>
  </si>
  <si>
    <t>Initial Money Receipt Details -&gt; City</t>
  </si>
  <si>
    <t>CITY</t>
  </si>
  <si>
    <t>Reason</t>
  </si>
  <si>
    <t>Initial Money Receipt Details -&gt; Reason</t>
  </si>
  <si>
    <t>REASONID</t>
  </si>
  <si>
    <t>Customer Profile Status</t>
  </si>
  <si>
    <t>rewards and air arabia voucher</t>
  </si>
  <si>
    <t>RAKRewards Admin-&gt;Reports-&gt;Report -&gt;Customer Status Report-&gt;Status</t>
  </si>
  <si>
    <t>Registration Date</t>
  </si>
  <si>
    <t>RAKRewards Admin-&gt;Reports-&gt;Report -&gt;Customer Status Report-&gt;Creation Date</t>
  </si>
  <si>
    <t>Email in Air Arabia</t>
  </si>
  <si>
    <t>air arabia</t>
  </si>
  <si>
    <t>RAKRewards Admin-&gt;Reports-&gt;Report -&gt;Customer Status Report-&gt;Email</t>
  </si>
  <si>
    <t>Bonus Points</t>
  </si>
  <si>
    <t>Product Specific Details: Customer Summary</t>
  </si>
  <si>
    <t>RAKRewards Admin-&gt;Air Arabia-&gt;Report -&gt;Customer Summary-&gt;Bonus points</t>
  </si>
  <si>
    <t>Spend Points</t>
  </si>
  <si>
    <t>RAKRewards Admin-&gt;Air Arabia-&gt;Report -&gt;Customer Summary-&gt;Spend Points</t>
  </si>
  <si>
    <t>Partner Points</t>
  </si>
  <si>
    <t>RAKRewards Admin-&gt;Air Arabia-&gt;Report -&gt;Customer Summary-&gt;Partner Points</t>
  </si>
  <si>
    <t>Time Based Points</t>
  </si>
  <si>
    <t xml:space="preserve">RAKRewards Admin-&gt;Air Arabia-&gt;Report -&gt;Customer Summary-&gt;Time Based Points </t>
  </si>
  <si>
    <t>RAKRewards Admin-&gt;Air Arabia-&gt;Report -&gt;Customer Summary-&gt;Redeemed Points</t>
  </si>
  <si>
    <t>Total Incl.  Purchased Points Available</t>
  </si>
  <si>
    <t xml:space="preserve">RAKRewards Admin-&gt;Air Arabia-&gt;Report -&gt;Customer Summary-&gt;Total +Purchased points available </t>
  </si>
  <si>
    <t>Total Points Available</t>
  </si>
  <si>
    <t>RAKRewards Admin-&gt;Air Arabia-&gt;Report -&gt;Customer Summary-&gt;Total Points available</t>
  </si>
  <si>
    <t>Purchase Points Available</t>
  </si>
  <si>
    <t xml:space="preserve">RAKRewards Admin-&gt;Air Arabia-&gt;Report -&gt;Customer Summary-&gt;Purchase points available </t>
  </si>
  <si>
    <t>Purchased Points</t>
  </si>
  <si>
    <t xml:space="preserve">RAKRewards Admin-&gt;Air Arabia-&gt;Report -&gt;Customer Summary-&gt;Purchased Points </t>
  </si>
  <si>
    <t>Air Arabia Account Status</t>
  </si>
  <si>
    <t>RAKRewards Admin-&gt;Air Arabia-&gt;Report -&gt;Customer Summary-&gt; Air Arabia Status</t>
  </si>
  <si>
    <t>RAKRewards Admin-&gt;Air Arabia-&gt;Report -&gt;Customer Summary-&gt;Last Update</t>
  </si>
  <si>
    <t>Transaction Enquiry: Reward Details</t>
  </si>
  <si>
    <t>rewards</t>
  </si>
  <si>
    <t xml:space="preserve">RAKRewards Admin-&gt;Reports-&gt;Report -&gt;Transaction Report -&gt;TXN ID </t>
  </si>
  <si>
    <t>Location Earn</t>
  </si>
  <si>
    <t>RAKRewards Admin-&gt;Reports-&gt;Report -&gt;Transaction Report -&gt;Location Earn</t>
  </si>
  <si>
    <t>Time Earn</t>
  </si>
  <si>
    <t>RAKRewards Admin-&gt;Reports-&gt;Report -&gt;Transaction Report -&gt;Time Earn</t>
  </si>
  <si>
    <t>MCC Earn</t>
  </si>
  <si>
    <t xml:space="preserve">RAKRewards Admin-&gt;Reports-&gt;Report -&gt;Transaction Report -&gt;MCC Earn </t>
  </si>
  <si>
    <t>MID Earn</t>
  </si>
  <si>
    <t>RAKRewards Admin-&gt;Reports-&gt;Report -&gt;Transaction Report -&gt;MID Earn</t>
  </si>
  <si>
    <t>Total Earn</t>
  </si>
  <si>
    <t xml:space="preserve">RAKRewards Admin-&gt;Reports-&gt;Report -&gt;Transaction Report -&gt;Total Earn </t>
  </si>
  <si>
    <t>MCC Exe Earn</t>
  </si>
  <si>
    <t>RAKRewards Admin-&gt;Reports-&gt;Report -&gt;Transaction Report -&gt;MCC EXE Earn</t>
  </si>
  <si>
    <t>MID Exe Earn</t>
  </si>
  <si>
    <t>RAKRewards Admin-&gt;Reports-&gt;Report -&gt;Transaction Report -&gt;MID EXE Earn</t>
  </si>
  <si>
    <t>AED Value</t>
  </si>
  <si>
    <t>RAKRewards Admin-&gt;Reports-&gt;Report -&gt;Transaction Report -&gt;AED Value</t>
  </si>
  <si>
    <t>S.No</t>
  </si>
  <si>
    <t>Voucher Enquiry</t>
  </si>
  <si>
    <t>air arabia voucher</t>
  </si>
  <si>
    <t>RAKRewards Admin -&gt; Air Arabia -&gt; Reports -&gt; Voucher Report -&gt; S. No.</t>
  </si>
  <si>
    <t>RAKRewards Admin-&gt;Air Arabia-&gt;Report -&gt; Voucher Report -&gt;Email</t>
  </si>
  <si>
    <t>Voucher ID</t>
  </si>
  <si>
    <t>RAKRewards Admin-&gt;Air Arabia-&gt;Report -&gt; Voucher Report -&gt; Voucher ID</t>
  </si>
  <si>
    <t>Voucher Type</t>
  </si>
  <si>
    <t>RAKRewards Admin-&gt;Air Arabia-&gt;Report -&gt; Voucher Report -&gt; Voucher Type</t>
  </si>
  <si>
    <t>Spend Amount</t>
  </si>
  <si>
    <t>RAKRewards Admin-&gt;Air Arabia-&gt;Report -&gt; Voucher Report -&gt; Spend Amount</t>
  </si>
  <si>
    <t>Voucher Description</t>
  </si>
  <si>
    <t>RAKRewards Admin-&gt;Air Arabia-&gt;Report -&gt; Voucher Report -&gt; Voucher Description</t>
  </si>
  <si>
    <t>Voucher Set</t>
  </si>
  <si>
    <t>RAKRewards Admin-&gt;Air Arabia-&gt;Report -&gt; Voucher Report -&gt; Voucher Set</t>
  </si>
  <si>
    <t>Date of Qualification</t>
  </si>
  <si>
    <t>RAKRewards Admin-&gt;Air Arabia-&gt;Report -&gt; Voucher Report -&gt; Date of Qualification</t>
  </si>
  <si>
    <t>OTP Delivery Ref No.</t>
  </si>
  <si>
    <t>Authorization Transactions: OTP Delivery Details</t>
  </si>
  <si>
    <t>3D Secure-&gt;Application -&gt;Transaction Inquiry-&gt;Tran. Ref No.</t>
  </si>
  <si>
    <t>LABLE</t>
  </si>
  <si>
    <t>VARCHAR(16)</t>
  </si>
  <si>
    <t>DB /API both can be possible</t>
  </si>
  <si>
    <t>RAK3DSECURE</t>
  </si>
  <si>
    <t>RAK_3DS_ONLINE_CALL_T</t>
  </si>
  <si>
    <t>TRXN_REF_NUMBER</t>
  </si>
  <si>
    <t>Card Usage Date</t>
  </si>
  <si>
    <t>3D Secure-&gt;Application -&gt;Transaction Inquiry-&gt;Input Date</t>
  </si>
  <si>
    <t>VARCHAR(25)</t>
  </si>
  <si>
    <t>TRXN_DATETIME</t>
  </si>
  <si>
    <t>OTP Delivery Type</t>
  </si>
  <si>
    <t>3D Secure-&gt;Application -&gt;Transaction Inquiry-&gt;Card No.-&gt;OTP Details -&gt;OTP Delivery Type</t>
  </si>
  <si>
    <t>VARCHAR(1)</t>
  </si>
  <si>
    <t>OTP_PREFERENCE</t>
  </si>
  <si>
    <t>OTP Delivery Mobile Number</t>
  </si>
  <si>
    <t>3D Secure-&gt;Application -&gt;Transaction Inquiry-&gt;Card No.-&gt;OTP Details -&gt;OTP Delivery Mob No</t>
  </si>
  <si>
    <t>MOBILE_NO</t>
  </si>
  <si>
    <t>OTP Delivery Email ID</t>
  </si>
  <si>
    <t>3D Secure-&gt;Application -&gt;Transaction Inquiry-&gt;Card No.-&gt;OTP Details -&gt;OTP Delivery Email ID</t>
  </si>
  <si>
    <t>EMAIL_ID</t>
  </si>
  <si>
    <t>Message Rcvd. Time Stamp</t>
  </si>
  <si>
    <t>3D Secure-&gt;Application -&gt;Transaction Inquiry-&gt;Card No.-&gt;OTP Details -&gt;Msg Rcvd Time Stamp</t>
  </si>
  <si>
    <t>Message Response Time Stamp</t>
  </si>
  <si>
    <t>3D Secure-&gt;Application -&gt;Transaction Inquiry-&gt;Card No.-&gt;Response Details -&gt;Msg Rspns Time Stamp</t>
  </si>
  <si>
    <t>MSG_RSP_TIMESTAMP</t>
  </si>
  <si>
    <t>Message Rcvd Time Stamp</t>
  </si>
  <si>
    <t>NOTE: Table Colum Lenth pls check with SUPPOT to get prod valaue</t>
  </si>
  <si>
    <t>Reference number</t>
  </si>
  <si>
    <t>Quick Remit Transfers &amp; Remittances</t>
  </si>
  <si>
    <t>Casmex-&gt; Customer Service -&gt; Remittance query-&gt; Ref #</t>
  </si>
  <si>
    <t>accounts.orgkey=DX_TRNS_REMITTANCE.CIF_no</t>
  </si>
  <si>
    <t>VARCHAR2(20)</t>
  </si>
  <si>
    <t>Casmex-&gt; Customer Service -&gt; Remittance query-&gt; Tran. Date</t>
  </si>
  <si>
    <t>TRANDATE</t>
  </si>
  <si>
    <t>Casmex-&gt; Customer Service -&gt; Remittance query-&gt; Transaction Detail -&gt; Transaction ID</t>
  </si>
  <si>
    <t>TRANSACTIONID</t>
  </si>
  <si>
    <t>Casmex-&gt; Customer Service -&gt; Remittance query-&gt; Payment Details -&gt; Amount</t>
  </si>
  <si>
    <t>FXAMT</t>
  </si>
  <si>
    <t>NUMBER(22)</t>
  </si>
  <si>
    <t>Casmex-&gt; Customer Service -&gt; Remittance query-&gt; Payment Details -&gt;  Currency</t>
  </si>
  <si>
    <t>CURCODE</t>
  </si>
  <si>
    <t>VARCHAR2(5)</t>
  </si>
  <si>
    <t>REF: DX_MST_CURRENY (CURCODE)</t>
  </si>
  <si>
    <t>Casmex-&gt; Customer Service -&gt; Remittance query-&gt; Payment Details -&gt; Rate</t>
  </si>
  <si>
    <t>Local Amount in AED</t>
  </si>
  <si>
    <t>Casmex-&gt; Customer Service -&gt; Remittance query-&gt; Payment Details -&gt; Local Amount in AED</t>
  </si>
  <si>
    <t>EQUVAMT</t>
  </si>
  <si>
    <t>Commission</t>
  </si>
  <si>
    <t>Casmex-&gt; Customer Service -&gt; Remittance query-&gt; Payment Details -&gt; Commission</t>
  </si>
  <si>
    <t>COMMAMT</t>
  </si>
  <si>
    <t>Casmex-&gt; Customer Service -&gt; Remittance query-&gt; Payment Details -&gt; Remarks</t>
  </si>
  <si>
    <t>dx_trns_cashier_pay_details</t>
  </si>
  <si>
    <t>NARRATION</t>
  </si>
  <si>
    <t>DX_TRNS_CASHIER_PAY_DETAILS.voucherno=DX_TRNS_CASHIER_PAY.voucherno &amp; DX_TRNS_CASHIER_PAY.refno=DX_TRNS_REMITTANCE.refno 
and accounts.orgkey=DX_TRNS_REMITTANCE.CIF_no</t>
  </si>
  <si>
    <t>Not applicable for RAKBANK,Used for cash collection</t>
  </si>
  <si>
    <t>Transaction Branch</t>
  </si>
  <si>
    <t>Casmex-&gt; Customer Service -&gt; Remittance query-&gt; Transaction Detail -&gt; Tran. Branch</t>
  </si>
  <si>
    <t>BRANCHCODE</t>
  </si>
  <si>
    <t>DESCRIPTION STORED AGAINST THE BRANCH CODE IN DX_MST_ORG_BRANCH_LANG</t>
  </si>
  <si>
    <t>Entered By</t>
  </si>
  <si>
    <t>Casmex-&gt; Customer Service -&gt; Remittance query-&gt; Transaction Detail -&gt; Entered By</t>
  </si>
  <si>
    <t>USERID</t>
  </si>
  <si>
    <t>VARCHAR2(10)</t>
  </si>
  <si>
    <t>Correspondent Reference</t>
  </si>
  <si>
    <t>Casmex-&gt; Customer Service -&gt; Remittance query-&gt; Transaction Detail -&gt; Correspondent Ref.</t>
  </si>
  <si>
    <t>Purpose</t>
  </si>
  <si>
    <t>Casmex-&gt; Customer Service -&gt; Remittance query-&gt; Transaction Detail -&gt; Purpose</t>
  </si>
  <si>
    <t>PURPCODE</t>
  </si>
  <si>
    <t>Description fetch from DX_MST_PURPOSE</t>
  </si>
  <si>
    <t>REF: DX_MST_PURPOSE(DESCRIPTION)</t>
  </si>
  <si>
    <t>REF: DX_MST_PURPOSE(PURPCODE)</t>
  </si>
  <si>
    <t>Casmex-&gt; Customer Service -&gt; Remittance query-&gt; Transaction Detail -&gt; Transaction Type</t>
  </si>
  <si>
    <t>CSID</t>
  </si>
  <si>
    <t>Description from DX_MST_CUSSEGMENTATION</t>
  </si>
  <si>
    <t>VARCHAR2(25)</t>
  </si>
  <si>
    <t>DITITAL BANKING
C3</t>
  </si>
  <si>
    <t>MOB
INB
C3C
BRN</t>
  </si>
  <si>
    <t>Casmex-&gt; Customer Service -&gt; Remittance query-&gt; Customer Details -&gt; Debit Account No.</t>
  </si>
  <si>
    <t>CUSTACCNO</t>
  </si>
  <si>
    <t>VARCHAR2(500)</t>
  </si>
  <si>
    <t>Casmex-&gt; Customer Service -&gt; Remittance query-&gt; Beneficiary Details -&gt;First Name</t>
  </si>
  <si>
    <t>BENFNAME1</t>
  </si>
  <si>
    <t>NVARCHAR2(100)</t>
  </si>
  <si>
    <t>Casmex-&gt; Customer Service -&gt; Remittance query-&gt; Beneficiary Details -&gt;Middle Name</t>
  </si>
  <si>
    <t>BENFNAME2</t>
  </si>
  <si>
    <t>Casmex-&gt; Customer Service -&gt; Remittance query-&gt; Beneficiary Details -&gt;Last Name</t>
  </si>
  <si>
    <t>BENFNAME3</t>
  </si>
  <si>
    <t>Address 1</t>
  </si>
  <si>
    <t>Casmex-&gt; Customer Service -&gt; Remittance query-&gt; Beneficiary Details -&gt;Address 1</t>
  </si>
  <si>
    <t>BENFADDR1</t>
  </si>
  <si>
    <t>NVARCHAR2(150)</t>
  </si>
  <si>
    <t>Address 2</t>
  </si>
  <si>
    <t>Casmex-&gt; Customer Service -&gt; Remittance query-&gt; Beneficiary Details -&gt;Address 2</t>
  </si>
  <si>
    <t>BENFADDR2</t>
  </si>
  <si>
    <t>Address 3</t>
  </si>
  <si>
    <t>Casmex-&gt; Customer Service -&gt; Remittance query-&gt; Beneficiary Details -&gt;Address 3</t>
  </si>
  <si>
    <t>BENFADDR3</t>
  </si>
  <si>
    <t>Casmex-&gt; Customer Service -&gt; Remittance query-&gt; Beneficiary Details -&gt;Country</t>
  </si>
  <si>
    <t>BENFCOUNTRYCODE</t>
  </si>
  <si>
    <t>COUNTRYNAME FROM DX_REF_COUNTRY</t>
  </si>
  <si>
    <t>NVARCHAR2(200)</t>
  </si>
  <si>
    <t>REF: DX_REF_COUNTRY(COUNTRYNAME)</t>
  </si>
  <si>
    <t>REF: DX_MST_COUNTRY</t>
  </si>
  <si>
    <t>Casmex-&gt; Customer Service -&gt; Remittance query-&gt; Beneficiary Details -&gt;Nationality</t>
  </si>
  <si>
    <t>REF: DX_MST_NATIONALITY(NATIONALITY)</t>
  </si>
  <si>
    <t>REF: DX_MST_NATIONALITY</t>
  </si>
  <si>
    <t>Beneficiary Account Number</t>
  </si>
  <si>
    <t>Casmex-&gt; Customer Service -&gt; Remittance query-&gt; Beneficiary Details -&gt;Beneficiary Account Number</t>
  </si>
  <si>
    <t>BENFACCNO</t>
  </si>
  <si>
    <t>NVARCHAR2(500)</t>
  </si>
  <si>
    <t>Casmex-&gt; Customer Service -&gt; Remittance query-&gt; Beneficiary Details -&gt;Bank Name</t>
  </si>
  <si>
    <t>BENFORGNAME</t>
  </si>
  <si>
    <t>REF : DX_MST_ORG_BRANCH_LANG(DESCRIPTION)</t>
  </si>
  <si>
    <t>REF : DX_MST_ORG_BRANCH_LANG</t>
  </si>
  <si>
    <t>Branch</t>
  </si>
  <si>
    <t>Casmex-&gt; Customer Service -&gt; Remittance query-&gt; Beneficiary Details -&gt;Branch</t>
  </si>
  <si>
    <t>BENFBRANNAME</t>
  </si>
  <si>
    <t>Id Type</t>
  </si>
  <si>
    <t>Casmex-&gt; Customer Service -&gt; Remittance query-&gt; Beneficiary Details -&gt;ID Type</t>
  </si>
  <si>
    <t>IDDESCRIPTION</t>
  </si>
  <si>
    <t>NVARCHAR2(60)</t>
  </si>
  <si>
    <t>REF: DX_MST_IDTYPE(DESCRIPTION)</t>
  </si>
  <si>
    <t>REF: DX_MST_IDTYPE</t>
  </si>
  <si>
    <t>Id Number</t>
  </si>
  <si>
    <t>Casmex-&gt; Customer Service -&gt; Remittance query-&gt; Beneficiary Details -&gt;ID No.</t>
  </si>
  <si>
    <t>IDNO</t>
  </si>
  <si>
    <t>Casmex-&gt; Customer Service -&gt; Remittance query-&gt; Beneficiary Details -&gt;Mobile Number</t>
  </si>
  <si>
    <t>BENFCELLNO1</t>
  </si>
  <si>
    <t>VARCHAR2(15)</t>
  </si>
  <si>
    <t>Casmex-&gt; Customer Service -&gt; Remittance query-&gt; Beneficiary Details -&gt; Phone</t>
  </si>
  <si>
    <t>BENFPHONE1</t>
  </si>
  <si>
    <t>Service Details</t>
  </si>
  <si>
    <t xml:space="preserve">Casmex-&gt; Customer Service -&gt; Remittance query-&gt; Service  Details </t>
  </si>
  <si>
    <t>Dx_Trns_Remittance</t>
  </si>
  <si>
    <t>SERVCODE</t>
  </si>
  <si>
    <t>Other Details</t>
  </si>
  <si>
    <t>Casmex-&gt; Customer Service -&gt; Remittance query-&gt; Beneficiary Details -&gt; Other Details</t>
  </si>
  <si>
    <t>BENFBRANCHOTHDTLS</t>
  </si>
  <si>
    <t>Quick Remit Transfers &amp; Remittances: Transaction Log</t>
  </si>
  <si>
    <t>Casmex -&gt; Transaction Log -&gt; Activity</t>
  </si>
  <si>
    <t>ACTIVITY</t>
  </si>
  <si>
    <t>DX_TRNS_REMITTANCE.refno=DX_REF_ACTIVITY_LOG.refno &amp; accounts.orgkey=DX_TRNS_REMITTANCE.CIF_no</t>
  </si>
  <si>
    <t>VARCHAR2(50)</t>
  </si>
  <si>
    <t>Action Date</t>
  </si>
  <si>
    <t>Casmex -&gt; Transaction Log -&gt; Action Date</t>
  </si>
  <si>
    <t>Casmex -&gt; Transaction Log -&gt; Remarks</t>
  </si>
  <si>
    <t>SYSREMARKS</t>
  </si>
  <si>
    <t>Additional Notes</t>
  </si>
  <si>
    <t>Casmex -&gt; Transaction Log -&gt; Additional Notes</t>
  </si>
  <si>
    <t>Casmex -&gt; Transaction Log -&gt; User</t>
  </si>
  <si>
    <t>AUTHUSER</t>
  </si>
  <si>
    <t>Casmex-&gt; Customer Service -&gt; Remittance query-&gt; Tran.Date</t>
  </si>
  <si>
    <t xml:space="preserve">REF: DX_MST_CURRENY </t>
  </si>
  <si>
    <t>NOT AVAILABLE</t>
  </si>
  <si>
    <t>Casmex-&gt; Customer Service -&gt; Remittance query-&gt; Transaction Detail -&gt; Tran.Branch</t>
  </si>
  <si>
    <t>REF: DX_MST_PURPOSE</t>
  </si>
  <si>
    <t>Join Logic</t>
  </si>
  <si>
    <t>Filter Logic</t>
  </si>
  <si>
    <t>Cheque Clearing: Inward</t>
  </si>
  <si>
    <t>Inward Clearing -&gt; Report Generation -&gt; Report Type = Cheque Details Report -&gt; Account Number</t>
  </si>
  <si>
    <t>CustomerAccountNo</t>
  </si>
  <si>
    <t>Tbaadm_GAM.FORACID=Inward_Ext_Tab.customerAccountno and accounts.orgkey=GAM.cif_id</t>
  </si>
  <si>
    <t>Receive the field from MW.</t>
  </si>
  <si>
    <t>Varchar(13)</t>
  </si>
  <si>
    <t>Inward Clearing -&gt; Report Generation -&gt; Report Type = Cheque Details Report -&gt; Amount</t>
  </si>
  <si>
    <t>Introduced in the system from Central Bank file.</t>
  </si>
  <si>
    <t>Numeric(15,2)</t>
  </si>
  <si>
    <t>Inward Clearing -&gt; Report Generation -&gt; Report Type = Cheque Details Report -&gt; Cheque No.</t>
  </si>
  <si>
    <t>ChequeSeqNo</t>
  </si>
  <si>
    <t>Introduction Date</t>
  </si>
  <si>
    <t>Inward Clearing -&gt; Report Generation -&gt; Report Type = Cheque Details Report -&gt; Introduction Date</t>
  </si>
  <si>
    <t>IntroductionDate</t>
  </si>
  <si>
    <t>Generated by ICCS system.</t>
  </si>
  <si>
    <t>Settlement Date</t>
  </si>
  <si>
    <t>Inward Clearing -&gt; Report Generation -&gt; Report Type = Cheque Details Report -&gt; Settlement Date</t>
  </si>
  <si>
    <t>ECESettlementDate</t>
  </si>
  <si>
    <t>Varchar(19)</t>
  </si>
  <si>
    <t>Cheque Status</t>
  </si>
  <si>
    <t>Inward Clearing -&gt; Report Generation -&gt; Report Type = Cheque Details Report -&gt; Cheque Status</t>
  </si>
  <si>
    <t>ChequeStatus</t>
  </si>
  <si>
    <t>Decided based on the decison taken by user in ICCS system.</t>
  </si>
  <si>
    <t>Varchar(15)</t>
  </si>
  <si>
    <t>Finacle Return Code</t>
  </si>
  <si>
    <t>Inward Clearing -&gt; Report Generation -&gt; Report Type = Cheque Details Report -&gt; Finacle Return Code</t>
  </si>
  <si>
    <t>CBSPostingCode</t>
  </si>
  <si>
    <t>For Description: 
select a.description from Inward_Ext_Tab a
Join ICCS_ErrorMaster b
on a.CBSPostingCode=b.code</t>
  </si>
  <si>
    <t>Varchar(500)</t>
  </si>
  <si>
    <t>Reject Reason</t>
  </si>
  <si>
    <t>Inward Clearing -&gt; Report Generation -&gt; Report Type = Cheque Details Report -&gt; Reject Reason</t>
  </si>
  <si>
    <t>RejectReason</t>
  </si>
  <si>
    <t>Varchar(8000)</t>
  </si>
  <si>
    <t>Presenting Bank IBAN No</t>
  </si>
  <si>
    <t>Inward Clearing -&gt; Report Generation -&gt; Report Type = Cheque Details Report -&gt; Presenting Bank IBAN No</t>
  </si>
  <si>
    <t>Extra1</t>
  </si>
  <si>
    <t>Varchar(60)</t>
  </si>
  <si>
    <t>Presenting Bank</t>
  </si>
  <si>
    <t>Inward Clearing -&gt; Report Generation -&gt; Report Type = Cheque Details Report -&gt; Presenting Bank</t>
  </si>
  <si>
    <t>BankName</t>
  </si>
  <si>
    <t>Inward_Ext_Tab.PresentingBankRoutingno=ICCS_TAB_RoutingNumbers.routingnumber &amp; Tbaadm_GAM.FORACID=Inward_Ext_Tab.customerAccountno and accounts.orgkey=GAM.cif_id</t>
  </si>
  <si>
    <t>Mainted in master table of ICCS system</t>
  </si>
  <si>
    <t>Presenting Branch</t>
  </si>
  <si>
    <t>Inward Clearing -&gt; Report Generation -&gt; Report Type = Cheque Details Report -&gt; Presenting Branch</t>
  </si>
  <si>
    <t>BranchName</t>
  </si>
  <si>
    <t>Payer ID</t>
  </si>
  <si>
    <t>Inward Clearing -&gt; Report Generation -&gt; Report Type = Cheque Details Report -&gt; PAYERID</t>
  </si>
  <si>
    <t>PayerID</t>
  </si>
  <si>
    <t xml:space="preserve">Varchar(30) </t>
  </si>
  <si>
    <t>Maker</t>
  </si>
  <si>
    <t>Inward Clearing -&gt; Report Generation -&gt; Report Type = Cheque Details Report -&gt; Technical Verifier</t>
  </si>
  <si>
    <t>User_TechVerification</t>
  </si>
  <si>
    <t xml:space="preserve">Varchar(50) </t>
  </si>
  <si>
    <t>Approver</t>
  </si>
  <si>
    <t>Inward Clearing -&gt; Report Generation -&gt; Report Type = Cheque Details Report -&gt; Officer Approver</t>
  </si>
  <si>
    <t>User_OfficerApproval</t>
  </si>
  <si>
    <t>Dual Approver</t>
  </si>
  <si>
    <t>Inward Clearing -&gt; Report Generation -&gt; Report Type = Cheque Details Report -&gt; Officer Dual Approver</t>
  </si>
  <si>
    <t>Extra10</t>
  </si>
  <si>
    <t>Charge Levied</t>
  </si>
  <si>
    <t>Inward Clearing -&gt; Report Generation -&gt; Report Type = Cheque Details Report -&gt; Charge Levied</t>
  </si>
  <si>
    <t>Chargestatus</t>
  </si>
  <si>
    <t xml:space="preserve">Varchar(15) </t>
  </si>
  <si>
    <t>Primary Sector</t>
  </si>
  <si>
    <t>Inward Clearing -&gt; Report Generation -&gt; Report Type = Cheque Details Report -&gt; Primary Sector</t>
  </si>
  <si>
    <t>Extra2</t>
  </si>
  <si>
    <t>Secondary Sector</t>
  </si>
  <si>
    <t>Inward Clearing -&gt; Report Generation -&gt; Report Type = Cheque Details Report -&gt; Secondary Sector</t>
  </si>
  <si>
    <t>Extar3</t>
  </si>
  <si>
    <t>Cheque Clearing: Outward</t>
  </si>
  <si>
    <t>Outward Clearing -&gt; Report Generation -&gt; Report Type = Batch Details Report -&gt; Credit A/c Number</t>
  </si>
  <si>
    <t>Tbaadm_GAM.FORACID=Outward_ICCS.customerAccountno and accounts.orgkey=GAM.cif_id</t>
  </si>
  <si>
    <t>NVarchar(16)</t>
  </si>
  <si>
    <t>Outward Clearing -&gt; Report Generation -&gt; Report Type = Batch Details Report -&gt;  Amount</t>
  </si>
  <si>
    <t>Introduced in the ICCS system through ATM file or through scanning of cheques.</t>
  </si>
  <si>
    <t>Numeric(16,2)</t>
  </si>
  <si>
    <t>Outward Clearing -&gt; Report Generation -&gt; Report Type = Batch Details Report -&gt;  Cheque Number</t>
  </si>
  <si>
    <t>ChequeNo</t>
  </si>
  <si>
    <t>NVarchar(7)</t>
  </si>
  <si>
    <t>Outward Clearing -&gt; Report Generation -&gt; Report Type = Batch Details Report -&gt;  Cheque Date</t>
  </si>
  <si>
    <t>ChequeDate</t>
  </si>
  <si>
    <t>Processed Date</t>
  </si>
  <si>
    <t>Outward Clearing -&gt; Report Generation -&gt; Report Type = Batch Details Report -&gt;  Processed Date and Time</t>
  </si>
  <si>
    <t>EnvelopeCreationDate</t>
  </si>
  <si>
    <t>Outward Clearing -&gt; Report Generation -&gt; Report Type = Batch Details Report -&gt;  IBAN No.</t>
  </si>
  <si>
    <t>Varchar(23)</t>
  </si>
  <si>
    <t>Drawee Bank</t>
  </si>
  <si>
    <t>Outward Clearing -&gt; Report Generation -&gt; Report Type = Batch Details Report -&gt;  Drawee Bank</t>
  </si>
  <si>
    <t>Drawee Branch</t>
  </si>
  <si>
    <t>Outward Clearing -&gt; Report Generation -&gt; Report Type = Batch Details Report -&gt;  Drawee Branch</t>
  </si>
  <si>
    <t>Cheque Source</t>
  </si>
  <si>
    <t>Outward Clearing -&gt; Report Generation -&gt; Report Type = Batch Details Report -&gt;  Cheque Source</t>
  </si>
  <si>
    <t>Extra5</t>
  </si>
  <si>
    <t>Varchar(7)</t>
  </si>
  <si>
    <t>Return Date</t>
  </si>
  <si>
    <t>Outward Clearing -&gt; Report Generation -&gt; Report Type =  Returned Cheques Report -&gt;  Return date</t>
  </si>
  <si>
    <t>ecesettlementtime</t>
  </si>
  <si>
    <t>Return Reason</t>
  </si>
  <si>
    <t>Outward Clearing -&gt; Report Generation -&gt; Report Type =  Returned Cheques Report -&gt;  Return Reason</t>
  </si>
  <si>
    <t>LodgementPostingCode</t>
  </si>
  <si>
    <t>Varchar(250)</t>
  </si>
  <si>
    <t>Rejected  by</t>
  </si>
  <si>
    <t>Outward Clearing -&gt; Report Generation -&gt; Report Type =  CPC/CCDM Rejected Cheque Outward Clearing Report -&gt; Rejected by</t>
  </si>
  <si>
    <t>Extra3</t>
  </si>
  <si>
    <t>Reject remarks</t>
  </si>
  <si>
    <t>Outward Clearing -&gt; Report Generation -&gt; Report Type =  CPC/CCDM Rejected Cheque Outward Clearing Report -&gt; Reject remarks</t>
  </si>
  <si>
    <t>NVarchar(255)</t>
  </si>
  <si>
    <t>Reject reason</t>
  </si>
  <si>
    <t>Outward Clearing -&gt; Report Generation -&gt; Report Type =  CPC/CCDM Rejected Cheque Outward Clearing Report -&gt; Reject reason</t>
  </si>
  <si>
    <t>Extra4</t>
  </si>
  <si>
    <t>NVarchar(250)</t>
  </si>
  <si>
    <t>Cheque Type</t>
  </si>
  <si>
    <t>Outward Clearing -&gt; Report Generation -&gt; Report Type = Batch Details Report -&gt;  Cheque Type</t>
  </si>
  <si>
    <t>BatchValueType</t>
  </si>
  <si>
    <t>Varchar(2)</t>
  </si>
  <si>
    <t>High Value/ Low Value</t>
  </si>
  <si>
    <t>Outward Clearing -&gt; Report Generation -&gt; Report Type = Batch Details Report -&gt;  HV/LV</t>
  </si>
  <si>
    <t>Item Code</t>
  </si>
  <si>
    <t>Outward Clearing -&gt; Report Generation -&gt; Report Type = Batch Details Report -&gt;  Item Code</t>
  </si>
  <si>
    <t>EndorsementString</t>
  </si>
  <si>
    <t>User ID</t>
  </si>
  <si>
    <t>Outward Clearing -&gt; Report Generation -&gt; Report Type = Batch Details Report -&gt;  User ID</t>
  </si>
  <si>
    <t>User_Scanning</t>
  </si>
  <si>
    <t>Depositor ID</t>
  </si>
  <si>
    <t>Outward Clearing -&gt; Report Generation -&gt; Report Type = Batch Details Report -&gt;  Depositor ID</t>
  </si>
  <si>
    <t>DepositAccountId</t>
  </si>
  <si>
    <t>Varchar(30)</t>
  </si>
  <si>
    <t>Scan User</t>
  </si>
  <si>
    <t>Outward Clearing -&gt; Report Generation -&gt; Report Type =  Returned Cheques Report -&gt;  Scan User</t>
  </si>
  <si>
    <t>Deposit Branch</t>
  </si>
  <si>
    <t>Outward Clearing -&gt; Report Generation -&gt; Report Type = Batch Details Report -&gt;  Deposit Branch</t>
  </si>
  <si>
    <t>PBranchCode</t>
  </si>
  <si>
    <t>Introduced in the system through ATM file.</t>
  </si>
  <si>
    <t>NVarchar(10)</t>
  </si>
  <si>
    <t>Endorsement no.</t>
  </si>
  <si>
    <t>Ccdm no./CCIF</t>
  </si>
  <si>
    <t>Outward Clearing -&gt; Report Generation -&gt; Report Type =  CPC/CCDM Rejected Cheque Outward Clearing Report -&gt; Ccdm no./CCIF</t>
  </si>
  <si>
    <t>CCDMid</t>
  </si>
  <si>
    <t>NVarchar(20)</t>
  </si>
  <si>
    <t>Checker rejected date time</t>
  </si>
  <si>
    <t>Outward Clearing -&gt; Report Generation -&gt; Report Type =  CPC/CCDM Rejected Cheque Outward Clearing Report -&gt; Checker rejected date time</t>
  </si>
  <si>
    <t>Dual Checker</t>
  </si>
  <si>
    <t>Outward Clearing -&gt; Report Generation -&gt; Report Type =  CPC/CCDM Rejected Cheque Outward Clearing Report -&gt; Dual Checker</t>
  </si>
  <si>
    <t>User_DataModification</t>
  </si>
  <si>
    <t>Cheque Clearing: Inhouse</t>
  </si>
  <si>
    <t>Outward Clearing -&gt; Report Generation -&gt; Report Type = CPC/CCDM In House Cleared Cheques Report -&gt; Debit Ac No.</t>
  </si>
  <si>
    <t>DebitAccno</t>
  </si>
  <si>
    <t>Introduced in the system through ATM file or through scanning of cheques.</t>
  </si>
  <si>
    <t>Outward Clearing -&gt; Report Generation -&gt; Report Type = CPC/CCDM In House Cleared Cheques Report -&gt; Credit Ac No.</t>
  </si>
  <si>
    <t>Outward Clearing -&gt; Report Generation -&gt; Report Type = CPC/CCDM In House Cleared Cheques Report -&gt; Amount</t>
  </si>
  <si>
    <t>Outward Clearing -&gt; Report Generation -&gt; Report Type = CPC/CCDM In House Cleared Cheques Report -&gt; Cheque No.</t>
  </si>
  <si>
    <t>Outward Clearing -&gt; Report Generation -&gt; Report Type = CPC/CCDM In House Cleared Cheques Report -&gt; Date Time of Txn</t>
  </si>
  <si>
    <t>PostingDatetime</t>
  </si>
  <si>
    <t>Outward Clearing -&gt; Report Generation -&gt; Report Type = CPC/CCDM In House Cleared Cheques Report -&gt; Processed DateTime</t>
  </si>
  <si>
    <t>Rejected By</t>
  </si>
  <si>
    <t>Outward Clearing -&gt; Report Generation -&gt; Report Type = CPC/CCDM In House Rejected Cheques Report -&gt; Rejected By</t>
  </si>
  <si>
    <t>NVarchar(50)</t>
  </si>
  <si>
    <t>Reject Remarks</t>
  </si>
  <si>
    <t>Outward Clearing -&gt; Report Generation -&gt; Report Type = CPC/CCDM In House Rejected Cheques Report -&gt; Reject Remarks</t>
  </si>
  <si>
    <t>Extra6</t>
  </si>
  <si>
    <t>Outward Clearing -&gt; Report Generation -&gt; Report Type = CPC/CCDM In House Rejected Cheques Report -&gt; Reject Reason</t>
  </si>
  <si>
    <t>ReturnReason</t>
  </si>
  <si>
    <t>NVarchar(500)</t>
  </si>
  <si>
    <t>Failure Stage</t>
  </si>
  <si>
    <t>Outward Clearing -&gt; Report Generation -&gt; Report Type = CPC/CCDM In House Rejected Cheques Report -&gt; FailureStage</t>
  </si>
  <si>
    <t>OnUsReversalFailureStage</t>
  </si>
  <si>
    <t>Failure Description</t>
  </si>
  <si>
    <t>Outward Clearing -&gt; Report Generation -&gt; Report Type = CPC/CCDM In House Rejected Cheques Report -&gt; FailureDesc</t>
  </si>
  <si>
    <t>OnUsReversalFailureReason</t>
  </si>
  <si>
    <t>Outward Clearing -&gt; Report Generation -&gt; Report Type = CPC/CCDM In House Cleared Cheques Report -&gt; Scan User</t>
  </si>
  <si>
    <t>Data Entry Maker</t>
  </si>
  <si>
    <t>Outward Clearing -&gt; Report Generation -&gt; Report Type = CPC/CCDM In House Cleared Cheques Report -&gt; Data Entry Maker</t>
  </si>
  <si>
    <t>Data Entry Checker</t>
  </si>
  <si>
    <t>Outward Clearing -&gt; Report Generation -&gt; Report Type = CPC/CCDM In House Cleared Cheques Report -&gt; Data Entry Checker</t>
  </si>
  <si>
    <t>User_BOMApproval</t>
  </si>
  <si>
    <t>Outward Clearing -&gt; Report Generation -&gt; Report Type = CPC/CCDM In House Cleared Cheques Report -&gt; Dual Checker</t>
  </si>
  <si>
    <t>Outward Clearing -&gt; Report Generation -&gt; Report Type = CPC/CCDM In House Cleared Cheques Report -&gt; Dep Branch</t>
  </si>
  <si>
    <t>Pbranchcode</t>
  </si>
  <si>
    <t>Endorsement String</t>
  </si>
  <si>
    <t>Outward Clearing -&gt; Report Generation -&gt; Report Type = CPC/CCDM In House Rejected Cheques Report -&gt; Endorsement String</t>
  </si>
  <si>
    <t>CCDM No/ CCIF</t>
  </si>
  <si>
    <t>Outward Clearing -&gt; Report Generation -&gt; Report Type = CPC/CCDM In House Cleared Cheques Report -&gt; CCDM No/CIF</t>
  </si>
  <si>
    <t>ccdmid</t>
  </si>
  <si>
    <t>Outward Clearing -&gt; Report Generation -&gt; Report Type = CPC/CCDM In House Rejected Cheques Report -&gt; Source</t>
  </si>
  <si>
    <t>Outward Clearing -&gt; Report Generation -&gt; Report Type = CPC/CCDM In House Cleared Cheques Report -&gt; HV/LV</t>
  </si>
  <si>
    <t>CCDM MR Status</t>
  </si>
  <si>
    <t>Outward Clearing -&gt; Report Generation -&gt; Report Type = CPC/CCDM In House Cleared Cheques Report -&gt; CCDM MR Status Status</t>
  </si>
  <si>
    <t>Cheque Name</t>
  </si>
  <si>
    <t>Cheque Book Request Enquiry</t>
  </si>
  <si>
    <t>Cheque Book Enquiry -&gt; List of cheque books -&gt; Drilldown on Account number -&gt; Name on Cheque Book</t>
  </si>
  <si>
    <t> VARCHAR</t>
  </si>
  <si>
    <t> 35</t>
  </si>
  <si>
    <t> 300</t>
  </si>
  <si>
    <t> CBS</t>
  </si>
  <si>
    <t> CHQBKREQUEST</t>
  </si>
  <si>
    <t> BOOKNAME</t>
  </si>
  <si>
    <t>Cheque Book Enquiry -&gt; List of cheque books -&gt; Cheque Type</t>
  </si>
  <si>
    <t> STRING</t>
  </si>
  <si>
    <t> CHAR</t>
  </si>
  <si>
    <t> 3</t>
  </si>
  <si>
    <t> CHQBOOKTYPE</t>
  </si>
  <si>
    <t>Cheque Book Enquiry -&gt; List of cheque books -&gt; Source</t>
  </si>
  <si>
    <t> 50</t>
  </si>
  <si>
    <t> CHANNELINFO</t>
  </si>
  <si>
    <t> CHANNELID</t>
  </si>
  <si>
    <t> SELECT CHANNELID,DESCRIPTION FROM CHANNELINFO</t>
  </si>
  <si>
    <t>Number of Books</t>
  </si>
  <si>
    <t>Cheque Book Enquiry -&gt; List of cheque books -&gt; No. of Books</t>
  </si>
  <si>
    <t> NUMERIC</t>
  </si>
  <si>
    <t> INT</t>
  </si>
  <si>
    <t> 10</t>
  </si>
  <si>
    <t> NOOFBOOKS</t>
  </si>
  <si>
    <t>Number of Leaves</t>
  </si>
  <si>
    <t>Cheque Book Enquiry -&gt; List of cheque books -&gt; No. of Leaves</t>
  </si>
  <si>
    <t> NOOFLEAVES</t>
  </si>
  <si>
    <t>Workflow Status</t>
  </si>
  <si>
    <t>Cheque Book Enquiry -&gt; List of cheque books -&gt; Workflow Status</t>
  </si>
  <si>
    <t> STATUS</t>
  </si>
  <si>
    <t> NAME</t>
  </si>
  <si>
    <t>Request Date</t>
  </si>
  <si>
    <t>Cheque Book Enquiry -&gt; List of cheque books -&gt; Request Date.</t>
  </si>
  <si>
    <t> DATE FORMAT(dd/MM/YYYY)</t>
  </si>
  <si>
    <t> DATETIME</t>
  </si>
  <si>
    <t> REQUESTDATE</t>
  </si>
  <si>
    <t>Airway Bill Number</t>
  </si>
  <si>
    <t>Cheque Book Enquiry -&gt; List of cheque books -&gt; Airway Bill No.</t>
  </si>
  <si>
    <t> 20</t>
  </si>
  <si>
    <t> AIRWAY_BILL_NO</t>
  </si>
  <si>
    <t>RM Code</t>
  </si>
  <si>
    <t>Cheque Book Enquiry -&gt; List of cheque books -&gt; RM Code</t>
  </si>
  <si>
    <t> RM_CODE</t>
  </si>
  <si>
    <t>User Log</t>
  </si>
  <si>
    <t>Cheque Book Enquiry -&gt; List of cheque books -&gt; User Log -&gt; CHEQUE BOOK USER LOG</t>
  </si>
  <si>
    <t> NOTES</t>
  </si>
  <si>
    <t xml:space="preserve"> PROCESS, USERID, USERDATE </t>
  </si>
  <si>
    <t>Cheque Book Enquiry -&gt; List of cheque books -&gt; Drilldown on Account number -&gt; Reject Reason</t>
  </si>
  <si>
    <t> REJECTREASON</t>
  </si>
  <si>
    <t>Cheque Book Enquiry -&gt; List of cheque books -&gt; Drilldown on Account number -&gt; Source Branch</t>
  </si>
  <si>
    <t> 200</t>
  </si>
  <si>
    <t> SRCBRANCH</t>
  </si>
  <si>
    <t>Amend Account Name</t>
  </si>
  <si>
    <t>Cheque Book Enquiry -&gt; List of cheque books -&gt; Drilldown on Account number -&gt; Amend Account Name</t>
  </si>
  <si>
    <t> 1</t>
  </si>
  <si>
    <t> NAMEAMDFLAG</t>
  </si>
  <si>
    <t>Delivery Mode</t>
  </si>
  <si>
    <t>Cheque Book Enquiry -&gt; List of cheque books -&gt; Drilldown on Account number -&gt; Cheque Book Details -&gt; Delivery Mode</t>
  </si>
  <si>
    <t> 6</t>
  </si>
  <si>
    <t> DELIVERYMODE</t>
  </si>
  <si>
    <t>Deliver to Branch</t>
  </si>
  <si>
    <t>Cheque Book Enquiry -&gt; List of cheque books -&gt; Drilldown on Account number -&gt; Cheque Book Details -&gt;  Delivery To Branch</t>
  </si>
  <si>
    <t> DELIVERYTO</t>
  </si>
  <si>
    <t>Total Cheque books issued till date</t>
  </si>
  <si>
    <t>Cheque Book Enquiry -&gt; List of cheque books -&gt; Drilldown on Account number -&gt; Cheque Book Details -&gt;  Total Cheque books issued till date</t>
  </si>
  <si>
    <t>Apply Charges</t>
  </si>
  <si>
    <t>Cheque Book Enquiry -&gt; List of cheque books -&gt; Drilldown on Account number -&gt; Cheque Book Details -&gt;  Apply Charges</t>
  </si>
  <si>
    <t> CHARGEFLAG</t>
  </si>
  <si>
    <t>Charges</t>
  </si>
  <si>
    <t xml:space="preserve">Cheque Book Enquiry -&gt; List of cheque books -&gt; Drilldown on Account number -&gt; Authorized Person Details -&gt;  Charges </t>
  </si>
  <si>
    <t> DECIMAL</t>
  </si>
  <si>
    <t> (18,2)</t>
  </si>
  <si>
    <t> CHARGEAMT</t>
  </si>
  <si>
    <t xml:space="preserve">Cheque Book Enquiry -&gt; List of cheque books -&gt; Drilldown on Account number -&gt; Authorized Person Details -&gt;  Notes </t>
  </si>
  <si>
    <t> 489</t>
  </si>
  <si>
    <t xml:space="preserve">Cheque Book Enquiry -&gt; List of cheque books -&gt; Drilldown on Account number -&gt; Delivery Details -&gt;  Address </t>
  </si>
  <si>
    <t> 500+500</t>
  </si>
  <si>
    <t> AUTHADDRESS1+ AUTHADDRESS2</t>
  </si>
  <si>
    <t>Mobile No. 1</t>
  </si>
  <si>
    <t>Cheque Book Enquiry -&gt; List of cheque books -&gt; Drilldown on Account number -&gt; Delivery Details -&gt;  Mobile No. 1</t>
  </si>
  <si>
    <t> 85</t>
  </si>
  <si>
    <t>AUTHPHONE1</t>
  </si>
  <si>
    <t>Name 1</t>
  </si>
  <si>
    <t>Cheque Book Enquiry -&gt; List of cheque books -&gt; Drilldown on Account number -&gt; Authorized Person Details -&gt;  Name 1</t>
  </si>
  <si>
    <t>AUTHNAME1</t>
  </si>
  <si>
    <t>Name 2</t>
  </si>
  <si>
    <t>Cheque Book Enquiry -&gt; List of cheque books -&gt; Drilldown on Account number -&gt; Authorized Person Details -&gt;  Name 2</t>
  </si>
  <si>
    <t>VARCHAR</t>
  </si>
  <si>
    <t>CBS</t>
  </si>
  <si>
    <t>AUTHNAME2</t>
  </si>
  <si>
    <t>Cheque Book Enquiry -&gt; List of cheque books -&gt; Drilldown on Account number -&gt; Authorized Person Details -&gt;  Address 1</t>
  </si>
  <si>
    <t>AUTHADDRESS1</t>
  </si>
  <si>
    <t>Phone 1</t>
  </si>
  <si>
    <t>Cheque Book Enquiry -&gt; List of cheque books -&gt; Drilldown on Account number -&gt; Authorized Person Details -&gt;  Phone 1</t>
  </si>
  <si>
    <t>AUTHPHONE2</t>
  </si>
  <si>
    <t>Mobile No. 2</t>
  </si>
  <si>
    <t>Cheque Book Enquiry -&gt; List of cheque books -&gt; Drilldown on Account number -&gt; Delivery Details -&gt;  Mobile No. 2</t>
  </si>
  <si>
    <t>Cheque Book Enquiry -&gt; List of cheque books -&gt; Drilldown on Account number -&gt; Authorized Person Details -&gt;   Address 2</t>
  </si>
  <si>
    <t>Phone 2</t>
  </si>
  <si>
    <t>Cheque Book Enquiry -&gt; List of cheque books -&gt; Drilldown on Account number -&gt; Authorized Person Details -&gt;   Phone 2</t>
  </si>
  <si>
    <t>Salary Transaction Enquiry</t>
  </si>
  <si>
    <t>Salary Application -&gt; Others - &gt; Salary Credit Enquiry -&gt; Approved/Created Date</t>
  </si>
  <si>
    <t>Lable</t>
  </si>
  <si>
    <t>Salary</t>
  </si>
  <si>
    <t>INTERNAL_SALARY_BATCH_DETAILS</t>
  </si>
  <si>
    <t>APPROVED_DATE</t>
  </si>
  <si>
    <t>Salary Type</t>
  </si>
  <si>
    <t>Salary Application -&gt; Others - &gt; Salary Credit Enquiry -&gt; Salary Type</t>
  </si>
  <si>
    <t>SALARY_TYPE</t>
  </si>
  <si>
    <t>SALARY_TYPE_DESCRIPTION</t>
  </si>
  <si>
    <t>Salary Amount</t>
  </si>
  <si>
    <t>Salary Application -&gt; Others - &gt; Salary Credit Enquiry -&gt; Amount</t>
  </si>
  <si>
    <t>DECIMAL</t>
  </si>
  <si>
    <t>SALARY_AMOUNT</t>
  </si>
  <si>
    <t>Salary for the Month</t>
  </si>
  <si>
    <t>Salary Application -&gt; Others - &gt; Salary Credit Enquiry -&gt; Salary for the month</t>
  </si>
  <si>
    <t>SALARY_YEAR_MONTH</t>
  </si>
  <si>
    <t>Salary Application -&gt; Others - &gt; Salary Credit Enquiry -&gt; Status</t>
  </si>
  <si>
    <t>RECORD_STATUS</t>
  </si>
  <si>
    <t>Tax Invoice Number</t>
  </si>
  <si>
    <t>Tax Invoice Delivery Details</t>
  </si>
  <si>
    <t>VAT -&gt; Enquiry -&gt; Tax Advice Enquiry -&gt; Tax Invoice Number</t>
  </si>
  <si>
    <t>String/Text</t>
  </si>
  <si>
    <t>INV-YYYY-MM-NNNNNN</t>
  </si>
  <si>
    <t>CENTRAL_REPOSITORY</t>
  </si>
  <si>
    <t>INVOICE_STATEMENT</t>
  </si>
  <si>
    <t>Custom logic: Uses sequence VAT_STATEMENT_SEQ for generation. Format constructed as "INV-" + YYYYMM + "-" + sequence number</t>
  </si>
  <si>
    <t>Tax Credit Note Number</t>
  </si>
  <si>
    <t>VAT -&gt; Enquiry -&gt; Tax Advice Enquiry -&gt; Tax Credit Note Number</t>
  </si>
  <si>
    <t xml:space="preserve">String/Text </t>
  </si>
  <si>
    <t>CR-YYYY-MM-NNNNNN</t>
  </si>
  <si>
    <t>CREDIT_NOTE</t>
  </si>
  <si>
    <t>Custom logic: Uses sequence VAT_STATEMENT_SEQ for generation. Format constructed as "CRN-" + YYYYMM + "-" + sequence number</t>
  </si>
  <si>
    <t>Email Address</t>
  </si>
  <si>
    <t>VAT -&gt; Enquiry -&gt; Tax Advice Enquiry -&gt; Tax Advice Details - &gt; Email ID</t>
  </si>
  <si>
    <t>String/Email</t>
  </si>
  <si>
    <t>j***@example.com</t>
  </si>
  <si>
    <t>VARCHAR(200)</t>
  </si>
  <si>
    <t>PREFERRED_EMAIL</t>
  </si>
  <si>
    <t>Fetched from LatestCustomerMaster.getReferenceEmail(). Mapped to customerEmailAddress in PDF headers</t>
  </si>
  <si>
    <t>Tax Invoice Sent Date</t>
  </si>
  <si>
    <t>VAT -&gt; Enquiry -&gt; Tax Advice Enquiry -&gt; Tax Advice Details - &gt; Tax Invoice Sent Date</t>
  </si>
  <si>
    <t>DateTime/Timestamp</t>
  </si>
  <si>
    <t>8 bytes</t>
  </si>
  <si>
    <t>dd/MM/yyyy HH:mm:ss</t>
  </si>
  <si>
    <t>[EMAIL_PROCESS_T]</t>
  </si>
  <si>
    <t>LAST_UPDATE_DATE</t>
  </si>
  <si>
    <t>Logic: Updated when email status changes. Filtered by CIF_ID and email stage 'SENT' for tax invoices</t>
  </si>
  <si>
    <t>Tax Credit Note Sent Date</t>
  </si>
  <si>
    <t>VAT -&gt; Enquiry -&gt; Tax Advice Enquiry -&gt; Tax Advice Details - &gt; Tax Credit Note Sent Date</t>
  </si>
  <si>
    <t>VAT -&gt; Enquiry -&gt; Tax Advice Enquiry -&gt; Tax Advice Details - &gt; Status/Reason</t>
  </si>
  <si>
    <t>Email Sent/Pending/Failed</t>
  </si>
  <si>
    <t>LOADED,
	THREAD_NAME_ASSIGNED,
	SENDINTIATED,
	SENT,
	FAILED,
	RETRIABLE,
	STATEEXCEPTION</t>
  </si>
  <si>
    <t>Logic: Email delivery status tracking. Updated by email service based on delivery confirmation</t>
  </si>
  <si>
    <t>View Tax Invoice</t>
  </si>
  <si>
    <t>VAT -&gt; TAX Advice -&gt; Generate Tax Invoice</t>
  </si>
  <si>
    <t>Button</t>
  </si>
  <si>
    <t>Action/URL</t>
  </si>
  <si>
    <t>CENTRAL_REPOSITORY_ARCH, VAT</t>
  </si>
  <si>
    <t>INVOICE_STATEMENT,CUSTOMER_MASTER</t>
  </si>
  <si>
    <t>Logic: Constructs PDF file path based on CIF, period, and invoice number. PDF generated on-demand or cached</t>
  </si>
  <si>
    <t>View Tax Credit Note</t>
  </si>
  <si>
    <t>VAT -&gt; TAX Advice -&gt; Generate Tax Credit Note</t>
  </si>
  <si>
    <t>CREDIT_NOTE,CUSTOMER_MASTER</t>
  </si>
  <si>
    <t>Logic: Constructs PDF file path based on CIF, period, and credit note number. PDF generated on-demand or cached</t>
  </si>
  <si>
    <t xml:space="preserve">FX Rate - Sold </t>
  </si>
  <si>
    <t xml:space="preserve">FX rate Calculator -&gt; I Sold </t>
  </si>
  <si>
    <t>FX Rate - Bought</t>
  </si>
  <si>
    <t>FX rate Calculator -&gt; I Bought</t>
  </si>
  <si>
    <t>Loans</t>
  </si>
  <si>
    <t>Prospect ID</t>
  </si>
  <si>
    <t>Digital ON-Boarding Tracking</t>
  </si>
  <si>
    <t>Digital on-boarding Tracking -&gt;Account-&gt;Prospects Details from DEH -&gt;Prospect Id</t>
  </si>
  <si>
    <t>Drop 2</t>
  </si>
  <si>
    <t>NUMBER(10,0)</t>
  </si>
  <si>
    <t>deh-db-test-01.chgggpswwiss.me-central-1.rds.amazonaws.com:5500/rakdehsit</t>
  </si>
  <si>
    <t>RTOM,PLMT,PLRD</t>
  </si>
  <si>
    <t>prospect_id</t>
  </si>
  <si>
    <t>Digital on-boarding Tracking -&gt;Account-&gt;Prospects Details from DEH -&gt;Mobile No</t>
  </si>
  <si>
    <t>NVARCHAR2(20)</t>
  </si>
  <si>
    <t>RTOM</t>
  </si>
  <si>
    <t>mobile_no</t>
  </si>
  <si>
    <t>Digital on-boarding Tracking -&gt;Account-&gt;Prospects Details from DEH -&gt;Product Type</t>
  </si>
  <si>
    <t>NVARCHAR2(10)</t>
  </si>
  <si>
    <t>LOANS</t>
  </si>
  <si>
    <t>prod_type</t>
  </si>
  <si>
    <t>Sub Product Type</t>
  </si>
  <si>
    <t>Digital on-boarding Tracking -&gt;Account-&gt;Prospects Details from DEH -&gt;Sub Product Type</t>
  </si>
  <si>
    <t>fetched from COCD.code_type ='PLSS'</t>
  </si>
  <si>
    <t>prod_sub_type</t>
  </si>
  <si>
    <t>Stage</t>
  </si>
  <si>
    <t>Digital on-boarding Tracking -&gt;Account-&gt;Prospects Details from DEH -&gt;Stage</t>
  </si>
  <si>
    <t>spec ye to be rec</t>
  </si>
  <si>
    <t>NTB</t>
  </si>
  <si>
    <t>Digital on-boarding Tracking -&gt;Account-&gt;Prospects Details from DEH -&gt; NTB</t>
  </si>
  <si>
    <t>Y,N,E
Y- Prelogin NTB
N - Prelogin ETB 
E-  ETB (Postlogin flow)</t>
  </si>
  <si>
    <t>PLMT</t>
  </si>
  <si>
    <t>is_customer_ntb</t>
  </si>
  <si>
    <t>Agent Code</t>
  </si>
  <si>
    <t>Digital on-boarding Tracking -&gt;Account-&gt;Prospects Details from DEH -&gt; Agent Code</t>
  </si>
  <si>
    <t>NVARCHAR2(50)</t>
  </si>
  <si>
    <t>agent_code</t>
  </si>
  <si>
    <t>STP</t>
  </si>
  <si>
    <t>Digital on-boarding Tracking -&gt;Account-&gt;Prospects Details from DEH -&gt; STP</t>
  </si>
  <si>
    <t>Y, N</t>
  </si>
  <si>
    <t>nstp_flag</t>
  </si>
  <si>
    <t>RTOM,RACC,RARD</t>
  </si>
  <si>
    <t>fetched from COCD.CODE_TYPE = 'PROD'</t>
  </si>
  <si>
    <t>COCD.CODE_TYPE = 'PROD'</t>
  </si>
  <si>
    <t>RACC</t>
  </si>
  <si>
    <t>VARCHAR(32)</t>
  </si>
  <si>
    <t>stp_flag</t>
  </si>
  <si>
    <t>Cards</t>
  </si>
  <si>
    <t>Fetch from DB</t>
  </si>
  <si>
    <t>RTOM, CACC, CCRD</t>
  </si>
  <si>
    <t>SKY_ELITE_ISL_CARD
RED_CARD
MCBAA
TITANIUM_CARD
PLAT_HIGH_FLYER_CARD
WORLD_MASTER_CARD
SKY_ELITE_CON_CARD
MURABAHA_PLAT_CARD
MURABAHA_WORLD_CARD
MRCMI
MRCMC</t>
  </si>
  <si>
    <t>COCD</t>
  </si>
  <si>
    <t>RestCommonUtils.getList(opcontext, codeType);</t>
  </si>
  <si>
    <t>NVARCHAR2(50)/NVARCHAR2(5)</t>
  </si>
  <si>
    <t>"createView","updateEmploymentTypeView","updateKFSConsentView","updateEFRDetailsView","updateEmploymentDetailsView","UpdateResidentialAddView","UpdateHomeCountryAddView","UpdateOfficeAddView","UpdateTandCCheckView","UpdateAECBConsentView","UpdateFTSConsentView","UpdateMarketingConsentView","IPAAmountView","UpdateFriendDetailsView","UpdatePersonalDetailsView","UpdateFATCADetailsView","UpdateAcquisitionOfferDetailsView","UpdateLifestyleQuestionView","UpdateCreditShieldRakProtectView","UpdateCoolingPeriodDetailsView","NextActionView","UpdateBankStmntDetailsView","UpdateAddDocsDetailsView","UpdateStmntAnalysisDetailsView","UpdateFinalSubmitView","UpdateDBCredentialCreationView","CoolingPeriodJourneyDetView","updateOtherEmploymentView","UpdateEFRCardReselectionDet","UpdateEFRCardReselectionKFS","UpdateEFRCardReselection","UpdateDectechCardReselection","UpdateDectechCardReselectionDet","UpdateDectechCardReselectionKFS","UpdateIBPSCardReselection","UpdateIBPSCardReselectionDet","UpdateIBPSCardReselectionKFS","UpdateIBPSCardCancellation","UpdateBankLoginPageDetailsView","UpdateCLIBankLoginPageDetailsView","updateCLIEmploymentTypeView","updateCLIEFRDetailsView","UpdateCLIConsentView","UpdateCLILifestyleQuestionView","UpdateCLIEmploymentDetailsView","UpdateCLIFTSConsentView","updateCLIIPAAmountView","Digi_UpdateCLIBankLoginPageDetailsView","Digi_updateCLIEmploymentTypeView","Digi_UpdateCLIConsentView","Digi_UpdateCLILifestyleQuestionView","Digi_UpdateCLIEmploymentDetailsView","Digi_UpdateCLIFTSConsentView","Digi_updateCLIIPAAmountView","UpdateConsolidatedConsentView"
Status: SUB, APP, INT, PEN, DRP, EXP, CAN, REJ, DEC, NINP, CLP, CLS</t>
  </si>
  <si>
    <t>view_id/status</t>
  </si>
  <si>
    <t>N,Y,E</t>
  </si>
  <si>
    <t>CACC</t>
  </si>
  <si>
    <t>Previous RAKNet Version</t>
  </si>
  <si>
    <t>Previous RAKNet Version-&gt;Personal banking-&gt;Applications -&gt; Drilldown on CRN Number -&gt; Official -&gt; Notes -&gt; Scratch Pad</t>
  </si>
  <si>
    <t>Physical Credit Card Onboarding</t>
  </si>
  <si>
    <t>Previous RAKNet Version-&gt;PERSONAL BANKING -&gt; APPLICATIONS -&gt; CREDIT CARD -&gt; Card Enquiry -&gt; App No.</t>
  </si>
  <si>
    <t>Previous RAKNet Version -&gt;PERSONAL BANKING -&gt; APPLICATIONS -&gt; CREDIT CARD -&gt; Card Enquiry -&gt; Product</t>
  </si>
  <si>
    <t>Application Status</t>
  </si>
  <si>
    <t>Previous RAKNet Version -&gt;PERSONAL BANKING -&gt; APPLICATIONS -&gt; CREDIT CARD -&gt; Card Enquiry -&gt; App. Status</t>
  </si>
  <si>
    <t>Previous RAKNet Version -&gt;PERSONAL BANKING -&gt; APPLICATIONS -&gt; CREDIT CARD -&gt; Card Enquiry -&gt; CIF No.</t>
  </si>
  <si>
    <t>Previous RAKNet Version -&gt;PERSONAL BANKING -&gt; APPLICATIONS -&gt; CREDIT CARD -&gt; Card Enquiry -&gt; Name</t>
  </si>
  <si>
    <t>CRN Number</t>
  </si>
  <si>
    <t>Previous RAKNet Version -&gt;PERSONAL BANKING -&gt; APPLICATIONS -&gt; CREDIT CARD -&gt; Card Enquiry -&gt; CRN</t>
  </si>
  <si>
    <t>Credit Card Number</t>
  </si>
  <si>
    <t>Previous RAKNet Version -&gt;PERSONAL BANKING -&gt; APPLICATIONS -&gt; CREDIT CARD -&gt; Card Enquiry  -&gt; CreditCardNo.</t>
  </si>
  <si>
    <t>Previous RAKNet Version -&gt;PERSONAL BANKING -&gt; APPLICATIONS -&gt; CREDIT CARD -&gt; Card Enquiry -&gt; Card Type</t>
  </si>
  <si>
    <t>Physical Credit Card Onboarding: Application Details</t>
  </si>
  <si>
    <t>Previous RAKNet Version -&gt;PERSONAL BANKING -&gt; APPLICATIONS -&gt; CREDIT CARD -&gt; Card Enquiry -&gt; Drilldown on CRN Number -&gt; Passport No.</t>
  </si>
  <si>
    <t>Passport Expiry Date</t>
  </si>
  <si>
    <t>Previous RAKNet Version -&gt;PERSONAL BANKING -&gt; APPLICATIONS -&gt; CREDIT CARD -&gt; Card Enquiry -&gt; Drilldown on CRN Number -&gt; Passport Expiry Date</t>
  </si>
  <si>
    <t>Previous RAKNet Version -&gt;PERSONAL BANKING -&gt; APPLICATIONS -&gt; CREDIT CARD -&gt; Card Enquiry -&gt; Drilldown on CRN Number -&gt; Date of Birth</t>
  </si>
  <si>
    <t>Previous RAKNet Version -&gt;PERSONAL BANKING -&gt; APPLICATIONS -&gt; CREDIT CARD -&gt; Card Enquiry -&gt; Drilldown on CRN Number -&gt; Sex.</t>
  </si>
  <si>
    <t>Previous RAKNet Version -&gt;PERSONAL BANKING -&gt; APPLICATIONS -&gt; CREDIT CARD -&gt; Card Enquiry -&gt; Drilldown on CRN Number -&gt; Nationality</t>
  </si>
  <si>
    <t>Previous RAKNet Version -&gt;PERSONAL BANKING -&gt; APPLICATIONS -&gt; CREDIT CARD -&gt; Card Enquiry -&gt; Drilldown on CRN Number -&gt; Marital Status</t>
  </si>
  <si>
    <t>VISA Number</t>
  </si>
  <si>
    <t>Previous RAKNet Version -&gt;PERSONAL BANKING -&gt; APPLICATIONS -&gt; CREDIT CARD -&gt; Card Enquiry -&gt; Drilldown on CRN Number -&gt; Visa No.</t>
  </si>
  <si>
    <t>Previous RAKNet Version -&gt;PERSONAL BANKING -&gt; APPLICATIONS -&gt; CREDIT CARD -&gt; Card Enquiry -&gt; Drilldown on CRN Number -&gt; Visa Expiry Date</t>
  </si>
  <si>
    <t>Primary Card: Previous RAKNet Version-&gt;Personal banking-&gt;Applications -&gt; Drilldown on CRN Number -&gt; Official -&gt; Notes -&gt; Scratch Pad
Supplementary Card: Previous RAKNet Version-&gt;Personal banking-&gt;Applications -&gt; Drilldown on CRN Number -&gt; Official -&gt; CARD RELATION -&gt; Select Card -&gt; Click on CRN Number -&gt; OFFICIAL  -&gt; NOTES -&gt; Scratch Pad</t>
  </si>
  <si>
    <t>Credit Card Quick Cash Calculator</t>
  </si>
  <si>
    <t>Previous RAKNet Version-&gt;Personal banking-&gt;Tools-&gt; RAKCARD LOAN Calculator -&gt; Principal</t>
  </si>
  <si>
    <t>Previous RAKNet Version-&gt;Personal banking-&gt;Tools-&gt; RAKCARD LOAN Calculator -&gt; Tenure</t>
  </si>
  <si>
    <t>Annual Interest Rate %</t>
  </si>
  <si>
    <t>Previous RAKNet Version-&gt;Personal banking-&gt;Tools-&gt; RAKCARD LOAN Calculator -&gt; Annual Interest Rate %</t>
  </si>
  <si>
    <t>Previous RAKNet Version-&gt;Personal banking-&gt;Tools-&gt; RAKCARD LOAN Calculator -&gt; Total Interest</t>
  </si>
  <si>
    <t>Credit Card Quick Cash Calculator: Repayment Schedule</t>
  </si>
  <si>
    <t>Previous RAKNet Version-&gt;Personal banking-&gt;Tools-&gt; RAKCARD LOAN Calculator -&gt; Installment Number</t>
  </si>
  <si>
    <t>Previous RAKNet Version-&gt;Personal banking-&gt;Tools-&gt; RAKCARD LOAN Calculator -&gt; Due Date</t>
  </si>
  <si>
    <t>Previous RAKNet Version-&gt;Personal banking-&gt;Tools-&gt; RAKCARD LOAN Calculator -&gt; Installment Amount</t>
  </si>
  <si>
    <t>Amount taken towards principle</t>
  </si>
  <si>
    <t>Previous RAKNet Version-&gt;Personal banking-&gt;Tools-&gt; RAKCARD LOAN Calculator -&gt; Amount taken towards principle</t>
  </si>
  <si>
    <t>Amount taken towards Interest</t>
  </si>
  <si>
    <t>Credit Card Cash on Call Calculator: Repayment Schedule</t>
  </si>
  <si>
    <t>Previous RAKNet Version-&gt;Personal banking-&gt;Tools-&gt; RAKCARD LOAN Calculator -&gt; Amount taken towards Interest</t>
  </si>
  <si>
    <t>Principle Outstanding after repayment</t>
  </si>
  <si>
    <t>Previous RAKNet Version-&gt;Personal banking-&gt;Tools-&gt; RAKCARD LOAN Calculator -&gt; Principle Outstanding after repayment</t>
  </si>
  <si>
    <t>Personal Loan Calculator</t>
  </si>
  <si>
    <t>Previous RAKNet Version-&gt;Personal banking-&gt;Tools-&gt; Personal Loan Calculator LOAN Calculator -&gt; Principle</t>
  </si>
  <si>
    <t>Previous RAKNet Version-&gt;Personal banking-&gt;Tools-&gt; Personal Loan Calculator LOAN Calculator -&gt; Tenure</t>
  </si>
  <si>
    <t>Interest Rate %</t>
  </si>
  <si>
    <t>Previous RAKNet Version-&gt;Personal banking-&gt;Tools-&gt; Personal Loan Calculator LOAN Calculator -&gt; Frequency</t>
  </si>
  <si>
    <t>Tentative First Repayment Date</t>
  </si>
  <si>
    <t>Previous RAKNet Version-&gt;Personal banking-&gt;Tools-&gt; Personal Loan Calculator LOAN Calculator -&gt; Tentative First Repayment Date</t>
  </si>
  <si>
    <t>Promo Period</t>
  </si>
  <si>
    <t>Previous RAKNet Version-&gt;Personal banking-&gt;Tools-&gt; Personal Loan Calculator LOAN Calculator -&gt; Promo Period</t>
  </si>
  <si>
    <t>Previous RAKNet Version-&gt;Personal banking-&gt;Tools-&gt; Personal Loan Calculator LOAN Calculator -&gt; Product</t>
  </si>
  <si>
    <t>Promotion Days</t>
  </si>
  <si>
    <t>Previous RAKNet Version-&gt;Personal banking-&gt;Tools-&gt; Personal Loan Calculator LOAN Calculator -&gt; Promotion Days</t>
  </si>
  <si>
    <t>Previous RAKNet Version-&gt;Personal banking-&gt;Tools-&gt; Personal Loan Calculator LOAN Calculator -&gt; EMI</t>
  </si>
  <si>
    <t>Previous RAKNet Version-&gt;Personal banking-&gt;Tools-&gt; Personal Loan Calculator LOAN Calculator -&gt; Total Interest</t>
  </si>
  <si>
    <t>EMI without Moratorium Interest</t>
  </si>
  <si>
    <t>Previous RAKNet Version-&gt;Personal banking-&gt;Tools-&gt; Personal Loan Calculator LOAN Calculator -&gt; Print -&gt; EMI without Moratorium Interest</t>
  </si>
  <si>
    <t>Personal Loan Calculator: Repayment Schedule</t>
  </si>
  <si>
    <t>Previous RAKNet Version-&gt;Personal banking-&gt;Tools-&gt; Personal Loan Calculator LOAN Calculator -&gt; Installment Number</t>
  </si>
  <si>
    <t>Previous RAKNet Version-&gt;Personal banking-&gt;Tools-&gt; Personal Loan Calculator LOAN Calculator -&gt; Due Date</t>
  </si>
  <si>
    <t>Previous RAKNet Version-&gt;Personal banking-&gt;Tools-&gt; Personal Loan Calculator LOAN Calculator -&gt; Installment Amount</t>
  </si>
  <si>
    <t>Interest For Days</t>
  </si>
  <si>
    <t>Previous RAKNet Version-&gt;Personal banking-&gt;Tools-&gt; Personal Loan Calculator LOAN Calculator -&gt; Interest For Days</t>
  </si>
  <si>
    <t>Previous RAKNet Version-&gt;Personal banking-&gt;Tools-&gt; Personal Loan Calculator LOAN Calculator -&gt; Amount taken towards principle</t>
  </si>
  <si>
    <t>Previous RAKNet Version-&gt;Personal banking-&gt;Tools-&gt; Personal Loan Calculator LOAN Calculator -&gt; Amount taken towards Interest</t>
  </si>
  <si>
    <t>Previous RAKNet Version-&gt;Personal banking-&gt;Tools-&gt; Personal Loan Calculator LOAN Calculator -&gt; Principle Outstanding after repayment</t>
  </si>
  <si>
    <t>Amount taken towards Moratorium Interest</t>
  </si>
  <si>
    <t>Previous RAKNet Version-&gt;Personal banking-&gt;Tools-&gt; Personal Loan Calculator LOAN Calculator -&gt; Amount taken towards Moratorium Interest</t>
  </si>
  <si>
    <t>Dispute Number</t>
  </si>
  <si>
    <t>Dispute Form Delivery</t>
  </si>
  <si>
    <t>RAKFLUX -&gt; Reports -&gt; CreditCArd Dispute Report -&gt; Dispute No</t>
  </si>
  <si>
    <t>RAKFLUX -&gt; Reports -&gt; CreditCArd Dispute Report -&gt; Credit Card No</t>
  </si>
  <si>
    <t xml:space="preserve">Dispute Reason </t>
  </si>
  <si>
    <t>RAKFLUX -&gt; Reports -&gt; CreditCArd Dispute Report -&gt; Dispute Reason</t>
  </si>
  <si>
    <t>Report Sent By</t>
  </si>
  <si>
    <t>RAKFLUX -&gt; Reports -&gt; CreditCArd Dispute Report -&gt; Input By</t>
  </si>
  <si>
    <t>RAKFLUX -&gt; Reports -&gt; CreditCArd Dispute Report -&gt; Input DateTime</t>
  </si>
  <si>
    <t>Reference No</t>
  </si>
  <si>
    <t>Prepaid Card Onboarding</t>
  </si>
  <si>
    <t>CARDNET-&gt;Enquiry-&gt;Reference No</t>
  </si>
  <si>
    <t>NUMERIC</t>
  </si>
  <si>
    <t>CARDNET</t>
  </si>
  <si>
    <t>SVC_REQUEST_DETAILS_T</t>
  </si>
  <si>
    <t>REQUESTID</t>
  </si>
  <si>
    <t>CARDNET-&gt;Enquiry-&gt;Request Date</t>
  </si>
  <si>
    <t>dd/mm/yy</t>
  </si>
  <si>
    <t>Source of Request</t>
  </si>
  <si>
    <t>CARDNET-&gt;Enquiry-&gt;Source of Request</t>
  </si>
  <si>
    <t>CARDNET-&gt;Enquiry-&gt;Customer Name</t>
  </si>
  <si>
    <t>CUST_FIRSTNAME+ CUST_MIDDLENAME +CUST_LASTNAME</t>
  </si>
  <si>
    <t>Passport No</t>
  </si>
  <si>
    <t>CARDNET-&gt;Enquiry-&gt;Passport No</t>
  </si>
  <si>
    <t>PASSPORT_NO</t>
  </si>
  <si>
    <t>CARDNET-&gt;Enquiry-&gt;Nationality</t>
  </si>
  <si>
    <t>SELECT * FROM SVC_COUNTRY_M WITH(NOLOCK) ORDER BY DESCRIPTION</t>
  </si>
  <si>
    <t>CARDNET-&gt;Enquiry-&gt;Date of Birth</t>
  </si>
  <si>
    <t>YYYY-MM-DD 00:00:00.000</t>
  </si>
  <si>
    <t>Mobile No</t>
  </si>
  <si>
    <t>CARDNET-&gt;Enquiry-&gt;Mobile No</t>
  </si>
  <si>
    <t>Country Code + Mobile No</t>
  </si>
  <si>
    <t>Request Status</t>
  </si>
  <si>
    <t>CARDNET-&gt;Enquiry-&gt;Request Status</t>
  </si>
  <si>
    <t>STATUS_ID</t>
  </si>
  <si>
    <t>Infobip -&gt; Analyze -&gt; Logs -&gt; From date</t>
  </si>
  <si>
    <t>Infobip -&gt; Analyze -&gt; Logs -&gt; To</t>
  </si>
  <si>
    <t>Infobip -&gt; Analyze -&gt; Logs -&gt; Communication</t>
  </si>
  <si>
    <t>Communication Direction</t>
  </si>
  <si>
    <t>Infobip -&gt; Analyze -&gt; Logs -&gt;  Icon Value - Outbound Email/SMS etc.</t>
  </si>
  <si>
    <t>Message From</t>
  </si>
  <si>
    <t>Infobip -&gt; Analyze -&gt; Logs -&gt; From</t>
  </si>
  <si>
    <t>Communication Type</t>
  </si>
  <si>
    <t xml:space="preserve">Infobip -&gt; Analyze -&gt; Logs -&gt; Email Icon /SMS Icon </t>
  </si>
  <si>
    <t>Infobip -&gt; Analyze -&gt; Logs -&gt; Status</t>
  </si>
  <si>
    <t>Reason Field</t>
  </si>
  <si>
    <t>Infobip -&gt; Analyze -&gt; Logs -&gt; Reason</t>
  </si>
  <si>
    <t>Network</t>
  </si>
  <si>
    <t>Infobip -&gt; Analyze -&gt; Logs -&gt; Network</t>
  </si>
  <si>
    <t>Message Content</t>
  </si>
  <si>
    <t>Infobip -&gt; Analyze -&gt; Logs -&gt; Click and show the full message body</t>
  </si>
  <si>
    <t>Infobip -&gt; Analyze -&gt; Logs -&gt;To Date</t>
  </si>
  <si>
    <t xml:space="preserve">Infobip CSV files are placed in ADLS path --&gt; Databricks notebook run for each file --&gt;Paraquet files --&gt; ADF pipeline --&gt; MS SQL </t>
  </si>
  <si>
    <t>Continuous</t>
  </si>
  <si>
    <t>Infobip --&gt; NGINX --&gt; Produce API --&gt; Confluent Kafka topic --&gt; Flink transformation job to transform data into 5 to 6 format (one for each comm type)---&gt; MS SQL Sink connector --&gt;CRM DB</t>
  </si>
  <si>
    <t>Infobip --&gt; NGINX --&gt; Produce API --&gt; Confluent Kafka topic --&gt; ADLS Sink connector --&gt; Raw data placed in ADLS as paraquet files</t>
  </si>
  <si>
    <t>Booking Date</t>
  </si>
  <si>
    <t>Delivery Enquiry</t>
  </si>
  <si>
    <t>Team Express Portal-&gt;Operations-&gt;AWB Tracking-&gt;Booking Date</t>
  </si>
  <si>
    <t>Label</t>
  </si>
  <si>
    <t>varchar(45)</t>
  </si>
  <si>
    <t>Created date</t>
  </si>
  <si>
    <t>"shipment_created_date"</t>
  </si>
  <si>
    <t>Exposed via api</t>
  </si>
  <si>
    <t>Booking Number</t>
  </si>
  <si>
    <t>Team Express Portal-&gt;Operations-&gt;AWB Tracking-&gt;Booking Number</t>
  </si>
  <si>
    <t>varchar(255)</t>
  </si>
  <si>
    <t>AWB No</t>
  </si>
  <si>
    <t>"awb_no"</t>
  </si>
  <si>
    <t>Current Status</t>
  </si>
  <si>
    <t>Team Express Portal-&gt;Operations-&gt;AWB Tracking-&gt;Current Status</t>
  </si>
  <si>
    <t>Shipment status / Activity name</t>
  </si>
  <si>
    <t>"shipment_status"</t>
  </si>
  <si>
    <t>Receiver Name</t>
  </si>
  <si>
    <t>Team Express Portal-&gt;Operations-&gt;AWB Tracking-&gt;Receiver Name</t>
  </si>
  <si>
    <t>Company Name / Name</t>
  </si>
  <si>
    <t>"shipment_user_company_name",
"shipment_user_name"</t>
  </si>
  <si>
    <t>Receiver Address</t>
  </si>
  <si>
    <t>Team Express Portal-&gt;Operations-&gt;AWB Tracking-&gt;Receiver Address</t>
  </si>
  <si>
    <t>Address Line 1, Address Line 2, Address Line 3,</t>
  </si>
  <si>
    <t>"address_line_1", "address_line_2", " address_line_3"
"city", "state"</t>
  </si>
  <si>
    <t>Location</t>
  </si>
  <si>
    <t xml:space="preserve"> Team Express Portal-&gt;Operations-&gt;AWB Tracking-&gt; Location </t>
  </si>
  <si>
    <t>Latitude, Longitude</t>
  </si>
  <si>
    <t>Team Express Portal-&gt;Operations-&gt;AWB Tracking-&gt; Country</t>
  </si>
  <si>
    <t>"country"</t>
  </si>
  <si>
    <t>Pieces</t>
  </si>
  <si>
    <t>Team Express Portal-&gt;Operations-&gt;AWB Tracking-&gt;Pieces</t>
  </si>
  <si>
    <t>Int</t>
  </si>
  <si>
    <t>Package information</t>
  </si>
  <si>
    <t>"package_quantity", "package_weight", "package_dimension"</t>
  </si>
  <si>
    <t>Item Description</t>
  </si>
  <si>
    <t>Team Express Portal-&gt;Operations-&gt;AWB Tracking-&gt;Item Description</t>
  </si>
  <si>
    <t>"package_description"</t>
  </si>
  <si>
    <t>Delivery History Enquiry</t>
  </si>
  <si>
    <t>Team Express Portal-&gt;Operations-&gt;AWB Tracking-&gt;Date + Team Express Portal-&gt;Operations-&gt;AWB Tracking-&gt;Time</t>
  </si>
  <si>
    <t>"activity_created_date"</t>
  </si>
  <si>
    <t>Team Express Portal-&gt;Operations-&gt;AWB Tracking-&gt;Location</t>
  </si>
  <si>
    <t xml:space="preserve">Address Line 1, Address Line 2, Address Line 3, City, State </t>
  </si>
  <si>
    <t>Team Express Portal-&gt;Operations-&gt;AWB Tracking-&gt;Status</t>
  </si>
  <si>
    <t>Status Details</t>
  </si>
  <si>
    <t>Team Express Portal-&gt;Operations-&gt;AWB Tracking-&gt;Status Details</t>
  </si>
  <si>
    <t>Tracking Information</t>
  </si>
  <si>
    <t>CIF</t>
  </si>
  <si>
    <t>Bank Auth Representative</t>
  </si>
  <si>
    <t xml:space="preserve">Calculated field based on the Customer name and Document ID in Bank Auth representative mapped with CIF number in Finacle </t>
  </si>
  <si>
    <t>Representative Name</t>
  </si>
  <si>
    <t>Auth Representative -&gt; Representative Name</t>
  </si>
  <si>
    <t>Representative Designation</t>
  </si>
  <si>
    <t>Auth Representative -&gt; Representative Designation</t>
  </si>
  <si>
    <t>Document Type</t>
  </si>
  <si>
    <t>Authorized Representative Relationship Details</t>
  </si>
  <si>
    <t>Auth Representative -&gt; Document Type</t>
  </si>
  <si>
    <t>Auth Representative -&gt; Document ID</t>
  </si>
  <si>
    <t>Document Expiry</t>
  </si>
  <si>
    <t>Auth Representative -&gt; Document Expiry</t>
  </si>
  <si>
    <t>Authorized Representative</t>
  </si>
  <si>
    <t>Authorized Representatives -&gt; Deliverables -&gt; Representative Name
Authorized Representatives -&gt; Financial Services -&gt; Representative Name</t>
  </si>
  <si>
    <t>Authorized Representatives -&gt; Deliverables -&gt; Representative Designation
Authorized Representatives -&gt; Financial Services -&gt; Representative Designation</t>
  </si>
  <si>
    <t>Authorized Representatives -&gt; Deliverables -&gt; Document Type
Authorized Representatives -&gt; Financial Services -&gt; Document Type</t>
  </si>
  <si>
    <t>Authorized Representatives -&gt; Deliverables -&gt; Document ID
Authorized Representatives -&gt; Financial Services -&gt; Document ID</t>
  </si>
  <si>
    <t>Authorized Representatives -&gt; Deliverables -&gt; Document Expiry
Authorized Representatives -&gt; Financial Services -&gt; Document Expiry</t>
  </si>
  <si>
    <t>Balance Confirmation Letter</t>
  </si>
  <si>
    <t>Authorized Representative: Deliverables</t>
  </si>
  <si>
    <t>Authorized Representatives -&gt; Deliverables -&gt; Balance Confirmation Letter</t>
  </si>
  <si>
    <t>Cancelled Security Cheque</t>
  </si>
  <si>
    <t>Authorized Representatives -&gt; Deliverables -&gt; Cancelled Security Cheque</t>
  </si>
  <si>
    <t>Cheque Book</t>
  </si>
  <si>
    <t>Authorized Representatives -&gt; Deliverables -&gt; Cheque Book</t>
  </si>
  <si>
    <t>Cheque Returns (All types)</t>
  </si>
  <si>
    <t>Authorized Representatives -&gt; Deliverables -&gt; Cheque Returns (All types)</t>
  </si>
  <si>
    <t>Hold Mail</t>
  </si>
  <si>
    <t>Authorized Representatives -&gt; Deliverables -&gt; Hold Mail</t>
  </si>
  <si>
    <t>IBAN Letter</t>
  </si>
  <si>
    <t>Authorized Representatives -&gt; Deliverables -&gt; IBAN Letter</t>
  </si>
  <si>
    <t>Liability Certificate</t>
  </si>
  <si>
    <t>Authorized Representatives -&gt; Deliverables -&gt; Liability Certificate</t>
  </si>
  <si>
    <t>Managers Cheques (All types)</t>
  </si>
  <si>
    <t>Authorized Representatives -&gt; Deliverables -&gt; Managers Cheques (All types)</t>
  </si>
  <si>
    <t>No Liability Certificate</t>
  </si>
  <si>
    <t>Authorized Representatives -&gt; Deliverables -&gt; No Liability Certificate</t>
  </si>
  <si>
    <t>Payment Advice</t>
  </si>
  <si>
    <t>Authorized Representatives -&gt; Deliverables -&gt; Payment Advice</t>
  </si>
  <si>
    <t>Reference Letter</t>
  </si>
  <si>
    <t>Authorized Representatives -&gt; Deliverables -&gt; Reference Letter</t>
  </si>
  <si>
    <t>Statements (All)</t>
  </si>
  <si>
    <t>Authorized Representatives -&gt; Deliverables -&gt; Statements (All)</t>
  </si>
  <si>
    <t>Swift Copy</t>
  </si>
  <si>
    <t>Authorized Representatives -&gt; Deliverables -&gt; Swift Copy</t>
  </si>
  <si>
    <t>Trade Finance Documents</t>
  </si>
  <si>
    <t>Authorized Representatives -&gt; Deliverables -&gt; Trade Finance Documents</t>
  </si>
  <si>
    <t>Welcome Letter</t>
  </si>
  <si>
    <t>Authorized Representatives -&gt; Deliverables -&gt; Welcome Letter</t>
  </si>
  <si>
    <t>Withdrawn PDCs</t>
  </si>
  <si>
    <t>Authorized Representatives -&gt; Deliverables -&gt; Withdrawn PDCs</t>
  </si>
  <si>
    <t>Electronic Funds Transfer</t>
  </si>
  <si>
    <t>Authorized Representative: Financial Services</t>
  </si>
  <si>
    <t>Authorized Representatives -&gt; Financial Services -&gt; Electronic Funds Transfer</t>
  </si>
  <si>
    <t>Funds transfer within RAKBank</t>
  </si>
  <si>
    <t>Authorized Representatives -&gt; Financial Services -&gt; Funds transfer within RAKBank</t>
  </si>
  <si>
    <t>PayHubPlus - Outward</t>
  </si>
  <si>
    <t>Instant Payment Enquiry</t>
  </si>
  <si>
    <t>Payment Hub Plus</t>
  </si>
  <si>
    <t>Pay hub plus-&gt;Application-&gt;NPSS-&gt;Electronic payments-&gt;Customer Transfers-&gt;Real time payments-&gt;Channel</t>
  </si>
  <si>
    <t>RTH_Channel</t>
  </si>
  <si>
    <t>NPSS_RTPaymentsHdr_Out.RTH_MsgGenDt = NPSS_RTPaymentsDtl_OutExn.RTD_MsgGenDt AND NPSS_RTPaymentsHdr_Out.RTH_RefID = NPSS_RTPaymentsDtl_OutExn.RTD_RefID 
And NPSS_RTPaymentsDtl_OutExn.RTD_CIFNNo=accounts.orgkey</t>
  </si>
  <si>
    <t>VARCHAR(10 )</t>
  </si>
  <si>
    <t>-File    -Internet Banking
-Mobile Banking         -Overlay P2B                -Overlay P2P                -System       -System Dispute Return</t>
  </si>
  <si>
    <t>RTH_Channel(Channel)</t>
  </si>
  <si>
    <t>Message ID</t>
  </si>
  <si>
    <t>Pay hub plus-&gt;Application-&gt;NPSS-&gt;Electronic payments-&gt;Customer Transfers-&gt;Real time payments-&gt;Msg Id</t>
  </si>
  <si>
    <t>RTH_MsgId</t>
  </si>
  <si>
    <t>VARCHAR(35)</t>
  </si>
  <si>
    <t>RTH_MsgId(Message ID)</t>
  </si>
  <si>
    <t>Pay hub plus-&gt;Application-&gt;NPSS-&gt;Electronic payments-&gt;Customer Transfers-&gt;Real time payments-&gt;Txn Id</t>
  </si>
  <si>
    <t>RTD_Pmt_TxId</t>
  </si>
  <si>
    <t>NPSS_RTPaymentsHdr_Out.RTH_MsgGenDt = NPSS_RTPaymentsDtl_OutExn.RTD_MsgGenDt AND 
NPSS_RTPaymentsHdr_Out.RTH_RefID = NPSS_RTPaymentsDtl_OutExn.RTD_RefID 
INNER JOIN  NPSS_RTPaymentsDtl_Out
ON NPSS_RTPaymentsHdr_Out.RTH_MsgGenDt = NPSS_RTPaymentsHdr_Out.RTD_MsgGenDt AND NPSS_RTPaymentsHdr_Out.RTH_RefID = NPSS_RTPaymentsHdr_Out.RTD_RefID And NPSS_RTPaymentsDtl_OutExn.RTD_CIFNNo=accounts.orgkey</t>
  </si>
  <si>
    <t>RTD_Pmt_TxId(Transaction ID)</t>
  </si>
  <si>
    <t>Pay hub plus-&gt;Application-&gt;NPSS-&gt;Electronic payments-&gt;Customer Transfers-&gt;Real time payments-&gt;Value Date</t>
  </si>
  <si>
    <t>RTH_IntrBkSttlmDt</t>
  </si>
  <si>
    <t>RTH_IntrBkSttlmDt(Value Date)</t>
  </si>
  <si>
    <t>Receiver Bank</t>
  </si>
  <si>
    <t>Pay hub plus-&gt;Application-&gt;NPSS-&gt;Electronic payments-&gt;Customer Transfers-&gt;Real time payments-&gt;Receiver Bank</t>
  </si>
  <si>
    <t>RTH_CrAgt_Fin_BIC</t>
  </si>
  <si>
    <t>VARCHAR(11)</t>
  </si>
  <si>
    <t>RTH_CrAgt_Fin_BIC(Receiver Bank)</t>
  </si>
  <si>
    <t>Sender</t>
  </si>
  <si>
    <t>Pay hub plus-&gt;Application-&gt;NPSS-&gt;Electronic payments-&gt;Customer Transfers-&gt;Real time payments-&gt;Sender</t>
  </si>
  <si>
    <t>RTD_DbAcc_Id_IBAN,RTD_DbAcc_Id_Oth_Id</t>
  </si>
  <si>
    <t>if sender acc type = IBAN Then selecting value from RTD_DbAcc_Id_IBAN else(Account type = Other) from RTD_DbAcc_Id_Oth_Id</t>
  </si>
  <si>
    <t>RTD_DbAcc_Id_IBAN,RTD_DbAcc_Id_Oth_Id(Sender)</t>
  </si>
  <si>
    <t>Sender Mobile</t>
  </si>
  <si>
    <t>Pay hub plus-&gt;Application-&gt;NPSS-&gt;Electronic payments-&gt;Customer Transfers-&gt;Real time payments-&gt;Sender Mobile</t>
  </si>
  <si>
    <t>RTD_SenderMobile</t>
  </si>
  <si>
    <t>NPSS_RTPaymentsDtl_OutExn.RTD_CIFNNo=accounts.orgkey</t>
  </si>
  <si>
    <t>23,5</t>
  </si>
  <si>
    <t>RTD_SenderMobile(Sender Mobile)</t>
  </si>
  <si>
    <t>Pay hub plus-&gt;Application-&gt;NPSS-&gt;Electronic payments-&gt;Customer Transfers-&gt;Real time payments-&gt;Amount</t>
  </si>
  <si>
    <t>RTD_IntrBkSttlmAmt</t>
  </si>
  <si>
    <t>NUMERIC(23,5)</t>
  </si>
  <si>
    <t>RTD_IntrBkSttlmAmt(Amount)</t>
  </si>
  <si>
    <t>Pay hub plus-&gt;Application-&gt;NPSS-&gt;Electronic payments-&gt;Customer Transfers-&gt;Real time payments-&gt;Settlement Amount</t>
  </si>
  <si>
    <t>xml</t>
  </si>
  <si>
    <t>RTD_CdtTxnInfoXML(Settlement Amount)</t>
  </si>
  <si>
    <t>Settlement Status</t>
  </si>
  <si>
    <t>Pay hub plus-&gt;Application-&gt;NPSS-&gt;Electronic payments-&gt;Customer Transfers-&gt;Real time payments-&gt;Settlement Status</t>
  </si>
  <si>
    <t>SettlementStatus</t>
  </si>
  <si>
    <t xml:space="preserve">npss_rtpaymentshdr_out.RTH_IPPStatus = NPSS_PaymentsStatusConfig.IPPSTATUS &amp; npss_rtpaymentshdr_out.RTH_PostingStatus= NPSS_PaymentsStatusConfig.PostStatus
 </t>
  </si>
  <si>
    <t>NPSS_PaymentsStatusConfig.TxnDirection = Inward, NPSS_PaymentsStatusConfig.TxnType- RealTime</t>
  </si>
  <si>
    <t>VARCHAR(30)</t>
  </si>
  <si>
    <t>SettlementStatus(Settlement Status)</t>
  </si>
  <si>
    <t>Pay hub plus-&gt;Application-&gt;NPSS-&gt;Electronic payments-&gt;Customer Transfers-&gt;Real time payments-&gt;Current Status</t>
  </si>
  <si>
    <t>CurrentStatus</t>
  </si>
  <si>
    <t>CurrentStatus(Current Status)</t>
  </si>
  <si>
    <t>Pay hub plus-&gt;Application-&gt;NPSS-&gt;Electronic payments-&gt;Customer Transfers-&gt;Real time payments-&gt;Action-&gt;view-&gt;Amount -&gt; Settlement Date</t>
  </si>
  <si>
    <t>RTH_MsgGenDt(Settlement Date)</t>
  </si>
  <si>
    <t>Creditor Name</t>
  </si>
  <si>
    <t>Pay hub plus-&gt;Application-&gt;NPSS-&gt;Electronic payments-&gt;Customer Transfers-&gt;Real time payments-&gt;Action-&gt;view-&gt; Name</t>
  </si>
  <si>
    <t>NPSS_RTPaymentsDtl_Outexn</t>
  </si>
  <si>
    <t>RTD_CdtrNm</t>
  </si>
  <si>
    <t>npss_rtpaymentsdtl_outexn.RTD_MsgGenDt = npss_rtpaymentsdtl_out.RTD_MsgGenDt AND npss_rtpaymentsdtl_outexn.RTD_RefID = npss_rtpaymentsdtl_out.RTD_RefID AND NPSS_RTPaymentsHdr_Out.RTH_MsgGenDt = NPSS_RTPaymentsDtl_OutExn.RTD_MsgGenDt AND 
NPSS_RTPaymentsHdr_Out.RTH_RefID = NPSS_RTPaymentsDtl_OutExn.RTD_RefID 
INNER JOIN  NPSS_RTPaymentsDtl_Out
ON NPSS_RTPaymentsHdr_Out.RTH_MsgGenDt = NPSS_RTPaymentsHdr_Out.RTD_MsgGenDt AND NPSS_RTPaymentsHdr_Out.RTH_RefID = NPSS_RTPaymentsHdr_Out.RTD_RefID And NPSS_RTPaymentsDtl_OutExn.RTD_CIFNNo=accounts.orgkey</t>
  </si>
  <si>
    <t>RTD_CdtTxnInfoXML(Creditor Name)</t>
  </si>
  <si>
    <t>Creditor Bank</t>
  </si>
  <si>
    <t>Pay hub plus-&gt;Application-&gt;NPSS-&gt;Electronic payments-&gt;Customer Transfers-&gt;Real time payments-&gt;Action-&gt;view-&gt; Creditor Agent</t>
  </si>
  <si>
    <t>npss_rtpaymentshdr_out.RTH_CrAgt_Fin_BIC = NPSS_EntityMaster.ENT_BICCode  AND NPSS_RTPaymentsHdr_Out.RTH_MsgGenDt = NPSS_RTPaymentsDtl_OutExn.RTD_MsgGenDt AND 
NPSS_RTPaymentsHdr_Out.RTH_RefID = NPSS_RTPaymentsDtl_OutExn.RTD_RefID 
INNER JOIN  NPSS_RTPaymentsDtl_Out
ON NPSS_RTPaymentsHdr_Out.RTH_MsgGenDt = NPSS_RTPaymentsHdr_Out.RTD_MsgGenDt AND NPSS_RTPaymentsHdr_Out.RTH_RefID = NPSS_RTPaymentsHdr_Out.RTD_RefID And NPSS_RTPaymentsDtl_OutExn.RTD_CIFNNo=accounts.orgkey</t>
  </si>
  <si>
    <t>RTD_CdtTxnInfoXML(Creditor Bank)</t>
  </si>
  <si>
    <t>Creditor IBAN</t>
  </si>
  <si>
    <t>Pay hub plus-&gt;Application-&gt;NPSS-&gt;Electronic payments-&gt;Customer Transfers-&gt;Real time payments-&gt;Action-&gt;view-&gt; IBAN</t>
  </si>
  <si>
    <t>RTD_CrAcc_Id_IBAN</t>
  </si>
  <si>
    <t>RTD_CdtTxnInfoXML(Creditor IBAN)</t>
  </si>
  <si>
    <t>Issuer</t>
  </si>
  <si>
    <t>Pay hub plus-&gt;Application-&gt;NPSS-&gt;Electronic payments-&gt;Customer Transfers-&gt;Real time payments-&gt; Action -&gt; View -&gt; Outward-&gt; Debtor -&gt; Issuer</t>
  </si>
  <si>
    <t>RTD_CdtTxnInfoXML</t>
  </si>
  <si>
    <t>xpath_string(RTD_CdtTxnInfoXML,'(/CdtTrfTxInf/Dbtr/Id/PrvtId/Othr/Issr | /CdtTrfTxInf/Dbtr/Id/OrgId/Othr/Issr)/text()')</t>
  </si>
  <si>
    <t>RTD_CdtTxnInfoXML(Issuer)</t>
  </si>
  <si>
    <t>Sender Bank Name</t>
  </si>
  <si>
    <t>Pay hub plus-&gt;Application-&gt;NPSS-&gt;Electronic payments-&gt;Customer Transfers-&gt;Real time payments-&gt; Action -&gt; View -&gt; Outward-&gt; Debtor -&gt; Bank</t>
  </si>
  <si>
    <t>npss_rtpaymentshdr_out.RTH_DbAgt_Fin_BIC= NPSS_EntityMaster.ENT_BICCode  AND NPSS_RTPaymentsHdr_Out.RTH_MsgGenDt = NPSS_RTPaymentsDtl_OutExn.RTD_MsgGenDt AND 
NPSS_RTPaymentsHdr_Out.RTH_RefID = NPSS_RTPaymentsDtl_OutExn.RTD_RefID 
INNER JOIN  NPSS_RTPaymentsDtl_Out
ON NPSS_RTPaymentsHdr_Out.RTH_MsgGenDt = NPSS_RTPaymentsHdr_Out.RTD_MsgGenDt AND NPSS_RTPaymentsHdr_Out.RTH_RefID = NPSS_RTPaymentsHdr_Out.RTD_RefID And NPSS_RTPaymentsDtl_OutExn.RTD_CIFNNo=accounts.orgkey</t>
  </si>
  <si>
    <t>RTD_CdtTxnInfoXML(Sender Bank Name)</t>
  </si>
  <si>
    <t>Sender Account Type</t>
  </si>
  <si>
    <t>Pay hub plus-&gt;Application-&gt;NPSS-&gt;Electronic payments-&gt;Customer Transfers-&gt;Real time payments-&gt; Action -&gt; View -&gt; Outward -&gt; Debtor -&gt; Account Type</t>
  </si>
  <si>
    <t xml:space="preserve">Select Module_Config.Description from (select xpath_string(RTD_CdtTxnInfoXML, '/CdtTrfTxInf/DbtrAcct/Tp/Cd/text()') as AccountTypeCode, * from NPSS_RTPaymentsDtl_Out) A
JOIN Module_Config ON A.AccountTypeCode = Module_Config.Code AND  type ='ExternalCashAccountTypeCode'
</t>
  </si>
  <si>
    <t>RTD_CdtTxnInfoXML(Sender Account Type)</t>
  </si>
  <si>
    <t>Sender IBAN</t>
  </si>
  <si>
    <t>Pay hub plus-&gt;Application-&gt;NPSS-&gt;Electronic payments-&gt;Customer Transfers-&gt;Real time payments-&gt; Action -&gt; View -&gt; Outward -&gt; Debtor -&gt; IBAN</t>
  </si>
  <si>
    <t>RTD_DbAcc_Id_IBAN</t>
  </si>
  <si>
    <t>RTD_CdtTxnInfoXML(Sender Account IBAN)</t>
  </si>
  <si>
    <t>Sender Name</t>
  </si>
  <si>
    <t>Pay hub plus-&gt;Application-&gt;NPSS-&gt;Electronic payments-&gt;Customer Transfers-&gt;Real time payments-&gt; Action -&gt; View -&gt; Outward-&gt; Debtor -&gt; Name</t>
  </si>
  <si>
    <t>npss_rtpaymentsdtl_outexn</t>
  </si>
  <si>
    <t>RTD_DbtrNm</t>
  </si>
  <si>
    <t>RTD_CdtTxnInfoXML(Sender Name)</t>
  </si>
  <si>
    <t>Charge Type</t>
  </si>
  <si>
    <t>Pay hub plus-&gt;Application-&gt;NPSS-&gt;Electronic payments-&gt;Customer Transfers-&gt;Real time payments-&gt;Action-&gt;view-&gt;Charge</t>
  </si>
  <si>
    <r>
      <rPr>
        <sz val="11"/>
        <color rgb="FF000000"/>
        <rFont val="Aptos Narrow"/>
        <family val="2"/>
        <scheme val="minor"/>
      </rPr>
      <t xml:space="preserve"> xpath_string(RTD_CdtTxnInfoXML, </t>
    </r>
    <r>
      <rPr>
        <sz val="10"/>
        <color rgb="FFC72E0F"/>
        <rFont val="Menlo"/>
      </rPr>
      <t>'/CdtTrfTxInf/ChrgBr/text()'</t>
    </r>
    <r>
      <rPr>
        <sz val="10"/>
        <color rgb="FF3B3B3B"/>
        <rFont val="Menlo"/>
      </rPr>
      <t>)</t>
    </r>
  </si>
  <si>
    <t>RTD_CdtTxnInfoXML(Charge Type)</t>
  </si>
  <si>
    <t>Remittance Line 1</t>
  </si>
  <si>
    <t>Pay hub plus-&gt;Application-&gt;NPSS-&gt;Electronic payments-&gt;Customer Transfers-&gt;Real time payments-&gt;Action-&gt;view-&gt;Remittance Information -&gt; Line 1</t>
  </si>
  <si>
    <t>If Remittance contain seperator "~", split with seperator in multiple Remittance lines accordingly</t>
  </si>
  <si>
    <r>
      <rPr>
        <sz val="11"/>
        <color rgb="FF000000"/>
        <rFont val="Aptos Narrow"/>
        <family val="2"/>
        <scheme val="minor"/>
      </rPr>
      <t xml:space="preserve">xpath_string(RTD_CdtTxnInfoXML, </t>
    </r>
    <r>
      <rPr>
        <sz val="10"/>
        <color rgb="FFC72E0F"/>
        <rFont val="Menlo"/>
      </rPr>
      <t>'/CdtTrfTxInf/RmtInf/Ustrd/text()'</t>
    </r>
    <r>
      <rPr>
        <sz val="10"/>
        <color rgb="FF3B3B3B"/>
        <rFont val="Menlo"/>
      </rPr>
      <t>)</t>
    </r>
  </si>
  <si>
    <t>RTD_CdtTxnInfoXML(Remittance Line 1)</t>
  </si>
  <si>
    <t>Remittance Line 2</t>
  </si>
  <si>
    <t>Pay hub plus-&gt;Application-&gt;NPSS-&gt;Electronic payments-&gt;Customer Transfers-&gt;Real time payments-&gt;Action-&gt;view-&gt;Remittance Information -&gt; Line 2</t>
  </si>
  <si>
    <r>
      <t xml:space="preserve">xpath_string(RTD_CdtTxnInfoXML, </t>
    </r>
    <r>
      <rPr>
        <sz val="10"/>
        <color rgb="FFC72E0F"/>
        <rFont val="Menlo"/>
        <charset val="1"/>
      </rPr>
      <t>'/CdtTrfTxInf/RmtInf/Ustrd/text()'</t>
    </r>
    <r>
      <rPr>
        <sz val="10"/>
        <color rgb="FF3B3B3B"/>
        <rFont val="Menlo"/>
        <charset val="1"/>
      </rPr>
      <t>)</t>
    </r>
  </si>
  <si>
    <t>RTD_CdtTxnInfoXML(Remittance Line 2)</t>
  </si>
  <si>
    <t>Remittance Line 3</t>
  </si>
  <si>
    <t>Pay hub plus-&gt;Application-&gt;NPSS-&gt;Electronic payments-&gt;Customer Transfers-&gt;Real time payments-&gt;Action-&gt;view-&gt;Remittance Information -&gt; Line 3</t>
  </si>
  <si>
    <t>RTD_CdtTxnInfoXML(Remittance Line 3)</t>
  </si>
  <si>
    <t>Remittance Line 4</t>
  </si>
  <si>
    <t>Pay hub plus-&gt;Application-&gt;NPSS-&gt;Electronic payments-&gt;Customer Transfers-&gt;Real time payments-&gt;Action-&gt;view-&gt;Remittance Information -&gt; Line 4</t>
  </si>
  <si>
    <t>RTD_CdtTxnInfoXML(Remittance Line 4)</t>
  </si>
  <si>
    <t>Category Purpose Proprietary</t>
  </si>
  <si>
    <t>Pay hub plus-&gt;Application-&gt;NPSS-&gt;Electronic payments-&gt;Customer Transfers-&gt;Real time payments-&gt;Action-&gt;view-&gt; Additional Information -&gt; Category Purpose Proprietary</t>
  </si>
  <si>
    <r>
      <rPr>
        <sz val="11"/>
        <color rgb="FF000000"/>
        <rFont val="Aptos Narrow"/>
        <family val="2"/>
        <scheme val="minor"/>
      </rPr>
      <t xml:space="preserve">xpath_string(RTD_CdtTxnInfoXML, </t>
    </r>
    <r>
      <rPr>
        <sz val="10"/>
        <color rgb="FFC72E0F"/>
        <rFont val="Menlo"/>
      </rPr>
      <t>'/CdtTrfTxInf/PmtTpInf/CtgyPurp/Prtry/text()'</t>
    </r>
    <r>
      <rPr>
        <sz val="10"/>
        <color rgb="FF3B3B3B"/>
        <rFont val="Menlo"/>
      </rPr>
      <t>)</t>
    </r>
  </si>
  <si>
    <t>RTD_CdtTxnInfoXML(Category Purpose Proprietary)</t>
  </si>
  <si>
    <t>Pay hub plus-&gt;Application-&gt;NPSS-&gt;Electronic payments-&gt;Customer Transfers-&gt;Real time payments-&gt;Action-&gt;view-&gt; Additional Information -&gt; Purpose Code</t>
  </si>
  <si>
    <t>xpath_string(RTD_CdtTxnInfoXML, '/CdtTrfTxInf/Purp/Cd/text()')</t>
  </si>
  <si>
    <t>RTD_CdtTxnInfoXML(Purpose Code)</t>
  </si>
  <si>
    <t>Sent/ Received Date</t>
  </si>
  <si>
    <t>Pay hub plus-&gt;Application-&gt;NPSS-&gt;Electronic payments-&gt;Customer Transfers-&gt;Real time payments-&gt;Transaction Summary -&gt; Sent Date / Received Date</t>
  </si>
  <si>
    <t>RTH_MsgGenDtTm</t>
  </si>
  <si>
    <t>RTH_MsgGenDtTm(Sent/ Received Date)</t>
  </si>
  <si>
    <t>Turn Around Time</t>
  </si>
  <si>
    <t>Pay hub plus-&gt;Application-&gt;NPSS-&gt;Electronic payments-&gt;Customer Transfers-&gt;Real time payments-&gt;Transaction Summary -&gt;Turn Around Time</t>
  </si>
  <si>
    <t>NPSS_RTPaymentsHdr_Out,NPSS_RTS_PmtStatusDtl_Dbtr</t>
  </si>
  <si>
    <t>RTH_MsgGenDtTm,SYS_CreatedOn</t>
  </si>
  <si>
    <t>NPSS_RTPaymentsDtl_Out hdr join NPSS_RTS_PmtStatusDtl_Dbtr dbtr on hdr.RTD_MsgGenDt = dbtr.RT_STD_ValueDate and hdr.RTD_Pmt_TxId = dbtr.RT_STD_Tx_OrgTxnId
And
NPSS_RTPaymentsHdr_Out.RTH_MsgGenDt = NPSS_RTPaymentsDtl_OutExn.RTD_MsgGenDt AND NPSS_RTPaymentsHdr_Out.RTH_RefID = NPSS_RTPaymentsDtl_OutExn.RTD_RefID 
And NPSS_RTPaymentsDtl_OutExn.RTD_CIFNNo=accounts.orgkey</t>
  </si>
  <si>
    <t>Differece between RTH_MsgGenDtTm  and SYS_CreatedOn taken as TurAroundTime</t>
  </si>
  <si>
    <t>RTH_MsgGenDtTm,SYS_CreatedOn(Turn Around Time)</t>
  </si>
  <si>
    <t>IPP Status</t>
  </si>
  <si>
    <t>Pay hub plus-&gt;Application-&gt;NPSS-&gt;Electronic payments-&gt;Customer Transfers-&gt;Real time payments-&gt;Transaction Summary -&gt; Transaction Status -&gt; IPP Status</t>
  </si>
  <si>
    <t>RTH_IPPStatus</t>
  </si>
  <si>
    <t>Tinyint</t>
  </si>
  <si>
    <t>Enum</t>
  </si>
  <si>
    <t>-Pending  -Sent to IPP       -Sent failed    -Settled  -IPP Rejected</t>
  </si>
  <si>
    <t xml:space="preserve">      Pending = 10,
       SenttoIPP = 40,
       SentFailed = 25,
       Settled = 60,
       IPPRejected = 50</t>
  </si>
  <si>
    <t>RTH_IPPStatus(IPP Status)</t>
  </si>
  <si>
    <t>IPP Status Description</t>
  </si>
  <si>
    <t>Pay hub plus-&gt;Application-&gt;NPSS-&gt;Electronic payments-&gt;Customer Transfers-&gt;Real time payments-&gt;Transaction Summary -&gt; Transaction Status -&gt; IPP Status Description</t>
  </si>
  <si>
    <t>Fetching the description from enum</t>
  </si>
  <si>
    <t>RTH_IPPStatus(IPP Status Description)</t>
  </si>
  <si>
    <t>Fetching the description from the enum</t>
  </si>
  <si>
    <t>Posting Status</t>
  </si>
  <si>
    <t>Pay hub plus-&gt;Application-&gt;NPSS-&gt;Electronic payments-&gt;Customer Transfers-&gt;Real time payments-&gt;Transaction Summary -&gt; Transaction Status -&gt; Posting Status</t>
  </si>
  <si>
    <t>RTH_PostingStatus</t>
  </si>
  <si>
    <t>-Created   -Pending   -Posting Success   -Posting Failure    -Reversal Success   -Reversal Failure   -Reversal Timeout   -Posting Pending</t>
  </si>
  <si>
    <t>Pending = 20,
       Success = 30,
Failure = 50,       ReversalSuccess = 60,
ReversalFailure = 70,         Timeout = 80,     PostingPending = 55</t>
  </si>
  <si>
    <t>RTH_PostingStatus(Posting Status)</t>
  </si>
  <si>
    <t>Posting Status Description</t>
  </si>
  <si>
    <t>Pay hub plus-&gt;Application-&gt;NPSS-&gt;Electronic payments-&gt;Customer Transfers-&gt;Real time payments-&gt;Transaction Summary -&gt; Transaction Status -&gt; Posting Status Description</t>
  </si>
  <si>
    <t>Fetching description from enum</t>
  </si>
  <si>
    <t>RTH_PostingStatus(Posting Status Description)</t>
  </si>
  <si>
    <t>Host Reference Number</t>
  </si>
  <si>
    <t>Pay hub plus-&gt;Application-&gt;NPSS-&gt;Electronic payments-&gt;Customer Transfers-&gt;Real time payments-&gt;Transaction Summary -&gt; Transaction Status -&gt; Host Reference No</t>
  </si>
  <si>
    <t>RTD_PostingRefNo</t>
  </si>
  <si>
    <t>RTD_PostingRefNo(Host Reference Number)</t>
  </si>
  <si>
    <t>Reversal Reference Number</t>
  </si>
  <si>
    <t>Pay hub plus-&gt;Application-&gt;NPSS-&gt;Electronic payments-&gt;Customer Transfers-&gt;Real time payments-&gt;Transaction Summary -&gt; Transaction Status -&gt; Reversal Reference No</t>
  </si>
  <si>
    <t>RTD_RevPostingRefNo</t>
  </si>
  <si>
    <t>RTD_RevPostingRefNo(Reversal Reference Number)</t>
  </si>
  <si>
    <t>Query Type</t>
  </si>
  <si>
    <t>Instant Payment Enquiry: Investigation Status Enquiry</t>
  </si>
  <si>
    <t>Pay hub plus-&gt;Application-&gt;NPSS-&gt;Electronic payments-&gt;Customer Transfers-&gt;Real time payments-&gt;Transaction Summary -&gt; Investigation Status -&gt; Query Type</t>
  </si>
  <si>
    <t>Pmt_SRH_QryType</t>
  </si>
  <si>
    <t>NPSS_PmtStatus_ReqHdr hdr
join NPSS_RTPaymentsHdr_Out ht on hdr.Pmt_SRH_OrgGrp_OrgMsgId = ht.RTH_MsgId 
And
NPSS_RTPaymentsHdr_Out.RTH_MsgGenDt = NPSS_RTPaymentsDtl_OutExn.RTD_MsgGenDt AND NPSS_RTPaymentsHdr_Out.RTH_RefID = NPSS_RTPaymentsDtl_OutExn.RTD_RefID 
And NPSS_RTPaymentsDtl_OutExn.RTD_CIFNNo=accounts.orgkey</t>
  </si>
  <si>
    <t xml:space="preserve">where Pmt_SRH_Direction ='O' and Pmt_SRH_OrgGrp_OrgMsgNm ='pacs.008' </t>
  </si>
  <si>
    <t>Pmt_SRH_QryType(Query Type)</t>
  </si>
  <si>
    <t>Data &amp; Time</t>
  </si>
  <si>
    <t>Pay hub plus-&gt;Application-&gt;NPSS-&gt;Electronic payments-&gt;Customer Transfers-&gt;Real time payments-&gt;Transaction Summary -&gt; Investigation Status -&gt; Query Timestamp</t>
  </si>
  <si>
    <t>SYS_CreatedOn</t>
  </si>
  <si>
    <t>SYS_CreatedOn(Data &amp; Time)</t>
  </si>
  <si>
    <t xml:space="preserve">Pay hub plus-&gt;Application-&gt;NPSS-&gt;Electronic payments-&gt;Customer Transfers-&gt;Real time payments-&gt;Transaction Summary -&gt; Investigation Status -&gt; Status </t>
  </si>
  <si>
    <t>Pmt_SRH_Status</t>
  </si>
  <si>
    <t>-Created -Completed        -failed</t>
  </si>
  <si>
    <t>Created = 10, Completed = 30,Failed = 50</t>
  </si>
  <si>
    <t>Pmt_SRH_Status(Status)</t>
  </si>
  <si>
    <t>Status Time Stamp</t>
  </si>
  <si>
    <t>Pay hub plus-&gt;Application-&gt;NPSS-&gt;Electronic payments-&gt;Customer Transfers-&gt;Real time payments-&gt;Transaction Summary -&gt; Investigation Status -&gt; Status Timestamp</t>
  </si>
  <si>
    <t>PMT_SRH_StatusUpdTime</t>
  </si>
  <si>
    <t>PMT_SRH_StatusUpdTime(Status Time Stamp)</t>
  </si>
  <si>
    <t>Aaní Enrollment Status</t>
  </si>
  <si>
    <t>Online Banking Subscription Details</t>
  </si>
  <si>
    <t>Pay Hub Plus</t>
  </si>
  <si>
    <t>Pay hub plus -&gt; Application -&gt; NPSS -&gt; Customer Management -&gt; Consumer management -&gt; Manage -&gt; Status</t>
  </si>
  <si>
    <t>NPSS_Database_CustomerManagement</t>
  </si>
  <si>
    <t>IsEnrolled,IsUnenrolled</t>
  </si>
  <si>
    <t>NPSS_MerchantMaster.CIFNumber=accounts.orgkey</t>
  </si>
  <si>
    <t>BIT</t>
  </si>
  <si>
    <t>Bool</t>
  </si>
  <si>
    <t>IsEnrolled,IsUnenrolled(Aaní Enrollment Status)</t>
  </si>
  <si>
    <t>Pay hub plus -&gt; Application -&gt; NPSS -&gt; Customer Management -&gt; Consumer management -&gt; Manage -&gt; Date</t>
  </si>
  <si>
    <t>EnrolledOn,UnenrolledOn</t>
  </si>
  <si>
    <t>EnrolledOn,UnenrolledOn(Enrollment Date)</t>
  </si>
  <si>
    <t>PayHubPlus - Inward</t>
  </si>
  <si>
    <t>NPSS_RTPaymentsHdr_Inw.RTH_MsgGenDt = NPSS_RTPaymentsDtl_InwExn.RTD_MsgGenDt AND 
NPSS_RTPaymentsHdr_Inw.RTH_RefID = NPSS_RTPaymentsDtl_InwExn.RTD_RefID 
INNER JOIN  NPSS_RTPaymentsDtl_Inw
ON NPSS_RTPaymentsHdr_Inw.RTH_MsgGenDt = NPSS_RTPaymentsHdr_Inw.RTD_MsgGenDt AND NPSS_RTPaymentsHdr_Inw.RTH_RefID = NPSS_RTPaymentsHdr_Inw.RTD_RefID And NPSS_RTPaymentsDtl_InwExn.RTD_CIFNNo=accounts.orgkey</t>
  </si>
  <si>
    <t> NPSS_RTPaymentsDtl_InwExn.RTD_CIFNNo=accounts.orgkey</t>
  </si>
  <si>
    <t xml:space="preserve">npss_rtpaymentshdr_inw.RTH_IPPStatus = NPSS_PaymentsStatusConfig.IPPSTATUS &amp; npss_rtpaymentshdr_inw.RTH_PostingStatus= NPSS_PaymentsStatusConfig.PostStatus
 </t>
  </si>
  <si>
    <t>npss_rtpaymentsdtl_inwexn</t>
  </si>
  <si>
    <t>npss_rtpaymentsdtl_inwexn.RTD_MsgGenDt = npss_rtpaymentsdtl_inw.RTD_MsgGenDt AND 
npss_rtpaymentsdtl_inwexn.RTD_RefID = npss_rtpaymentsdtl_inw.RTD_RefID AND NPSS_RTPaymentsHdr_Inw.RTH_MsgGenDt = NPSS_RTPaymentsDtl_InwExn.RTD_MsgGenDt AND 
NPSS_RTPaymentsHdr_Inw.RTH_RefID = NPSS_RTPaymentsDtl_InwExn.RTD_RefID 
INNER JOIN  NPSS_RTPaymentsDtl_Inw
ON NPSS_RTPaymentsHdr_Inw.RTH_MsgGenDt = NPSS_RTPaymentsHdr_Inw.RTD_MsgGenDt AND NPSS_RTPaymentsHdr_Inw.RTH_RefID = NPSS_RTPaymentsHdr_Inw.RTD_RefID And NPSS_RTPaymentsDtl_InwExn.RTD_CIFNNo=accounts.orgkey</t>
  </si>
  <si>
    <t>npss_rtpaymentshdr_inw.RTH_CrAgt_Fin_BIC = NPSS_EntityMaster.ENT_BICCode  AND NPSS_RTPaymentsHdr_Inw.RTH_MsgGenDt = NPSS_RTPaymentsDtl_InwExn.RTD_MsgGenDt AND 
NPSS_RTPaymentsHdr_Inw.RTH_RefID = NPSS_RTPaymentsDtl_InwExn.RTD_RefID 
INNER JOIN  NPSS_RTPaymentsDtl_Inw
ON NPSS_RTPaymentsHdr_Inw.RTH_MsgGenDt = NPSS_RTPaymentsHdr_Inw.RTD_MsgGenDt AND NPSS_RTPaymentsHdr_Inw.RTH_RefID = NPSS_RTPaymentsHdr_Inw.RTD_RefID And NPSS_RTPaymentsDtl_InwExn.RTD_CIFNNo=accounts.orgkey</t>
  </si>
  <si>
    <t>Pay hub plus-&gt;Application-&gt;NPSS-&gt;Electronic payments-&gt;Customer Transfers-&gt;Real time payments-&gt; Action -&gt; View -&gt; Inward-&gt; Debtor -&gt; Bank</t>
  </si>
  <si>
    <t>npss_rtpaymentshdr_inw.RTH_DbAgt_Fin_BIC= NPSS_EntityMaster.ENT_BICCode  AND NPSS_RTPaymentsHdr_Inw.RTH_MsgGenDt = NPSS_RTPaymentsDtl_InwExn.RTD_MsgGenDt AND 
NPSS_RTPaymentsHdr_Inw.RTH_RefID = NPSS_RTPaymentsDtl_InwExn.RTD_RefID 
INNER JOIN  NPSS_RTPaymentsDtl_Inw
ON NPSS_RTPaymentsHdr_Inw.RTH_MsgGenDt = NPSS_RTPaymentsHdr_Inw.RTD_MsgGenDt AND NPSS_RTPaymentsHdr_Inw.RTH_RefID = NPSS_RTPaymentsHdr_Inw.RTD_RefID And NPSS_RTPaymentsDtl_InwExn.RTD_CIFNNo=accounts.orgkey</t>
  </si>
  <si>
    <t>Pay hub plus-&gt;Application-&gt;NPSS-&gt;Electronic payments-&gt;Customer Transfers-&gt;Real time payments-&gt; Action -&gt; View -&gt; Inward-&gt; Debtor -&gt; Account Type</t>
  </si>
  <si>
    <t xml:space="preserve">NPSS_RTPaymentsDtl_inw, Module_Config </t>
  </si>
  <si>
    <t xml:space="preserve">Select Module_Config.Description from (select xpath_string(RTD_CdtTxnInfoXML, '/CdtTrfTxInf/DbtrAcct/Tp/Cd/text()') as AccountTypeCode, * from NPSS_RTPaymentsDtl_inw) A
JOIN Module_Config ON A.AccountTypeCode = Module_Config.Code AND  type ='ExternalCashAccountTypeCode'
</t>
  </si>
  <si>
    <t>Pay hub plus-&gt;Application-&gt;NPSS-&gt;Electronic payments-&gt;Customer Transfers-&gt;Real time payments-&gt; Action -&gt; View -&gt; Inward-&gt; Debtor -&gt; IBAN</t>
  </si>
  <si>
    <t>Pay hub plus-&gt;Application-&gt;NPSS-&gt;Electronic payments-&gt;Customer Transfers-&gt;Real time payments-&gt; Action -&gt; View -&gt; Inward-&gt; Debtor -&gt; Name</t>
  </si>
  <si>
    <r>
      <rPr>
        <sz val="10"/>
        <color rgb="FF3B3B3B"/>
        <rFont val="Menlo"/>
      </rPr>
      <t xml:space="preserve">xpath_string(RTD_CdtTxnInfoXML, </t>
    </r>
    <r>
      <rPr>
        <sz val="10"/>
        <color rgb="FFC72E0F"/>
        <rFont val="Menlo"/>
      </rPr>
      <t>'/CdtTrfTxInf/ChrgBr/text()'</t>
    </r>
    <r>
      <rPr>
        <sz val="10"/>
        <color rgb="FF3B3B3B"/>
        <rFont val="Menlo"/>
      </rPr>
      <t>)</t>
    </r>
  </si>
  <si>
    <r>
      <rPr>
        <sz val="10"/>
        <color rgb="FF3B3B3B"/>
        <rFont val="Menlo"/>
      </rPr>
      <t xml:space="preserve">xpath_string(RTD_CdtTxnInfoXML, </t>
    </r>
    <r>
      <rPr>
        <sz val="10"/>
        <color rgb="FFC72E0F"/>
        <rFont val="Menlo"/>
      </rPr>
      <t>'/CdtTrfTxInf/PmtTpInf/CtgyPurp/Prtry/text()'</t>
    </r>
    <r>
      <rPr>
        <sz val="10"/>
        <color rgb="FF3B3B3B"/>
        <rFont val="Menlo"/>
      </rPr>
      <t>)</t>
    </r>
  </si>
  <si>
    <r>
      <rPr>
        <sz val="10"/>
        <color rgb="FF3B3B3B"/>
        <rFont val="Menlo"/>
      </rPr>
      <t xml:space="preserve">xpath_string(RTD_CdtTxnInfoXML, </t>
    </r>
    <r>
      <rPr>
        <sz val="10"/>
        <color rgb="FFC72E0F"/>
        <rFont val="Menlo"/>
      </rPr>
      <t>'/CdtTrfTxInf/Purp/Cd/text()'</t>
    </r>
    <r>
      <rPr>
        <sz val="10"/>
        <color rgb="FF3B3B3B"/>
        <rFont val="Menlo"/>
      </rPr>
      <t>)</t>
    </r>
  </si>
  <si>
    <t>RTH_CreDtTm</t>
  </si>
  <si>
    <t>NPSS_RTPaymentsHdr_Inw, NPSS_RTS_PmtStatusDtl_Cdtr</t>
  </si>
  <si>
    <t>RTD_Setlment_Time,RTH_CreDtTm</t>
  </si>
  <si>
    <t>NPSS_RTPaymentsDtl_Inw hdr join NPSS_RTS_PmtStatusDtl_Cdtr dbtr on hdr.RTD_MsgGenDt = dbtr.RT_STD_ValueDate and hdr.RTD_Pmt_TxId = dbtr.RT_STD_Tx_OrgTxnId
And
NPSS_RTPaymentsHdr_Inw.RTH_MsgGenDt = NPSS_RTPaymentsDtl_InwExn.RTD_MsgGenDt AND 
NPSS_RTPaymentsHdr_Inw.RTH_RefID = NPSS_RTPaymentsDtl_InwExn.RTD_RefID 
INNER JOIN  NPSS_RTPaymentsDtl_Inw
ON NPSS_RTPaymentsHdr_Inw.RTH_MsgGenDt = NPSS_RTPaymentsHdr_Inw.RTD_MsgGenDt AND NPSS_RTPaymentsHdr_Inw.RTH_RefID = NPSS_RTPaymentsHdr_Inw.RTD_RefID And NPSS_RTPaymentsDtl_InwExn.RTD_CIFNNo=accounts.orgkey</t>
  </si>
  <si>
    <t>Differece between RTD_Setlment_Time  and RTH_CreDtTm taken as TurAroundTime</t>
  </si>
  <si>
    <t>RTD_Setlment_Time,RTH_CreDtTm(Turn Around Time)</t>
  </si>
  <si>
    <t>NPSS_PmtStatus_ReqHdr hdr
join NPSS_RTPaymentsHdr_Inw ht on hdr.Pmt_SRH_OrgGrp_OrgMsgId = ht.RTH_MsgId
And
NPSS_RTPaymentsHdr_Inw.RTH_MsgGenDt = NPSS_RTPaymentsDtl_InwExn.RTD_MsgGenDt AND 
NPSS_RTPaymentsHdr_Inw.RTH_RefID = NPSS_RTPaymentsDtl_InwExn.RTD_RefID 
INNER JOIN  NPSS_RTPaymentsDtl_Inw
ON NPSS_RTPaymentsHdr_Inw.RTH_MsgGenDt = NPSS_RTPaymentsHdr_Inw.RTD_MsgGenDt AND NPSS_RTPaymentsHdr_Inw.RTH_RefID = NPSS_RTPaymentsHdr_Inw.RTD_RefID And NPSS_RTPaymentsDtl_InwExn.RTD_CIFNNo=accounts.orgkey</t>
  </si>
  <si>
    <t xml:space="preserve"> Pmt_SRH_Direction ='I'  and Pmt_SRH_OrgGrp_OrgMsgNm ='pacs.008' </t>
  </si>
  <si>
    <t>e-Statement</t>
  </si>
  <si>
    <t>CCM -&gt; Admin -&gt; Customer Information -&gt; E-mail</t>
  </si>
  <si>
    <t>PrimaryEmail</t>
  </si>
  <si>
    <t>E-Statement for Cards</t>
  </si>
  <si>
    <t>CCM -&gt; Admin -&gt; Customer Information -&gt; Credit Card</t>
  </si>
  <si>
    <t>SubForCreditCard</t>
  </si>
  <si>
    <t>E-Statement for Accounts</t>
  </si>
  <si>
    <t>CCM -&gt; Admin -&gt; Customer Information -&gt; Statement</t>
  </si>
  <si>
    <t>SubForAccount</t>
  </si>
  <si>
    <t>E-Statement for Deposits</t>
  </si>
  <si>
    <t>CCM -&gt; Admin -&gt; Customer Information -&gt; FD Confirmation</t>
  </si>
  <si>
    <t>SubForDeposit</t>
  </si>
  <si>
    <t>E-Statement for Investments</t>
  </si>
  <si>
    <t>CCM -&gt; Admin -&gt; Customer Information -&gt; Investments</t>
  </si>
  <si>
    <t>SubForInv</t>
  </si>
  <si>
    <t>E-Statement for Transfers &amp; Remittance</t>
  </si>
  <si>
    <t>CCM -&gt; Admin -&gt; Customer Information -&gt; Remittance</t>
  </si>
  <si>
    <t>SubForRemittance</t>
  </si>
  <si>
    <t>Requested Status</t>
  </si>
  <si>
    <t>E-Statement Subscription Audit</t>
  </si>
  <si>
    <t>CCM -&gt; Admin -&gt; New Registration -&gt; Account No. / Card No. -&gt; validate -&gt; Show History -&gt; Request State</t>
  </si>
  <si>
    <t>RequestState</t>
  </si>
  <si>
    <t>Requested Date</t>
  </si>
  <si>
    <t>CCM -&gt; Admin -&gt; New Registration -&gt; Account No. / Card No. -&gt; validate -&gt; Show History -&gt; Request Date</t>
  </si>
  <si>
    <t>RequestDate</t>
  </si>
  <si>
    <t>Requested User</t>
  </si>
  <si>
    <t>CCM -&gt; Admin -&gt; New Registration -&gt; Account No. / Card No. -&gt; validate -&gt; Show History -&gt; Request User</t>
  </si>
  <si>
    <t>RequestUser</t>
  </si>
  <si>
    <t xml:space="preserve">Requested Email </t>
  </si>
  <si>
    <t>CCM -&gt; Admin -&gt; New Registration -&gt; Account No. / Card No. -&gt; validate -&gt; Show History -&gt; Email</t>
  </si>
  <si>
    <t>PrimaryEmailAddress</t>
  </si>
  <si>
    <t>Requested Comments</t>
  </si>
  <si>
    <t>CCM -&gt; Admin -&gt; New Registration -&gt; Account No. / Card No. -&gt; validate -&gt; Show History -&gt; Comments</t>
  </si>
  <si>
    <t>Comments</t>
  </si>
  <si>
    <t>e-Statement Delivery Enquiry</t>
  </si>
  <si>
    <t>CCM-&gt;Reports-&gt;Display Reports -&gt;Reports-&gt;Check Email-&gt;Record ID</t>
  </si>
  <si>
    <t>EmailID</t>
  </si>
  <si>
    <t>CCM-&gt;Reports-&gt;Display Reports -&gt;Reports-&gt;Check Email-&gt;Card Number/account number</t>
  </si>
  <si>
    <t>SubscriberID1</t>
  </si>
  <si>
    <t>CCM-&gt;Reports-&gt;Display Reports -&gt;Reports-&gt;Check Email-&gt;Email</t>
  </si>
  <si>
    <t>Send Date</t>
  </si>
  <si>
    <t>CCM-&gt;Reports-&gt;Display Reports -&gt;Reports-&gt;Check Email-&gt;Send Date</t>
  </si>
  <si>
    <t>SendDate</t>
  </si>
  <si>
    <t>CCM-&gt;Reports-&gt;Display Reports -&gt;Reports-&gt;Display Email Details -&gt; Delivery Date &amp; Time</t>
  </si>
  <si>
    <t>CCM-&gt;Reports-&gt;Display Reports -&gt;Reports-&gt;Check Email-&gt;State</t>
  </si>
  <si>
    <t>CCM-&gt;Reports-&gt;Display Reports -&gt;Reports-&gt;Check Email-&gt;Document Date</t>
  </si>
  <si>
    <t>SubscriberID2</t>
  </si>
  <si>
    <t>e-Statement Type</t>
  </si>
  <si>
    <t>CCM -&gt; Reports -&gt; Display Reports -&gt; Reports -&gt; Check Email -&gt; Campaign</t>
  </si>
  <si>
    <t>CampaignName</t>
  </si>
  <si>
    <t>Is Read</t>
  </si>
  <si>
    <t>CCM-&gt;Reports-&gt;Display Reports -&gt;Reports-&gt;Display Email Details -&gt; Is Read</t>
  </si>
  <si>
    <t>IsRead</t>
  </si>
  <si>
    <t>Read Date</t>
  </si>
  <si>
    <t>CCM-&gt;Reports-&gt;Display Reports -&gt;Reports-&gt;Display Email Details -&gt; Read Date</t>
  </si>
  <si>
    <t>ReadDate</t>
  </si>
  <si>
    <t>View e-Statement</t>
  </si>
  <si>
    <t>CCM-&gt;Reports-&gt;Display Reports -&gt;Reports-&gt;Check Email-&gt;Display Email body
CCM-&gt;Reports-&gt;Display Reports -&gt;Reports-&gt;Check Email-&gt;Display attachment</t>
  </si>
  <si>
    <t>Body</t>
  </si>
  <si>
    <t>Internet Banking</t>
  </si>
  <si>
    <t>Digital Banking Admin -&gt; Retail Customer Entitlements -&gt; User maintenance -&gt; Login Enabled</t>
  </si>
  <si>
    <t>Hostname: 10.15.12.12
Port: 5300
Service Name: CNVGNIB
Schema: ECECUSER</t>
  </si>
  <si>
    <t>CUSR</t>
  </si>
  <si>
    <t>LOGIN_ALLOWED</t>
  </si>
  <si>
    <t>accounts.orgkey=CUSR.cust_id</t>
  </si>
  <si>
    <t>key="CODE_TYPE=YNF"</t>
  </si>
  <si>
    <t>Yes
No</t>
  </si>
  <si>
    <t>Y
N</t>
  </si>
  <si>
    <t>Digital Banking Admin -&gt; Retail Customer Entitlements -&gt; User maintenance -&gt; Master User ID</t>
  </si>
  <si>
    <t>NVARCHAR2(32 CHAR)</t>
  </si>
  <si>
    <t>Login Enabled</t>
  </si>
  <si>
    <t>Digital Banking Admin -&gt; Retail Customer Entitlements -&gt; User maintenance -&gt; Login Enabled ?</t>
  </si>
  <si>
    <t>Transaction Enabled</t>
  </si>
  <si>
    <t>Digital Banking Admin -&gt; Retail Customer Entitlements -&gt; User maintenance -&gt; Transaction Enabled ?</t>
  </si>
  <si>
    <t>TRANSACTION_ALLOWED</t>
  </si>
  <si>
    <t>YesNo</t>
  </si>
  <si>
    <t xml:space="preserve">
Y
N</t>
  </si>
  <si>
    <t>Login Password</t>
  </si>
  <si>
    <t>SMS OTP</t>
  </si>
  <si>
    <t>Digital Banking Admin -&gt; Retail Customer Entitlements -&gt; User maintenance -&gt; Enable/Disable User -&gt; SMS OTP</t>
  </si>
  <si>
    <t>SIDT</t>
  </si>
  <si>
    <t>Based on AUTH_MODE value. It should be "O"</t>
  </si>
  <si>
    <t>Online Banking Subscription History</t>
  </si>
  <si>
    <t>Digital Banking Admin -&gt; Retail Customer Entitlements -&gt; User maintenance -&gt; Enable/Disable User -&gt; Action</t>
  </si>
  <si>
    <t>RUET</t>
  </si>
  <si>
    <t>EN_DI_FLG</t>
  </si>
  <si>
    <t>CUSR.org_id=RUET.org_ID &amp; accounts.orgkey=CUSR.cust_id</t>
  </si>
  <si>
    <t>CODE_TYPE=ENDI</t>
  </si>
  <si>
    <t>1.Disabled
2.Enabled</t>
  </si>
  <si>
    <t>D
E</t>
  </si>
  <si>
    <t>Password</t>
  </si>
  <si>
    <t>Digital Banking Admin -&gt; Retail Customer Entitlements -&gt; User maintenance -&gt; Enable/Disable User -&gt; Password</t>
  </si>
  <si>
    <t>PWD_FLG</t>
  </si>
  <si>
    <t>CODE_TYPE=PWDF</t>
  </si>
  <si>
    <t>Password Set
Password Printed
Login Password
Login
Transaction Allowed
Both
SMS OTP
Login Allowed</t>
  </si>
  <si>
    <t>P
R
S
I
T
B
O
L</t>
  </si>
  <si>
    <t>Digital Banking Admin -&gt; Retail Customer Entitlements -&gt; User maintenance -&gt; Enable/Disable User -&gt; Reason Code</t>
  </si>
  <si>
    <t>REASON_CODE</t>
  </si>
  <si>
    <t>code_type=."RUET"</t>
  </si>
  <si>
    <t>NVARCHAR2(225 CHAR)</t>
  </si>
  <si>
    <t>NVARCHAR2(255 CHAR)</t>
  </si>
  <si>
    <t>Digital Banking Admin -&gt; Retail Customer Entitlements -&gt; User maintenance -&gt; Enable/Disable User -&gt; User ID</t>
  </si>
  <si>
    <t>CORP_USER</t>
  </si>
  <si>
    <t>Action By</t>
  </si>
  <si>
    <t>Digital Banking Admin -&gt; Retail Customer Entitlements -&gt; User maintenance -&gt; Enable/Disable User -&gt; Action BY</t>
  </si>
  <si>
    <t>ACTION_BY</t>
  </si>
  <si>
    <t>CODE_TYPE=USER</t>
  </si>
  <si>
    <t>User
User
Admin
Admin</t>
  </si>
  <si>
    <t>1
2
3
4</t>
  </si>
  <si>
    <t>Action Date/Time</t>
  </si>
  <si>
    <t>Digital Banking Admin -&gt; Retail Customer Entitlements -&gt; User maintenance -&gt; Enable/Disable User -&gt; Action Date/Time</t>
  </si>
  <si>
    <t>R_CRE_TIME</t>
  </si>
  <si>
    <t>User ID History</t>
  </si>
  <si>
    <t>Digital Banking Admin -&gt; Retail Customer Entitlements -&gt; User Maintenance -&gt; Enable/Disable User -&gt; History</t>
  </si>
  <si>
    <t>TABLE</t>
  </si>
  <si>
    <t>Table</t>
  </si>
  <si>
    <t>RAK Token Status</t>
  </si>
  <si>
    <t>RAK Token Details</t>
  </si>
  <si>
    <t>Digital Banking Admin -&gt; Retail Customer Entitlements -&gt; User maintenance -&gt;View User Details -&gt; Get RAK TOKEN Status -&gt; RAKToken Details -&gt; RAKToken Status</t>
  </si>
  <si>
    <t>CustomRAKTokenRegRequest,  CustomRAKTokenRegStatusMessage
code_type=TOKS</t>
  </si>
  <si>
    <t>The subjected field is mapped from API response not with database.</t>
  </si>
  <si>
    <t>Inactive
Active
Lost
Locked
Not Registered</t>
  </si>
  <si>
    <t>0
1
2
3
5</t>
  </si>
  <si>
    <t>Digital Banking Admin -&gt; Corporate Customer Entitlements -&gt; SME User Maintenance -&gt; User Maintenance List -&gt; Master User ID</t>
  </si>
  <si>
    <t>Digital Banking Admin -&gt; Corporate Customer Entitlements -&gt; SME User Maintenance -&gt; User Maintenance List -&gt; Login Enabled ?</t>
  </si>
  <si>
    <t>1.Yes
2.No</t>
  </si>
  <si>
    <t>1.Y
2.N</t>
  </si>
  <si>
    <t>Digital Banking Admin -&gt; Corporate Customer Entitlements -&gt; SME User Maintenance -&gt; User Maintenance List -&gt;Transaction Enabled ?</t>
  </si>
  <si>
    <t>Digital Banking Admin -&gt; Corporate Customer Entitlements -&gt; SME User Maintenance -&gt; User Maintenance List -&gt; Transaction Enabled ?</t>
  </si>
  <si>
    <t>Digital Banking Admin -&gt; Corporate Customer Entitlements -&gt; SME User Maintenance -&gt; User Maintenance List -&gt; Enable/Disable User -&gt; SMS OTP</t>
  </si>
  <si>
    <t>Digital Banking Admin -&gt; Corporate Customer Entitlements -&gt; SME User Maintenance -&gt; Enable/Disable User -&gt; Action</t>
  </si>
  <si>
    <t>1.D
2.E</t>
  </si>
  <si>
    <t>Digital Banking Admin -&gt; Corporate Customer Entitlements -&gt; SME User Maintenance -&gt;  Enable/Disable User -&gt; Password</t>
  </si>
  <si>
    <t>Digital Banking Admin -&gt; Corporate Customer Entitlements -&gt; SME User Maintenance -&gt;  Enable/Disable User -&gt; Reason Code</t>
  </si>
  <si>
    <t>Digital Banking Admin -&gt; Corporate Customer Entitlements -&gt; SME User Maintenance -&gt;  Enable/Disable User -&gt; User ID</t>
  </si>
  <si>
    <t>Digital Banking Admin -&gt; Corporate Customer Entitlements -&gt; SME User Maintenance -&gt; Enable/Disable User -&gt; Action BY</t>
  </si>
  <si>
    <t>Digital Banking Admin -&gt; Corporate Customer Entitlements -&gt; SME User Maintenance -&gt; Enable/Disable User -&gt; Action Date/Time</t>
  </si>
  <si>
    <t>Digital Banking Admin -&gt; Corporate Customer Entitlements -&gt; SME User Maintenance -&gt; Enable/Disable User -&gt; History</t>
  </si>
  <si>
    <t>Digital Banking Admin -&gt; Corporate Customer Entitlements -&gt; SME User Maintenance -&gt; View User Details -&gt; Get RAK TOKEN Status -&gt; RAKToken Details -&gt; RAKToken Status</t>
  </si>
  <si>
    <t>Reference ID</t>
  </si>
  <si>
    <t>Online Banking Requests Enquiry</t>
  </si>
  <si>
    <t>Individual: Digital Banking Admin -&gt; Retail Relationship Management -&gt; Service Request Queue -&gt; Query On Request -&gt; Reference ID
Non-Individual: Individual: Digital Banking Admin -&gt; Corporate Relationship Management -&gt; Service Request Queue -&gt; Query On Request -&gt; Reference ID</t>
  </si>
  <si>
    <t>RQDT</t>
  </si>
  <si>
    <t>FTXN_ID</t>
  </si>
  <si>
    <t>rqdt,urmp,frtx</t>
  </si>
  <si>
    <t>Individual: Digital Banking Admin -&gt; Retail Relationship Management -&gt; Service Request Queue -&gt; Query On Request -&gt; Request Type
Non-Individual: Digital Banking Admin -&gt; Corporate Relationship Management -&gt; Service Request Queue -&gt; Query On Request -&gt; Request Type</t>
  </si>
  <si>
    <t>RQST_ID</t>
  </si>
  <si>
    <t>key="CODE_TYPE=AID"</t>
  </si>
  <si>
    <t>NVARCHAR2(3 CHAR)</t>
  </si>
  <si>
    <t>Nature</t>
  </si>
  <si>
    <t>Individual: Digital Banking Admin -&gt; Retail Relationship Management -&gt; Service Request Queue -&gt; Query On Request -&gt; Nature
Non-Individual: Digital Banking Admin -&gt; Corporate Relationship Management -&gt; Service Request Queue -&gt; Query On Request -&gt; Nature</t>
  </si>
  <si>
    <t>REQUEST_MODE</t>
  </si>
  <si>
    <t> key="CODE_TYPE=NOR"</t>
  </si>
  <si>
    <t>NVARCHAR2(16 CHAR)</t>
  </si>
  <si>
    <t>Online
Offline</t>
  </si>
  <si>
    <t>O
F</t>
  </si>
  <si>
    <t>Individual: Digital Banking Admin -&gt; Retail Relationship Management -&gt; Service Request Queue -&gt; Query On Request -&gt; Date
Non-Individual: Digital Banking Admin -&gt; Corporate Relationship Management -&gt; Service Request Queue -&gt; Query On Request -&gt; Date</t>
  </si>
  <si>
    <t>Individual: Digital Banking Admin -&gt; Retail Relationship Management -&gt; Service Request Queue -&gt; Query On Request -&gt; Status
Non-Individual: Digital Banking Admin -&gt; Corporate Relationship Management -&gt; Service Request Queue -&gt; Query On Request -&gt; Status</t>
  </si>
  <si>
    <t>FORM_REQ_STATE</t>
  </si>
  <si>
    <t>CODE_TYPE=SRS</t>
  </si>
  <si>
    <t>Failed
Closed
Under Processing
Waiting for RM Approval
Declined
Pending
Processed
Pending for Upload
Pending for Approval
Processed As Express
Under Processing
Pending for Verification</t>
  </si>
  <si>
    <t>FAL
CLO
SUS
WFR
REJ
PEN
SUC
PFU
PFA
PAS
UPR
PEV</t>
  </si>
  <si>
    <t>Backend Reference ID</t>
  </si>
  <si>
    <t>Individual: Digital Banking Admin -&gt; Retail Relationship Management -&gt; Service Request Queue -&gt; Query On Request -&gt; Backend Reference ID
Non-Individual: Digital Banking Admin -&gt; Corporate Relationship Management -&gt; Service Request Queue -&gt; Query On Request -&gt; Backend Reference ID</t>
  </si>
  <si>
    <t>BACKEND_REF_ID</t>
  </si>
  <si>
    <t>Additional Info Field Name</t>
  </si>
  <si>
    <t>Online Banking Requests Enquiry: Additional Details</t>
  </si>
  <si>
    <t xml:space="preserve">Individual: Digital Banking Admin -&gt; Retail Relationship Management -&gt; Service Request Queue -&gt; Query On Request -&gt; Drill down on reference ID -&gt;
Non-Individual: Digital Banking Admin -&gt; Corporate  Relationship Management -&gt; Service Request Queue -&gt; Query On Request -&gt; Drill down on reference ID -&gt;
</t>
  </si>
  <si>
    <t>Kindly provide detailed information for the field mentioned, so that we can share the appropriate mapping details accordingly.</t>
  </si>
  <si>
    <t>Additional Info Value</t>
  </si>
  <si>
    <t>Individual: Digital Banking Admin -&gt; Retail Relationship Management -&gt; Service Request Queue -&gt; Query On Request -&gt; Drill down on reference ID -&gt; 
Non-Individual: Digital Banking Admin -&gt; Corporate Relationship Management -&gt; Service Request Queue -&gt; Query On Request -&gt; Drill down on reference ID -&gt;</t>
  </si>
  <si>
    <t>Online Banking Requests History</t>
  </si>
  <si>
    <t>Individual: Digital Banking Admin -&gt; Retail Relationship Management -&gt; Service Request Queue -&gt; Query On Request -&gt; Remarks
Non-Individual: Digital Banking Admin -&gt; Corporate Relationship Management -&gt; Service Request Queue -&gt; Query On Request -&gt; Remarks</t>
  </si>
  <si>
    <t>RHST</t>
  </si>
  <si>
    <t>REQUEST_ID</t>
  </si>
  <si>
    <t>NVARCHAR2(12 CHAR)</t>
  </si>
  <si>
    <t>Individual: Digital Banking Admin -&gt; Retail Relationship Management -&gt; Service Request Queue -&gt; Query On Request -&gt; Action By
Non-Individual: Digital Banking Admin -&gt; Corporate Relationship Management -&gt; Service Request Queue -&gt; Query On Request -&gt; Action By</t>
  </si>
  <si>
    <t>NVARCHAR2(65 CHAR)</t>
  </si>
  <si>
    <t>Processed Date/Time</t>
  </si>
  <si>
    <t>Individual: Digital Banking Admin -&gt; Retail Relationship Management -&gt; Service Request Queue -&gt; Query On Request -&gt; Processed Date/Time
Non-Individual: Digital Banking Admin -&gt; Corporate Relationship Management -&gt; Service Request Queue -&gt; Query On Request -&gt; Processed Date/Time</t>
  </si>
  <si>
    <t>Channel Id</t>
  </si>
  <si>
    <t>Individual: Digital Banking Admin -&gt; Retail Relationship Management -&gt; Service Request Queue -&gt; Query On Request -&gt; Channel Id</t>
  </si>
  <si>
    <t>I
G</t>
  </si>
  <si>
    <t>RCIF ID</t>
  </si>
  <si>
    <t>Individual: Digital Banking Admin -&gt; Retail Relationship Management -&gt; Service Request Queue -&gt; Query On Request -&gt; RCIF ID
Non-Individual: Digital Banking Admin -&gt; Corporate Relationship Management -&gt; Service Request Queue -&gt; Query On Request -&gt; RCIF ID</t>
  </si>
  <si>
    <t>NVARCHAR2(64 CHAR)</t>
  </si>
  <si>
    <t>RCIF Name</t>
  </si>
  <si>
    <t>Individual: Digital Banking Admin -&gt; Retail Relationship Management -&gt; Service Request Queue -&gt; Query On Request -&gt; RCIF Name
Non-Individual: Digital Banking Admin -&gt; Corporate Relationship Management -&gt; Service Request Queue -&gt; Query On Request -&gt; RCIF Name</t>
  </si>
  <si>
    <t>C_F_NAME</t>
  </si>
  <si>
    <t>NVARCHAR2(100 CHAR)</t>
  </si>
  <si>
    <t>Digital Banking Admin
Finacle SR
IBPS
Prospect</t>
  </si>
  <si>
    <t>Digital banking Admin -&gt; Dashboard -&gt; Administration Alerts -&gt; Records Pending For your approval -&gt; Reference ID</t>
  </si>
  <si>
    <t>MWFT</t>
  </si>
  <si>
    <t>TXN_KEY</t>
  </si>
  <si>
    <t xml:space="preserve">select A.*, B.CUST_ID from (SELECT REGEXP_SUBSTR(ENTITY_KEY, '(^|\^)(ORG_ID|BAY_USER_ID)=([^^]+)', 1, 1,NULL, 3) AS ORG_ID,
  REGEXP_SUBSTR(ENTITY_KEY, '(^|\^)(USER_ID|CORP_USER)=([^^]+)', 1, 1, NULL, 3) AS USER_ID, ENTITY_KEY, *
FROM ECECUSER.MWFT
WHERE R_CRE_ID LIKE 'RAK.%'
  AND ENTITY_TYPE IN ('ADDR', 'TFRD', 'UAAT', 'CPUL', 'CUSR', 'SIDT')) A
  JOIN ECECUSER.CUSR B on A.ORG_ID=B.ORG_ID AND A.USER_ID = B.USER_ID AND B.DEL_FLG='N'
&amp; accounts.orgkey=cmst.cust_id </t>
  </si>
  <si>
    <t>NUMBER(16,0)</t>
  </si>
  <si>
    <t>Digital banking Admin -&gt; Dashboard -&gt; Administration Alerts -&gt; Records Pending For your approval -&gt; Activity Type</t>
  </si>
  <si>
    <t>MWFT,COCD</t>
  </si>
  <si>
    <t>TXN_TYPE</t>
  </si>
  <si>
    <t>key="CODE_TYPE=BUA"</t>
  </si>
  <si>
    <t>Digital banking Admin -&gt; Dashboard -&gt; Administration Alerts -&gt; Records Pending For your approval -&gt; Status</t>
  </si>
  <si>
    <t xml:space="preserve">key="CODE_TYPE=BUAS" </t>
  </si>
  <si>
    <t>Pending for My Approval
Pending for Others Approval</t>
  </si>
  <si>
    <t>PMA
POA</t>
  </si>
  <si>
    <t>Digital banking Admin -&gt; Dashboard -&gt; Administration Alerts -&gt; Records Pending For your approval -&gt; Requested BY</t>
  </si>
  <si>
    <t>R_CRE_ID</t>
  </si>
  <si>
    <t>RAK.CHMAKER is separating the value from R_CRE_ID and displaying it as CHMAKER</t>
  </si>
  <si>
    <t>Digital banking Admin -&gt; Dashboard -&gt; Administration Alerts -&gt; Records Pending For your approval -&gt; Reference ON</t>
  </si>
  <si>
    <t>Digital Banking Admin -&gt; Corporate Customer Entitlements -&gt; SME User Maintenance -&gt; User Maintenance List -&gt; Login Enabled</t>
  </si>
  <si>
    <t>Product No.</t>
  </si>
  <si>
    <t>Field varies depending on the product on which serv ice is requested - Product field name to be referred to as per the product that’s applicable - Screenshots for reference
Mapping
Individual: Digital Banking Admin -&gt; Retail Relationship Management -&gt; Service Request Queue -&gt; Query On Request -&gt; Request Type -&gt; Click request number -&gt; Credit card number
Non-Individual: Individual: Digital Banking Admin -&gt; Corporate Relationship Management -&gt; Service Request Queue -&gt; Query On Request -&gt; Click request number -&gt; Loan Agreement number
Non-Individual: Individual: Digital Banking Admin -&gt; Corporate Relationship Management -&gt; Service Request Queue -&gt; Query On Request -&gt; Click request number -&gt; Recurring Deposit number</t>
  </si>
  <si>
    <t>ACC_ID</t>
  </si>
  <si>
    <t>accounts.orgkey=RQDT.cust_id</t>
  </si>
  <si>
    <t>Join</t>
  </si>
  <si>
    <t>Filters</t>
  </si>
  <si>
    <t>All tables</t>
  </si>
  <si>
    <t>Marketing SMS</t>
  </si>
  <si>
    <t>CPF-&gt;Customer Consent Edit-&gt;View and update-&gt;Marketing-&gt;From RAKBANK by SMS</t>
  </si>
  <si>
    <t xml:space="preserve">uat: cpf_platform_uat
prod:  cpf_platform   </t>
  </si>
  <si>
    <t>consent_value</t>
  </si>
  <si>
    <t>where customer_id = (select id from customer_info where cif_id='&lt;&lt;RCIF_ID&gt;&gt;') and consent_config_id = (select id from consent_configs where consent_key='MARKETING_SMS' and category='MARKETING' and customer_type='BANK')</t>
  </si>
  <si>
    <t>Query to fetch marketing sms consent (YES/NO) from DB using RCIF id:
select consent_value from customer_consent where customer_id = (select id from customer_info where cif_id='&lt;&lt;RCIF_ID&gt;&gt;') and consent_config_id = (select id from consent_configs where consent_key='MARKETING_SMS' and category='MARKETING' and customer_type='BANK');</t>
  </si>
  <si>
    <t>customer_consent: consent_value, customer_id, consent_config_id 
consent_configs: id, consent_key, category, customer_type
customer_info: id, cif_id</t>
  </si>
  <si>
    <t>VARCHAR(255)</t>
  </si>
  <si>
    <t>YES
NO</t>
  </si>
  <si>
    <t>You can retrieve this data either directly from the database or through an API. However, if you're using the API, you must include the unique auto-generated ID (NOT CIF ID) for the customer record from CPF in your request.</t>
  </si>
  <si>
    <t>Marketing Email</t>
  </si>
  <si>
    <t>CPF-&gt;Customer Consent Edit-&gt;View and update-&gt;Marketing-&gt;From RAKBANK by Email</t>
  </si>
  <si>
    <t>where customer_id = (select id from customer_info where cif_id='&lt;&lt;RCIF_ID&gt;&gt;') and consent_config_id = (select id from consent_configs where consent_key='MARKETING_Email' and category='MARKETING' and customer_type='BANK')</t>
  </si>
  <si>
    <t>Query to fetch marketing email consent (YES/NO) from DB using RCIF id:
select consent_value from customer_consent where customer_id = (select id from customer_info where cif_id='&lt;&lt;RCIF_ID&gt;&gt;') and consent_config_id = (select id from consent_configs where consent_key='MARKETING_Email' and category='MARKETING' and customer_type='BANK');</t>
  </si>
  <si>
    <t>Marketing by Phone</t>
  </si>
  <si>
    <t>CPF-&gt;Customer Consent Edit-&gt;View and update-&gt;Marketing-&gt;From RAKBANK by Phone</t>
  </si>
  <si>
    <t>where customer_id = (select id from customer_info where cif_id='&lt;&lt;RCIF_ID&gt;&gt;') and consent_config_id = (select id from consent_configs where consent_key='MARKETING_Phone' and category='MARKETING' and customer_type='BANK')</t>
  </si>
  <si>
    <t>Query to fetch marketing phone consent (YES/NO) from DB using RCIF id:
select consent_value from customer_consent where customer_id = (select id from customer_info where cif_id='&lt;&lt;RCIF_ID&gt;&gt;') and consent_config_id = (select id from consent_configs where consent_key='MARKETING_Phone' and category='MARKETING' and customer_type='BANK');</t>
  </si>
  <si>
    <t>From group by SMS</t>
  </si>
  <si>
    <t>Customer File: Preferences</t>
  </si>
  <si>
    <t>CPF-&gt;Customer Consent Edit-&gt;View and update-&gt;Marketing-&gt;From group by SMS</t>
  </si>
  <si>
    <t>where customer_id = (select id from customer_info where cif_id='&lt;&lt;RCIF_ID&gt;&gt;') and consent_config_id = (select id from consent_configs where consent_key='MARKETING_GroupSMS' and category='MARKETING' and customer_type='BANK');</t>
  </si>
  <si>
    <t>Query to fetch marketing group sms consent (YES/NO) from DB using RCIF id:
select consent_value from customer_consent where customer_id = (select id from customer_info where cif_id='&lt;&lt;RCIF_ID&gt;&gt;') and consent_config_id = (select id from consent_configs where consent_key='MARKETING_GroupSMS' and category='MARKETING' and customer_type='BANK');</t>
  </si>
  <si>
    <t>From group by Email</t>
  </si>
  <si>
    <t>CPF-&gt;Customer Consent Edit-&gt;View and update-&gt;Marketing-&gt;From group by Email</t>
  </si>
  <si>
    <t>where customer_id = (select id from customer_info where cif_id='&lt;&lt;RCIF_ID&gt;&gt;') and consent_config_id = (select id from consent_configs where consent_key='MARKETING_Group Email' and category='MARKETING' and customer_type='BANK');</t>
  </si>
  <si>
    <t>Query to fetch marketing group email consent (YES/NO) from DB using RCIF id:
select consent_value from customer_consent where customer_id = (select id from customer_info where cif_id='&lt;&lt;RCIF_ID&gt;&gt;') and consent_config_id = (select id from consent_configs where consent_key='MARKETING_Group Email' and category='MARKETING' and customer_type='BANK');</t>
  </si>
  <si>
    <t>From the Group by Phone</t>
  </si>
  <si>
    <t>CPF-&gt;Customer Consent Edit-&gt;View and update-&gt;Marketing-&gt;From the Group by Phone</t>
  </si>
  <si>
    <t>where customer_id = (select id from customer_info where cif_id='&lt;&lt;RCIF_ID&gt;&gt;') and consent_config_id = (select id from consent_configs where consent_key='MARKETING_GroupPhone' and category='MARKETING' and customer_type='BANK');</t>
  </si>
  <si>
    <t>Query to fetch marketing group phone consent (YES/NO) from DB using RCIF id:
select consent_value from customer_consent where customer_id = (select id from customer_info where cif_id='&lt;&lt;RCIF_ID&gt;&gt;') and consent_config_id = (select id from consent_configs where consent_key='MARKETING_GroupPhone' and category='MARKETING' and customer_type='BANK');</t>
  </si>
  <si>
    <t>SMS</t>
  </si>
  <si>
    <t>CPF-&gt;Customer Consent Edit-&gt;View and update-&gt;Transactional-&gt;SMS</t>
  </si>
  <si>
    <t>where customer_id = (select id from customer_info where cif_id='&lt;&lt;RCIF_ID&gt;&gt;') and consent_config_id = (select id from consent_configs where consent_key='TRANSACTIONAL_SMS' and category='TRANSACTIONAL' and customer_type='BANK')</t>
  </si>
  <si>
    <t>Query to fetch transactional sms consent (YES) from DB using RCIF id:
** Transactional SMS can never be set to NO, it is set as 'YES' by default for all customers
select consent_value from customer_consent where customer_id = (select id from customer_info where cif_id='&lt;&lt;RCIF_ID&gt;&gt;') and consent_config_id = (select id from consent_configs where consent_key='TRANSACTIONAL_SMS' and category='TRANSACTIONAL' and customer_type='BANK');</t>
  </si>
  <si>
    <t>CPF-&gt;Customer Consent Edit-&gt;View and update-&gt;Transactional-&gt;Email</t>
  </si>
  <si>
    <t>where customer_id = (select id from customer_info where cif_id='&lt;&lt;RCIF_ID&gt;&gt;') and consent_config_id = (select id from consent_configs where consent_key='TRANSACTIONAL_Email' and category='TRANSACTIONAL' and customer_type='BANK')</t>
  </si>
  <si>
    <t>Query to fetch transactional email consent (YES/NO) from DB using RCIF id:
select consent_value from customer_consent where customer_id = (select id from customer_info where cif_id='&lt;&lt;RCIF_ID&gt;&gt;') and consent_config_id = (select id from consent_configs where consent_key='TRANSACTIONAL_Email' and category='TRANSACTIONAL' and customer_type='BANK');</t>
  </si>
  <si>
    <t>Survey</t>
  </si>
  <si>
    <t>CPF-&gt;Customer Consent Edit-&gt;View and update-&gt;Survey-&gt;Survey</t>
  </si>
  <si>
    <t>where customer_id = (select id from customer_info where cif_id='&lt;&lt;RCIF_ID&gt;&gt;') and consent_config_id = (select id from consent_configs where consent_key='SURVEY' and category='SURVEY' and customer_type='BANK')</t>
  </si>
  <si>
    <t>Query to fetch survey consent (YES/NO) from DB using RCIF id:
select consent_value from customer_consent where customer_id = (select id from customer_info where cif_id='&lt;&lt;RCIF_ID&gt;&gt;') and consent_config_id = (select id from consent_configs where consent_key='SURVEY' and category='SURVEY' and customer_type='BANK');</t>
  </si>
  <si>
    <t>Mandatory Consent</t>
  </si>
  <si>
    <t>CPF-&gt;Customer Consent Edit-&gt;View and update-&gt;Mandatory Consent-&gt;Mandatory Consent</t>
  </si>
  <si>
    <t>where customer_id = (select id from customer_info where cif_id='&lt;&lt;RCIF_ID&gt;&gt;') and consent_config_id = (select id from consent_configs where consent_key='MANDATORY_CONSENT' and category='MANDATORY_CONSENT' and customer_type='BANK')</t>
  </si>
  <si>
    <t>Query to fetch mandatory consent (YES) from DB using RCIF id:
** Mandatory SMS can never be set to NO, it is set as 'YES' by default for all customers
select consent_value from customer_consent where customer_id = (select id from customer_info where cif_id='&lt;&lt;RCIF_ID&gt;&gt;') and consent_config_id = (select id from consent_configs where consent_key='MANDATORY_CONSENT' and category='MANDATORY_CONSENT' and customer_type='BANK');</t>
  </si>
  <si>
    <t>Consent</t>
  </si>
  <si>
    <t>CPF-&gt;Customer Consent Edit-&gt;Audit Trail-&gt;Consent</t>
  </si>
  <si>
    <t>consent_key</t>
  </si>
  <si>
    <t>customer_consent_audit.consent_config_id = consent_configs.id</t>
  </si>
  <si>
    <t>WHERE customer_consent_audit.customer_id = ( SELECT id FROM customer_info  WHERE cif_id = '&lt;&lt;RCIF_ID&gt;&gt;')</t>
  </si>
  <si>
    <t>Query to find customer consent audit trail using RCIF id:
SELECT
    cc.consent_key as consent,
    cca.consent_value as value,
    cca.audit_created_at as date,
    cca.source,
    cca.channel,
    cca.last_updated_by as user_id
FROM
    customer_consent_audit cca
JOIN
    consent_configs cc ON cca.consent_config_id = cc.id
WHERE
    cca.customer_id = (
        SELECT id
        FROM customer_info
        WHERE cif_id = '&lt;&lt;RCIF_ID&gt;&gt;'
    )
ORDER BY
    cca.last_updated_at DESC;</t>
  </si>
  <si>
    <t>customer_consent_audit: consent_value, audit_created_at, source, channel,last_updated_by,consent_config_id,last_updated_at
consent_configs: consent_key, id
customer_info : id, cif_id</t>
  </si>
  <si>
    <t>AUTH_CONSENT
EPAY_CONSENT
IPP_CONSENT
MANDATORY_CONSENT
MARKETING_Email
MARKETING_Phone
MARKETING_SMS
MARKETING_Group Email
MARKETING_GroupPhone
MARKETING_GroupSMS
NPSS_CONSENT
SURVEY
TNC_CONSENT
TRANSACTIONAL_SMS
TRANSACTIONAL_Email</t>
  </si>
  <si>
    <t>CPF-&gt;Customer Consent Edit-&gt;Audit Trail-&gt;Value</t>
  </si>
  <si>
    <t>CPF-&gt;Customer Consent Edit-&gt;Audit Trail-&gt;Date</t>
  </si>
  <si>
    <t>audit_created_at</t>
  </si>
  <si>
    <t>datetime2(7)</t>
  </si>
  <si>
    <t>YYYY-MM-DD HH:MM:SS.sssssss</t>
  </si>
  <si>
    <t>CPF-&gt;Customer Consent Edit-&gt;Audit Trail-&gt;Source</t>
  </si>
  <si>
    <t>source</t>
  </si>
  <si>
    <t>varchar(32)</t>
  </si>
  <si>
    <t>APP
PORTAL
RAKFLUX
WBA
WEB</t>
  </si>
  <si>
    <t>CPF-&gt;Customer Consent Edit-&gt;Audit Trail-&gt;Channel</t>
  </si>
  <si>
    <t>channel</t>
  </si>
  <si>
    <t>ATMs
Branch
Business Banking
CPF_PLATFORM
Digital Banking
https://www.skiply.ae
IVR
Personal Banking
Physical
PORTAL
WBA
Web Apply
Web Apply STP
Website</t>
  </si>
  <si>
    <t>User Id</t>
  </si>
  <si>
    <t>CPF-&gt;Customer Consent Edit-&gt;Audit Trail-&gt;User Id</t>
  </si>
  <si>
    <t>last_updated_by</t>
  </si>
  <si>
    <t>varchar(25)</t>
  </si>
  <si>
    <t>RAKFLUX_MIGRATION
RBCREDIT
SYSTEM
Staff network IDs of those who are updating data from the CPF Platform</t>
  </si>
  <si>
    <t>where customer_id = (select id from customer_info where cif_id='&lt;&lt;CCIF_ID&gt;&gt;') and consent_config_id = (select id from consent_configs where consent_key='MARKETING_SMS' and category='MARKETING' and customer_type='BANK')</t>
  </si>
  <si>
    <t>Query to fetch marketing sms consent (YES/NO) from DB using CCIF id:
select consent_value from customer_consent where customer_id = (select id from customer_info where cif_id='&lt;&lt;CCIF_ID&gt;&gt;') and consent_config_id = (select id from consent_configs where consent_key='MARKETING_SMS' and category='MARKETING' and customer_type='BANK');</t>
  </si>
  <si>
    <t>customer_consent, consent_configs, customer_info</t>
  </si>
  <si>
    <t>where customer_id = (select id from customer_info where cif_id='&lt;&lt;CCIF_ID&gt;&gt;') and consent_config_id = (select id from consent_configs where consent_key='MARKETING_Email' and category='MARKETING' and customer_type='BANK')</t>
  </si>
  <si>
    <t>Query to fetch marketing email consent (YES/NO) from DB using CCIF id:
select consent_value from customer_consent where customer_id = (select id from customer_info where cif_id='&lt;&lt;CCIF_ID&gt;&gt;') and consent_config_id = (select id from consent_configs where consent_key='MARKETING_Email' and category='MARKETING' and customer_type='BANK');</t>
  </si>
  <si>
    <t>where customer_id = (select id from customer_info where cif_id='&lt;&lt;CCIF_ID&gt;&gt;') and consent_config_id = (select id from consent_configs where consent_key='MARKETING_Phone' and category='MARKETING' and customer_type='BANK')</t>
  </si>
  <si>
    <t>Query to fetch marketing phone consent (YES/NO) from DB using CCIF id:
select consent_value from customer_consent where customer_id = (select id from customer_info where cif_id='&lt;&lt;CCIF_ID&gt;&gt;') and consent_config_id = (select id from consent_configs where consent_key='MARKETING_Phone' and category='MARKETING' and customer_type='BANK');</t>
  </si>
  <si>
    <t>where customer_id = (select id from customer_info where cif_id='&lt;&lt;CCIF_ID&gt;&gt;') and consent_config_id = (select id from consent_configs where consent_key='MARKETING_GroupSMS' and category='MARKETING' and customer_type='BANK')</t>
  </si>
  <si>
    <t>Query to fetch marketing group sms consent (YES/NO) from DB using CCIF id:
select consent_value from customer_consent where customer_id = (select id from customer_info where cif_id='&lt;&lt;CCIF_ID&gt;&gt;') and consent_config_id = (select id from consent_configs where consent_key='MARKETING_GroupSMS' and category='MARKETING' and customer_type='BANK');</t>
  </si>
  <si>
    <t>where customer_id = (select id from customer_info where cif_id='&lt;&lt;CCIF_ID&gt;&gt;') and consent_config_id = (select id from consent_configs where consent_key='MARKETING_Group Email' and category='MARKETING' and customer_type='BANK')</t>
  </si>
  <si>
    <t>Query to fetch marketing group email consent (YES/NO) from DB using CCIF id:
select consent_value from customer_consent where customer_id = (select id from customer_info where cif_id='&lt;&lt;CCIF_ID&gt;&gt;') and consent_config_id = (select id from consent_configs where consent_key='MARKETING_Group Email' and category='MARKETING' and customer_type='BANK');</t>
  </si>
  <si>
    <t>where customer_id = (select id from customer_info where cif_id='&lt;&lt;CCIF_ID&gt;&gt;') and consent_config_id = (select id from consent_configs where consent_key='MARKETING_GroupPhone' and category='MARKETING' and customer_type='BANK')</t>
  </si>
  <si>
    <t>Query to fetch marketing group phone consent (YES/NO) from DB using CCIF id:
select consent_value from customer_consent where customer_id = (select id from customer_info where cif_id='&lt;&lt;CCIF_ID&gt;&gt;') and consent_config_id = (select id from consent_configs where consent_key='MARKETING_GroupPhone' and category='MARKETING' and customer_type='BANK');</t>
  </si>
  <si>
    <t>where customer_id = (select id from customer_info where cif_id='&lt;&lt;CCIF_ID&gt;&gt;') and consent_config_id = (select id from consent_configs where consent_key='TRANSACTIONAL_SMS' and category='TRANSACTIONAL' and customer_type='BANK')</t>
  </si>
  <si>
    <t>Query to fetch transactional sms consent (YES) from DB using CCIF id:
** Transactional SMS can never be set to NO, it is set as 'YES' by default for all customers
select consent_value from customer_consent where customer_id = (select id from customer_info where cif_id='&lt;&lt;CCIF_ID&gt;&gt;') and consent_config_id = (select id from consent_configs where consent_key='TRANSACTIONAL_SMS' and category='TRANSACTIONAL' and customer_type='BANK');</t>
  </si>
  <si>
    <t>where customer_id = (select id from customer_info where cif_id='&lt;&lt;CCIF_ID&gt;&gt;') and consent_config_id = (select id from consent_configs where consent_key='TRANSACTIONAL_Email' and category='TRANSACTIONAL' and customer_type='BANK')</t>
  </si>
  <si>
    <t>Query to fetch transactional email consent (YES/NO) from DB using CCIF id:
select consent_value from customer_consent where customer_id = (select id from customer_info where cif_id='&lt;&lt;CCIF_ID&gt;&gt;') and consent_config_id = (select id from consent_configs where consent_key='TRANSACTIONAL_Email' and category='TRANSACTIONAL' and customer_type='BANK');</t>
  </si>
  <si>
    <t>where customer_id = (select id from customer_info where cif_id='&lt;&lt;CCIF_ID&gt;&gt;') and consent_config_id = (select id from consent_configs where consent_key='SURVEY' and category='SURVEY' and customer_type='BANK')</t>
  </si>
  <si>
    <t>Query to fetch survey consent (YES/NO) from DB using CCIF id:
select consent_value from customer_consent where customer_id = (select id from customer_info where cif_id='&lt;&lt;CCIF_ID&gt;&gt;') and consent_config_id = (select id from consent_configs where consent_key='SURVEY' and category='SURVEY' and customer_type='BANK');</t>
  </si>
  <si>
    <t>where customer_id = (select id from customer_info where cif_id='&lt;&lt;CCIF_ID&gt;&gt;') and consent_config_id = (select id from consent_configs where consent_key='MANDATORY_CONSENT' and category='MANDATORY_CONSENT' and customer_type='BANK')</t>
  </si>
  <si>
    <t>Query to fetch mandatory consent (YES) from DB using CCIF id:
** Mandatory SMS can never be set to NO, it is set as 'YES' by default for all customers
select consent_value from customer_consent where customer_id = (select id from customer_info where cif_id='&lt;&lt;CCIF_ID&gt;&gt;') and consent_config_id = (select id from consent_configs where consent_key='MANDATORY_CONSENT' and category='MANDATORY_CONSENT' and customer_type='BANK');</t>
  </si>
  <si>
    <t>WHERE customer_consent_audit.customer_id = ( SELECT id FROM customer_info  WHERE cif_id = '&lt;&lt;CCIF_ID&gt;&gt;')</t>
  </si>
  <si>
    <t>Query to find customer consent audit trail using CCIF id:
SELECT
    cc.consent_key as consent,
    cca.consent_value as value,
    cca.audit_created_at as date,
    cca.source,
    cca.channel,
    cca.last_updated_by as user_id
FROM
    customer_consent_audit cca
JOIN
    consent_configs cc ON cca.consent_config_id = cc.id
WHERE
    cca.customer_id = (
        SELECT id
        FROM customer_info
        WHERE cif_id = '&lt;&lt;CCIF_ID&gt;&gt;'
    )
ORDER BY
    cca.last_updated_at DESC;</t>
  </si>
  <si>
    <t xml:space="preserve">customer_consent_audit,
consent_configs,
customer_info </t>
  </si>
  <si>
    <t>Authentication Flags</t>
  </si>
  <si>
    <t>Cross Sell
RAKTRACK</t>
  </si>
  <si>
    <t>RAKTRACK: All Leads -&gt; CIF</t>
  </si>
  <si>
    <t>No restriction</t>
  </si>
  <si>
    <t>RAKTRACK: TBD</t>
  </si>
  <si>
    <t>RAKTRACK: All Leads -&gt; Product Name</t>
  </si>
  <si>
    <t>RBL
LIABILITIES
TWC
EXPRESS RBL
ABF
EXPRESS TWC
WBA-DBO</t>
  </si>
  <si>
    <t>RAKTRACK : All Leads -&gt; User Name (Sign in)</t>
  </si>
  <si>
    <t>List of Users as per Employee File</t>
  </si>
  <si>
    <t>RAKTRACK: All Leads -&gt; Status</t>
  </si>
  <si>
    <t>The list is configured through KPI File upload. The list consists of values like :
Not yet contacted
Not Contactable
Callback Requested
Interested
Undecided
Documents to be collected
Documents Collected
Pending Clarification
Under Investigation
Submitted to AU
Submitted to COPS
Submitted for de-dupe checks
Reverted to Buisness
Not yet processed
HOLD-AU-Reverted to RM
Login Reject-AU
Submitted to EC
HOLD-EC-Reverted to RM
Submitted to Operations
Login Reject-CROPS
Pending Disbursal
Disbursed
Declined-Customer
Declined-NRS
Declined-AU-Policy
Declined-AU-System
Declined-AU-Declined
Declined-EC
Declined-Operations
Declined</t>
  </si>
  <si>
    <t>RAKTRACK: All Leads -&gt; Created</t>
  </si>
  <si>
    <t>Auto Generated</t>
  </si>
  <si>
    <t>RAKTRACK: All Leads -&gt; Source</t>
  </si>
  <si>
    <t>Senior Manager
Team Leader
Frontline
External Source: Web
Excel Upload</t>
  </si>
  <si>
    <t>RAKTRACK: All Leads -&gt;Lead Type</t>
  </si>
  <si>
    <t>Website Apply
Self generated</t>
  </si>
  <si>
    <t>RAKTRACK: All Leads -&gt; Customer Name</t>
  </si>
  <si>
    <t>RAKTRACK : All Leads -&gt; Sub Product</t>
  </si>
  <si>
    <t>As defined in the Products file upload - based on the products mentioned above in row 5</t>
  </si>
  <si>
    <t>RAKTRACK: All Leads -&gt; Follow up Date</t>
  </si>
  <si>
    <t>Date Picker - Only Future Date</t>
  </si>
  <si>
    <t>RAKTRACK: All Leads -&gt; Phone Number</t>
  </si>
  <si>
    <t>RAKTRACK: All Leads -&gt; Email Address</t>
  </si>
  <si>
    <t>RAKTRACK: All Leads -&gt; Notes</t>
  </si>
  <si>
    <t>CRM Scope</t>
  </si>
  <si>
    <t>In Data Platforms List?</t>
  </si>
  <si>
    <t>System name from Data Platform list</t>
  </si>
  <si>
    <t>Data Platform Scope</t>
  </si>
  <si>
    <t>CPF Platform</t>
  </si>
  <si>
    <t>IBPS (CAS)</t>
  </si>
  <si>
    <t>Digital Banking - IB &amp; MB Retail</t>
  </si>
  <si>
    <t>DecTech</t>
  </si>
  <si>
    <t>DEH (Digital Engagement Hub)</t>
  </si>
  <si>
    <t>CPPS (Credit Card Payment Processing System)</t>
  </si>
  <si>
    <t>AECB</t>
  </si>
  <si>
    <t>Collections - Intellect</t>
  </si>
  <si>
    <t>DEH (Digital Engagement Hub) / DecTech</t>
  </si>
  <si>
    <t>EFR - OCR</t>
  </si>
  <si>
    <t>Fircosoft Suite</t>
  </si>
  <si>
    <t>SALARY</t>
  </si>
  <si>
    <t>FIS -   Treasury</t>
  </si>
  <si>
    <t>Image based Cheque Clearing System(ICCS)</t>
  </si>
  <si>
    <t>MAPS (Card Acquiring)</t>
  </si>
  <si>
    <t>Prime/Online</t>
  </si>
  <si>
    <t>PRIME4/Online4</t>
  </si>
  <si>
    <t>Moodys Risk (credit lens)</t>
  </si>
  <si>
    <t>Online4</t>
  </si>
  <si>
    <t>SAS - Fraud (EFMS)</t>
  </si>
  <si>
    <t>Wage Protection System(WPS)</t>
  </si>
  <si>
    <t>WMS (Wealth Management System)</t>
  </si>
  <si>
    <t>CHECKLIST</t>
  </si>
  <si>
    <t>BLACKLIST</t>
  </si>
  <si>
    <t>DND</t>
  </si>
  <si>
    <t>FTS</t>
  </si>
  <si>
    <t>Integration mechanism</t>
  </si>
  <si>
    <t>Total Drop2 fields count</t>
  </si>
  <si>
    <t>Analysis completed count
(DB Spec validation)</t>
  </si>
  <si>
    <t>Query written count</t>
  </si>
  <si>
    <t>Analysis /Validation completed on 30th  Apr</t>
  </si>
  <si>
    <t>Query Written on 30 Apr</t>
  </si>
  <si>
    <t>Specs received</t>
  </si>
  <si>
    <t>Specs not received</t>
  </si>
  <si>
    <t>DB + API</t>
  </si>
  <si>
    <t>527(499(from Arvind + 28  additional menu fields)</t>
  </si>
  <si>
    <t xml:space="preserve">Join condition is missing for all 24 fields </t>
  </si>
  <si>
    <t>1.43  from prime sheet and 19 from non prime.</t>
  </si>
  <si>
    <t>Added from cards sheet</t>
  </si>
  <si>
    <t>All other fields are marked as M2 post checking story</t>
  </si>
  <si>
    <t>no field mentioned for drop 2</t>
  </si>
  <si>
    <t>have marked fields M3/M4 pending fields should be part of drop2 or not can be discussed</t>
  </si>
  <si>
    <t>no field mentioned for drop 2 as all are part of Drop 1</t>
  </si>
  <si>
    <t>All fields are covered in M3/M4.</t>
  </si>
  <si>
    <t>not able to find any of the field in backlog so should be the part of drop 2</t>
  </si>
  <si>
    <t>Join is missing for  10</t>
  </si>
  <si>
    <t xml:space="preserve">Sunil will ingest directly </t>
  </si>
  <si>
    <t>3D secure</t>
  </si>
  <si>
    <t xml:space="preserve">moved to RLS </t>
  </si>
  <si>
    <t xml:space="preserve">DCR </t>
  </si>
  <si>
    <t>No milestone is mentioned for this</t>
  </si>
  <si>
    <t>Data Analytics</t>
  </si>
  <si>
    <t>These are run time field</t>
  </si>
  <si>
    <t>Omnidocs</t>
  </si>
  <si>
    <t>Account Statement Details -&gt; Next Statement Date Increment
Credit Card Details (ACCOUNT CODES) -&gt; Statement Cycle</t>
  </si>
  <si>
    <t>from prime</t>
  </si>
  <si>
    <t>by CIF update API</t>
  </si>
  <si>
    <t>Digital banking app</t>
  </si>
  <si>
    <t>Check with Jerry</t>
  </si>
  <si>
    <t>Prime UI</t>
  </si>
  <si>
    <t>M1,M2,M3,M4</t>
  </si>
  <si>
    <t>Simply a Sno</t>
  </si>
  <si>
    <t>Failure Reason</t>
  </si>
  <si>
    <t>Run Time Field</t>
  </si>
  <si>
    <t>Avoid Interest Message</t>
  </si>
  <si>
    <t>cardx.CACCSERNO=caccounts.serno 
cardx.CACCSERNO=caccounts.serno and cardx.PEOPLESERNO=people.serno &amp; CRMuser.accounts.orgkey=people.CUSTIDNUMBER (Remove any prefix 'C','D' or 'P' from CUSTIDNUMBER before join)
caccounts.currency = currency.alphacode</t>
  </si>
  <si>
    <t>ilcardx.stgeneral||' - '||ilcardstatus.description Where ILCARDX.STGENERAL=ILCARDSTATUS.CODE</t>
  </si>
  <si>
    <t>ILCISOTRXNS, mccs</t>
  </si>
  <si>
    <t>CISOTRXNS.I018_MERCH_TYPE = mccs.CODE &amp; ctransactions.serno = cisotrxns.serno(left outer join) &amp; CTRANSCATIONS.CACCSERNO=CACCOUNTS.SERNO and cardx.CACCSERNO=caccounts.serno and cardx.PEOPLESERNO=people.serno &amp; CRMuser.accounts.orgkey=people.CUSTIDNUMBER (Remove any prefix 'C','D' or 'P' from CUSTIDNUMBER before join)</t>
  </si>
  <si>
    <t>static</t>
  </si>
  <si>
    <t>Mapped from CAPS system</t>
  </si>
  <si>
    <t>CPPSUSER</t>
  </si>
  <si>
    <t>fetch from DB</t>
  </si>
  <si>
    <t>DECIMAL(3,0)</t>
  </si>
  <si>
    <t>DECIMAL(2,0)</t>
  </si>
  <si>
    <t>DECIMAL(18,2)</t>
  </si>
  <si>
    <t>TRAN_REF</t>
  </si>
  <si>
    <t>tctdbs_cardx.numberx=PAYMENT_TRANS.Card_number and cardx.PEOPLESERNO=people.serno &amp; CRMuser.accounts.orgkey=people.CUSTIDNUMBER (Remove any prefix 'C','D' or 'P' from CUSTIDNUMBER before join)</t>
  </si>
  <si>
    <t>fetch from Db</t>
  </si>
  <si>
    <t>TRAN_NARRATION</t>
  </si>
  <si>
    <t>PAY_AMOUNT</t>
  </si>
  <si>
    <t>DECIMAL(16,3)</t>
  </si>
  <si>
    <t>##,###.00</t>
  </si>
  <si>
    <t>CHAR(20)</t>
  </si>
  <si>
    <t>PAY_DATE</t>
  </si>
  <si>
    <t>dd/MM/yyyy</t>
  </si>
  <si>
    <t>If value is coming ADD then it will show Added, if value is coming REV then it will show Reversed,If value is coming POS then it will show Posted,if value is coming SUS then it will show Suspect Payment,if value is coming ERR then it will show Error,if value is coming CAN then it will show Cancelled</t>
  </si>
  <si>
    <t>CHAR(3)</t>
  </si>
  <si>
    <t>VARCHAR(20)</t>
  </si>
  <si>
    <t>PAYMENT_TRANS_ONLINE_NOTIFY_T.tran_ref=PAYMENT_TRANS.tran_ref and tctdbs_cardx.numberx=PAYMENT_TRANS.Card_number and cardx.PEOPLESERNO=people.serno &amp; CRMuser.accounts.orgkey=people.CUSTIDNUMBER (Remove any prefix 'C','D' or 'P' from CUSTIDNUMBER before join)</t>
  </si>
  <si>
    <t>Credit Card Details (ACCOUNT CODES) -&gt; App. Source</t>
  </si>
  <si>
    <t>CARD_GENERAL.accountno=finacle.crmuser_accounts.accountid</t>
  </si>
  <si>
    <t>NA are there because there are no restriction on frontend side.</t>
  </si>
  <si>
    <t>LOV(page will open with master data)</t>
  </si>
  <si>
    <t>Master table AppSource</t>
  </si>
  <si>
    <t>Master table Appsouce</t>
  </si>
  <si>
    <t>Credit Card Details (ACCOUNT CODES) -&gt; CRN</t>
  </si>
  <si>
    <t>cards.accountno=finacle.crmuser_accounts.accountid</t>
  </si>
  <si>
    <t>All values in the frontend is as per the backend values, there are no restrictions on frontend</t>
  </si>
  <si>
    <t>0000062-00</t>
  </si>
  <si>
    <t>Credit Card Details -&gt; Month</t>
  </si>
  <si>
    <t>DMONTH,DYEAR</t>
  </si>
  <si>
    <t>DELINQUENCYCALENDAR.crnno=cards.crnno &amp; cards.accountno=finacle.crmuser_accounts.accountid</t>
  </si>
  <si>
    <t>DMONTH + "/" + DYEAR</t>
  </si>
  <si>
    <t>This is as per the table.</t>
  </si>
  <si>
    <t>NUMBER(18,0)</t>
  </si>
  <si>
    <t>month + "/" + year</t>
  </si>
  <si>
    <t>Credit Card Details -&gt; Bucket</t>
  </si>
  <si>
    <t>DELINQUENCYBUCKET</t>
  </si>
  <si>
    <t>Credit Card Details -&gt; Cur. Overdue Amt.</t>
  </si>
  <si>
    <t>CUROVERDUEAMOUNT</t>
  </si>
  <si>
    <t>FLOAT</t>
  </si>
  <si>
    <t>Credit Card Details -&gt; Cur. Out.Bal.Total</t>
  </si>
  <si>
    <t>CUROUTBALTOTAL</t>
  </si>
  <si>
    <t>STATEMENTCYCLE</t>
  </si>
  <si>
    <t>accounts.accountno=finacle.crmuser_accounts.accountid</t>
  </si>
  <si>
    <t>LOV(Page will open with master data)</t>
  </si>
  <si>
    <t>Master table STMTCYCLES</t>
  </si>
  <si>
    <t>Developer Remarks</t>
  </si>
  <si>
    <t>Debit Card Enquiry -&gt; Embossing Name</t>
  </si>
  <si>
    <t>Referring &lt;NS1:Name&gt; tag from &lt;NS1:CardInfo&gt;</t>
  </si>
  <si>
    <t>RBS_CardAccountDetails_v2 API is calling to prime and fetching  card data</t>
  </si>
  <si>
    <t>Dispatch Channel</t>
  </si>
  <si>
    <t>Debit Card Enquiry -&gt; Dispatch Channel</t>
  </si>
  <si>
    <t>Referring &lt;NS1:RefType&gt; tag from &lt;NS1:CardRefInfo&gt;
DispatchChannel&lt;/NS1:RefType&gt;</t>
  </si>
  <si>
    <t>Debit Card Enquiry -&gt; Dispatch Date</t>
  </si>
  <si>
    <t>Referring &lt;NS1:RefType&gt; tag from &lt;NS1:CardRefInfo&gt;
DispatchDate&lt;/NS1:RefType&gt;</t>
  </si>
  <si>
    <t>Refer from PRIME</t>
  </si>
  <si>
    <t>PRIME mapping</t>
  </si>
  <si>
    <t>Transaction table to be referred from ONLINE DB</t>
  </si>
  <si>
    <t>CHAR(8 CHAR)</t>
  </si>
  <si>
    <t>TRXNTYPE</t>
  </si>
  <si>
    <t>NUMBER(10)</t>
  </si>
  <si>
    <t>CHAR(4 CHAR)</t>
  </si>
  <si>
    <t>CHAR(25 CHAR)</t>
  </si>
  <si>
    <t>I0004_AMT_TRXN</t>
  </si>
  <si>
    <t>MDES Customer Service -&gt; Device Name</t>
  </si>
  <si>
    <t>Prime-Cards -Token Details -Device Name</t>
  </si>
  <si>
    <t>VARCHAR2(1000 CHAR)</t>
  </si>
  <si>
    <t>Please refer to MDES i048 Sub elements internally</t>
  </si>
  <si>
    <t>Prime-Cards -Token Details -Wallet Provider ID</t>
  </si>
  <si>
    <t>MDES Customer Service -&gt; Token Requestor</t>
  </si>
  <si>
    <t>Prime-Cards -Token Details -Requestor ID</t>
  </si>
  <si>
    <t>MDES Customer Service -&gt; Status</t>
  </si>
  <si>
    <t>Prime-Cards -Token Details -Status</t>
  </si>
  <si>
    <t>MDES Customer Service -&gt; Token</t>
  </si>
  <si>
    <t>Prime-Cards -Token Details -Number</t>
  </si>
  <si>
    <t>I002_NUMBER</t>
  </si>
  <si>
    <t>CHAR(25)</t>
  </si>
  <si>
    <t>MDES Customer Service -&gt; Token (Expiry Date)</t>
  </si>
  <si>
    <t>Prime-Cards -Token Details -Expiration Date</t>
  </si>
  <si>
    <t>CHAR(4)</t>
  </si>
  <si>
    <t>MDES Customer Service -&gt; Token Unique Reference</t>
  </si>
  <si>
    <t>Prime-Cards -Token Details -Reference ID</t>
  </si>
  <si>
    <t>transaction type in PRIME and lov values</t>
  </si>
  <si>
    <t>My Services -&gt; Token Life-cycle Management -&gt;Device Number</t>
  </si>
  <si>
    <t>Count of Day-0 load in SQL DB 
DB : DEV
Source : UAT 2
Approach : ADF approach</t>
  </si>
  <si>
    <t>Day-0 load in SQL DB 
DB : DEV
Source : UAT 2
Approach : ADF approach</t>
  </si>
  <si>
    <t>Count of Continuous load in SQL DB
DB : DEV
Source : UAT 2
Approach : Confluent RTS 
(SQL Sink)</t>
  </si>
  <si>
    <t>Continuous load in SQL DB
DB : DEV
Source : UAT 2
Approach : Confluent RTS 
(SQL Sink)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</si>
</sst>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91">
    <font>
      <sz val="11"/>
      <color theme="1"/>
      <name val="Aptos Narrow"/>
      <family val="2"/>
      <scheme val="minor"/>
    </font>
    <font>
      <b/>
      <sz val="11"/>
      <color theme="0"/>
      <name val="Aptos Narrow"/>
      <family val="2"/>
      <scheme val="minor"/>
    </font>
    <font>
      <sz val="11"/>
      <color theme="1"/>
      <name val="Calibri"/>
      <family val="2"/>
    </font>
    <font>
      <b/>
      <sz val="11"/>
      <color theme="1"/>
      <name val="Calibri"/>
      <family val="2"/>
    </font>
    <font>
      <sz val="10"/>
      <color theme="1"/>
      <name val="Verdana"/>
      <family val="2"/>
    </font>
    <font>
      <b/>
      <sz val="10"/>
      <color rgb="FFFFFFFF"/>
      <name val="Aptos Narrow"/>
      <family val="2"/>
    </font>
    <font>
      <u/>
      <sz val="11"/>
      <color theme="10"/>
      <name val="Aptos Narrow"/>
      <family val="2"/>
      <scheme val="minor"/>
    </font>
    <font>
      <b/>
      <sz val="11"/>
      <color theme="1"/>
      <name val="Aptos Narrow"/>
      <family val="2"/>
      <scheme val="minor"/>
    </font>
    <font>
      <b/>
      <sz val="11"/>
      <color rgb="FFB6424C"/>
      <name val="Aptos Narrow"/>
      <family val="2"/>
      <scheme val="minor"/>
    </font>
    <font>
      <u/>
      <sz val="11"/>
      <color rgb="FF37797B"/>
      <name val="Aptos Narrow"/>
      <family val="2"/>
      <scheme val="minor"/>
    </font>
    <font>
      <sz val="10"/>
      <color theme="1"/>
      <name val="Aptos Narrow"/>
      <family val="2"/>
      <scheme val="minor"/>
    </font>
    <font>
      <b/>
      <sz val="10"/>
      <color theme="0"/>
      <name val="Aptos Narrow"/>
      <family val="2"/>
      <scheme val="minor"/>
    </font>
    <font>
      <b/>
      <sz val="10"/>
      <color theme="0"/>
      <name val="Aptos Narrow"/>
      <family val="2"/>
    </font>
    <font>
      <u/>
      <sz val="10"/>
      <color theme="10"/>
      <name val="Aptos Narrow"/>
      <family val="2"/>
      <scheme val="minor"/>
    </font>
    <font>
      <sz val="10"/>
      <color rgb="FF000000"/>
      <name val="Aptos Narrow"/>
      <family val="2"/>
    </font>
    <font>
      <u/>
      <sz val="10"/>
      <color rgb="FF37797B"/>
      <name val="Aptos Narrow"/>
      <family val="2"/>
      <scheme val="minor"/>
    </font>
    <font>
      <sz val="10"/>
      <color rgb="FF000000"/>
      <name val="Aptos Narrow"/>
      <family val="2"/>
      <scheme val="minor"/>
    </font>
    <font>
      <b/>
      <sz val="11"/>
      <color theme="0"/>
      <name val="Calibri"/>
      <family val="2"/>
    </font>
    <font>
      <b/>
      <sz val="11"/>
      <color rgb="FF000000"/>
      <name val="Calibri"/>
      <family val="2"/>
    </font>
    <font>
      <sz val="11"/>
      <color rgb="FF000000"/>
      <name val="Aptos Narrow"/>
      <family val="2"/>
    </font>
    <font>
      <sz val="11"/>
      <color rgb="FF000000"/>
      <name val="Aptos Narrow"/>
      <family val="2"/>
      <scheme val="minor"/>
    </font>
    <font>
      <sz val="10"/>
      <color theme="1"/>
      <name val="Calibri"/>
      <family val="2"/>
    </font>
    <font>
      <sz val="11"/>
      <color rgb="FF242424"/>
      <name val="Calibri"/>
      <family val="2"/>
    </font>
    <font>
      <sz val="11"/>
      <color rgb="FFFF0000"/>
      <name val="Aptos Narrow"/>
      <family val="2"/>
      <scheme val="minor"/>
    </font>
    <font>
      <sz val="11"/>
      <color theme="5" tint="-0.249977111117893"/>
      <name val="Aptos Narrow"/>
      <family val="2"/>
      <scheme val="minor"/>
    </font>
    <font>
      <sz val="11"/>
      <color theme="6" tint="-0.249977111117893"/>
      <name val="Aptos Narrow"/>
      <family val="2"/>
      <scheme val="minor"/>
    </font>
    <font>
      <sz val="11"/>
      <color rgb="FFFF0000"/>
      <name val="Aptos Narrow"/>
      <family val="2"/>
      <charset val="1"/>
    </font>
    <font>
      <sz val="11"/>
      <color theme="1"/>
      <name val="Calibri"/>
      <family val="2"/>
      <charset val="1"/>
    </font>
    <font>
      <sz val="11"/>
      <color rgb="FF000000"/>
      <name val="Calibri"/>
      <family val="2"/>
      <charset val="1"/>
    </font>
    <font>
      <sz val="11"/>
      <color theme="1"/>
      <name val="Aptos Narrow"/>
      <family val="2"/>
      <scheme val="minor"/>
    </font>
    <font>
      <sz val="11"/>
      <color theme="0"/>
      <name val="Aptos Narrow"/>
      <family val="2"/>
      <scheme val="minor"/>
    </font>
    <font>
      <b/>
      <sz val="11"/>
      <name val="Aptos Narrow"/>
      <family val="2"/>
      <charset val="1"/>
    </font>
    <font>
      <sz val="11"/>
      <color rgb="FF000000"/>
      <name val="Aptos Narrow"/>
      <family val="2"/>
      <charset val="1"/>
    </font>
    <font>
      <b/>
      <sz val="10"/>
      <color theme="0"/>
      <name val="Calibri"/>
      <family val="2"/>
    </font>
    <font>
      <sz val="11"/>
      <color rgb="FFFF0000"/>
      <name val="Aptos Narrow"/>
      <family val="2"/>
    </font>
    <font>
      <sz val="11"/>
      <color rgb="FF000000"/>
      <name val="Calibri"/>
      <family val="2"/>
    </font>
    <font>
      <sz val="9"/>
      <color theme="1"/>
      <name val="Calibri"/>
      <family val="2"/>
    </font>
    <font>
      <sz val="11"/>
      <color rgb="FF000000"/>
      <name val="Arial"/>
      <family val="2"/>
    </font>
    <font>
      <b/>
      <sz val="11"/>
      <name val="Aptos Narrow"/>
      <family val="2"/>
      <scheme val="minor"/>
    </font>
    <font>
      <b/>
      <sz val="11"/>
      <name val="Calibri"/>
      <family val="2"/>
    </font>
    <font>
      <b/>
      <sz val="10"/>
      <name val="Calibri"/>
      <family val="2"/>
    </font>
    <font>
      <sz val="11"/>
      <color rgb="FF242424"/>
      <name val="Aptos Narrow"/>
      <family val="2"/>
    </font>
    <font>
      <sz val="10"/>
      <name val="Calibri"/>
      <family val="2"/>
    </font>
    <font>
      <b/>
      <sz val="10"/>
      <color theme="1"/>
      <name val="Aptos Narrow"/>
      <family val="2"/>
      <scheme val="minor"/>
    </font>
    <font>
      <sz val="10"/>
      <color rgb="FF000000"/>
      <name val="Calibri"/>
      <family val="2"/>
    </font>
    <font>
      <sz val="10"/>
      <color rgb="FF242424"/>
      <name val="Aptos Narrow"/>
      <family val="2"/>
    </font>
    <font>
      <sz val="10"/>
      <color rgb="FFFF0000"/>
      <name val="Aptos Narrow"/>
      <family val="2"/>
      <scheme val="minor"/>
    </font>
    <font>
      <b/>
      <sz val="10"/>
      <color rgb="FF000000"/>
      <name val="Aptos Narrow"/>
      <family val="2"/>
    </font>
    <font>
      <sz val="9"/>
      <color theme="1"/>
      <name val="Aptos Narrow"/>
      <family val="2"/>
      <scheme val="minor"/>
    </font>
    <font>
      <b/>
      <sz val="9"/>
      <color theme="1"/>
      <name val="Aptos Narrow"/>
      <family val="2"/>
      <scheme val="minor"/>
    </font>
    <font>
      <b/>
      <sz val="10"/>
      <color theme="0"/>
      <name val="Aptos"/>
      <family val="2"/>
    </font>
    <font>
      <sz val="10"/>
      <color theme="1"/>
      <name val="Aptos"/>
      <family val="2"/>
    </font>
    <font>
      <b/>
      <sz val="9"/>
      <color theme="0"/>
      <name val="Aptos Narrow"/>
      <family val="2"/>
      <scheme val="minor"/>
    </font>
    <font>
      <u/>
      <sz val="11"/>
      <color rgb="FFFF0000"/>
      <name val="Aptos Narrow"/>
      <family val="2"/>
      <scheme val="minor"/>
    </font>
    <font>
      <sz val="22"/>
      <color theme="1"/>
      <name val="Aptos Narrow"/>
      <family val="2"/>
      <scheme val="minor"/>
    </font>
    <font>
      <sz val="18"/>
      <color theme="1"/>
      <name val="Aptos Narrow"/>
      <family val="2"/>
      <scheme val="minor"/>
    </font>
    <font>
      <b/>
      <sz val="11"/>
      <color theme="0" tint="-4.9989318521683403E-2"/>
      <name val="Aptos Narrow"/>
      <family val="2"/>
      <scheme val="minor"/>
    </font>
    <font>
      <b/>
      <sz val="11"/>
      <color rgb="FFFF0000"/>
      <name val="Aptos Narrow"/>
      <family val="2"/>
      <scheme val="minor"/>
    </font>
    <font>
      <sz val="10"/>
      <color rgb="FFFF0000"/>
      <name val="Aptos Narrow"/>
      <family val="2"/>
    </font>
    <font>
      <sz val="11"/>
      <color theme="1"/>
      <name val="Aptos Narrow"/>
      <family val="2"/>
    </font>
    <font>
      <sz val="10"/>
      <color rgb="FF3B3B3B"/>
      <name val="Menlo"/>
      <charset val="1"/>
    </font>
    <font>
      <b/>
      <sz val="10"/>
      <color rgb="FF000000"/>
      <name val="Calibri"/>
      <family val="2"/>
    </font>
    <font>
      <b/>
      <sz val="10"/>
      <color rgb="FF363636"/>
      <name val="Calibri"/>
      <family val="2"/>
    </font>
    <font>
      <sz val="14"/>
      <color theme="0"/>
      <name val="Aptos Narrow"/>
      <family val="2"/>
      <scheme val="minor"/>
    </font>
    <font>
      <sz val="12"/>
      <color rgb="FF000000"/>
      <name val="Calibri"/>
      <family val="2"/>
    </font>
    <font>
      <strike/>
      <sz val="11"/>
      <color theme="1"/>
      <name val="Aptos Narrow"/>
      <family val="2"/>
      <scheme val="minor"/>
    </font>
    <font>
      <b/>
      <sz val="10"/>
      <color rgb="FF000000"/>
      <name val="Inherit"/>
      <charset val="1"/>
    </font>
    <font>
      <sz val="10"/>
      <color rgb="FF000000"/>
      <name val="Aptos"/>
      <family val="2"/>
    </font>
    <font>
      <strike/>
      <sz val="11"/>
      <color rgb="FF000000"/>
      <name val="Aptos Narrow"/>
      <family val="2"/>
    </font>
    <font>
      <strike/>
      <sz val="10"/>
      <color rgb="FF000000"/>
      <name val="Aptos Narrow"/>
      <family val="2"/>
    </font>
    <font>
      <sz val="10"/>
      <color rgb="FFC72E0F"/>
      <name val="Menlo"/>
      <charset val="1"/>
    </font>
    <font>
      <sz val="10"/>
      <color rgb="FFC72E0F"/>
      <name val="Menlo"/>
    </font>
    <font>
      <sz val="10"/>
      <color rgb="FF3B3B3B"/>
      <name val="Menlo"/>
    </font>
    <font>
      <strike/>
      <sz val="10"/>
      <color theme="1"/>
      <name val="Aptos Narrow"/>
      <family val="2"/>
      <scheme val="minor"/>
    </font>
    <font>
      <sz val="11"/>
      <color rgb="FF000000"/>
      <name val="Aptos Narrow"/>
      <scheme val="minor"/>
    </font>
    <font>
      <sz val="11"/>
      <color rgb="FF000000"/>
      <name val="Aptos Narrow"/>
    </font>
    <font>
      <sz val="11"/>
      <color rgb="FF000000"/>
      <name val="Aptos Narrow"/>
      <charset val="1"/>
    </font>
    <font>
      <b/>
      <sz val="10"/>
      <color rgb="FFFF0000"/>
      <name val="Aptos Narrow"/>
      <family val="2"/>
      <scheme val="minor"/>
    </font>
    <font>
      <sz val="11"/>
      <color rgb="FF242424"/>
      <name val="Aptos Narrow"/>
      <charset val="1"/>
    </font>
    <font>
      <sz val="11"/>
      <color rgb="FF000000"/>
      <name val="Calibri"/>
    </font>
    <font>
      <b/>
      <sz val="11"/>
      <color rgb="FF000000"/>
      <name val="Aptos Narrow"/>
      <scheme val="minor"/>
    </font>
    <font>
      <b/>
      <sz val="10"/>
      <color theme="1"/>
      <name val="Calibri"/>
      <family val="2"/>
    </font>
    <font>
      <sz val="10"/>
      <color theme="1"/>
      <name val="Aptos"/>
      <family val="2"/>
      <charset val="1"/>
    </font>
    <font>
      <sz val="10"/>
      <color rgb="FFFF0000"/>
      <name val="Calibri"/>
      <family val="2"/>
    </font>
    <font>
      <b/>
      <sz val="10"/>
      <color theme="1"/>
      <name val="Calibri"/>
    </font>
    <font>
      <sz val="10"/>
      <color rgb="FF000000"/>
      <name val="Aptos Narrow"/>
    </font>
    <font>
      <sz val="11"/>
      <color theme="0"/>
      <name val="Aptos Narrow"/>
      <family val="2"/>
      <charset val="1"/>
    </font>
    <font>
      <sz val="11"/>
      <color theme="1"/>
      <name val="Aptos Narrow"/>
      <family val="2"/>
      <charset val="1"/>
    </font>
    <font>
      <sz val="11"/>
      <color rgb="FF000000"/>
      <name val="Arial"/>
      <charset val="1"/>
    </font>
    <font>
      <b/>
      <sz val="11"/>
      <color rgb="FF000000"/>
      <name val="Aptos Narrow"/>
    </font>
    <font>
      <strike/>
      <sz val="11"/>
      <color rgb="FF000000"/>
      <name val="Aptos Narrow"/>
      <scheme val="minor"/>
    </font>
  </fonts>
  <fills count="34">
    <fill>
      <patternFill patternType="none"/>
    </fill>
    <fill>
      <patternFill patternType="gray125"/>
    </fill>
    <fill>
      <patternFill patternType="solid">
        <fgColor rgb="FFC00000"/>
        <bgColor indexed="64"/>
      </patternFill>
    </fill>
    <fill>
      <patternFill patternType="solid">
        <fgColor theme="6" tint="0.79998168889431442"/>
        <bgColor indexed="64"/>
      </patternFill>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theme="5" tint="0.79998168889431442"/>
        <bgColor indexed="64"/>
      </patternFill>
    </fill>
    <fill>
      <patternFill patternType="solid">
        <fgColor rgb="FFF55F5F"/>
        <bgColor indexed="64"/>
      </patternFill>
    </fill>
    <fill>
      <patternFill patternType="solid">
        <fgColor rgb="FFFF0000"/>
        <bgColor indexed="64"/>
      </patternFill>
    </fill>
    <fill>
      <patternFill patternType="solid">
        <fgColor rgb="FFFFFFFF"/>
        <bgColor indexed="64"/>
      </patternFill>
    </fill>
    <fill>
      <patternFill patternType="solid">
        <fgColor rgb="FFFFFFFF"/>
        <bgColor rgb="FF000000"/>
      </patternFill>
    </fill>
    <fill>
      <patternFill patternType="solid">
        <fgColor theme="5" tint="0.59999389629810485"/>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8" tint="0.79998168889431442"/>
        <bgColor indexed="64"/>
      </patternFill>
    </fill>
    <fill>
      <patternFill patternType="solid">
        <fgColor theme="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BE2D5"/>
        <bgColor rgb="FF000000"/>
      </patternFill>
    </fill>
    <fill>
      <patternFill patternType="solid">
        <fgColor theme="2" tint="-9.9978637043366805E-2"/>
        <bgColor indexed="64"/>
      </patternFill>
    </fill>
    <fill>
      <patternFill patternType="solid">
        <fgColor theme="9" tint="-0.499984740745262"/>
        <bgColor indexed="64"/>
      </patternFill>
    </fill>
    <fill>
      <patternFill patternType="solid">
        <fgColor rgb="FFDFE3E8"/>
        <bgColor indexed="64"/>
      </patternFill>
    </fill>
    <fill>
      <patternFill patternType="solid">
        <fgColor theme="4" tint="0.59999389629810485"/>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theme="8" tint="0.79998168889431442"/>
        <bgColor theme="4" tint="0.79998168889431442"/>
      </patternFill>
    </fill>
    <fill>
      <patternFill patternType="solid">
        <fgColor theme="9" tint="0.79998168889431442"/>
        <bgColor theme="4" tint="0.79998168889431442"/>
      </patternFill>
    </fill>
    <fill>
      <patternFill patternType="solid">
        <fgColor rgb="FFDAE9F8"/>
        <bgColor indexed="64"/>
      </patternFill>
    </fill>
    <fill>
      <patternFill patternType="solid">
        <fgColor theme="6" tint="-0.249977111117893"/>
        <bgColor indexed="64"/>
      </patternFill>
    </fill>
    <fill>
      <patternFill patternType="solid">
        <fgColor rgb="FF0070C0"/>
        <bgColor indexed="64"/>
      </patternFill>
    </fill>
    <fill>
      <patternFill patternType="solid">
        <fgColor theme="7" tint="-0.249977111117893"/>
        <bgColor indexed="64"/>
      </patternFill>
    </fill>
  </fills>
  <borders count="88">
    <border>
      <left/>
      <right/>
      <top/>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
      <left/>
      <right/>
      <top/>
      <bottom style="thin">
        <color indexed="64"/>
      </bottom>
      <diagonal/>
    </border>
    <border>
      <left style="thin">
        <color rgb="FFD4D4D4"/>
      </left>
      <right style="thin">
        <color rgb="FFD4D4D4"/>
      </right>
      <top style="thin">
        <color rgb="FFD4D4D4"/>
      </top>
      <bottom style="thin">
        <color rgb="FFD4D4D4"/>
      </bottom>
      <diagonal/>
    </border>
    <border>
      <left/>
      <right style="thin">
        <color rgb="FFD4D4D4"/>
      </right>
      <top style="thin">
        <color rgb="FFD4D4D4"/>
      </top>
      <bottom style="thin">
        <color rgb="FFD4D4D4"/>
      </bottom>
      <diagonal/>
    </border>
    <border>
      <left style="thin">
        <color rgb="FFD4D4D4"/>
      </left>
      <right style="thin">
        <color rgb="FFD4D4D4"/>
      </right>
      <top/>
      <bottom style="thin">
        <color rgb="FFD4D4D4"/>
      </bottom>
      <diagonal/>
    </border>
    <border>
      <left/>
      <right style="thin">
        <color rgb="FFD4D4D4"/>
      </right>
      <top/>
      <bottom style="thin">
        <color rgb="FFD4D4D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diagonal/>
    </border>
    <border>
      <left/>
      <right style="thin">
        <color rgb="FF000000"/>
      </right>
      <top style="thin">
        <color rgb="FF000000"/>
      </top>
      <bottom style="thin">
        <color rgb="FF000000"/>
      </bottom>
      <diagonal/>
    </border>
    <border>
      <left style="thin">
        <color indexed="64"/>
      </left>
      <right style="thick">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rgb="FF000000"/>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rgb="FF000000"/>
      </left>
      <right style="thin">
        <color rgb="FF000000"/>
      </right>
      <top style="thin">
        <color rgb="FF000000"/>
      </top>
      <bottom/>
      <diagonal/>
    </border>
    <border>
      <left style="medium">
        <color indexed="64"/>
      </left>
      <right/>
      <top/>
      <bottom/>
      <diagonal/>
    </border>
    <border>
      <left style="thin">
        <color rgb="FF000000"/>
      </left>
      <right/>
      <top style="thin">
        <color rgb="FF000000"/>
      </top>
      <bottom style="thin">
        <color rgb="FF000000"/>
      </bottom>
      <diagonal/>
    </border>
    <border>
      <left style="thin">
        <color rgb="FFB1BBCC"/>
      </left>
      <right style="thin">
        <color rgb="FFB1BBCC"/>
      </right>
      <top style="thin">
        <color rgb="FFB1BBCC"/>
      </top>
      <bottom style="thin">
        <color rgb="FFB1BBCC"/>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theme="2" tint="-0.24994659260841701"/>
      </right>
      <top style="thin">
        <color theme="2" tint="-0.24994659260841701"/>
      </top>
      <bottom style="thin">
        <color theme="2" tint="-0.24994659260841701"/>
      </bottom>
      <diagonal/>
    </border>
    <border>
      <left style="thin">
        <color theme="2" tint="-0.24994659260841701"/>
      </left>
      <right style="medium">
        <color indexed="64"/>
      </right>
      <top style="thin">
        <color theme="2" tint="-0.24994659260841701"/>
      </top>
      <bottom style="thin">
        <color theme="2" tint="-0.24994659260841701"/>
      </bottom>
      <diagonal/>
    </border>
    <border>
      <left style="medium">
        <color indexed="64"/>
      </left>
      <right style="thin">
        <color theme="2" tint="-0.24994659260841701"/>
      </right>
      <top style="thin">
        <color theme="2" tint="-0.24994659260841701"/>
      </top>
      <bottom style="medium">
        <color indexed="64"/>
      </bottom>
      <diagonal/>
    </border>
    <border>
      <left style="thin">
        <color theme="2" tint="-0.24994659260841701"/>
      </left>
      <right style="medium">
        <color indexed="64"/>
      </right>
      <top style="thin">
        <color theme="2" tint="-0.24994659260841701"/>
      </top>
      <bottom style="medium">
        <color indexed="64"/>
      </bottom>
      <diagonal/>
    </border>
    <border>
      <left style="medium">
        <color indexed="64"/>
      </left>
      <right style="thin">
        <color theme="2" tint="-0.24994659260841701"/>
      </right>
      <top/>
      <bottom style="thin">
        <color theme="2" tint="-0.24994659260841701"/>
      </bottom>
      <diagonal/>
    </border>
    <border>
      <left style="thin">
        <color theme="2" tint="-0.24994659260841701"/>
      </left>
      <right style="medium">
        <color indexed="64"/>
      </right>
      <top/>
      <bottom style="thin">
        <color theme="2" tint="-0.24994659260841701"/>
      </bottom>
      <diagonal/>
    </border>
    <border>
      <left style="medium">
        <color indexed="64"/>
      </left>
      <right style="thin">
        <color theme="2" tint="-0.24994659260841701"/>
      </right>
      <top style="medium">
        <color indexed="64"/>
      </top>
      <bottom style="thin">
        <color theme="2" tint="-0.24994659260841701"/>
      </bottom>
      <diagonal/>
    </border>
    <border>
      <left style="thin">
        <color theme="2" tint="-0.24994659260841701"/>
      </left>
      <right style="medium">
        <color indexed="64"/>
      </right>
      <top style="medium">
        <color indexed="64"/>
      </top>
      <bottom style="thin">
        <color theme="2" tint="-0.24994659260841701"/>
      </bottom>
      <diagonal/>
    </border>
    <border>
      <left style="medium">
        <color indexed="64"/>
      </left>
      <right style="medium">
        <color indexed="64"/>
      </right>
      <top style="medium">
        <color indexed="64"/>
      </top>
      <bottom style="thin">
        <color theme="2" tint="-0.24994659260841701"/>
      </bottom>
      <diagonal/>
    </border>
    <border>
      <left style="medium">
        <color indexed="64"/>
      </left>
      <right style="medium">
        <color indexed="64"/>
      </right>
      <top style="thin">
        <color theme="2" tint="-0.24994659260841701"/>
      </top>
      <bottom style="thin">
        <color theme="2" tint="-0.24994659260841701"/>
      </bottom>
      <diagonal/>
    </border>
    <border>
      <left style="medium">
        <color indexed="64"/>
      </left>
      <right style="medium">
        <color indexed="64"/>
      </right>
      <top style="thin">
        <color theme="2" tint="-0.24994659260841701"/>
      </top>
      <bottom style="medium">
        <color indexed="64"/>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top style="thin">
        <color indexed="64"/>
      </top>
      <bottom style="thin">
        <color indexed="64"/>
      </bottom>
      <diagonal/>
    </border>
    <border>
      <left/>
      <right style="thin">
        <color rgb="FF000000"/>
      </right>
      <top/>
      <bottom style="thin">
        <color rgb="FF000000"/>
      </bottom>
      <diagonal/>
    </border>
    <border>
      <left style="thin">
        <color rgb="FF000000"/>
      </left>
      <right/>
      <top/>
      <bottom/>
      <diagonal/>
    </border>
    <border>
      <left style="hair">
        <color indexed="64"/>
      </left>
      <right style="hair">
        <color indexed="64"/>
      </right>
      <top style="hair">
        <color indexed="64"/>
      </top>
      <bottom style="hair">
        <color indexed="64"/>
      </bottom>
      <diagonal/>
    </border>
    <border>
      <left/>
      <right/>
      <top/>
      <bottom style="thin">
        <color rgb="FF000000"/>
      </bottom>
      <diagonal/>
    </border>
    <border>
      <left/>
      <right style="thin">
        <color rgb="FF000000"/>
      </right>
      <top style="thin">
        <color rgb="FF000000"/>
      </top>
      <bottom/>
      <diagonal/>
    </border>
    <border>
      <left style="hair">
        <color indexed="64"/>
      </left>
      <right/>
      <top style="hair">
        <color indexed="64"/>
      </top>
      <bottom style="hair">
        <color indexed="64"/>
      </bottom>
      <diagonal/>
    </border>
  </borders>
  <cellStyleXfs count="3">
    <xf numFmtId="0" fontId="0" fillId="0" borderId="0"/>
    <xf numFmtId="0" fontId="6" fillId="0" borderId="0" applyNumberFormat="0" applyFill="0" applyBorder="0" applyAlignment="0" applyProtection="0"/>
    <xf numFmtId="9" fontId="29" fillId="0" borderId="0" applyFont="0" applyFill="0" applyBorder="0" applyAlignment="0" applyProtection="0"/>
  </cellStyleXfs>
  <cellXfs count="581">
    <xf numFmtId="0" fontId="0" fillId="0" borderId="0" xfId="0"/>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5" fillId="2" borderId="1" xfId="0" applyFont="1" applyFill="1" applyBorder="1" applyAlignment="1">
      <alignment vertical="center" wrapText="1"/>
    </xf>
    <xf numFmtId="0" fontId="0" fillId="0" borderId="2" xfId="0" applyBorder="1"/>
    <xf numFmtId="0" fontId="0" fillId="0" borderId="2" xfId="0" applyBorder="1" applyAlignment="1">
      <alignment vertical="top"/>
    </xf>
    <xf numFmtId="0" fontId="0" fillId="0" borderId="2" xfId="0" applyBorder="1" applyAlignment="1">
      <alignment vertical="center"/>
    </xf>
    <xf numFmtId="0" fontId="0" fillId="0" borderId="2" xfId="0" applyBorder="1" applyAlignment="1">
      <alignment horizontal="left"/>
    </xf>
    <xf numFmtId="0" fontId="7" fillId="0" borderId="0" xfId="0" applyFont="1"/>
    <xf numFmtId="0" fontId="0" fillId="0" borderId="0" xfId="0" applyAlignment="1">
      <alignment vertical="center" wrapText="1"/>
    </xf>
    <xf numFmtId="0" fontId="0" fillId="0" borderId="2" xfId="0" applyBorder="1" applyAlignment="1">
      <alignment vertical="center" wrapText="1"/>
    </xf>
    <xf numFmtId="0" fontId="0" fillId="0" borderId="0" xfId="0" applyAlignment="1">
      <alignment wrapText="1"/>
    </xf>
    <xf numFmtId="0" fontId="8" fillId="0" borderId="0" xfId="0" applyFont="1" applyAlignment="1">
      <alignment vertical="center" wrapText="1"/>
    </xf>
    <xf numFmtId="0" fontId="9" fillId="0" borderId="0" xfId="0" applyFont="1" applyAlignment="1">
      <alignment vertical="center" wrapText="1"/>
    </xf>
    <xf numFmtId="0" fontId="6" fillId="0" borderId="0" xfId="1" applyAlignment="1">
      <alignment vertical="center" wrapText="1"/>
    </xf>
    <xf numFmtId="0" fontId="10" fillId="0" borderId="0" xfId="0" applyFont="1"/>
    <xf numFmtId="0" fontId="12" fillId="2" borderId="2"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0" xfId="0" applyFont="1" applyFill="1" applyAlignment="1">
      <alignment horizontal="center" vertical="center"/>
    </xf>
    <xf numFmtId="0" fontId="10" fillId="0" borderId="2" xfId="0" applyFont="1" applyBorder="1"/>
    <xf numFmtId="0" fontId="14" fillId="0" borderId="2" xfId="0" applyFont="1" applyBorder="1" applyAlignment="1">
      <alignment vertical="center"/>
    </xf>
    <xf numFmtId="0" fontId="10" fillId="0" borderId="2" xfId="0" applyFont="1" applyBorder="1" applyAlignment="1">
      <alignment vertical="center"/>
    </xf>
    <xf numFmtId="0" fontId="7" fillId="0" borderId="0" xfId="0" applyFont="1" applyAlignment="1">
      <alignment vertical="center" wrapText="1"/>
    </xf>
    <xf numFmtId="0" fontId="10" fillId="0" borderId="2" xfId="0" applyFont="1" applyBorder="1" applyAlignment="1">
      <alignment wrapText="1"/>
    </xf>
    <xf numFmtId="0" fontId="14" fillId="0" borderId="2" xfId="0" applyFont="1" applyBorder="1" applyAlignment="1">
      <alignment vertical="center" wrapText="1"/>
    </xf>
    <xf numFmtId="0" fontId="15" fillId="0" borderId="2" xfId="0" applyFont="1" applyBorder="1" applyAlignment="1">
      <alignment vertical="center" wrapText="1"/>
    </xf>
    <xf numFmtId="0" fontId="11" fillId="2" borderId="0" xfId="0" applyFont="1" applyFill="1" applyAlignment="1">
      <alignment horizontal="center" vertical="center" wrapText="1"/>
    </xf>
    <xf numFmtId="0" fontId="10" fillId="0" borderId="6" xfId="0" applyFont="1" applyBorder="1"/>
    <xf numFmtId="0" fontId="14" fillId="0" borderId="6" xfId="0" applyFont="1" applyBorder="1" applyAlignment="1">
      <alignment vertical="center"/>
    </xf>
    <xf numFmtId="0" fontId="10" fillId="0" borderId="7" xfId="0" applyFont="1" applyBorder="1"/>
    <xf numFmtId="0" fontId="14" fillId="0" borderId="7" xfId="0" applyFont="1" applyBorder="1" applyAlignment="1">
      <alignment vertical="center"/>
    </xf>
    <xf numFmtId="0" fontId="11" fillId="2" borderId="2" xfId="0" applyFont="1" applyFill="1" applyBorder="1" applyAlignment="1">
      <alignment wrapText="1"/>
    </xf>
    <xf numFmtId="0" fontId="10" fillId="0" borderId="0" xfId="0" applyFont="1" applyAlignment="1">
      <alignment wrapText="1"/>
    </xf>
    <xf numFmtId="0" fontId="12" fillId="2" borderId="2" xfId="0" applyFont="1" applyFill="1" applyBorder="1" applyAlignment="1">
      <alignment horizontal="center" vertical="center" wrapText="1"/>
    </xf>
    <xf numFmtId="0" fontId="13" fillId="0" borderId="2" xfId="1" applyFont="1" applyBorder="1" applyAlignment="1">
      <alignment vertical="center" wrapText="1"/>
    </xf>
    <xf numFmtId="0" fontId="2" fillId="0" borderId="0" xfId="0" applyFont="1" applyAlignment="1">
      <alignment vertical="center" wrapText="1"/>
    </xf>
    <xf numFmtId="0" fontId="4" fillId="0" borderId="0" xfId="0" applyFont="1" applyAlignment="1">
      <alignment vertical="center" wrapText="1"/>
    </xf>
    <xf numFmtId="0" fontId="12" fillId="2" borderId="2" xfId="0" applyFont="1" applyFill="1" applyBorder="1" applyAlignment="1">
      <alignment horizontal="left" vertical="center"/>
    </xf>
    <xf numFmtId="0" fontId="0" fillId="0" borderId="6" xfId="0" applyBorder="1"/>
    <xf numFmtId="0" fontId="14" fillId="0" borderId="2" xfId="0" applyFont="1" applyBorder="1"/>
    <xf numFmtId="0" fontId="14" fillId="0" borderId="2" xfId="0" applyFont="1" applyBorder="1" applyAlignment="1">
      <alignment wrapText="1"/>
    </xf>
    <xf numFmtId="0" fontId="10" fillId="0" borderId="6" xfId="0" applyFont="1" applyBorder="1" applyAlignment="1">
      <alignment wrapText="1"/>
    </xf>
    <xf numFmtId="0" fontId="10" fillId="4" borderId="2" xfId="0" applyFont="1" applyFill="1" applyBorder="1"/>
    <xf numFmtId="0" fontId="13" fillId="4" borderId="2" xfId="1" applyFont="1" applyFill="1" applyBorder="1" applyAlignment="1">
      <alignment vertical="center" wrapText="1"/>
    </xf>
    <xf numFmtId="0" fontId="14" fillId="4" borderId="2" xfId="0" applyFont="1" applyFill="1" applyBorder="1" applyAlignment="1">
      <alignment vertical="center"/>
    </xf>
    <xf numFmtId="0" fontId="12" fillId="2" borderId="0" xfId="0" applyFont="1" applyFill="1" applyAlignment="1">
      <alignment horizontal="center" vertical="center"/>
    </xf>
    <xf numFmtId="0" fontId="16" fillId="0" borderId="2" xfId="0" applyFont="1" applyBorder="1"/>
    <xf numFmtId="0" fontId="16" fillId="0" borderId="2" xfId="0" applyFont="1" applyBorder="1" applyAlignment="1">
      <alignment wrapText="1"/>
    </xf>
    <xf numFmtId="0" fontId="16" fillId="0" borderId="2" xfId="0" applyFont="1" applyBorder="1" applyAlignment="1">
      <alignment horizontal="left" vertical="center"/>
    </xf>
    <xf numFmtId="0" fontId="13" fillId="0" borderId="2" xfId="1" applyFont="1" applyFill="1" applyBorder="1" applyAlignment="1"/>
    <xf numFmtId="0" fontId="13" fillId="0" borderId="2" xfId="1" applyFont="1" applyFill="1" applyBorder="1" applyAlignment="1">
      <alignment vertical="center" wrapText="1"/>
    </xf>
    <xf numFmtId="0" fontId="13" fillId="0" borderId="2" xfId="1" applyFont="1" applyFill="1" applyBorder="1"/>
    <xf numFmtId="0" fontId="13" fillId="0" borderId="2" xfId="1" applyFont="1" applyBorder="1"/>
    <xf numFmtId="0" fontId="6" fillId="0" borderId="2" xfId="1" applyFill="1" applyBorder="1" applyAlignment="1">
      <alignment vertical="center" wrapText="1"/>
    </xf>
    <xf numFmtId="0" fontId="5" fillId="2" borderId="2" xfId="0" applyFont="1" applyFill="1" applyBorder="1" applyAlignment="1">
      <alignment vertical="center" wrapText="1"/>
    </xf>
    <xf numFmtId="0" fontId="0" fillId="0" borderId="2" xfId="0" quotePrefix="1" applyBorder="1" applyAlignment="1">
      <alignment wrapText="1"/>
    </xf>
    <xf numFmtId="0" fontId="11" fillId="2" borderId="6" xfId="0" applyFont="1" applyFill="1" applyBorder="1" applyAlignment="1">
      <alignment horizontal="center" vertical="center"/>
    </xf>
    <xf numFmtId="0" fontId="10" fillId="0" borderId="6" xfId="0" applyFont="1" applyBorder="1" applyAlignment="1">
      <alignment vertical="center"/>
    </xf>
    <xf numFmtId="0" fontId="16" fillId="0" borderId="6" xfId="0" applyFont="1" applyBorder="1"/>
    <xf numFmtId="0" fontId="16" fillId="0" borderId="6" xfId="0" applyFont="1" applyBorder="1" applyAlignment="1">
      <alignment horizontal="left" vertical="center"/>
    </xf>
    <xf numFmtId="0" fontId="11" fillId="2" borderId="2" xfId="0" applyFont="1" applyFill="1" applyBorder="1"/>
    <xf numFmtId="0" fontId="15" fillId="0" borderId="2" xfId="0" applyFont="1" applyBorder="1" applyAlignment="1">
      <alignment vertical="center"/>
    </xf>
    <xf numFmtId="0" fontId="0" fillId="5" borderId="2" xfId="0" applyFill="1" applyBorder="1"/>
    <xf numFmtId="0" fontId="0" fillId="4" borderId="2" xfId="0" applyFill="1" applyBorder="1"/>
    <xf numFmtId="0" fontId="2" fillId="0" borderId="4" xfId="0" applyFont="1" applyBorder="1"/>
    <xf numFmtId="0" fontId="2" fillId="0" borderId="2" xfId="0" applyFont="1" applyBorder="1"/>
    <xf numFmtId="0" fontId="2" fillId="4" borderId="4" xfId="0" applyFont="1" applyFill="1" applyBorder="1" applyAlignment="1">
      <alignment vertical="center"/>
    </xf>
    <xf numFmtId="0" fontId="2" fillId="0" borderId="2" xfId="0" applyFont="1" applyBorder="1" applyAlignment="1">
      <alignment vertical="center" wrapText="1"/>
    </xf>
    <xf numFmtId="0" fontId="2" fillId="6" borderId="2" xfId="0" applyFont="1" applyFill="1" applyBorder="1" applyAlignment="1">
      <alignment vertical="center" wrapText="1"/>
    </xf>
    <xf numFmtId="0" fontId="17" fillId="2" borderId="2" xfId="0" applyFont="1" applyFill="1" applyBorder="1" applyAlignment="1">
      <alignment horizontal="center" vertical="center"/>
    </xf>
    <xf numFmtId="0" fontId="6" fillId="0" borderId="0" xfId="1" applyAlignment="1">
      <alignment wrapText="1"/>
    </xf>
    <xf numFmtId="0" fontId="10" fillId="0" borderId="2" xfId="0" quotePrefix="1" applyFont="1" applyBorder="1"/>
    <xf numFmtId="0" fontId="6" fillId="0" borderId="2" xfId="1" applyBorder="1" applyAlignment="1">
      <alignment wrapText="1"/>
    </xf>
    <xf numFmtId="0" fontId="2" fillId="6" borderId="4" xfId="0" applyFont="1" applyFill="1" applyBorder="1" applyAlignment="1">
      <alignment vertical="center"/>
    </xf>
    <xf numFmtId="0" fontId="10" fillId="0" borderId="6" xfId="0" applyFont="1" applyBorder="1" applyAlignment="1">
      <alignment vertical="center" wrapText="1"/>
    </xf>
    <xf numFmtId="0" fontId="0" fillId="0" borderId="2" xfId="0" applyBorder="1" applyAlignment="1">
      <alignment wrapText="1"/>
    </xf>
    <xf numFmtId="0" fontId="2" fillId="7" borderId="2" xfId="0" applyFont="1" applyFill="1" applyBorder="1" applyAlignment="1">
      <alignment vertical="center" wrapText="1"/>
    </xf>
    <xf numFmtId="0" fontId="2" fillId="7" borderId="4" xfId="0" applyFont="1" applyFill="1" applyBorder="1" applyAlignment="1">
      <alignment vertical="center"/>
    </xf>
    <xf numFmtId="0" fontId="2" fillId="0" borderId="2" xfId="0" applyFont="1" applyBorder="1" applyAlignment="1">
      <alignment wrapText="1"/>
    </xf>
    <xf numFmtId="0" fontId="17" fillId="2" borderId="5" xfId="0" applyFont="1" applyFill="1" applyBorder="1"/>
    <xf numFmtId="0" fontId="2" fillId="0" borderId="4" xfId="0" applyFont="1" applyBorder="1" applyAlignment="1">
      <alignment vertical="center"/>
    </xf>
    <xf numFmtId="0" fontId="6" fillId="0" borderId="0" xfId="1"/>
    <xf numFmtId="0" fontId="2" fillId="7" borderId="2" xfId="0" applyFont="1" applyFill="1" applyBorder="1" applyAlignment="1">
      <alignment wrapText="1"/>
    </xf>
    <xf numFmtId="0" fontId="2" fillId="8" borderId="2" xfId="0" applyFont="1" applyFill="1" applyBorder="1" applyAlignment="1">
      <alignment wrapText="1"/>
    </xf>
    <xf numFmtId="0" fontId="19" fillId="0" borderId="2" xfId="0" applyFont="1" applyBorder="1" applyAlignment="1">
      <alignment vertical="center" wrapText="1"/>
    </xf>
    <xf numFmtId="0" fontId="21" fillId="0" borderId="0" xfId="0" applyFont="1"/>
    <xf numFmtId="0" fontId="0" fillId="0" borderId="9" xfId="0" applyBorder="1"/>
    <xf numFmtId="0" fontId="0" fillId="0" borderId="10" xfId="0" applyBorder="1"/>
    <xf numFmtId="0" fontId="18" fillId="9" borderId="11" xfId="0" applyFont="1" applyFill="1" applyBorder="1" applyAlignment="1">
      <alignment vertical="center" wrapText="1"/>
    </xf>
    <xf numFmtId="0" fontId="2" fillId="0" borderId="4" xfId="0" applyFont="1" applyBorder="1" applyAlignment="1">
      <alignment vertical="center" wrapText="1"/>
    </xf>
    <xf numFmtId="0" fontId="0" fillId="0" borderId="4" xfId="0" applyBorder="1"/>
    <xf numFmtId="0" fontId="0" fillId="0" borderId="12" xfId="0" applyBorder="1"/>
    <xf numFmtId="0" fontId="20" fillId="0" borderId="6" xfId="0" applyFont="1" applyBorder="1"/>
    <xf numFmtId="0" fontId="18" fillId="9" borderId="2" xfId="0" applyFont="1" applyFill="1" applyBorder="1" applyAlignment="1">
      <alignment vertical="center" wrapText="1"/>
    </xf>
    <xf numFmtId="0" fontId="22" fillId="0" borderId="2" xfId="0" applyFont="1" applyBorder="1"/>
    <xf numFmtId="0" fontId="0" fillId="0" borderId="2" xfId="0" applyBorder="1" applyAlignment="1">
      <alignment horizontal="center" vertical="center"/>
    </xf>
    <xf numFmtId="9" fontId="23" fillId="0" borderId="9" xfId="0" applyNumberFormat="1" applyFont="1" applyBorder="1"/>
    <xf numFmtId="9" fontId="23" fillId="0" borderId="2" xfId="0" applyNumberFormat="1" applyFont="1" applyBorder="1"/>
    <xf numFmtId="9" fontId="24" fillId="0" borderId="2" xfId="0" applyNumberFormat="1" applyFont="1" applyBorder="1"/>
    <xf numFmtId="9" fontId="25" fillId="0" borderId="9" xfId="0" applyNumberFormat="1" applyFont="1" applyBorder="1"/>
    <xf numFmtId="9" fontId="25" fillId="0" borderId="2" xfId="0" applyNumberFormat="1" applyFont="1" applyBorder="1"/>
    <xf numFmtId="0" fontId="0" fillId="0" borderId="2" xfId="0" applyBorder="1" applyAlignment="1">
      <alignment horizontal="right"/>
    </xf>
    <xf numFmtId="0" fontId="0" fillId="0" borderId="14" xfId="0" applyBorder="1"/>
    <xf numFmtId="9" fontId="26" fillId="0" borderId="13" xfId="0" applyNumberFormat="1" applyFont="1" applyBorder="1"/>
    <xf numFmtId="0" fontId="0" fillId="0" borderId="2" xfId="0" applyBorder="1" applyAlignment="1">
      <alignment horizontal="left" vertical="center"/>
    </xf>
    <xf numFmtId="0" fontId="22" fillId="4" borderId="2" xfId="0" applyFont="1" applyFill="1" applyBorder="1"/>
    <xf numFmtId="0" fontId="0" fillId="4" borderId="2" xfId="0" applyFill="1" applyBorder="1" applyAlignment="1">
      <alignment vertical="center"/>
    </xf>
    <xf numFmtId="0" fontId="27" fillId="0" borderId="8" xfId="0" applyFont="1" applyBorder="1" applyAlignment="1">
      <alignment wrapText="1"/>
    </xf>
    <xf numFmtId="0" fontId="28" fillId="0" borderId="15" xfId="0" applyFont="1" applyBorder="1"/>
    <xf numFmtId="0" fontId="19" fillId="5" borderId="6" xfId="0" applyFont="1" applyFill="1" applyBorder="1" applyAlignment="1">
      <alignment vertical="center" wrapText="1"/>
    </xf>
    <xf numFmtId="0" fontId="20" fillId="5" borderId="6" xfId="0" applyFont="1" applyFill="1" applyBorder="1"/>
    <xf numFmtId="0" fontId="0" fillId="6" borderId="9" xfId="0" applyFill="1" applyBorder="1"/>
    <xf numFmtId="0" fontId="20" fillId="6" borderId="2" xfId="0" applyFont="1" applyFill="1" applyBorder="1"/>
    <xf numFmtId="0" fontId="0" fillId="7" borderId="4" xfId="0" applyFill="1" applyBorder="1" applyAlignment="1">
      <alignment wrapText="1"/>
    </xf>
    <xf numFmtId="9" fontId="0" fillId="0" borderId="0" xfId="2" applyFont="1"/>
    <xf numFmtId="0" fontId="17" fillId="2" borderId="2" xfId="0" applyFont="1" applyFill="1" applyBorder="1" applyAlignment="1">
      <alignment horizontal="left"/>
    </xf>
    <xf numFmtId="0" fontId="17" fillId="2" borderId="2" xfId="0" applyFont="1" applyFill="1" applyBorder="1" applyAlignment="1">
      <alignment horizontal="left" wrapText="1"/>
    </xf>
    <xf numFmtId="0" fontId="18" fillId="9" borderId="6" xfId="0" applyFont="1" applyFill="1" applyBorder="1" applyAlignment="1">
      <alignment vertical="center" wrapText="1"/>
    </xf>
    <xf numFmtId="0" fontId="2" fillId="0" borderId="4" xfId="0" applyFont="1" applyBorder="1" applyAlignment="1">
      <alignment wrapText="1"/>
    </xf>
    <xf numFmtId="0" fontId="2" fillId="4" borderId="2" xfId="0" applyFont="1" applyFill="1" applyBorder="1"/>
    <xf numFmtId="0" fontId="2" fillId="4" borderId="2" xfId="0" applyFont="1" applyFill="1" applyBorder="1" applyAlignment="1">
      <alignment vertical="center" wrapText="1"/>
    </xf>
    <xf numFmtId="0" fontId="0" fillId="0" borderId="6" xfId="0" applyBorder="1" applyAlignment="1">
      <alignment wrapText="1"/>
    </xf>
    <xf numFmtId="0" fontId="20" fillId="0" borderId="6" xfId="0" applyFont="1" applyBorder="1" applyAlignment="1">
      <alignment wrapText="1"/>
    </xf>
    <xf numFmtId="0" fontId="30" fillId="10" borderId="6" xfId="0" applyFont="1" applyFill="1" applyBorder="1" applyAlignment="1">
      <alignment horizontal="left" vertical="center" wrapText="1"/>
    </xf>
    <xf numFmtId="0" fontId="18" fillId="9" borderId="16" xfId="0" applyFont="1" applyFill="1" applyBorder="1" applyAlignment="1">
      <alignment vertical="center" wrapText="1"/>
    </xf>
    <xf numFmtId="0" fontId="2" fillId="0" borderId="10" xfId="0" applyFont="1" applyBorder="1"/>
    <xf numFmtId="0" fontId="2" fillId="0" borderId="6" xfId="0" applyFont="1" applyBorder="1"/>
    <xf numFmtId="0" fontId="2" fillId="0" borderId="0" xfId="0" applyFont="1"/>
    <xf numFmtId="0" fontId="2" fillId="0" borderId="12" xfId="0" applyFont="1" applyBorder="1"/>
    <xf numFmtId="0" fontId="2" fillId="11" borderId="4" xfId="0" applyFont="1" applyFill="1" applyBorder="1" applyAlignment="1">
      <alignment vertical="center"/>
    </xf>
    <xf numFmtId="0" fontId="31" fillId="12" borderId="17" xfId="0" applyFont="1" applyFill="1" applyBorder="1" applyAlignment="1">
      <alignment wrapText="1"/>
    </xf>
    <xf numFmtId="0" fontId="31" fillId="12" borderId="18" xfId="0" applyFont="1" applyFill="1" applyBorder="1" applyAlignment="1">
      <alignment wrapText="1"/>
    </xf>
    <xf numFmtId="0" fontId="32" fillId="12" borderId="19" xfId="0" applyFont="1" applyFill="1" applyBorder="1" applyAlignment="1">
      <alignment wrapText="1"/>
    </xf>
    <xf numFmtId="0" fontId="32" fillId="12" borderId="20" xfId="0" applyFont="1" applyFill="1" applyBorder="1" applyAlignment="1">
      <alignment wrapText="1"/>
    </xf>
    <xf numFmtId="0" fontId="21" fillId="0" borderId="2" xfId="0" applyFont="1" applyBorder="1"/>
    <xf numFmtId="0" fontId="21" fillId="0" borderId="4" xfId="0" applyFont="1" applyBorder="1"/>
    <xf numFmtId="0" fontId="21" fillId="0" borderId="4" xfId="0" applyFont="1" applyBorder="1" applyAlignment="1">
      <alignment wrapText="1"/>
    </xf>
    <xf numFmtId="9" fontId="10" fillId="0" borderId="0" xfId="2" applyFont="1"/>
    <xf numFmtId="0" fontId="11" fillId="2" borderId="6" xfId="0" applyFont="1" applyFill="1" applyBorder="1" applyAlignment="1">
      <alignment wrapText="1"/>
    </xf>
    <xf numFmtId="0" fontId="33" fillId="2" borderId="14" xfId="0" applyFont="1" applyFill="1" applyBorder="1" applyAlignment="1">
      <alignment horizontal="left" wrapText="1"/>
    </xf>
    <xf numFmtId="0" fontId="21" fillId="0" borderId="14" xfId="0" applyFont="1" applyBorder="1"/>
    <xf numFmtId="0" fontId="10" fillId="0" borderId="14" xfId="0" applyFont="1" applyBorder="1"/>
    <xf numFmtId="0" fontId="11" fillId="2" borderId="24" xfId="0" applyFont="1" applyFill="1" applyBorder="1" applyAlignment="1">
      <alignment wrapText="1"/>
    </xf>
    <xf numFmtId="0" fontId="11" fillId="2" borderId="11" xfId="0" applyFont="1" applyFill="1" applyBorder="1" applyAlignment="1">
      <alignment wrapText="1"/>
    </xf>
    <xf numFmtId="0" fontId="10" fillId="0" borderId="25" xfId="0" applyFont="1" applyBorder="1" applyAlignment="1">
      <alignment wrapText="1"/>
    </xf>
    <xf numFmtId="0" fontId="10" fillId="0" borderId="26" xfId="0" applyFont="1" applyBorder="1" applyAlignment="1">
      <alignment wrapText="1"/>
    </xf>
    <xf numFmtId="0" fontId="10" fillId="0" borderId="27" xfId="0" applyFont="1" applyBorder="1" applyAlignment="1">
      <alignment wrapText="1"/>
    </xf>
    <xf numFmtId="0" fontId="10" fillId="0" borderId="28" xfId="0" applyFont="1" applyBorder="1" applyAlignment="1">
      <alignment wrapText="1"/>
    </xf>
    <xf numFmtId="0" fontId="16" fillId="0" borderId="0" xfId="0" applyFont="1"/>
    <xf numFmtId="0" fontId="21" fillId="8" borderId="2" xfId="0" applyFont="1" applyFill="1" applyBorder="1"/>
    <xf numFmtId="0" fontId="0" fillId="0" borderId="13" xfId="0" applyBorder="1"/>
    <xf numFmtId="0" fontId="19" fillId="0" borderId="0" xfId="0" applyFont="1"/>
    <xf numFmtId="0" fontId="21" fillId="0" borderId="2" xfId="0" applyFont="1" applyBorder="1" applyAlignment="1">
      <alignment wrapText="1"/>
    </xf>
    <xf numFmtId="0" fontId="36" fillId="0" borderId="2" xfId="0" applyFont="1" applyBorder="1" applyAlignment="1">
      <alignment wrapText="1"/>
    </xf>
    <xf numFmtId="0" fontId="36" fillId="0" borderId="2" xfId="0" applyFont="1" applyBorder="1"/>
    <xf numFmtId="0" fontId="33" fillId="2" borderId="2" xfId="0" applyFont="1" applyFill="1" applyBorder="1" applyAlignment="1">
      <alignment horizontal="left" wrapText="1"/>
    </xf>
    <xf numFmtId="0" fontId="19" fillId="0" borderId="9" xfId="0" applyFont="1" applyBorder="1"/>
    <xf numFmtId="0" fontId="19" fillId="0" borderId="10" xfId="0" applyFont="1" applyBorder="1"/>
    <xf numFmtId="0" fontId="19" fillId="0" borderId="10" xfId="0" applyFont="1" applyBorder="1" applyAlignment="1">
      <alignment wrapText="1"/>
    </xf>
    <xf numFmtId="0" fontId="19" fillId="0" borderId="6" xfId="0" applyFont="1" applyBorder="1"/>
    <xf numFmtId="0" fontId="19" fillId="0" borderId="13" xfId="0" applyFont="1" applyBorder="1"/>
    <xf numFmtId="0" fontId="19" fillId="0" borderId="13" xfId="0" applyFont="1" applyBorder="1" applyAlignment="1">
      <alignment wrapText="1"/>
    </xf>
    <xf numFmtId="0" fontId="37" fillId="0" borderId="13" xfId="0" applyFont="1" applyBorder="1"/>
    <xf numFmtId="0" fontId="19" fillId="0" borderId="6" xfId="0" applyFont="1" applyBorder="1" applyAlignment="1">
      <alignment wrapText="1"/>
    </xf>
    <xf numFmtId="0" fontId="0" fillId="0" borderId="4" xfId="0" applyBorder="1" applyAlignment="1">
      <alignment wrapText="1"/>
    </xf>
    <xf numFmtId="0" fontId="19" fillId="0" borderId="2" xfId="0" applyFont="1" applyBorder="1"/>
    <xf numFmtId="0" fontId="0" fillId="0" borderId="2" xfId="0" applyBorder="1" applyAlignment="1">
      <alignment horizontal="left" vertical="center" wrapText="1"/>
    </xf>
    <xf numFmtId="0" fontId="35" fillId="0" borderId="13" xfId="0" applyFont="1" applyBorder="1"/>
    <xf numFmtId="0" fontId="41" fillId="0" borderId="13" xfId="0" applyFont="1" applyBorder="1"/>
    <xf numFmtId="0" fontId="19" fillId="5" borderId="13" xfId="0" applyFont="1" applyFill="1" applyBorder="1" applyAlignment="1">
      <alignment wrapText="1"/>
    </xf>
    <xf numFmtId="0" fontId="36" fillId="0" borderId="2" xfId="0" applyFont="1" applyBorder="1" applyAlignment="1">
      <alignment horizontal="center"/>
    </xf>
    <xf numFmtId="0" fontId="38" fillId="0" borderId="0" xfId="0" applyFont="1" applyAlignment="1">
      <alignment vertical="center"/>
    </xf>
    <xf numFmtId="0" fontId="40" fillId="0" borderId="0" xfId="0" applyFont="1"/>
    <xf numFmtId="0" fontId="40" fillId="16" borderId="2" xfId="0" applyFont="1" applyFill="1" applyBorder="1" applyAlignment="1">
      <alignment horizontal="center" vertical="center"/>
    </xf>
    <xf numFmtId="0" fontId="40" fillId="16" borderId="2" xfId="0" applyFont="1" applyFill="1" applyBorder="1" applyAlignment="1">
      <alignment horizontal="center" vertical="center" wrapText="1"/>
    </xf>
    <xf numFmtId="0" fontId="40" fillId="14" borderId="2" xfId="0" applyFont="1" applyFill="1" applyBorder="1" applyAlignment="1">
      <alignment horizontal="center" vertical="center"/>
    </xf>
    <xf numFmtId="0" fontId="40" fillId="14" borderId="2" xfId="0" applyFont="1" applyFill="1" applyBorder="1" applyAlignment="1">
      <alignment horizontal="center" vertical="center" wrapText="1"/>
    </xf>
    <xf numFmtId="16" fontId="0" fillId="0" borderId="2" xfId="0" applyNumberFormat="1" applyBorder="1"/>
    <xf numFmtId="0" fontId="40" fillId="14" borderId="6" xfId="0" applyFont="1" applyFill="1" applyBorder="1" applyAlignment="1">
      <alignment horizontal="center" vertical="center"/>
    </xf>
    <xf numFmtId="0" fontId="40" fillId="16" borderId="31" xfId="0" applyFont="1" applyFill="1" applyBorder="1" applyAlignment="1">
      <alignment horizontal="center" vertical="center" wrapText="1"/>
    </xf>
    <xf numFmtId="0" fontId="0" fillId="0" borderId="31" xfId="0" applyBorder="1"/>
    <xf numFmtId="0" fontId="40" fillId="14" borderId="31" xfId="0" applyFont="1" applyFill="1" applyBorder="1" applyAlignment="1">
      <alignment horizontal="center" vertical="center" wrapText="1"/>
    </xf>
    <xf numFmtId="0" fontId="7" fillId="0" borderId="2" xfId="0" applyFont="1" applyBorder="1"/>
    <xf numFmtId="0" fontId="7" fillId="0" borderId="2" xfId="0" applyFont="1" applyBorder="1" applyAlignment="1">
      <alignment wrapText="1"/>
    </xf>
    <xf numFmtId="0" fontId="19" fillId="0" borderId="10" xfId="0" applyFont="1" applyBorder="1" applyAlignment="1">
      <alignment horizontal="left" vertical="top" wrapText="1"/>
    </xf>
    <xf numFmtId="0" fontId="19" fillId="0" borderId="10" xfId="0" applyFont="1" applyBorder="1" applyAlignment="1">
      <alignment vertical="top" wrapText="1"/>
    </xf>
    <xf numFmtId="0" fontId="19" fillId="0" borderId="2" xfId="0" applyFont="1" applyBorder="1" applyAlignment="1">
      <alignment vertical="top" wrapText="1"/>
    </xf>
    <xf numFmtId="0" fontId="40" fillId="16" borderId="14" xfId="0" applyFont="1" applyFill="1" applyBorder="1" applyAlignment="1">
      <alignment horizontal="center" vertical="center" wrapText="1"/>
    </xf>
    <xf numFmtId="16" fontId="0" fillId="0" borderId="14" xfId="0" applyNumberFormat="1" applyBorder="1"/>
    <xf numFmtId="0" fontId="40" fillId="14" borderId="14" xfId="0" applyFont="1" applyFill="1" applyBorder="1" applyAlignment="1">
      <alignment horizontal="center" vertical="center" wrapText="1"/>
    </xf>
    <xf numFmtId="0" fontId="0" fillId="17" borderId="2" xfId="0" applyFill="1" applyBorder="1"/>
    <xf numFmtId="0" fontId="0" fillId="17" borderId="2" xfId="0" applyFill="1" applyBorder="1" applyAlignment="1">
      <alignment vertical="top"/>
    </xf>
    <xf numFmtId="0" fontId="19" fillId="17" borderId="10" xfId="0" applyFont="1" applyFill="1" applyBorder="1" applyAlignment="1">
      <alignment vertical="top" wrapText="1"/>
    </xf>
    <xf numFmtId="0" fontId="19" fillId="17" borderId="10" xfId="0" applyFont="1" applyFill="1" applyBorder="1" applyAlignment="1">
      <alignment wrapText="1"/>
    </xf>
    <xf numFmtId="0" fontId="41" fillId="0" borderId="0" xfId="0" applyFont="1"/>
    <xf numFmtId="0" fontId="41" fillId="0" borderId="6" xfId="0" applyFont="1" applyBorder="1"/>
    <xf numFmtId="0" fontId="35" fillId="0" borderId="2" xfId="0" applyFont="1" applyBorder="1"/>
    <xf numFmtId="0" fontId="0" fillId="18" borderId="2" xfId="0" applyFill="1" applyBorder="1" applyAlignment="1">
      <alignment vertical="top"/>
    </xf>
    <xf numFmtId="0" fontId="19" fillId="18" borderId="6" xfId="0" applyFont="1" applyFill="1" applyBorder="1" applyAlignment="1">
      <alignment vertical="top" wrapText="1"/>
    </xf>
    <xf numFmtId="0" fontId="19" fillId="18" borderId="10" xfId="0" applyFont="1" applyFill="1" applyBorder="1" applyAlignment="1">
      <alignment vertical="top" wrapText="1"/>
    </xf>
    <xf numFmtId="0" fontId="19" fillId="8" borderId="10" xfId="0" applyFont="1" applyFill="1" applyBorder="1" applyAlignment="1">
      <alignment vertical="top" wrapText="1"/>
    </xf>
    <xf numFmtId="0" fontId="19" fillId="18" borderId="10" xfId="0" applyFont="1" applyFill="1" applyBorder="1" applyAlignment="1">
      <alignment wrapText="1"/>
    </xf>
    <xf numFmtId="0" fontId="40" fillId="16" borderId="13" xfId="0" applyFont="1" applyFill="1" applyBorder="1" applyAlignment="1">
      <alignment horizontal="center" vertical="center"/>
    </xf>
    <xf numFmtId="0" fontId="40" fillId="16" borderId="13" xfId="0" applyFont="1" applyFill="1" applyBorder="1" applyAlignment="1">
      <alignment horizontal="center" vertical="center" wrapText="1"/>
    </xf>
    <xf numFmtId="0" fontId="41" fillId="0" borderId="0" xfId="0" applyFont="1" applyAlignment="1">
      <alignment wrapText="1"/>
    </xf>
    <xf numFmtId="0" fontId="43" fillId="0" borderId="0" xfId="0" applyFont="1"/>
    <xf numFmtId="0" fontId="43" fillId="9" borderId="13" xfId="0" applyFont="1" applyFill="1" applyBorder="1"/>
    <xf numFmtId="0" fontId="43" fillId="20" borderId="13" xfId="0" applyFont="1" applyFill="1" applyBorder="1" applyAlignment="1">
      <alignment wrapText="1"/>
    </xf>
    <xf numFmtId="0" fontId="14" fillId="0" borderId="13" xfId="0" applyFont="1" applyBorder="1"/>
    <xf numFmtId="0" fontId="10" fillId="0" borderId="13" xfId="0" applyFont="1" applyBorder="1"/>
    <xf numFmtId="0" fontId="44" fillId="0" borderId="13" xfId="0" applyFont="1" applyBorder="1"/>
    <xf numFmtId="0" fontId="44" fillId="0" borderId="2" xfId="0" applyFont="1" applyBorder="1"/>
    <xf numFmtId="0" fontId="14" fillId="0" borderId="30" xfId="0" applyFont="1" applyBorder="1"/>
    <xf numFmtId="0" fontId="14" fillId="0" borderId="13" xfId="0" applyFont="1" applyBorder="1" applyAlignment="1">
      <alignment wrapText="1"/>
    </xf>
    <xf numFmtId="0" fontId="45" fillId="0" borderId="13" xfId="0" applyFont="1" applyBorder="1"/>
    <xf numFmtId="0" fontId="10" fillId="0" borderId="30" xfId="0" applyFont="1" applyBorder="1"/>
    <xf numFmtId="0" fontId="10" fillId="0" borderId="2" xfId="0" applyFont="1" applyBorder="1" applyAlignment="1">
      <alignment horizontal="right"/>
    </xf>
    <xf numFmtId="0" fontId="10" fillId="0" borderId="37" xfId="0" applyFont="1" applyBorder="1" applyAlignment="1">
      <alignment horizontal="right"/>
    </xf>
    <xf numFmtId="0" fontId="10" fillId="0" borderId="4" xfId="0" applyFont="1" applyBorder="1" applyAlignment="1">
      <alignment horizontal="right"/>
    </xf>
    <xf numFmtId="0" fontId="10" fillId="0" borderId="38" xfId="0" applyFont="1" applyBorder="1" applyAlignment="1">
      <alignment horizontal="right"/>
    </xf>
    <xf numFmtId="0" fontId="43" fillId="19" borderId="39" xfId="0" applyFont="1" applyFill="1" applyBorder="1"/>
    <xf numFmtId="0" fontId="10" fillId="0" borderId="25" xfId="0" applyFont="1" applyBorder="1"/>
    <xf numFmtId="0" fontId="11" fillId="2" borderId="27" xfId="0" applyFont="1" applyFill="1" applyBorder="1"/>
    <xf numFmtId="0" fontId="10" fillId="0" borderId="34" xfId="0" applyFont="1" applyBorder="1"/>
    <xf numFmtId="0" fontId="10" fillId="0" borderId="35" xfId="0" applyFont="1" applyBorder="1" applyAlignment="1">
      <alignment horizontal="right"/>
    </xf>
    <xf numFmtId="0" fontId="10" fillId="0" borderId="9" xfId="0" applyFont="1" applyBorder="1" applyAlignment="1">
      <alignment horizontal="right"/>
    </xf>
    <xf numFmtId="0" fontId="10" fillId="0" borderId="29" xfId="0" applyFont="1" applyBorder="1"/>
    <xf numFmtId="0" fontId="10" fillId="0" borderId="13" xfId="0" applyFont="1" applyBorder="1" applyAlignment="1">
      <alignment wrapText="1"/>
    </xf>
    <xf numFmtId="0" fontId="10" fillId="0" borderId="0" xfId="0" applyFont="1" applyAlignment="1">
      <alignment horizontal="right"/>
    </xf>
    <xf numFmtId="164" fontId="19" fillId="0" borderId="13" xfId="0" applyNumberFormat="1" applyFont="1" applyBorder="1"/>
    <xf numFmtId="0" fontId="46" fillId="0" borderId="25" xfId="0" applyFont="1" applyBorder="1"/>
    <xf numFmtId="0" fontId="43" fillId="9" borderId="13" xfId="0" applyFont="1" applyFill="1" applyBorder="1" applyAlignment="1">
      <alignment wrapText="1"/>
    </xf>
    <xf numFmtId="0" fontId="43" fillId="3" borderId="13" xfId="0" applyFont="1" applyFill="1" applyBorder="1" applyAlignment="1">
      <alignment wrapText="1"/>
    </xf>
    <xf numFmtId="0" fontId="43" fillId="17" borderId="13" xfId="0" applyFont="1" applyFill="1" applyBorder="1" applyAlignment="1">
      <alignment wrapText="1"/>
    </xf>
    <xf numFmtId="0" fontId="43" fillId="22" borderId="13" xfId="0" applyFont="1" applyFill="1" applyBorder="1" applyAlignment="1">
      <alignment wrapText="1"/>
    </xf>
    <xf numFmtId="0" fontId="48" fillId="9" borderId="40" xfId="0" applyFont="1" applyFill="1" applyBorder="1" applyAlignment="1">
      <alignment wrapText="1"/>
    </xf>
    <xf numFmtId="0" fontId="49" fillId="9" borderId="40" xfId="0" applyFont="1" applyFill="1" applyBorder="1" applyAlignment="1">
      <alignment wrapText="1"/>
    </xf>
    <xf numFmtId="0" fontId="49" fillId="9" borderId="41" xfId="0" applyFont="1" applyFill="1" applyBorder="1" applyAlignment="1">
      <alignment wrapText="1"/>
    </xf>
    <xf numFmtId="0" fontId="48" fillId="3" borderId="40" xfId="0" applyFont="1" applyFill="1" applyBorder="1" applyAlignment="1">
      <alignment wrapText="1"/>
    </xf>
    <xf numFmtId="0" fontId="49" fillId="3" borderId="40" xfId="0" applyFont="1" applyFill="1" applyBorder="1" applyAlignment="1">
      <alignment wrapText="1"/>
    </xf>
    <xf numFmtId="0" fontId="49" fillId="3" borderId="41" xfId="0" applyFont="1" applyFill="1" applyBorder="1" applyAlignment="1">
      <alignment wrapText="1"/>
    </xf>
    <xf numFmtId="0" fontId="49" fillId="17" borderId="43" xfId="0" applyFont="1" applyFill="1" applyBorder="1" applyAlignment="1">
      <alignment wrapText="1"/>
    </xf>
    <xf numFmtId="0" fontId="49" fillId="17" borderId="44" xfId="0" applyFont="1" applyFill="1" applyBorder="1" applyAlignment="1">
      <alignment wrapText="1"/>
    </xf>
    <xf numFmtId="0" fontId="11" fillId="2" borderId="39" xfId="0" applyFont="1" applyFill="1" applyBorder="1" applyAlignment="1">
      <alignment wrapText="1"/>
    </xf>
    <xf numFmtId="0" fontId="49" fillId="20" borderId="43" xfId="0" applyFont="1" applyFill="1" applyBorder="1" applyAlignment="1">
      <alignment horizontal="right" wrapText="1"/>
    </xf>
    <xf numFmtId="0" fontId="49" fillId="20" borderId="45" xfId="0" applyFont="1" applyFill="1" applyBorder="1" applyAlignment="1">
      <alignment wrapText="1"/>
    </xf>
    <xf numFmtId="0" fontId="49" fillId="3" borderId="44" xfId="0" applyFont="1" applyFill="1" applyBorder="1" applyAlignment="1">
      <alignment wrapText="1"/>
    </xf>
    <xf numFmtId="0" fontId="49" fillId="3" borderId="43" xfId="0" applyFont="1" applyFill="1" applyBorder="1" applyAlignment="1">
      <alignment wrapText="1"/>
    </xf>
    <xf numFmtId="0" fontId="49" fillId="22" borderId="43" xfId="0" applyFont="1" applyFill="1" applyBorder="1" applyAlignment="1">
      <alignment wrapText="1"/>
    </xf>
    <xf numFmtId="0" fontId="49" fillId="22" borderId="44" xfId="0" applyFont="1" applyFill="1" applyBorder="1" applyAlignment="1">
      <alignment wrapText="1"/>
    </xf>
    <xf numFmtId="0" fontId="48" fillId="0" borderId="0" xfId="0" applyFont="1"/>
    <xf numFmtId="0" fontId="48" fillId="0" borderId="2" xfId="0" applyFont="1" applyBorder="1"/>
    <xf numFmtId="0" fontId="48" fillId="0" borderId="2" xfId="0" applyFont="1" applyBorder="1" applyAlignment="1">
      <alignment wrapText="1"/>
    </xf>
    <xf numFmtId="0" fontId="50" fillId="2" borderId="2" xfId="0" applyFont="1" applyFill="1" applyBorder="1" applyAlignment="1">
      <alignment vertical="center" wrapText="1"/>
    </xf>
    <xf numFmtId="0" fontId="50" fillId="2" borderId="14" xfId="0" applyFont="1" applyFill="1" applyBorder="1" applyAlignment="1">
      <alignment vertical="center" wrapText="1"/>
    </xf>
    <xf numFmtId="0" fontId="51" fillId="0" borderId="2" xfId="0" applyFont="1" applyBorder="1" applyAlignment="1">
      <alignment vertical="center" wrapText="1"/>
    </xf>
    <xf numFmtId="16" fontId="51" fillId="0" borderId="14" xfId="0" applyNumberFormat="1" applyFont="1" applyBorder="1" applyAlignment="1">
      <alignment vertical="center" wrapText="1"/>
    </xf>
    <xf numFmtId="0" fontId="10" fillId="0" borderId="14" xfId="0" applyFont="1" applyBorder="1" applyAlignment="1">
      <alignment wrapText="1"/>
    </xf>
    <xf numFmtId="0" fontId="51" fillId="0" borderId="14" xfId="0" applyFont="1" applyBorder="1" applyAlignment="1">
      <alignment vertical="center" wrapText="1"/>
    </xf>
    <xf numFmtId="0" fontId="10" fillId="0" borderId="0" xfId="0" applyFont="1" applyAlignment="1">
      <alignment horizontal="center"/>
    </xf>
    <xf numFmtId="0" fontId="52" fillId="2" borderId="2" xfId="0" applyFont="1" applyFill="1" applyBorder="1" applyAlignment="1">
      <alignment wrapText="1"/>
    </xf>
    <xf numFmtId="0" fontId="6" fillId="0" borderId="2" xfId="1" applyBorder="1"/>
    <xf numFmtId="0" fontId="23" fillId="0" borderId="2" xfId="0" applyFont="1" applyBorder="1"/>
    <xf numFmtId="0" fontId="53" fillId="0" borderId="2" xfId="1" applyFont="1" applyBorder="1"/>
    <xf numFmtId="0" fontId="23" fillId="0" borderId="2" xfId="0" applyFont="1" applyBorder="1" applyAlignment="1">
      <alignment wrapText="1"/>
    </xf>
    <xf numFmtId="16" fontId="10" fillId="0" borderId="2" xfId="0" applyNumberFormat="1" applyFont="1" applyBorder="1"/>
    <xf numFmtId="0" fontId="47" fillId="21" borderId="13" xfId="0" applyFont="1" applyFill="1" applyBorder="1"/>
    <xf numFmtId="0" fontId="10" fillId="5" borderId="13" xfId="0" applyFont="1" applyFill="1" applyBorder="1" applyAlignment="1">
      <alignment wrapText="1"/>
    </xf>
    <xf numFmtId="0" fontId="10" fillId="9" borderId="13" xfId="0" applyFont="1" applyFill="1" applyBorder="1" applyAlignment="1">
      <alignment wrapText="1"/>
    </xf>
    <xf numFmtId="0" fontId="10" fillId="3" borderId="13" xfId="0" applyFont="1" applyFill="1" applyBorder="1" applyAlignment="1">
      <alignment wrapText="1"/>
    </xf>
    <xf numFmtId="0" fontId="14" fillId="13" borderId="13" xfId="0" applyFont="1" applyFill="1" applyBorder="1"/>
    <xf numFmtId="0" fontId="14" fillId="5" borderId="13" xfId="0" applyFont="1" applyFill="1" applyBorder="1"/>
    <xf numFmtId="0" fontId="43" fillId="5" borderId="13" xfId="0" applyFont="1" applyFill="1" applyBorder="1" applyAlignment="1">
      <alignment wrapText="1"/>
    </xf>
    <xf numFmtId="0" fontId="43" fillId="4" borderId="39" xfId="0" applyFont="1" applyFill="1" applyBorder="1" applyAlignment="1">
      <alignment wrapText="1"/>
    </xf>
    <xf numFmtId="0" fontId="43" fillId="17" borderId="39" xfId="0" applyFont="1" applyFill="1" applyBorder="1"/>
    <xf numFmtId="0" fontId="48" fillId="5" borderId="40" xfId="0" applyFont="1" applyFill="1" applyBorder="1" applyAlignment="1">
      <alignment wrapText="1"/>
    </xf>
    <xf numFmtId="0" fontId="49" fillId="5" borderId="40" xfId="0" applyFont="1" applyFill="1" applyBorder="1" applyAlignment="1">
      <alignment wrapText="1"/>
    </xf>
    <xf numFmtId="0" fontId="49" fillId="5" borderId="41" xfId="0" applyFont="1" applyFill="1" applyBorder="1" applyAlignment="1">
      <alignment wrapText="1"/>
    </xf>
    <xf numFmtId="0" fontId="54" fillId="0" borderId="0" xfId="0" applyFont="1" applyAlignment="1">
      <alignment vertical="center"/>
    </xf>
    <xf numFmtId="0" fontId="54" fillId="0" borderId="0" xfId="0" applyFont="1" applyAlignment="1">
      <alignment horizontal="right" vertical="center"/>
    </xf>
    <xf numFmtId="0" fontId="10" fillId="0" borderId="49" xfId="0" applyFont="1" applyBorder="1"/>
    <xf numFmtId="0" fontId="0" fillId="0" borderId="2" xfId="0" applyBorder="1" applyAlignment="1">
      <alignment horizontal="center" vertical="center" wrapText="1"/>
    </xf>
    <xf numFmtId="0" fontId="0" fillId="0" borderId="0" xfId="0" applyAlignment="1">
      <alignment horizontal="center"/>
    </xf>
    <xf numFmtId="0" fontId="1" fillId="2" borderId="55" xfId="0" applyFont="1" applyFill="1" applyBorder="1" applyAlignment="1">
      <alignment horizontal="center"/>
    </xf>
    <xf numFmtId="0" fontId="1" fillId="2" borderId="51" xfId="0" applyFont="1" applyFill="1" applyBorder="1" applyAlignment="1">
      <alignment horizontal="center" vertical="center"/>
    </xf>
    <xf numFmtId="0" fontId="1" fillId="2" borderId="52" xfId="0" applyFont="1" applyFill="1" applyBorder="1" applyAlignment="1">
      <alignment horizontal="center" vertical="center"/>
    </xf>
    <xf numFmtId="0" fontId="1" fillId="2" borderId="58" xfId="0" applyFont="1" applyFill="1" applyBorder="1" applyAlignment="1">
      <alignment horizontal="center" vertical="center"/>
    </xf>
    <xf numFmtId="0" fontId="1" fillId="2" borderId="51" xfId="0" applyFont="1" applyFill="1" applyBorder="1" applyAlignment="1">
      <alignment horizontal="center" vertical="center" wrapText="1"/>
    </xf>
    <xf numFmtId="0" fontId="1" fillId="2" borderId="52" xfId="0" applyFont="1" applyFill="1" applyBorder="1" applyAlignment="1">
      <alignment horizontal="center" vertical="center" wrapText="1"/>
    </xf>
    <xf numFmtId="0" fontId="1" fillId="2" borderId="58" xfId="0" applyFont="1" applyFill="1" applyBorder="1" applyAlignment="1">
      <alignment horizontal="center" vertical="center" wrapText="1"/>
    </xf>
    <xf numFmtId="0" fontId="1" fillId="2" borderId="55" xfId="0" applyFont="1" applyFill="1" applyBorder="1" applyAlignment="1">
      <alignment horizontal="center" vertical="center" wrapText="1"/>
    </xf>
    <xf numFmtId="0" fontId="7" fillId="0" borderId="56" xfId="0" applyFont="1" applyBorder="1" applyAlignment="1">
      <alignment horizontal="center"/>
    </xf>
    <xf numFmtId="0" fontId="0" fillId="0" borderId="56" xfId="0" applyBorder="1" applyAlignment="1">
      <alignment horizontal="center" vertical="center" wrapText="1"/>
    </xf>
    <xf numFmtId="0" fontId="0" fillId="0" borderId="14" xfId="0" applyBorder="1" applyAlignment="1">
      <alignment horizontal="center"/>
    </xf>
    <xf numFmtId="0" fontId="0" fillId="0" borderId="56" xfId="0" applyBorder="1" applyAlignment="1">
      <alignment horizontal="center" wrapText="1"/>
    </xf>
    <xf numFmtId="0" fontId="0" fillId="0" borderId="56" xfId="0" applyBorder="1" applyAlignment="1">
      <alignment horizontal="center"/>
    </xf>
    <xf numFmtId="0" fontId="7" fillId="0" borderId="56" xfId="0" applyFont="1" applyBorder="1" applyAlignment="1">
      <alignment horizontal="center" wrapText="1"/>
    </xf>
    <xf numFmtId="0" fontId="7" fillId="0" borderId="57" xfId="0" applyFont="1" applyBorder="1" applyAlignment="1">
      <alignment horizontal="center" wrapText="1"/>
    </xf>
    <xf numFmtId="0" fontId="0" fillId="0" borderId="57" xfId="0" applyBorder="1" applyAlignment="1">
      <alignment horizontal="center" vertical="center" wrapText="1"/>
    </xf>
    <xf numFmtId="0" fontId="0" fillId="0" borderId="59" xfId="0" applyBorder="1" applyAlignment="1">
      <alignment horizontal="center"/>
    </xf>
    <xf numFmtId="16" fontId="0" fillId="0" borderId="2" xfId="0" applyNumberFormat="1" applyBorder="1" applyAlignment="1">
      <alignment horizontal="center" vertical="center" wrapText="1"/>
    </xf>
    <xf numFmtId="0" fontId="0" fillId="0" borderId="56" xfId="0" applyBorder="1" applyAlignment="1">
      <alignment horizontal="left" wrapText="1"/>
    </xf>
    <xf numFmtId="0" fontId="0" fillId="0" borderId="36" xfId="0" applyBorder="1" applyAlignment="1">
      <alignment horizontal="center" vertical="center"/>
    </xf>
    <xf numFmtId="0" fontId="0" fillId="0" borderId="14" xfId="0" applyBorder="1" applyAlignment="1">
      <alignment horizontal="center" vertical="center"/>
    </xf>
    <xf numFmtId="0" fontId="0" fillId="0" borderId="54" xfId="0" applyBorder="1" applyAlignment="1">
      <alignment horizontal="center" vertical="center"/>
    </xf>
    <xf numFmtId="16" fontId="0" fillId="0" borderId="36" xfId="0" applyNumberFormat="1" applyBorder="1" applyAlignment="1">
      <alignment horizontal="center" vertical="center" wrapText="1"/>
    </xf>
    <xf numFmtId="0" fontId="0" fillId="0" borderId="36" xfId="0" applyBorder="1" applyAlignment="1">
      <alignment horizontal="center" vertical="center" wrapText="1"/>
    </xf>
    <xf numFmtId="0" fontId="0" fillId="0" borderId="54" xfId="0" applyBorder="1" applyAlignment="1">
      <alignment horizontal="center" vertical="center" wrapText="1"/>
    </xf>
    <xf numFmtId="16" fontId="0" fillId="0" borderId="53" xfId="0" applyNumberFormat="1" applyBorder="1" applyAlignment="1">
      <alignment horizontal="center" vertical="center" wrapText="1"/>
    </xf>
    <xf numFmtId="0" fontId="20" fillId="0" borderId="13" xfId="0" applyFont="1" applyBorder="1"/>
    <xf numFmtId="0" fontId="55" fillId="0" borderId="0" xfId="0" applyFont="1"/>
    <xf numFmtId="0" fontId="1" fillId="2" borderId="0" xfId="0" applyFont="1" applyFill="1" applyAlignment="1">
      <alignment wrapText="1"/>
    </xf>
    <xf numFmtId="0" fontId="0" fillId="0" borderId="61" xfId="0" applyBorder="1"/>
    <xf numFmtId="0" fontId="0" fillId="0" borderId="8" xfId="0" applyBorder="1"/>
    <xf numFmtId="0" fontId="1" fillId="2" borderId="47" xfId="0" applyFont="1" applyFill="1" applyBorder="1"/>
    <xf numFmtId="0" fontId="1" fillId="2" borderId="48" xfId="0" applyFont="1" applyFill="1" applyBorder="1"/>
    <xf numFmtId="0" fontId="1" fillId="2" borderId="15" xfId="0" applyFont="1" applyFill="1" applyBorder="1"/>
    <xf numFmtId="0" fontId="1" fillId="2" borderId="61" xfId="0" applyFont="1" applyFill="1" applyBorder="1" applyAlignment="1">
      <alignment wrapText="1"/>
    </xf>
    <xf numFmtId="0" fontId="7" fillId="15" borderId="0" xfId="0" applyFont="1" applyFill="1" applyAlignment="1">
      <alignment wrapText="1"/>
    </xf>
    <xf numFmtId="0" fontId="7" fillId="9" borderId="0" xfId="0" applyFont="1" applyFill="1" applyAlignment="1">
      <alignment wrapText="1"/>
    </xf>
    <xf numFmtId="0" fontId="7" fillId="15" borderId="8" xfId="0" applyFont="1" applyFill="1" applyBorder="1" applyAlignment="1">
      <alignment wrapText="1"/>
    </xf>
    <xf numFmtId="0" fontId="0" fillId="0" borderId="57" xfId="0" applyBorder="1" applyAlignment="1">
      <alignment horizontal="left" vertical="center"/>
    </xf>
    <xf numFmtId="0" fontId="56" fillId="2" borderId="2" xfId="0" applyFont="1" applyFill="1" applyBorder="1"/>
    <xf numFmtId="0" fontId="0" fillId="20" borderId="2" xfId="0" applyFill="1" applyBorder="1"/>
    <xf numFmtId="0" fontId="0" fillId="0" borderId="60" xfId="0" applyBorder="1"/>
    <xf numFmtId="0" fontId="0" fillId="0" borderId="13" xfId="0" applyBorder="1" applyAlignment="1">
      <alignment horizontal="left"/>
    </xf>
    <xf numFmtId="14" fontId="0" fillId="0" borderId="36" xfId="0" applyNumberFormat="1" applyBorder="1" applyAlignment="1">
      <alignment horizontal="center" vertical="center" wrapText="1"/>
    </xf>
    <xf numFmtId="14" fontId="0" fillId="0" borderId="2" xfId="0" applyNumberFormat="1" applyBorder="1" applyAlignment="1">
      <alignment horizontal="center" vertical="center" wrapText="1"/>
    </xf>
    <xf numFmtId="16" fontId="23" fillId="0" borderId="36" xfId="0" applyNumberFormat="1" applyFont="1" applyBorder="1" applyAlignment="1">
      <alignment horizontal="center" vertical="center" wrapText="1"/>
    </xf>
    <xf numFmtId="16" fontId="23" fillId="0" borderId="2" xfId="0" applyNumberFormat="1" applyFont="1" applyBorder="1" applyAlignment="1">
      <alignment horizontal="center" vertical="center" wrapText="1"/>
    </xf>
    <xf numFmtId="0" fontId="23" fillId="0" borderId="2" xfId="0" applyFont="1" applyBorder="1" applyAlignment="1">
      <alignment horizontal="center" vertical="center" wrapText="1"/>
    </xf>
    <xf numFmtId="16" fontId="57" fillId="0" borderId="2" xfId="0" applyNumberFormat="1" applyFont="1" applyBorder="1" applyAlignment="1">
      <alignment horizontal="center" vertical="center" wrapText="1"/>
    </xf>
    <xf numFmtId="0" fontId="23" fillId="4" borderId="54" xfId="0" applyFont="1" applyFill="1" applyBorder="1" applyAlignment="1">
      <alignment horizontal="center" vertical="center" wrapText="1"/>
    </xf>
    <xf numFmtId="0" fontId="23" fillId="0" borderId="54" xfId="0" applyFont="1" applyBorder="1" applyAlignment="1">
      <alignment horizontal="center" vertical="center" wrapText="1"/>
    </xf>
    <xf numFmtId="0" fontId="58" fillId="0" borderId="13" xfId="0" applyFont="1" applyBorder="1"/>
    <xf numFmtId="0" fontId="0" fillId="0" borderId="2" xfId="0" applyBorder="1" applyAlignment="1">
      <alignment horizontal="center" wrapText="1"/>
    </xf>
    <xf numFmtId="0" fontId="0" fillId="0" borderId="30" xfId="0" applyBorder="1"/>
    <xf numFmtId="0" fontId="34" fillId="0" borderId="13" xfId="0" applyFont="1" applyBorder="1"/>
    <xf numFmtId="0" fontId="30" fillId="23" borderId="13" xfId="0" applyFont="1" applyFill="1" applyBorder="1"/>
    <xf numFmtId="0" fontId="0" fillId="0" borderId="9" xfId="0" applyBorder="1" applyAlignment="1">
      <alignment horizontal="left"/>
    </xf>
    <xf numFmtId="0" fontId="0" fillId="0" borderId="13" xfId="0" applyBorder="1" applyAlignment="1">
      <alignment wrapText="1"/>
    </xf>
    <xf numFmtId="0" fontId="0" fillId="0" borderId="6" xfId="0" applyBorder="1" applyAlignment="1">
      <alignment horizontal="left"/>
    </xf>
    <xf numFmtId="0" fontId="61" fillId="12" borderId="63" xfId="0" applyFont="1" applyFill="1" applyBorder="1" applyAlignment="1">
      <alignment vertical="center" wrapText="1"/>
    </xf>
    <xf numFmtId="0" fontId="62" fillId="24" borderId="63" xfId="0" applyFont="1" applyFill="1" applyBorder="1" applyAlignment="1">
      <alignment vertical="center" wrapText="1"/>
    </xf>
    <xf numFmtId="0" fontId="44" fillId="12" borderId="63" xfId="0" applyFont="1" applyFill="1" applyBorder="1" applyAlignment="1">
      <alignment vertical="center" wrapText="1"/>
    </xf>
    <xf numFmtId="14" fontId="21" fillId="0" borderId="0" xfId="0" applyNumberFormat="1" applyFont="1"/>
    <xf numFmtId="14" fontId="21" fillId="0" borderId="0" xfId="0" applyNumberFormat="1" applyFont="1" applyAlignment="1">
      <alignment horizontal="right"/>
    </xf>
    <xf numFmtId="0" fontId="62" fillId="24" borderId="0" xfId="0" applyFont="1" applyFill="1" applyAlignment="1">
      <alignment vertical="center" wrapText="1"/>
    </xf>
    <xf numFmtId="14" fontId="21" fillId="0" borderId="0" xfId="0" applyNumberFormat="1" applyFont="1" applyAlignment="1">
      <alignment wrapText="1"/>
    </xf>
    <xf numFmtId="14" fontId="21" fillId="25" borderId="0" xfId="0" applyNumberFormat="1" applyFont="1" applyFill="1"/>
    <xf numFmtId="14" fontId="21" fillId="0" borderId="0" xfId="0" applyNumberFormat="1" applyFont="1" applyAlignment="1">
      <alignment horizontal="left"/>
    </xf>
    <xf numFmtId="14" fontId="21" fillId="26" borderId="0" xfId="0" applyNumberFormat="1" applyFont="1" applyFill="1"/>
    <xf numFmtId="14" fontId="21" fillId="0" borderId="0" xfId="0" applyNumberFormat="1" applyFont="1" applyAlignment="1">
      <alignment horizontal="left" wrapText="1"/>
    </xf>
    <xf numFmtId="0" fontId="61" fillId="5" borderId="63" xfId="0" applyFont="1" applyFill="1" applyBorder="1" applyAlignment="1">
      <alignment vertical="center" wrapText="1"/>
    </xf>
    <xf numFmtId="0" fontId="0" fillId="0" borderId="64" xfId="0" applyBorder="1"/>
    <xf numFmtId="0" fontId="0" fillId="0" borderId="65" xfId="0" applyBorder="1"/>
    <xf numFmtId="0" fontId="63" fillId="23" borderId="13" xfId="0" applyFont="1" applyFill="1" applyBorder="1"/>
    <xf numFmtId="0" fontId="30" fillId="23" borderId="0" xfId="0" applyFont="1" applyFill="1"/>
    <xf numFmtId="0" fontId="10" fillId="0" borderId="50" xfId="0" applyFont="1" applyBorder="1" applyAlignment="1">
      <alignment horizontal="right"/>
    </xf>
    <xf numFmtId="0" fontId="43" fillId="19" borderId="40" xfId="0" applyFont="1" applyFill="1" applyBorder="1"/>
    <xf numFmtId="0" fontId="43" fillId="19" borderId="41" xfId="0" applyFont="1" applyFill="1" applyBorder="1"/>
    <xf numFmtId="0" fontId="43" fillId="17" borderId="40" xfId="0" applyFont="1" applyFill="1" applyBorder="1" applyAlignment="1">
      <alignment horizontal="right"/>
    </xf>
    <xf numFmtId="0" fontId="43" fillId="17" borderId="46" xfId="0" applyFont="1" applyFill="1" applyBorder="1"/>
    <xf numFmtId="0" fontId="43" fillId="17" borderId="41" xfId="0" applyFont="1" applyFill="1" applyBorder="1"/>
    <xf numFmtId="0" fontId="0" fillId="0" borderId="0" xfId="0" pivotButton="1" applyAlignment="1">
      <alignment wrapText="1"/>
    </xf>
    <xf numFmtId="0" fontId="1" fillId="2" borderId="13" xfId="0" applyFont="1" applyFill="1" applyBorder="1" applyAlignment="1">
      <alignment wrapText="1"/>
    </xf>
    <xf numFmtId="0" fontId="43" fillId="0" borderId="13" xfId="0" applyFont="1" applyBorder="1"/>
    <xf numFmtId="0" fontId="64" fillId="0" borderId="13" xfId="0" applyFont="1" applyBorder="1"/>
    <xf numFmtId="0" fontId="28" fillId="0" borderId="13" xfId="0" applyFont="1" applyBorder="1"/>
    <xf numFmtId="0" fontId="60" fillId="0" borderId="13" xfId="0" applyFont="1" applyBorder="1"/>
    <xf numFmtId="0" fontId="10" fillId="8" borderId="13" xfId="0" applyFont="1" applyFill="1" applyBorder="1" applyAlignment="1">
      <alignment wrapText="1"/>
    </xf>
    <xf numFmtId="0" fontId="10" fillId="8" borderId="13" xfId="0" applyFont="1" applyFill="1" applyBorder="1"/>
    <xf numFmtId="0" fontId="0" fillId="0" borderId="0" xfId="0" pivotButton="1"/>
    <xf numFmtId="0" fontId="0" fillId="0" borderId="0" xfId="0" applyAlignment="1">
      <alignment horizontal="left"/>
    </xf>
    <xf numFmtId="0" fontId="0" fillId="0" borderId="68" xfId="0" applyBorder="1"/>
    <xf numFmtId="0" fontId="0" fillId="0" borderId="69" xfId="0" applyBorder="1"/>
    <xf numFmtId="0" fontId="7" fillId="28" borderId="70" xfId="0" applyFont="1" applyFill="1" applyBorder="1"/>
    <xf numFmtId="0" fontId="7" fillId="28" borderId="71" xfId="0" applyFont="1" applyFill="1" applyBorder="1"/>
    <xf numFmtId="0" fontId="7" fillId="28" borderId="72" xfId="0" applyFont="1" applyFill="1" applyBorder="1"/>
    <xf numFmtId="0" fontId="7" fillId="28" borderId="73" xfId="0" applyFont="1" applyFill="1" applyBorder="1"/>
    <xf numFmtId="0" fontId="7" fillId="29" borderId="74" xfId="0" applyFont="1" applyFill="1" applyBorder="1"/>
    <xf numFmtId="0" fontId="7" fillId="29" borderId="75" xfId="0" applyFont="1" applyFill="1" applyBorder="1"/>
    <xf numFmtId="0" fontId="7" fillId="29" borderId="70" xfId="0" applyFont="1" applyFill="1" applyBorder="1"/>
    <xf numFmtId="0" fontId="7" fillId="29" borderId="71" xfId="0" applyFont="1" applyFill="1" applyBorder="1"/>
    <xf numFmtId="0" fontId="7" fillId="27" borderId="76" xfId="0" applyFont="1" applyFill="1" applyBorder="1"/>
    <xf numFmtId="0" fontId="0" fillId="0" borderId="77" xfId="0" applyBorder="1"/>
    <xf numFmtId="0" fontId="7" fillId="27" borderId="78" xfId="0" applyFont="1" applyFill="1" applyBorder="1"/>
    <xf numFmtId="0" fontId="0" fillId="0" borderId="77" xfId="0" applyBorder="1" applyAlignment="1">
      <alignment horizontal="left"/>
    </xf>
    <xf numFmtId="0" fontId="7" fillId="27" borderId="78" xfId="0" applyFont="1" applyFill="1" applyBorder="1" applyAlignment="1">
      <alignment horizontal="left"/>
    </xf>
    <xf numFmtId="0" fontId="10" fillId="16" borderId="25" xfId="0" applyFont="1" applyFill="1" applyBorder="1"/>
    <xf numFmtId="0" fontId="10" fillId="16" borderId="34" xfId="0" applyFont="1" applyFill="1" applyBorder="1"/>
    <xf numFmtId="0" fontId="10" fillId="16" borderId="9" xfId="0" applyFont="1" applyFill="1" applyBorder="1" applyAlignment="1">
      <alignment horizontal="right"/>
    </xf>
    <xf numFmtId="0" fontId="10" fillId="16" borderId="35" xfId="0" applyFont="1" applyFill="1" applyBorder="1" applyAlignment="1">
      <alignment horizontal="right"/>
    </xf>
    <xf numFmtId="0" fontId="10" fillId="16" borderId="37" xfId="0" applyFont="1" applyFill="1" applyBorder="1" applyAlignment="1">
      <alignment horizontal="right"/>
    </xf>
    <xf numFmtId="0" fontId="11" fillId="2" borderId="33" xfId="0" applyFont="1" applyFill="1" applyBorder="1"/>
    <xf numFmtId="0" fontId="11" fillId="2" borderId="1" xfId="0" applyFont="1" applyFill="1" applyBorder="1"/>
    <xf numFmtId="0" fontId="0" fillId="4" borderId="2" xfId="0" applyFill="1" applyBorder="1" applyAlignment="1">
      <alignment wrapText="1"/>
    </xf>
    <xf numFmtId="0" fontId="66" fillId="30" borderId="79" xfId="0" applyFont="1" applyFill="1" applyBorder="1" applyAlignment="1">
      <alignment wrapText="1" readingOrder="1"/>
    </xf>
    <xf numFmtId="0" fontId="0" fillId="12" borderId="0" xfId="0" applyFill="1"/>
    <xf numFmtId="0" fontId="67" fillId="12" borderId="80" xfId="0" applyFont="1" applyFill="1" applyBorder="1" applyAlignment="1">
      <alignment readingOrder="1"/>
    </xf>
    <xf numFmtId="0" fontId="66" fillId="30" borderId="80" xfId="0" applyFont="1" applyFill="1" applyBorder="1" applyAlignment="1">
      <alignment readingOrder="1"/>
    </xf>
    <xf numFmtId="0" fontId="30" fillId="2" borderId="13" xfId="0" applyFont="1" applyFill="1" applyBorder="1"/>
    <xf numFmtId="0" fontId="30" fillId="2" borderId="0" xfId="0" applyFont="1" applyFill="1"/>
    <xf numFmtId="0" fontId="1" fillId="2" borderId="13" xfId="0" applyFont="1" applyFill="1" applyBorder="1"/>
    <xf numFmtId="0" fontId="1" fillId="2" borderId="0" xfId="0" applyFont="1" applyFill="1"/>
    <xf numFmtId="0" fontId="63" fillId="2" borderId="13" xfId="0" applyFont="1" applyFill="1" applyBorder="1"/>
    <xf numFmtId="0" fontId="30" fillId="2" borderId="64" xfId="0" applyFont="1" applyFill="1" applyBorder="1"/>
    <xf numFmtId="0" fontId="30" fillId="2" borderId="30" xfId="0" applyFont="1" applyFill="1" applyBorder="1"/>
    <xf numFmtId="0" fontId="0" fillId="0" borderId="81" xfId="0" applyBorder="1" applyAlignment="1">
      <alignment horizontal="left"/>
    </xf>
    <xf numFmtId="0" fontId="68" fillId="0" borderId="13" xfId="0" applyFont="1" applyBorder="1"/>
    <xf numFmtId="0" fontId="69" fillId="0" borderId="13" xfId="0" applyFont="1" applyBorder="1"/>
    <xf numFmtId="0" fontId="10" fillId="0" borderId="62" xfId="0" applyFont="1" applyBorder="1"/>
    <xf numFmtId="0" fontId="10" fillId="0" borderId="60" xfId="0" applyFont="1" applyBorder="1"/>
    <xf numFmtId="0" fontId="10" fillId="0" borderId="65" xfId="0" applyFont="1" applyBorder="1"/>
    <xf numFmtId="0" fontId="10" fillId="0" borderId="64" xfId="0" applyFont="1" applyBorder="1"/>
    <xf numFmtId="0" fontId="19" fillId="0" borderId="64" xfId="0" applyFont="1" applyBorder="1"/>
    <xf numFmtId="0" fontId="34" fillId="0" borderId="13" xfId="0" applyFont="1" applyBorder="1" applyAlignment="1">
      <alignment wrapText="1"/>
    </xf>
    <xf numFmtId="0" fontId="1" fillId="23" borderId="0" xfId="0" applyFont="1" applyFill="1"/>
    <xf numFmtId="0" fontId="1" fillId="11" borderId="0" xfId="0" applyFont="1" applyFill="1"/>
    <xf numFmtId="0" fontId="0" fillId="0" borderId="4" xfId="0" applyBorder="1" applyAlignment="1">
      <alignment horizontal="left"/>
    </xf>
    <xf numFmtId="0" fontId="30" fillId="31" borderId="0" xfId="0" applyFont="1" applyFill="1"/>
    <xf numFmtId="0" fontId="59" fillId="0" borderId="0" xfId="0" applyFont="1"/>
    <xf numFmtId="0" fontId="60" fillId="0" borderId="0" xfId="0" applyFont="1"/>
    <xf numFmtId="0" fontId="0" fillId="0" borderId="13" xfId="0" applyBorder="1" applyAlignment="1">
      <alignment horizontal="right"/>
    </xf>
    <xf numFmtId="0" fontId="73" fillId="0" borderId="13" xfId="0" applyFont="1" applyBorder="1"/>
    <xf numFmtId="0" fontId="65" fillId="0" borderId="13" xfId="0" applyFont="1" applyBorder="1" applyAlignment="1">
      <alignment wrapText="1"/>
    </xf>
    <xf numFmtId="0" fontId="19" fillId="0" borderId="2" xfId="0" applyFont="1" applyBorder="1" applyAlignment="1">
      <alignment wrapText="1"/>
    </xf>
    <xf numFmtId="0" fontId="0" fillId="11" borderId="0" xfId="0" applyFill="1"/>
    <xf numFmtId="0" fontId="74" fillId="0" borderId="13" xfId="0" applyFont="1" applyBorder="1" applyAlignment="1">
      <alignment wrapText="1"/>
    </xf>
    <xf numFmtId="0" fontId="75" fillId="0" borderId="62" xfId="0" applyFont="1" applyBorder="1"/>
    <xf numFmtId="0" fontId="75" fillId="0" borderId="13" xfId="0" applyFont="1" applyBorder="1"/>
    <xf numFmtId="0" fontId="75" fillId="0" borderId="65" xfId="0" applyFont="1" applyBorder="1"/>
    <xf numFmtId="0" fontId="75" fillId="0" borderId="13" xfId="0" applyFont="1" applyBorder="1" applyAlignment="1">
      <alignment wrapText="1"/>
    </xf>
    <xf numFmtId="0" fontId="76" fillId="0" borderId="0" xfId="0" applyFont="1"/>
    <xf numFmtId="0" fontId="46" fillId="0" borderId="13" xfId="0" applyFont="1" applyBorder="1"/>
    <xf numFmtId="0" fontId="76" fillId="12" borderId="0" xfId="0" applyFont="1" applyFill="1"/>
    <xf numFmtId="0" fontId="78" fillId="0" borderId="0" xfId="0" applyFont="1"/>
    <xf numFmtId="0" fontId="79" fillId="0" borderId="13" xfId="0" applyFont="1" applyBorder="1"/>
    <xf numFmtId="0" fontId="0" fillId="19" borderId="0" xfId="0" applyFill="1"/>
    <xf numFmtId="0" fontId="11" fillId="2" borderId="3" xfId="0" applyFont="1" applyFill="1" applyBorder="1" applyAlignment="1">
      <alignment vertical="center"/>
    </xf>
    <xf numFmtId="0" fontId="19" fillId="13" borderId="13" xfId="0" applyFont="1" applyFill="1" applyBorder="1"/>
    <xf numFmtId="0" fontId="19" fillId="13" borderId="82" xfId="0" applyFont="1" applyFill="1" applyBorder="1"/>
    <xf numFmtId="0" fontId="19" fillId="0" borderId="65" xfId="0" applyFont="1" applyBorder="1"/>
    <xf numFmtId="0" fontId="19" fillId="0" borderId="83" xfId="0" applyFont="1" applyBorder="1"/>
    <xf numFmtId="0" fontId="19" fillId="13" borderId="65" xfId="0" applyFont="1" applyFill="1" applyBorder="1"/>
    <xf numFmtId="0" fontId="76" fillId="13" borderId="65" xfId="0" applyFont="1" applyFill="1" applyBorder="1"/>
    <xf numFmtId="0" fontId="21" fillId="0" borderId="84" xfId="0" applyFont="1" applyBorder="1"/>
    <xf numFmtId="0" fontId="21" fillId="0" borderId="84" xfId="0" applyFont="1" applyBorder="1" applyAlignment="1">
      <alignment wrapText="1"/>
    </xf>
    <xf numFmtId="0" fontId="0" fillId="4" borderId="13" xfId="0" applyFill="1" applyBorder="1"/>
    <xf numFmtId="0" fontId="78" fillId="0" borderId="85" xfId="0" applyFont="1" applyBorder="1"/>
    <xf numFmtId="0" fontId="78" fillId="0" borderId="86" xfId="0" applyFont="1" applyBorder="1"/>
    <xf numFmtId="0" fontId="7" fillId="5" borderId="0" xfId="0" applyFont="1" applyFill="1" applyAlignment="1">
      <alignment horizontal="left"/>
    </xf>
    <xf numFmtId="0" fontId="0" fillId="5" borderId="0" xfId="0" applyFill="1"/>
    <xf numFmtId="0" fontId="7" fillId="5" borderId="0" xfId="0" applyFont="1" applyFill="1"/>
    <xf numFmtId="0" fontId="82" fillId="0" borderId="0" xfId="0" applyFont="1"/>
    <xf numFmtId="0" fontId="0" fillId="0" borderId="2" xfId="0" applyBorder="1" applyAlignment="1">
      <alignment horizontal="left" wrapText="1"/>
    </xf>
    <xf numFmtId="0" fontId="0" fillId="0" borderId="0" xfId="0" applyAlignment="1">
      <alignment horizontal="left" wrapText="1"/>
    </xf>
    <xf numFmtId="0" fontId="0" fillId="5" borderId="0" xfId="0" applyFill="1" applyAlignment="1">
      <alignment horizontal="left"/>
    </xf>
    <xf numFmtId="164" fontId="34" fillId="0" borderId="13" xfId="0" applyNumberFormat="1" applyFont="1" applyBorder="1"/>
    <xf numFmtId="0" fontId="46" fillId="0" borderId="13" xfId="0" applyFont="1" applyBorder="1" applyAlignment="1">
      <alignment wrapText="1"/>
    </xf>
    <xf numFmtId="0" fontId="23" fillId="0" borderId="13" xfId="0" applyFont="1" applyBorder="1" applyAlignment="1">
      <alignment wrapText="1"/>
    </xf>
    <xf numFmtId="0" fontId="79" fillId="0" borderId="2" xfId="0" applyFont="1" applyBorder="1"/>
    <xf numFmtId="0" fontId="79" fillId="0" borderId="9" xfId="0" applyFont="1" applyBorder="1"/>
    <xf numFmtId="0" fontId="75" fillId="0" borderId="0" xfId="0" applyFont="1"/>
    <xf numFmtId="0" fontId="75" fillId="0" borderId="0" xfId="0" applyFont="1" applyAlignment="1">
      <alignment wrapText="1"/>
    </xf>
    <xf numFmtId="0" fontId="81" fillId="19" borderId="2" xfId="0" applyFont="1" applyFill="1" applyBorder="1" applyAlignment="1">
      <alignment horizontal="center"/>
    </xf>
    <xf numFmtId="0" fontId="21" fillId="6" borderId="2" xfId="0" applyFont="1" applyFill="1" applyBorder="1"/>
    <xf numFmtId="0" fontId="21" fillId="4" borderId="2" xfId="0" applyFont="1" applyFill="1" applyBorder="1"/>
    <xf numFmtId="0" fontId="21" fillId="5" borderId="2" xfId="0" applyFont="1" applyFill="1" applyBorder="1"/>
    <xf numFmtId="0" fontId="21" fillId="0" borderId="2" xfId="0" applyFont="1" applyBorder="1" applyAlignment="1">
      <alignment horizontal="right"/>
    </xf>
    <xf numFmtId="0" fontId="0" fillId="0" borderId="0" xfId="0" applyAlignment="1">
      <alignment horizontal="right"/>
    </xf>
    <xf numFmtId="0" fontId="21" fillId="0" borderId="87" xfId="0" applyFont="1" applyBorder="1"/>
    <xf numFmtId="0" fontId="83" fillId="7" borderId="2" xfId="0" applyFont="1" applyFill="1" applyBorder="1"/>
    <xf numFmtId="0" fontId="0" fillId="6" borderId="0" xfId="0" applyFill="1" applyAlignment="1">
      <alignment horizontal="left"/>
    </xf>
    <xf numFmtId="0" fontId="0" fillId="6" borderId="0" xfId="0" applyFill="1"/>
    <xf numFmtId="0" fontId="74" fillId="0" borderId="2" xfId="0" applyFont="1" applyBorder="1" applyAlignment="1">
      <alignment vertical="center" wrapText="1"/>
    </xf>
    <xf numFmtId="0" fontId="20" fillId="0" borderId="2" xfId="0" applyFont="1" applyBorder="1" applyAlignment="1">
      <alignment vertical="center" wrapText="1"/>
    </xf>
    <xf numFmtId="0" fontId="30" fillId="23" borderId="2" xfId="0" applyFont="1" applyFill="1" applyBorder="1" applyAlignment="1">
      <alignment wrapText="1"/>
    </xf>
    <xf numFmtId="0" fontId="30" fillId="2" borderId="2" xfId="0" applyFont="1" applyFill="1" applyBorder="1" applyAlignment="1">
      <alignment wrapText="1"/>
    </xf>
    <xf numFmtId="0" fontId="0" fillId="20" borderId="2" xfId="0" applyFill="1" applyBorder="1" applyAlignment="1">
      <alignment vertical="center" wrapText="1"/>
    </xf>
    <xf numFmtId="0" fontId="21" fillId="5" borderId="2" xfId="0" applyFont="1" applyFill="1" applyBorder="1" applyAlignment="1">
      <alignment wrapText="1"/>
    </xf>
    <xf numFmtId="0" fontId="0" fillId="5" borderId="13" xfId="0" applyFill="1" applyBorder="1"/>
    <xf numFmtId="0" fontId="85" fillId="5" borderId="13" xfId="0" applyFont="1" applyFill="1" applyBorder="1"/>
    <xf numFmtId="164" fontId="75" fillId="0" borderId="13" xfId="0" applyNumberFormat="1" applyFont="1" applyBorder="1"/>
    <xf numFmtId="0" fontId="20" fillId="0" borderId="13" xfId="0" applyFont="1" applyBorder="1" applyAlignment="1">
      <alignment wrapText="1"/>
    </xf>
    <xf numFmtId="0" fontId="75" fillId="0" borderId="65" xfId="0" applyFont="1" applyBorder="1" applyAlignment="1">
      <alignment wrapText="1"/>
    </xf>
    <xf numFmtId="0" fontId="0" fillId="9" borderId="13" xfId="0" applyFill="1" applyBorder="1"/>
    <xf numFmtId="0" fontId="86" fillId="2" borderId="0" xfId="0" applyFont="1" applyFill="1"/>
    <xf numFmtId="0" fontId="87" fillId="0" borderId="0" xfId="0" applyFont="1"/>
    <xf numFmtId="0" fontId="32" fillId="0" borderId="0" xfId="0" applyFont="1"/>
    <xf numFmtId="0" fontId="0" fillId="16" borderId="13" xfId="0" applyFill="1" applyBorder="1"/>
    <xf numFmtId="0" fontId="1" fillId="23" borderId="84" xfId="0" applyFont="1" applyFill="1" applyBorder="1"/>
    <xf numFmtId="0" fontId="7" fillId="5" borderId="84" xfId="0" applyFont="1" applyFill="1" applyBorder="1" applyAlignment="1">
      <alignment horizontal="right"/>
    </xf>
    <xf numFmtId="0" fontId="7" fillId="5" borderId="84" xfId="0" applyFont="1" applyFill="1" applyBorder="1" applyAlignment="1">
      <alignment horizontal="left"/>
    </xf>
    <xf numFmtId="0" fontId="7" fillId="5" borderId="84" xfId="0" applyFont="1" applyFill="1" applyBorder="1"/>
    <xf numFmtId="0" fontId="1" fillId="2" borderId="84" xfId="0" applyFont="1" applyFill="1" applyBorder="1"/>
    <xf numFmtId="0" fontId="1" fillId="32" borderId="84" xfId="0" applyFont="1" applyFill="1" applyBorder="1"/>
    <xf numFmtId="0" fontId="0" fillId="0" borderId="84" xfId="0" applyBorder="1"/>
    <xf numFmtId="0" fontId="0" fillId="0" borderId="84" xfId="0" applyBorder="1" applyAlignment="1">
      <alignment horizontal="right"/>
    </xf>
    <xf numFmtId="0" fontId="0" fillId="0" borderId="84" xfId="0" applyBorder="1" applyAlignment="1">
      <alignment horizontal="left"/>
    </xf>
    <xf numFmtId="0" fontId="88" fillId="0" borderId="0" xfId="0" applyFont="1"/>
    <xf numFmtId="0" fontId="0" fillId="0" borderId="84" xfId="0" applyBorder="1" applyAlignment="1">
      <alignment wrapText="1"/>
    </xf>
    <xf numFmtId="0" fontId="23" fillId="0" borderId="84" xfId="0" applyFont="1" applyBorder="1"/>
    <xf numFmtId="0" fontId="1" fillId="23" borderId="84" xfId="0" applyFont="1" applyFill="1" applyBorder="1" applyAlignment="1">
      <alignment horizontal="left" vertical="top"/>
    </xf>
    <xf numFmtId="0" fontId="1" fillId="2" borderId="84" xfId="0" applyFont="1" applyFill="1" applyBorder="1" applyAlignment="1">
      <alignment horizontal="left" vertical="top"/>
    </xf>
    <xf numFmtId="0" fontId="7" fillId="5" borderId="84" xfId="0" applyFont="1" applyFill="1" applyBorder="1" applyAlignment="1">
      <alignment horizontal="right" vertical="top"/>
    </xf>
    <xf numFmtId="0" fontId="7" fillId="5" borderId="84" xfId="0" applyFont="1" applyFill="1" applyBorder="1" applyAlignment="1">
      <alignment horizontal="left" vertical="top"/>
    </xf>
    <xf numFmtId="0" fontId="1" fillId="33" borderId="84" xfId="0" applyFont="1" applyFill="1" applyBorder="1"/>
    <xf numFmtId="0" fontId="0" fillId="0" borderId="84" xfId="0" applyBorder="1" applyAlignment="1">
      <alignment horizontal="left" vertical="top"/>
    </xf>
    <xf numFmtId="0" fontId="0" fillId="0" borderId="84" xfId="0" applyBorder="1" applyAlignment="1">
      <alignment horizontal="right" vertical="top"/>
    </xf>
    <xf numFmtId="0" fontId="23" fillId="0" borderId="84" xfId="0" applyFont="1" applyBorder="1" applyAlignment="1">
      <alignment horizontal="left" vertical="top"/>
    </xf>
    <xf numFmtId="0" fontId="23" fillId="0" borderId="84" xfId="0" applyFont="1" applyBorder="1" applyAlignment="1">
      <alignment horizontal="right" vertical="top"/>
    </xf>
    <xf numFmtId="0" fontId="20" fillId="0" borderId="84" xfId="0" applyFont="1" applyBorder="1" applyAlignment="1">
      <alignment horizontal="left" vertical="top"/>
    </xf>
    <xf numFmtId="0" fontId="23" fillId="0" borderId="84" xfId="0" applyFont="1" applyBorder="1" applyAlignment="1">
      <alignment vertical="top"/>
    </xf>
    <xf numFmtId="0" fontId="0" fillId="5" borderId="84" xfId="0" applyFill="1" applyBorder="1" applyAlignment="1">
      <alignment horizontal="left" vertical="top"/>
    </xf>
    <xf numFmtId="0" fontId="23" fillId="11" borderId="84" xfId="0" applyFont="1" applyFill="1" applyBorder="1"/>
    <xf numFmtId="0" fontId="56" fillId="2" borderId="2" xfId="0" applyFont="1" applyFill="1" applyBorder="1" applyAlignment="1">
      <alignment wrapText="1"/>
    </xf>
    <xf numFmtId="0" fontId="0" fillId="4" borderId="13" xfId="0" applyFill="1" applyBorder="1" applyAlignment="1">
      <alignment wrapText="1"/>
    </xf>
    <xf numFmtId="0" fontId="19" fillId="0" borderId="30" xfId="0" applyFont="1" applyBorder="1"/>
    <xf numFmtId="0" fontId="23" fillId="0" borderId="13" xfId="0" applyFont="1" applyBorder="1"/>
    <xf numFmtId="0" fontId="85" fillId="0" borderId="13" xfId="0" applyFont="1" applyBorder="1"/>
    <xf numFmtId="0" fontId="19" fillId="0" borderId="0" xfId="0" applyFont="1" applyAlignment="1">
      <alignment wrapText="1"/>
    </xf>
    <xf numFmtId="0" fontId="89" fillId="0" borderId="13" xfId="0" applyFont="1" applyBorder="1"/>
    <xf numFmtId="0" fontId="89" fillId="0" borderId="30" xfId="0" applyFont="1" applyBorder="1"/>
    <xf numFmtId="0" fontId="75" fillId="0" borderId="82" xfId="0" applyFont="1" applyBorder="1"/>
    <xf numFmtId="0" fontId="75" fillId="0" borderId="30" xfId="0" applyFont="1" applyBorder="1"/>
    <xf numFmtId="0" fontId="89" fillId="0" borderId="65" xfId="0" applyFont="1" applyBorder="1"/>
    <xf numFmtId="0" fontId="77" fillId="9" borderId="13" xfId="0" applyFont="1" applyFill="1" applyBorder="1" applyAlignment="1">
      <alignment wrapText="1"/>
    </xf>
    <xf numFmtId="0" fontId="20" fillId="4" borderId="2" xfId="0" applyFont="1" applyFill="1" applyBorder="1" applyAlignment="1">
      <alignment wrapText="1"/>
    </xf>
    <xf numFmtId="0" fontId="0" fillId="0" borderId="4"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10" fillId="0" borderId="22" xfId="0" applyFont="1" applyBorder="1" applyAlignment="1">
      <alignment horizontal="center" wrapText="1"/>
    </xf>
    <xf numFmtId="0" fontId="10" fillId="0" borderId="23" xfId="0" applyFont="1" applyBorder="1" applyAlignment="1">
      <alignment horizontal="center" wrapText="1"/>
    </xf>
    <xf numFmtId="0" fontId="10" fillId="0" borderId="21" xfId="0" applyFont="1" applyBorder="1" applyAlignment="1">
      <alignment horizontal="center" wrapText="1"/>
    </xf>
    <xf numFmtId="0" fontId="0" fillId="0" borderId="0" xfId="0" applyAlignment="1">
      <alignment vertical="center" wrapText="1"/>
    </xf>
    <xf numFmtId="0" fontId="6" fillId="0" borderId="0" xfId="1" applyAlignment="1">
      <alignment vertical="center" wrapText="1"/>
    </xf>
    <xf numFmtId="0" fontId="39" fillId="9" borderId="2" xfId="0" applyFont="1" applyFill="1" applyBorder="1" applyAlignment="1">
      <alignment horizontal="center" vertical="center"/>
    </xf>
    <xf numFmtId="0" fontId="39" fillId="15" borderId="2" xfId="0" applyFont="1" applyFill="1" applyBorder="1" applyAlignment="1">
      <alignment horizontal="center" vertical="center"/>
    </xf>
    <xf numFmtId="0" fontId="0" fillId="0" borderId="4" xfId="0" applyBorder="1" applyAlignment="1">
      <alignment horizontal="center" vertical="center" wrapText="1"/>
    </xf>
    <xf numFmtId="0" fontId="0" fillId="0" borderId="2" xfId="0" applyBorder="1" applyAlignment="1">
      <alignment horizontal="left" vertical="center" wrapText="1"/>
    </xf>
    <xf numFmtId="0" fontId="7" fillId="5" borderId="0" xfId="0" applyFont="1" applyFill="1" applyAlignment="1">
      <alignment horizontal="center"/>
    </xf>
    <xf numFmtId="0" fontId="7" fillId="19" borderId="48" xfId="0" applyFont="1" applyFill="1" applyBorder="1" applyAlignment="1">
      <alignment horizontal="center"/>
    </xf>
    <xf numFmtId="0" fontId="0" fillId="17" borderId="51" xfId="0" applyFill="1" applyBorder="1" applyAlignment="1">
      <alignment horizontal="left" wrapText="1"/>
    </xf>
    <xf numFmtId="0" fontId="0" fillId="17" borderId="66" xfId="0" applyFill="1" applyBorder="1" applyAlignment="1">
      <alignment horizontal="left" wrapText="1"/>
    </xf>
    <xf numFmtId="0" fontId="0" fillId="17" borderId="36" xfId="0" applyFill="1" applyBorder="1" applyAlignment="1">
      <alignment horizontal="left" wrapText="1"/>
    </xf>
    <xf numFmtId="0" fontId="0" fillId="17" borderId="37" xfId="0" applyFill="1" applyBorder="1" applyAlignment="1">
      <alignment horizontal="left" wrapText="1"/>
    </xf>
    <xf numFmtId="0" fontId="0" fillId="17" borderId="53" xfId="0" applyFill="1" applyBorder="1" applyAlignment="1">
      <alignment horizontal="left" wrapText="1"/>
    </xf>
    <xf numFmtId="0" fontId="0" fillId="17" borderId="67" xfId="0" applyFill="1" applyBorder="1" applyAlignment="1">
      <alignment horizontal="left" wrapText="1"/>
    </xf>
    <xf numFmtId="0" fontId="0" fillId="26" borderId="51" xfId="0" applyFill="1" applyBorder="1" applyAlignment="1">
      <alignment horizontal="left" wrapText="1"/>
    </xf>
    <xf numFmtId="0" fontId="0" fillId="26" borderId="66" xfId="0" applyFill="1" applyBorder="1" applyAlignment="1">
      <alignment horizontal="left" wrapText="1"/>
    </xf>
    <xf numFmtId="0" fontId="0" fillId="26" borderId="36" xfId="0" applyFill="1" applyBorder="1" applyAlignment="1">
      <alignment horizontal="left" wrapText="1"/>
    </xf>
    <xf numFmtId="0" fontId="0" fillId="26" borderId="37" xfId="0" applyFill="1" applyBorder="1" applyAlignment="1">
      <alignment horizontal="left" wrapText="1"/>
    </xf>
    <xf numFmtId="0" fontId="0" fillId="26" borderId="53" xfId="0" applyFill="1" applyBorder="1" applyAlignment="1">
      <alignment horizontal="left" wrapText="1"/>
    </xf>
    <xf numFmtId="0" fontId="0" fillId="26" borderId="67" xfId="0" applyFill="1" applyBorder="1" applyAlignment="1">
      <alignment horizontal="left" wrapText="1"/>
    </xf>
    <xf numFmtId="0" fontId="11" fillId="2" borderId="3" xfId="0" applyFont="1" applyFill="1" applyBorder="1" applyAlignment="1">
      <alignment horizontal="center" vertical="center"/>
    </xf>
    <xf numFmtId="0" fontId="11" fillId="2" borderId="42" xfId="0" applyFont="1" applyFill="1" applyBorder="1" applyAlignment="1">
      <alignment horizontal="center" vertical="center"/>
    </xf>
    <xf numFmtId="0" fontId="11" fillId="2" borderId="32" xfId="0" applyFont="1" applyFill="1" applyBorder="1" applyAlignment="1">
      <alignment horizontal="center"/>
    </xf>
    <xf numFmtId="0" fontId="11" fillId="2" borderId="33" xfId="0" applyFont="1" applyFill="1" applyBorder="1" applyAlignment="1">
      <alignment horizontal="center"/>
    </xf>
    <xf numFmtId="0" fontId="11" fillId="2" borderId="1" xfId="0" applyFont="1" applyFill="1" applyBorder="1" applyAlignment="1">
      <alignment horizontal="center"/>
    </xf>
    <xf numFmtId="0" fontId="43" fillId="4" borderId="47" xfId="0" applyFont="1" applyFill="1" applyBorder="1" applyAlignment="1">
      <alignment horizontal="center"/>
    </xf>
    <xf numFmtId="0" fontId="43" fillId="4" borderId="48" xfId="0" applyFont="1" applyFill="1" applyBorder="1" applyAlignment="1">
      <alignment horizontal="center"/>
    </xf>
    <xf numFmtId="0" fontId="1" fillId="2" borderId="21" xfId="0" applyFont="1" applyFill="1" applyBorder="1"/>
    <xf numFmtId="0" fontId="1" fillId="2" borderId="61" xfId="0" applyFont="1" applyFill="1" applyBorder="1"/>
    <xf numFmtId="0" fontId="7" fillId="5" borderId="21" xfId="0" applyFont="1" applyFill="1" applyBorder="1" applyAlignment="1">
      <alignment horizontal="center"/>
    </xf>
    <xf numFmtId="0" fontId="7" fillId="5" borderId="22" xfId="0" applyFont="1" applyFill="1" applyBorder="1" applyAlignment="1">
      <alignment horizontal="center"/>
    </xf>
    <xf numFmtId="0" fontId="0" fillId="3" borderId="21" xfId="0" applyFill="1" applyBorder="1" applyAlignment="1">
      <alignment horizontal="center"/>
    </xf>
    <xf numFmtId="0" fontId="0" fillId="3" borderId="22" xfId="0" applyFill="1" applyBorder="1" applyAlignment="1">
      <alignment horizontal="center"/>
    </xf>
    <xf numFmtId="0" fontId="0" fillId="3" borderId="23" xfId="0" applyFill="1" applyBorder="1" applyAlignment="1">
      <alignment horizontal="center"/>
    </xf>
    <xf numFmtId="0" fontId="0" fillId="0" borderId="0" xfId="0"/>
    <xf numFmtId="0" fontId="84" fillId="19" borderId="2" xfId="0" applyFont="1" applyFill="1" applyBorder="1" applyAlignment="1">
      <alignment horizontal="center" vertical="center"/>
    </xf>
    <xf numFmtId="0" fontId="81" fillId="17" borderId="2" xfId="0" applyFont="1" applyFill="1" applyBorder="1" applyAlignment="1">
      <alignment horizontal="center" vertical="center" wrapText="1"/>
    </xf>
    <xf numFmtId="0" fontId="81" fillId="19" borderId="2" xfId="0" applyFont="1" applyFill="1" applyBorder="1" applyAlignment="1">
      <alignment horizontal="center" vertical="center" wrapText="1"/>
    </xf>
    <xf numFmtId="0" fontId="81" fillId="19" borderId="2" xfId="0" applyFont="1" applyFill="1" applyBorder="1" applyAlignment="1">
      <alignment horizontal="center" vertical="center"/>
    </xf>
    <xf numFmtId="0" fontId="43" fillId="19" borderId="2" xfId="0" applyFont="1" applyFill="1" applyBorder="1" applyAlignment="1">
      <alignment horizontal="center" vertical="center" wrapText="1"/>
    </xf>
    <xf numFmtId="0" fontId="81" fillId="19" borderId="2" xfId="0" applyFont="1" applyFill="1" applyBorder="1" applyAlignment="1">
      <alignment horizontal="center"/>
    </xf>
    <xf numFmtId="0" fontId="43" fillId="19" borderId="4" xfId="0" applyFont="1" applyFill="1" applyBorder="1" applyAlignment="1">
      <alignment horizontal="center" vertical="center" wrapText="1"/>
    </xf>
    <xf numFmtId="0" fontId="43" fillId="19" borderId="9" xfId="0" applyFont="1" applyFill="1" applyBorder="1" applyAlignment="1">
      <alignment horizontal="center" vertical="center" wrapText="1"/>
    </xf>
  </cellXfs>
  <cellStyles count="3">
    <cellStyle name="Hyperlink" xfId="1" builtinId="8"/>
    <cellStyle name="Normal" xfId="0" builtinId="0"/>
    <cellStyle name="Percent" xfId="2" builtinId="5"/>
  </cellStyles>
  <dxfs count="2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colors>
    <mruColors>
      <color rgb="FFF5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sharedStrings" Target="sharedStrings.xml"/><Relationship Id="rId79"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pivotCacheDefinition" Target="pivotCache/pivotCacheDefinition1.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theme" Target="theme/theme1.xml"/><Relationship Id="rId80"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pivotCacheDefinition" Target="pivotCache/pivotCacheDefinition2.xml"/><Relationship Id="rId75"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tyles" Target="styles.xml"/><Relationship Id="rId78" Type="http://schemas.openxmlformats.org/officeDocument/2006/relationships/customXml" Target="../customXml/item1.xml"/><Relationship Id="rId8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pivotCacheDefinition" Target="pivotCache/pivotCacheDefinition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30</xdr:row>
      <xdr:rowOff>127000</xdr:rowOff>
    </xdr:from>
    <xdr:to>
      <xdr:col>4</xdr:col>
      <xdr:colOff>3444875</xdr:colOff>
      <xdr:row>46</xdr:row>
      <xdr:rowOff>82550</xdr:rowOff>
    </xdr:to>
    <xdr:pic>
      <xdr:nvPicPr>
        <xdr:cNvPr id="4" name="Picture 1">
          <a:extLst>
            <a:ext uri="{FF2B5EF4-FFF2-40B4-BE49-F238E27FC236}">
              <a16:creationId xmlns:a16="http://schemas.microsoft.com/office/drawing/2014/main" id="{B4EE5BC0-0C5D-3AF8-7F99-70178D8344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5657850"/>
          <a:ext cx="8807450" cy="30035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209550</xdr:colOff>
      <xdr:row>3</xdr:row>
      <xdr:rowOff>57150</xdr:rowOff>
    </xdr:from>
    <xdr:to>
      <xdr:col>14</xdr:col>
      <xdr:colOff>298450</xdr:colOff>
      <xdr:row>13</xdr:row>
      <xdr:rowOff>25400</xdr:rowOff>
    </xdr:to>
    <xdr:sp macro="" textlink="">
      <xdr:nvSpPr>
        <xdr:cNvPr id="2" name="TextBox 1">
          <a:extLst>
            <a:ext uri="{FF2B5EF4-FFF2-40B4-BE49-F238E27FC236}">
              <a16:creationId xmlns:a16="http://schemas.microsoft.com/office/drawing/2014/main" id="{EA0738A2-F049-16DF-4092-1318495AAE89}"/>
            </a:ext>
          </a:extLst>
        </xdr:cNvPr>
        <xdr:cNvSpPr txBox="1"/>
      </xdr:nvSpPr>
      <xdr:spPr>
        <a:xfrm>
          <a:off x="4127500" y="615950"/>
          <a:ext cx="5575300" cy="180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RAKFLUX</a:t>
          </a:r>
          <a:r>
            <a:rPr lang="en-US" sz="1100" baseline="0"/>
            <a:t> integration is descoped for CRM. This was decided with CCO and cards architect</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228600</xdr:colOff>
      <xdr:row>3</xdr:row>
      <xdr:rowOff>76200</xdr:rowOff>
    </xdr:from>
    <xdr:to>
      <xdr:col>13</xdr:col>
      <xdr:colOff>317500</xdr:colOff>
      <xdr:row>13</xdr:row>
      <xdr:rowOff>44450</xdr:rowOff>
    </xdr:to>
    <xdr:sp macro="" textlink="">
      <xdr:nvSpPr>
        <xdr:cNvPr id="2" name="TextBox 1">
          <a:extLst>
            <a:ext uri="{FF2B5EF4-FFF2-40B4-BE49-F238E27FC236}">
              <a16:creationId xmlns:a16="http://schemas.microsoft.com/office/drawing/2014/main" id="{A9A3A759-1118-46C9-8595-199EC59BBBF4}"/>
            </a:ext>
          </a:extLst>
        </xdr:cNvPr>
        <xdr:cNvSpPr txBox="1"/>
      </xdr:nvSpPr>
      <xdr:spPr>
        <a:xfrm>
          <a:off x="4318000" y="635000"/>
          <a:ext cx="5575300" cy="180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CARDNET</a:t>
          </a:r>
          <a:r>
            <a:rPr lang="en-US" sz="1100" baseline="0"/>
            <a:t> integration is descoped for CRM. This was decided with CCO and cards architect</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4464050</xdr:colOff>
      <xdr:row>27</xdr:row>
      <xdr:rowOff>136525</xdr:rowOff>
    </xdr:from>
    <xdr:to>
      <xdr:col>8</xdr:col>
      <xdr:colOff>676275</xdr:colOff>
      <xdr:row>37</xdr:row>
      <xdr:rowOff>130175</xdr:rowOff>
    </xdr:to>
    <xdr:sp macro="" textlink="">
      <xdr:nvSpPr>
        <xdr:cNvPr id="5" name="TextBox 1">
          <a:extLst>
            <a:ext uri="{FF2B5EF4-FFF2-40B4-BE49-F238E27FC236}">
              <a16:creationId xmlns:a16="http://schemas.microsoft.com/office/drawing/2014/main" id="{89C9B87E-BD96-B141-7192-21D189BA5456}"/>
            </a:ext>
          </a:extLst>
        </xdr:cNvPr>
        <xdr:cNvSpPr txBox="1"/>
      </xdr:nvSpPr>
      <xdr:spPr>
        <a:xfrm>
          <a:off x="11855450" y="5070475"/>
          <a:ext cx="6680200" cy="18034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100"/>
            <a:t>Refer CARDS latest sheet - </a:t>
          </a:r>
          <a:r>
            <a:rPr lang="en-US" sz="2400">
              <a:hlinkClick xmlns:r="http://schemas.openxmlformats.org/officeDocument/2006/relationships" r:id=""/>
            </a:rPr>
            <a:t>CRM_FieldsRequirements_CARDS_Systems.xlsx</a:t>
          </a:r>
          <a:endParaRPr lang="en-US" sz="2100"/>
        </a:p>
        <a:p>
          <a:endParaRPr lang="en-US" sz="2100"/>
        </a:p>
        <a:p>
          <a:r>
            <a:rPr lang="en-US" sz="2100"/>
            <a:t>THIS IS FOR DA and BA</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787400</xdr:colOff>
      <xdr:row>15</xdr:row>
      <xdr:rowOff>107950</xdr:rowOff>
    </xdr:from>
    <xdr:to>
      <xdr:col>6</xdr:col>
      <xdr:colOff>76200</xdr:colOff>
      <xdr:row>25</xdr:row>
      <xdr:rowOff>101600</xdr:rowOff>
    </xdr:to>
    <xdr:sp macro="" textlink="">
      <xdr:nvSpPr>
        <xdr:cNvPr id="3" name="TextBox 1">
          <a:extLst>
            <a:ext uri="{FF2B5EF4-FFF2-40B4-BE49-F238E27FC236}">
              <a16:creationId xmlns:a16="http://schemas.microsoft.com/office/drawing/2014/main" id="{104ACA42-863F-4CB3-AC1B-777228892A1B}"/>
            </a:ext>
          </a:extLst>
        </xdr:cNvPr>
        <xdr:cNvSpPr txBox="1"/>
      </xdr:nvSpPr>
      <xdr:spPr>
        <a:xfrm>
          <a:off x="4413250" y="2870200"/>
          <a:ext cx="6959600" cy="18351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100"/>
            <a:t>Refer CARDS latest sheet - </a:t>
          </a:r>
          <a:r>
            <a:rPr lang="en-US" sz="2400">
              <a:hlinkClick xmlns:r="http://schemas.openxmlformats.org/officeDocument/2006/relationships" r:id=""/>
            </a:rPr>
            <a:t>CRM_FieldsRequirements_CARDS_Systems.xlsx</a:t>
          </a:r>
          <a:endParaRPr lang="en-US" sz="2100"/>
        </a:p>
        <a:p>
          <a:endParaRPr lang="en-US" sz="2100"/>
        </a:p>
        <a:p>
          <a:r>
            <a:rPr lang="en-US" sz="2100"/>
            <a:t>THIS IS FOR DA and BA</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177800</xdr:colOff>
      <xdr:row>2</xdr:row>
      <xdr:rowOff>133350</xdr:rowOff>
    </xdr:from>
    <xdr:to>
      <xdr:col>11</xdr:col>
      <xdr:colOff>749300</xdr:colOff>
      <xdr:row>12</xdr:row>
      <xdr:rowOff>127000</xdr:rowOff>
    </xdr:to>
    <xdr:sp macro="" textlink="">
      <xdr:nvSpPr>
        <xdr:cNvPr id="2" name="TextBox 1">
          <a:extLst>
            <a:ext uri="{FF2B5EF4-FFF2-40B4-BE49-F238E27FC236}">
              <a16:creationId xmlns:a16="http://schemas.microsoft.com/office/drawing/2014/main" id="{58159B3B-57C5-43A7-98C1-E61EC2EB11E0}"/>
            </a:ext>
          </a:extLst>
        </xdr:cNvPr>
        <xdr:cNvSpPr txBox="1"/>
      </xdr:nvSpPr>
      <xdr:spPr>
        <a:xfrm>
          <a:off x="8394700" y="501650"/>
          <a:ext cx="6959600" cy="18351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100"/>
            <a:t>Refer CARDS latest sheet - </a:t>
          </a:r>
          <a:r>
            <a:rPr lang="en-US" sz="2400">
              <a:hlinkClick xmlns:r="http://schemas.openxmlformats.org/officeDocument/2006/relationships" r:id=""/>
            </a:rPr>
            <a:t>CRM_FieldsRequirements_CARDS_Systems.xlsx</a:t>
          </a:r>
          <a:endParaRPr lang="en-US" sz="2100"/>
        </a:p>
        <a:p>
          <a:endParaRPr lang="en-US" sz="2100"/>
        </a:p>
        <a:p>
          <a:r>
            <a:rPr lang="en-US" sz="2100"/>
            <a:t>THIS IS FOR DA and BA</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127000</xdr:colOff>
      <xdr:row>1</xdr:row>
      <xdr:rowOff>285750</xdr:rowOff>
    </xdr:from>
    <xdr:to>
      <xdr:col>12</xdr:col>
      <xdr:colOff>31750</xdr:colOff>
      <xdr:row>10</xdr:row>
      <xdr:rowOff>76200</xdr:rowOff>
    </xdr:to>
    <xdr:sp macro="" textlink="">
      <xdr:nvSpPr>
        <xdr:cNvPr id="2" name="TextBox 1">
          <a:extLst>
            <a:ext uri="{FF2B5EF4-FFF2-40B4-BE49-F238E27FC236}">
              <a16:creationId xmlns:a16="http://schemas.microsoft.com/office/drawing/2014/main" id="{FB43B6B9-AB1C-4D11-BFAF-BA3A8930F693}"/>
            </a:ext>
          </a:extLst>
        </xdr:cNvPr>
        <xdr:cNvSpPr txBox="1"/>
      </xdr:nvSpPr>
      <xdr:spPr>
        <a:xfrm>
          <a:off x="3276600" y="469900"/>
          <a:ext cx="6959600" cy="18351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100"/>
            <a:t>Refer CARDS latest sheet - </a:t>
          </a:r>
          <a:r>
            <a:rPr lang="en-US" sz="2400">
              <a:hlinkClick xmlns:r="http://schemas.openxmlformats.org/officeDocument/2006/relationships" r:id=""/>
            </a:rPr>
            <a:t>CRM_FieldsRequirements_CARDS_Systems.xlsx</a:t>
          </a:r>
          <a:endParaRPr lang="en-US" sz="2100"/>
        </a:p>
        <a:p>
          <a:endParaRPr lang="en-US" sz="2100"/>
        </a:p>
        <a:p>
          <a:r>
            <a:rPr lang="en-US" sz="2100"/>
            <a:t>THIS IS FOR DA and BA</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514350</xdr:colOff>
      <xdr:row>5</xdr:row>
      <xdr:rowOff>101600</xdr:rowOff>
    </xdr:from>
    <xdr:to>
      <xdr:col>5</xdr:col>
      <xdr:colOff>2298700</xdr:colOff>
      <xdr:row>15</xdr:row>
      <xdr:rowOff>95250</xdr:rowOff>
    </xdr:to>
    <xdr:sp macro="" textlink="">
      <xdr:nvSpPr>
        <xdr:cNvPr id="2" name="TextBox 1">
          <a:extLst>
            <a:ext uri="{FF2B5EF4-FFF2-40B4-BE49-F238E27FC236}">
              <a16:creationId xmlns:a16="http://schemas.microsoft.com/office/drawing/2014/main" id="{5BFD8048-91E5-4999-AD93-F71E264C222E}"/>
            </a:ext>
          </a:extLst>
        </xdr:cNvPr>
        <xdr:cNvSpPr txBox="1"/>
      </xdr:nvSpPr>
      <xdr:spPr>
        <a:xfrm>
          <a:off x="2393950" y="1022350"/>
          <a:ext cx="6959600" cy="18351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100"/>
            <a:t>Refer CARDS latest sheet - </a:t>
          </a:r>
          <a:r>
            <a:rPr lang="en-US" sz="2400">
              <a:hlinkClick xmlns:r="http://schemas.openxmlformats.org/officeDocument/2006/relationships" r:id=""/>
            </a:rPr>
            <a:t>CRM_FieldsRequirements_CARDS_Systems.xlsx</a:t>
          </a:r>
          <a:endParaRPr lang="en-US" sz="2100"/>
        </a:p>
        <a:p>
          <a:endParaRPr lang="en-US" sz="2100"/>
        </a:p>
        <a:p>
          <a:r>
            <a:rPr lang="en-US" sz="2100"/>
            <a:t>THIS IS FOR DA and BA</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1581150</xdr:colOff>
      <xdr:row>2</xdr:row>
      <xdr:rowOff>165100</xdr:rowOff>
    </xdr:from>
    <xdr:to>
      <xdr:col>5</xdr:col>
      <xdr:colOff>4635500</xdr:colOff>
      <xdr:row>12</xdr:row>
      <xdr:rowOff>158750</xdr:rowOff>
    </xdr:to>
    <xdr:sp macro="" textlink="">
      <xdr:nvSpPr>
        <xdr:cNvPr id="2" name="TextBox 1">
          <a:extLst>
            <a:ext uri="{FF2B5EF4-FFF2-40B4-BE49-F238E27FC236}">
              <a16:creationId xmlns:a16="http://schemas.microsoft.com/office/drawing/2014/main" id="{AE8E8B4B-4D69-4FD4-925F-EA51B7AD8D96}"/>
            </a:ext>
          </a:extLst>
        </xdr:cNvPr>
        <xdr:cNvSpPr txBox="1"/>
      </xdr:nvSpPr>
      <xdr:spPr>
        <a:xfrm>
          <a:off x="3130550" y="539750"/>
          <a:ext cx="6959600" cy="18351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100"/>
            <a:t>Refer CARDS latest sheet - </a:t>
          </a:r>
          <a:r>
            <a:rPr lang="en-US" sz="2400">
              <a:hlinkClick xmlns:r="http://schemas.openxmlformats.org/officeDocument/2006/relationships" r:id=""/>
            </a:rPr>
            <a:t>CRM_FieldsRequirements_CARDS_Systems.xlsx</a:t>
          </a:r>
          <a:endParaRPr lang="en-US" sz="2100"/>
        </a:p>
        <a:p>
          <a:endParaRPr lang="en-US" sz="2100"/>
        </a:p>
        <a:p>
          <a:r>
            <a:rPr lang="en-US" sz="2100"/>
            <a:t>THIS IS FOR DA and BA</a:t>
          </a:r>
        </a:p>
      </xdr:txBody>
    </xdr:sp>
    <xdr:clientData/>
  </xdr:twoCellAnchor>
</xdr:wsDr>
</file>

<file path=xl/persons/person.xml><?xml version="1.0" encoding="utf-8"?>
<personList xmlns="http://schemas.microsoft.com/office/spreadsheetml/2018/threadedcomments" xmlns:x="http://schemas.openxmlformats.org/spreadsheetml/2006/main">
  <person displayName="Keerthana Rajasekaran" id="{47BDE3F4-034C-426E-9F61-EF1FD7B2DA0D}" userId="Keerthana.Rajasekaran@rakbank.ae" providerId="PeoplePicker"/>
  <person displayName="Alok Pradhan (Ext)" id="{7A086728-25C6-4951-BD5B-510670E97718}" userId="S::alok.pradhan@rakbank.ae::7a6b289f-5c18-4dca-ae19-3f9b810f2413" providerId="AD"/>
  <person displayName="Heena Sheikh (Ext)" id="{DB01AD63-6472-4146-9367-0E7B8A512606}" userId="S::heena.sheikh@rakbank.ae::4a05471e-62bf-4759-a6fd-a05326dcd458" providerId="AD"/>
  <person displayName="Keerthana Rajasekaran" id="{1FF9A895-8BE3-4994-B400-1C0B8DA81347}" userId="S::Keerthana.Rajasekaran@rakbank.ae::755ad0f0-a2e3-4f2e-b7a3-e1eebf086ba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8.405410069441" createdVersion="8" refreshedVersion="8" minRefreshableVersion="3" recordCount="301" xr:uid="{0DFE9EA0-29EB-4FDB-97CD-E7974094BCF3}">
  <cacheSource type="worksheet">
    <worksheetSource ref="A1:AB297" sheet="New_SQL_Ing"/>
  </cacheSource>
  <cacheFields count="28">
    <cacheField name="Milestone" numFmtId="0">
      <sharedItems/>
    </cacheField>
    <cacheField name="ADF_x000a_Batch?" numFmtId="0">
      <sharedItems/>
    </cacheField>
    <cacheField name="System" numFmtId="0">
      <sharedItems count="18">
        <s v="Finacle"/>
        <s v="PRIME"/>
        <s v="CCM"/>
        <s v="Pay Hub Plus (NPSS Unity)"/>
        <s v="Digital Banking Admin"/>
        <s v="IBPS"/>
        <s v="CASMEX"/>
        <s v="CAPS"/>
        <s v="Digital Onboarding Tracking"/>
        <s v="RLS"/>
        <s v="CPPS"/>
        <s v="CPF"/>
        <s v="WMS"/>
        <s v="ICCS"/>
        <s v="ONLINE"/>
        <s v="Infobip"/>
        <s v="IDD"/>
        <s v="Prospect"/>
      </sharedItems>
    </cacheField>
    <cacheField name="Schema Name" numFmtId="0">
      <sharedItems containsBlank="1"/>
    </cacheField>
    <cacheField name="DB name" numFmtId="0">
      <sharedItems containsBlank="1"/>
    </cacheField>
    <cacheField name="Source table name" numFmtId="0">
      <sharedItems containsBlank="1"/>
    </cacheField>
    <cacheField name="Data Team Remarks" numFmtId="0">
      <sharedItems containsBlank="1"/>
    </cacheField>
    <cacheField name="Table Size in PROD(inGb)" numFmtId="0">
      <sharedItems containsString="0" containsBlank="1" containsNumber="1" minValue="0" maxValue="2097.1039999999998"/>
    </cacheField>
    <cacheField name="Source Enforced Primary Key" numFmtId="0">
      <sharedItems containsBlank="1"/>
    </cacheField>
    <cacheField name="Primary key" numFmtId="0">
      <sharedItems containsBlank="1"/>
    </cacheField>
    <cacheField name="ConfluentKey in Topic" numFmtId="0">
      <sharedItems containsBlank="1"/>
    </cacheField>
    <cacheField name="Transactional table?" numFmtId="0">
      <sharedItems containsBlank="1"/>
    </cacheField>
    <cacheField name="Date column" numFmtId="0">
      <sharedItems containsBlank="1"/>
    </cacheField>
    <cacheField name="CRM DB table name" numFmtId="0">
      <sharedItems containsBlank="1"/>
    </cacheField>
    <cacheField name="Source to Kafka " numFmtId="0">
      <sharedItems containsBlank="1"/>
    </cacheField>
    <cacheField name="Kafka to ADLS" numFmtId="0">
      <sharedItems containsBlank="1"/>
    </cacheField>
    <cacheField name="ADLS to Databrick (DLT)" numFmtId="0">
      <sharedItems containsBlank="1"/>
    </cacheField>
    <cacheField name="Day-0 load in SQL DB _x000a_DB : DEV_x000a_Source : UAT 2_x000a_Approach : ADF approach" numFmtId="0">
      <sharedItems/>
    </cacheField>
    <cacheField name="Continuous load in SQL DB_x000a_DB : DEV_x000a_Source : UAT 2_x000a_Approach : Confluent RTS _x000a_(SQL Sink)" numFmtId="0">
      <sharedItems/>
    </cacheField>
    <cacheField name="Batch load in SQL DB _x000a_DB : DEV_x000a_Source : UAT2 _x000a_Approach :  ADF" numFmtId="0">
      <sharedItems/>
    </cacheField>
    <cacheField name="Day-0 load in SQL DB _x000a_DB : CRM_PT_x000a_Source : UAT 2_x000a_Approach :ADF" numFmtId="0">
      <sharedItems/>
    </cacheField>
    <cacheField name="Continuous load in SQL DB_x000a_DB : CRM_PT_x000a_Source : UAT 2_x000a_Approach : Confluent RTS _x000a_(SQL Sink)" numFmtId="0">
      <sharedItems/>
    </cacheField>
    <cacheField name="Batch load in SQL DB _x000a_DB : CRM_PT_x000a_Source : UAT2 _x000a_Approach :  ADF" numFmtId="0">
      <sharedItems/>
    </cacheField>
    <cacheField name="Day-0 load in SQL DB _x000a_DB : CRM_PREPROD_x000a_Source : UAT 2_x000a_Approach :ADF" numFmtId="0">
      <sharedItems/>
    </cacheField>
    <cacheField name="Continuous load in SQL DB_x000a_DB : CRM_PREPROD_x000a_Source : UAT 2_x000a_Approach : Confluent RTS _x000a_(SQL Sink)" numFmtId="0">
      <sharedItems/>
    </cacheField>
    <cacheField name="Batch load in SQL DB _x000a_DB : CRM_PREPROD_x000a_Source : UAT2 _x000a_Approach :  ADF" numFmtId="0">
      <sharedItems/>
    </cacheField>
    <cacheField name="Was the table available in Databricks Bronze DEV/TEST instances already or being developed for CRM?" numFmtId="0">
      <sharedItems count="2">
        <s v="Yes"/>
        <s v="No"/>
      </sharedItems>
    </cacheField>
    <cacheField name="Was the table Available in Databricks Bronze PROD instances already or being developed for CRM?"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18.405410185187" createdVersion="8" refreshedVersion="8" minRefreshableVersion="3" recordCount="365" xr:uid="{0EC26006-F9AD-443B-9A55-54111D27D429}">
  <cacheSource type="worksheet">
    <worksheetSource ref="A1:AB1048576" sheet="New_SQL_Ing"/>
  </cacheSource>
  <cacheFields count="28">
    <cacheField name="Milestone" numFmtId="0">
      <sharedItems containsBlank="1"/>
    </cacheField>
    <cacheField name="ADF_x000a_Batch?" numFmtId="0">
      <sharedItems containsBlank="1"/>
    </cacheField>
    <cacheField name="System" numFmtId="0">
      <sharedItems containsBlank="1" count="19">
        <s v="Finacle"/>
        <s v="PRIME"/>
        <s v="CCM"/>
        <s v="Pay Hub Plus (NPSS Unity)"/>
        <s v="Digital Banking Admin"/>
        <s v="IBPS"/>
        <s v="CASMEX"/>
        <s v="CAPS"/>
        <s v="Digital Onboarding Tracking"/>
        <s v="RLS"/>
        <s v="CPPS"/>
        <s v="CPF"/>
        <s v="WMS"/>
        <s v="ICCS"/>
        <s v="ONLINE"/>
        <s v="Infobip"/>
        <s v="IDD"/>
        <s v="Prospect"/>
        <m/>
      </sharedItems>
    </cacheField>
    <cacheField name="Schema Name" numFmtId="0">
      <sharedItems containsBlank="1"/>
    </cacheField>
    <cacheField name="DB name" numFmtId="0">
      <sharedItems containsBlank="1"/>
    </cacheField>
    <cacheField name="Source table name" numFmtId="0">
      <sharedItems containsBlank="1"/>
    </cacheField>
    <cacheField name="Data Team Remarks" numFmtId="0">
      <sharedItems containsBlank="1"/>
    </cacheField>
    <cacheField name="Table Size in PROD(inGb)" numFmtId="0">
      <sharedItems containsString="0" containsBlank="1" containsNumber="1" minValue="0" maxValue="2097.1039999999998"/>
    </cacheField>
    <cacheField name="Source Enforced Primary Key" numFmtId="0">
      <sharedItems containsBlank="1"/>
    </cacheField>
    <cacheField name="Primary key" numFmtId="0">
      <sharedItems containsBlank="1"/>
    </cacheField>
    <cacheField name="ConfluentKey in Topic" numFmtId="0">
      <sharedItems containsBlank="1"/>
    </cacheField>
    <cacheField name="Transactional table?" numFmtId="0">
      <sharedItems containsBlank="1"/>
    </cacheField>
    <cacheField name="Date column" numFmtId="0">
      <sharedItems containsBlank="1"/>
    </cacheField>
    <cacheField name="CRM DB table name" numFmtId="0">
      <sharedItems containsBlank="1"/>
    </cacheField>
    <cacheField name="Source to Kafka " numFmtId="0">
      <sharedItems containsBlank="1"/>
    </cacheField>
    <cacheField name="Kafka to ADLS" numFmtId="0">
      <sharedItems containsBlank="1"/>
    </cacheField>
    <cacheField name="ADLS to Databrick (DLT)" numFmtId="0">
      <sharedItems containsBlank="1"/>
    </cacheField>
    <cacheField name="Day-0 load in SQL DB _x000a_DB : DEV_x000a_Source : UAT 2_x000a_Approach : ADF approach" numFmtId="0">
      <sharedItems containsBlank="1" count="4">
        <s v="Done"/>
        <s v="Not Done"/>
        <s v="NA"/>
        <m/>
      </sharedItems>
    </cacheField>
    <cacheField name="Continuous load in SQL DB_x000a_DB : DEV_x000a_Source : UAT 2_x000a_Approach : Confluent RTS _x000a_(SQL Sink)" numFmtId="0">
      <sharedItems containsBlank="1" count="5">
        <s v="Not Done"/>
        <s v="Dev Done"/>
        <s v="NA"/>
        <s v="Done"/>
        <m/>
      </sharedItems>
    </cacheField>
    <cacheField name="Batch load in SQL DB _x000a_DB : DEV_x000a_Source : UAT2 _x000a_Approach :  ADF" numFmtId="0">
      <sharedItems containsBlank="1"/>
    </cacheField>
    <cacheField name="Day-0 load in SQL DB _x000a_DB : CRM_PT_x000a_Source : UAT 2_x000a_Approach :ADF" numFmtId="0">
      <sharedItems containsBlank="1"/>
    </cacheField>
    <cacheField name="Continuous load in SQL DB_x000a_DB : CRM_PT_x000a_Source : UAT 2_x000a_Approach : Confluent RTS _x000a_(SQL Sink)" numFmtId="0">
      <sharedItems containsBlank="1"/>
    </cacheField>
    <cacheField name="Batch load in SQL DB _x000a_DB : CRM_PT_x000a_Source : UAT2 _x000a_Approach :  ADF" numFmtId="0">
      <sharedItems containsBlank="1"/>
    </cacheField>
    <cacheField name="Day-0 load in SQL DB _x000a_DB : CRM_PREPROD_x000a_Source : UAT 2_x000a_Approach :ADF" numFmtId="0">
      <sharedItems containsBlank="1"/>
    </cacheField>
    <cacheField name="Continuous load in SQL DB_x000a_DB : CRM_PREPROD_x000a_Source : UAT 2_x000a_Approach : Confluent RTS _x000a_(SQL Sink)" numFmtId="0">
      <sharedItems containsBlank="1"/>
    </cacheField>
    <cacheField name="Batch load in SQL DB _x000a_DB : CRM_PREPROD_x000a_Source : UAT2 _x000a_Approach :  ADF" numFmtId="0">
      <sharedItems containsBlank="1"/>
    </cacheField>
    <cacheField name="Was the table available in Databricks Bronze DEV/TEST instances already or being developed for CRM?" numFmtId="0">
      <sharedItems containsBlank="1"/>
    </cacheField>
    <cacheField name="Was the table Available in Databricks Bronze PROD instances already or being developed for CRM?"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erthana Rajasekaran" refreshedDate="46137.776885069441" createdVersion="8" refreshedVersion="8" minRefreshableVersion="3" recordCount="493" xr:uid="{3C97F392-6993-469C-8B1C-0F118AFD0F75}">
  <cacheSource type="worksheet">
    <worksheetSource ref="A1:F692" sheet="New_SQL_Ing"/>
  </cacheSource>
  <cacheFields count="6">
    <cacheField name="Milestone" numFmtId="0">
      <sharedItems containsBlank="1" count="7">
        <s v="TBD"/>
        <s v="Milestone 3"/>
        <s v="Milestone 4"/>
        <s v="Milestone 2"/>
        <s v="Milestone 1"/>
        <m/>
        <s v="TBD - Keerthana" u="1"/>
      </sharedItems>
    </cacheField>
    <cacheField name="ADF_x000a_Batch?" numFmtId="0">
      <sharedItems containsBlank="1"/>
    </cacheField>
    <cacheField name="System" numFmtId="0">
      <sharedItems containsBlank="1" count="19">
        <s v="Finacle"/>
        <s v="PRIME"/>
        <s v="CCM"/>
        <s v="Pay Hub Plus (NPSS Unity)"/>
        <s v="Digital Banking Admin"/>
        <s v="IBPS"/>
        <s v="CASMEX"/>
        <s v="CAPS"/>
        <s v="Digital Onboarding Tracking"/>
        <s v="RLS"/>
        <s v="CPPS"/>
        <s v="CPF"/>
        <s v="WMS"/>
        <s v="ICCS"/>
        <s v="ONLINE"/>
        <s v="Infobip"/>
        <s v="IDD"/>
        <s v="Prospect"/>
        <m/>
      </sharedItems>
    </cacheField>
    <cacheField name="Schema Name" numFmtId="0">
      <sharedItems containsBlank="1"/>
    </cacheField>
    <cacheField name="DB name" numFmtId="0">
      <sharedItems containsBlank="1"/>
    </cacheField>
    <cacheField name="Source table na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s v="TBD"/>
    <s v="N"/>
    <x v="0"/>
    <s v="TBAADM"/>
    <s v="FINUAT"/>
    <s v="HIST_TRAN_DTL_TABLE"/>
    <m/>
    <n v="2097.1039999999998"/>
    <s v="ACID, TRAN_DATE"/>
    <s v="ACID,REF_NUM,PSTD_DATE"/>
    <m/>
    <s v="Y"/>
    <s v="TRAN_DATE"/>
    <m/>
    <s v="Done"/>
    <s v="Done"/>
    <s v="Done"/>
    <s v="Done"/>
    <s v="Not Done"/>
    <s v="NA"/>
    <s v="Not Done"/>
    <s v="Not Done"/>
    <s v="NA"/>
    <s v="Not Done"/>
    <s v="Not Done"/>
    <s v="NA"/>
    <x v="0"/>
    <x v="0"/>
  </r>
  <r>
    <s v="Milestone 3"/>
    <s v="N"/>
    <x v="1"/>
    <s v="TCTDBS"/>
    <s v="PRIMEDB"/>
    <s v="APPLOG"/>
    <m/>
    <n v="177.80500000000001"/>
    <s v="NA"/>
    <s v="EODSERNO,TABNAME,COLNAME,ROWSERNO"/>
    <m/>
    <s v="Y"/>
    <s v="DATETIMESTAMP"/>
    <s v="CRM_DEV.prime4.TCTDBS_APPLOG"/>
    <s v="Done"/>
    <s v="Done"/>
    <s v="Done"/>
    <s v="Not Done"/>
    <s v="Not Done"/>
    <s v="NA"/>
    <s v="Not Done"/>
    <s v="Not Done"/>
    <s v="NA"/>
    <s v="Not Done"/>
    <s v="Not Done"/>
    <s v="NA"/>
    <x v="0"/>
    <x v="1"/>
  </r>
  <r>
    <s v="Milestone 4"/>
    <s v="N"/>
    <x v="0"/>
    <s v="TBAADM"/>
    <s v="FINUAT"/>
    <s v="CHRG_TRAN_LOG_TBL"/>
    <m/>
    <n v="134.40199999999999"/>
    <s v="CUST_ID, TARGET_ACID, CHRG_TRAN_DATE"/>
    <s v="CUST_ID_x000a_TARGET_ACID, CHRG_TRAN_DATE_x000a_CHRG_TRAN_ID, COMP_B2KID, SYS_NC00054$, BANK_ID"/>
    <m/>
    <s v="Y"/>
    <s v="CHRG_TRAN_DATE"/>
    <m/>
    <s v="Done"/>
    <s v="Done"/>
    <s v="Done"/>
    <s v="Done"/>
    <s v="Not Done"/>
    <s v="NA"/>
    <s v="Not Done"/>
    <s v="Not Done"/>
    <s v="NA"/>
    <s v="Not Done"/>
    <s v="Not Done"/>
    <s v="NA"/>
    <x v="0"/>
    <x v="1"/>
  </r>
  <r>
    <s v="TBD"/>
    <s v="N"/>
    <x v="2"/>
    <m/>
    <s v="Dealing"/>
    <s v="EmailDetail"/>
    <m/>
    <n v="129.48400000000001"/>
    <m/>
    <s v="TARGET_ACID, CHRG_TRAN_DATE"/>
    <m/>
    <m/>
    <m/>
    <m/>
    <s v="Done"/>
    <s v="Done"/>
    <s v="Done"/>
    <s v="Not Done"/>
    <s v="Not Done"/>
    <s v="NA"/>
    <s v="Not Done"/>
    <s v="Not Done"/>
    <s v="NA"/>
    <s v="Not Done"/>
    <s v="Not Done"/>
    <s v="NA"/>
    <x v="0"/>
    <x v="1"/>
  </r>
  <r>
    <s v="Milestone 3"/>
    <s v="N"/>
    <x v="1"/>
    <s v="TCTDBS"/>
    <s v="PRIMEDB"/>
    <s v="CTRANSACTIONS"/>
    <m/>
    <n v="120.59699999999999"/>
    <s v=" SERNO , PARTITIONKEY "/>
    <s v="CHRG_TRAN_ID, COMP_B2KID, SYS_NC00054$, BANK_ID"/>
    <m/>
    <s v="Y"/>
    <s v=" I013_TRXN_DATE"/>
    <s v="CRM_DEV.prime4.TCTDBS_CTRANSACTIONS"/>
    <s v="Done"/>
    <s v="Done"/>
    <s v="Done"/>
    <s v="Not Done"/>
    <s v="Not Done"/>
    <s v="NA"/>
    <s v="Not Done"/>
    <s v="Not Done"/>
    <s v="NA"/>
    <s v="Not Done"/>
    <s v="Not Done"/>
    <s v="NA"/>
    <x v="0"/>
    <x v="1"/>
  </r>
  <r>
    <s v="Milestone 2"/>
    <s v="N"/>
    <x v="1"/>
    <s v="TCTDBS"/>
    <s v="PRIMEDB"/>
    <s v="tbalances"/>
    <m/>
    <n v="118.532"/>
    <s v="SERNO, PARTITIONKEY"/>
    <s v="SERNO"/>
    <m/>
    <s v="N"/>
    <s v=" "/>
    <s v="CRM_DEV.prime4.TCTDBS_TBALANCES"/>
    <s v="Done"/>
    <s v="Done"/>
    <s v="Done"/>
    <s v="Done"/>
    <s v="Dev Done"/>
    <s v="NA"/>
    <s v="Not Done"/>
    <s v="Not Done"/>
    <s v="NA"/>
    <s v="Not Done"/>
    <s v="Not Done"/>
    <s v="NA"/>
    <x v="1"/>
    <x v="1"/>
  </r>
  <r>
    <s v="Milestone 3"/>
    <s v="N"/>
    <x v="0"/>
    <s v="TBAADM"/>
    <s v="FINUAT"/>
    <s v="SWIFT_MSG_HISTORY_TABLE"/>
    <m/>
    <n v="104.608"/>
    <s v="TRAN_ID, PTRAN_SRL_NUM, TRAN_DATE"/>
    <s v="SW_SRL_NUM"/>
    <m/>
    <s v="N"/>
    <s v="LCHG_TIME"/>
    <s v="CRM_DEV.finacle.TBAADM_SWIFT_MSG_HISTORY_TABLE"/>
    <s v="Done"/>
    <s v="Done"/>
    <s v="Done"/>
    <s v="Done"/>
    <s v="Not Done"/>
    <s v="NA"/>
    <s v="Not Done"/>
    <s v="Not Done"/>
    <s v="NA"/>
    <s v="Not Done"/>
    <s v="Not Done"/>
    <s v="NA"/>
    <x v="1"/>
    <x v="1"/>
  </r>
  <r>
    <s v="TBD"/>
    <s v="N"/>
    <x v="2"/>
    <m/>
    <s v="Dealing"/>
    <s v="Email"/>
    <m/>
    <n v="69.927000000000007"/>
    <m/>
    <s v=" "/>
    <m/>
    <m/>
    <m/>
    <m/>
    <s v="Done"/>
    <s v="Done"/>
    <s v="Done"/>
    <s v="Not Done"/>
    <s v="Not Done"/>
    <s v="NA"/>
    <s v="Not Done"/>
    <s v="Not Done"/>
    <s v="NA"/>
    <s v="Not Done"/>
    <s v="Not Done"/>
    <s v="NA"/>
    <x v="1"/>
    <x v="0"/>
  </r>
  <r>
    <s v="Milestone 3"/>
    <s v="N"/>
    <x v="1"/>
    <s v="TCTDBS"/>
    <s v="PRIMEDB"/>
    <s v="CISOTRXNS"/>
    <m/>
    <n v="69.468999999999994"/>
    <s v="NA"/>
    <s v="SERNO"/>
    <m/>
    <s v="Y"/>
    <s v="I012_TRXN_TIME"/>
    <s v="CRM_DEV.prime4.TCTDBS_CISOTRXNS"/>
    <s v="Done"/>
    <s v="Done"/>
    <s v="Done"/>
    <s v="Not Done"/>
    <s v="Not Done"/>
    <s v="NA"/>
    <s v="Not Done"/>
    <s v="Not Done"/>
    <s v="NA"/>
    <s v="Not Done"/>
    <s v="Not Done"/>
    <s v="NA"/>
    <x v="1"/>
    <x v="1"/>
  </r>
  <r>
    <s v="Milestone 4"/>
    <s v="N"/>
    <x v="0"/>
    <s v="TBAADM"/>
    <s v="FINUAT"/>
    <s v="ACCOUNT_LIEN_HISTORY_TABLE"/>
    <m/>
    <n v="68.841999999999999"/>
    <s v="ACID, MODIFY_BOD_DATE, SRL_NUM, BANK_ID"/>
    <s v="ACID,TRAN_ID,TRAN_DATE"/>
    <m/>
    <s v="N"/>
    <s v="LCHG_TIME"/>
    <s v="CRM_DEV.finacle.TBAADM_ACCOUNT_LIEN_HISTORY_TABLE"/>
    <s v="Done"/>
    <s v="Done"/>
    <s v="Done"/>
    <s v="Done"/>
    <s v="Not Done"/>
    <s v="NA"/>
    <s v="Not Done"/>
    <s v="Not Done"/>
    <s v="NA"/>
    <s v="Not Done"/>
    <s v="Not Done"/>
    <s v="NA"/>
    <x v="1"/>
    <x v="1"/>
  </r>
  <r>
    <s v="Milestone 3"/>
    <s v="N"/>
    <x v="0"/>
    <s v="TBAADM"/>
    <s v="FINUAT"/>
    <s v="PAYMENT_ORDER_DETAIL_TABLE"/>
    <m/>
    <n v="56.279000000000003"/>
    <s v="TRAN_REF_NUM, SENDER_CHANNEL, BANK_ID"/>
    <s v="PYMT_REF_NUM"/>
    <m/>
    <s v="N"/>
    <s v="LCHG_TIME"/>
    <s v="CRM_DEV.finacle.TBAADM_PAYMENT_ORDER_DETAIL_TABLE"/>
    <s v="Done"/>
    <s v="Done"/>
    <s v="Done"/>
    <s v="Done"/>
    <s v="Not Done"/>
    <s v="NA"/>
    <s v="Not Done"/>
    <s v="Not Done"/>
    <s v="NA"/>
    <s v="Not Done"/>
    <s v="Not Done"/>
    <s v="NA"/>
    <x v="1"/>
    <x v="0"/>
  </r>
  <r>
    <s v="Milestone 3"/>
    <s v="N"/>
    <x v="0"/>
    <s v="TBAADM"/>
    <s v="FINUAT"/>
    <s v="PAYMENT_ORDER_HEADER_TABLE"/>
    <m/>
    <n v="40.820999999999998"/>
    <s v="REQ_EXEC_DATE, DR_ACCT, TRAN_DATE, TRAN_ID"/>
    <s v="PYMT_REF_NUM"/>
    <m/>
    <s v="N"/>
    <s v="LCHG_TIME"/>
    <s v="CRM_DEV.finacle.TBAADM_PAYMENT_ORDER_HEADER_TABLE"/>
    <s v="Done"/>
    <s v="Done"/>
    <s v="Done"/>
    <s v="Done"/>
    <s v="Not Done"/>
    <s v="NA"/>
    <s v="Not Done"/>
    <s v="Not Done"/>
    <s v="NA"/>
    <s v="Not Done"/>
    <s v="Not Done"/>
    <s v="NA"/>
    <x v="1"/>
    <x v="1"/>
  </r>
  <r>
    <s v="Milestone 3"/>
    <s v="N"/>
    <x v="3"/>
    <s v="dbo"/>
    <s v="npss-epayment"/>
    <s v="NPSS_RTPaymentsHdr_Inw"/>
    <s v="Due to AWS issue, End point has changed , Requested to FCR to replace with new end point"/>
    <n v="35.356999999999999"/>
    <s v="RTH_MsgGenDt,RTH_RefID"/>
    <m/>
    <m/>
    <s v="Y"/>
    <s v="RTH_MsgGenDt"/>
    <s v="CRM_DEV.npss.DBO_NPSS_RTPAYMENTSHDR_INW"/>
    <s v="Done"/>
    <s v="Done"/>
    <s v="Done"/>
    <s v="Not Done"/>
    <s v="Not Done"/>
    <s v="NA"/>
    <s v="Not Done"/>
    <s v="Not Done"/>
    <s v="NA"/>
    <s v="Not Done"/>
    <s v="Not Done"/>
    <s v="NA"/>
    <x v="1"/>
    <x v="0"/>
  </r>
  <r>
    <s v="TBD"/>
    <s v="Y"/>
    <x v="4"/>
    <s v="ECECUSER"/>
    <s v="CNVGNIB"/>
    <s v="RQSTHISTORYTABLE"/>
    <m/>
    <n v="21.917000000000002"/>
    <s v="BANK_ID, REQUEST_SRL_NUM"/>
    <s v="REQUEST_SRL_NUM"/>
    <m/>
    <s v="Y"/>
    <s v="R_cre_time"/>
    <m/>
    <s v="NA"/>
    <s v="NA"/>
    <s v="NA"/>
    <s v="NA"/>
    <s v="NA"/>
    <s v="Not Done"/>
    <s v="NA"/>
    <s v="NA"/>
    <s v="Not Done"/>
    <s v="NA"/>
    <s v="NA"/>
    <s v="Not Done"/>
    <x v="1"/>
    <x v="1"/>
  </r>
  <r>
    <s v="Milestone 1"/>
    <s v="N"/>
    <x v="5"/>
    <s v="dbo"/>
    <s v="RAKCAS"/>
    <s v="wfinstrumenttable"/>
    <m/>
    <n v="19.841000000000001"/>
    <s v="ProcessInstanceID,WorkItemId"/>
    <s v="ProcessInstanceID,WorkItemId"/>
    <m/>
    <s v="Y"/>
    <s v="Createddatetime column under Wfinstrumenttable"/>
    <s v="CRM_DEV.ibps.DBO_WFINSTRUMENTTABLE"/>
    <s v="Done"/>
    <s v="Done"/>
    <s v="Done"/>
    <s v="Done"/>
    <s v="Dev Done"/>
    <s v="NA"/>
    <s v="Not Done"/>
    <s v="Not Done"/>
    <s v="NA"/>
    <s v="Not Done"/>
    <s v="Not Done"/>
    <s v="NA"/>
    <x v="1"/>
    <x v="0"/>
  </r>
  <r>
    <s v="Milestone 3"/>
    <s v="N"/>
    <x v="6"/>
    <s v="REMIT_SL"/>
    <s v="REMITPRD"/>
    <s v="DX_TRNS_REMITTANCE"/>
    <m/>
    <n v="18.350999999999999"/>
    <s v="refno"/>
    <s v="REFNO"/>
    <m/>
    <s v="Y"/>
    <s v="Trandate"/>
    <s v="CRM_DEV.casmex.REMIT_SL_DX_TRNS_REMITTANCE"/>
    <s v="Done"/>
    <s v="Done"/>
    <m/>
    <s v="Not Done"/>
    <s v="Dev Done"/>
    <s v="NA"/>
    <s v="Not Done"/>
    <s v="Not Done"/>
    <s v="NA"/>
    <s v="Not Done"/>
    <s v="Not Done"/>
    <s v="NA"/>
    <x v="1"/>
    <x v="0"/>
  </r>
  <r>
    <s v="Milestone 3"/>
    <s v="N"/>
    <x v="1"/>
    <s v="TCTDBS"/>
    <s v="PRIMEDB"/>
    <s v="CEXTENSION"/>
    <m/>
    <n v="17.05"/>
    <s v="NA"/>
    <s v="FIELDNO,ROWSERNO,TABINDICATOR"/>
    <m/>
    <s v="N"/>
    <s v=" "/>
    <s v="CRM_DEV.prime4.TCTDBS_CEXTENSION"/>
    <s v="Done"/>
    <s v="Done"/>
    <s v="Done"/>
    <s v="Not Done"/>
    <s v="Dev Done"/>
    <s v="NA"/>
    <s v="Not Done"/>
    <s v="Not Done"/>
    <s v="NA"/>
    <s v="Not Done"/>
    <s v="Not Done"/>
    <s v="NA"/>
    <x v="1"/>
    <x v="1"/>
  </r>
  <r>
    <s v="TBD"/>
    <s v="Y"/>
    <x v="7"/>
    <s v="CAPSADMIN"/>
    <s v="CAPS"/>
    <s v="DELINQUENCYCALENDAR"/>
    <m/>
    <n v="16.832000000000001"/>
    <s v="NA"/>
    <s v=" "/>
    <m/>
    <m/>
    <m/>
    <m/>
    <s v="NA"/>
    <s v="NA"/>
    <s v="NA"/>
    <s v="NA"/>
    <s v="NA"/>
    <s v="Not Done"/>
    <s v="NA"/>
    <s v="NA"/>
    <s v="Not Done"/>
    <s v="NA"/>
    <s v="NA"/>
    <s v="Not Done"/>
    <x v="1"/>
    <x v="1"/>
  </r>
  <r>
    <s v="Milestone 2"/>
    <s v="N"/>
    <x v="1"/>
    <s v="TCTDBS"/>
    <s v="PRIMEDB"/>
    <s v="CSTATEMENTS"/>
    <m/>
    <n v="15.944000000000001"/>
    <s v="SERNO, PARTITIONKEY"/>
    <s v="SERNO"/>
    <m/>
    <s v="Y"/>
    <s v="billingdate"/>
    <s v="CRM_DEV.prime4.TCTDBS_CSTATEMENTS"/>
    <s v="Done"/>
    <s v="Done"/>
    <s v="Done"/>
    <s v="Done"/>
    <s v="Dev Done"/>
    <s v="NA"/>
    <s v="Not Done"/>
    <s v="Not Done"/>
    <s v="NA"/>
    <s v="Not Done"/>
    <s v="Not Done"/>
    <s v="NA"/>
    <x v="1"/>
    <x v="1"/>
  </r>
  <r>
    <s v="Milestone 3"/>
    <s v="N"/>
    <x v="6"/>
    <s v="REMIT_SL"/>
    <s v="REMITPRD"/>
    <s v="DX_REF_ACTIVITY_LOG"/>
    <m/>
    <n v="12.773999999999999"/>
    <s v="NA"/>
    <m/>
    <m/>
    <s v="Y"/>
    <s v="Authdate"/>
    <s v="CRM_DEV.casmex.REMIT_SL_DX_REF_ACTIVITY_LOG"/>
    <s v="Done"/>
    <s v="Done"/>
    <m/>
    <s v="Not Done"/>
    <s v="Dev Done"/>
    <s v="NA"/>
    <s v="Not Done"/>
    <s v="Not Done"/>
    <s v="NA"/>
    <s v="Not Done"/>
    <s v="Not Done"/>
    <s v="NA"/>
    <x v="1"/>
    <x v="0"/>
  </r>
  <r>
    <s v="Milestone 3"/>
    <s v="N"/>
    <x v="3"/>
    <s v="dbo"/>
    <s v="npss-epayment"/>
    <s v="NPSS_RTPaymentsDtl_Inw"/>
    <s v="Due to AWS issue, End point has changed , Requested to FCR to replace with new end point"/>
    <n v="11.544"/>
    <s v="RTD_MsgGenDt,RTD_RefID"/>
    <m/>
    <m/>
    <s v="Y"/>
    <s v="RTD_MsgGenDt"/>
    <s v="CRM_DEV.npss.DBO_NPSS_RTPAYMENTSDTL_INW"/>
    <s v="Done"/>
    <s v="Done"/>
    <s v="Done"/>
    <s v="Not Done"/>
    <s v="Dev Done"/>
    <s v="NA"/>
    <s v="Not Done"/>
    <s v="Not Done"/>
    <s v="NA"/>
    <s v="Not Done"/>
    <s v="Not Done"/>
    <s v="NA"/>
    <x v="1"/>
    <x v="0"/>
  </r>
  <r>
    <s v="Milestone 3"/>
    <s v="N"/>
    <x v="1"/>
    <s v="TCTDBS"/>
    <s v="PRIMEDB"/>
    <s v="Cinstalmentamortization"/>
    <m/>
    <n v="6.6760000000000002"/>
    <s v=" SERNO , PARTITIONKEY "/>
    <s v="SERNO"/>
    <m/>
    <s v="N"/>
    <s v=" "/>
    <s v="CRM_DEV.prime4.TCTDBS_CINSTALMENTAMORTIZATION"/>
    <s v="Done"/>
    <s v="Done"/>
    <s v="Done"/>
    <s v="Not Done"/>
    <s v="Dev Done"/>
    <s v="NA"/>
    <s v="Not Done"/>
    <s v="Not Done"/>
    <s v="NA"/>
    <s v="Not Done"/>
    <s v="Not Done"/>
    <s v="NA"/>
    <x v="1"/>
    <x v="1"/>
  </r>
  <r>
    <s v="Milestone 3"/>
    <s v="N"/>
    <x v="3"/>
    <s v="dbo"/>
    <s v="npss-epayment"/>
    <s v="NPSS_RTPaymentsDtl_Out"/>
    <s v="Due to AWS issue, End point has changed , Requested to FCR to replace with new end point"/>
    <n v="6.5270000000000001"/>
    <s v="RTD_MsgGenDt,RTD_RefID"/>
    <m/>
    <m/>
    <s v="Y"/>
    <s v="RTD_MsgGenDt"/>
    <s v="CRM_DEV.npss.DBO_NPSS_RTPAYMENTSDTL_OUT"/>
    <s v="Done"/>
    <s v="Done"/>
    <s v="Done"/>
    <s v="Not Done"/>
    <s v="Dev Done"/>
    <s v="NA"/>
    <s v="Not Done"/>
    <s v="Not Done"/>
    <s v="NA"/>
    <s v="Not Done"/>
    <s v="Not Done"/>
    <s v="NA"/>
    <x v="1"/>
    <x v="1"/>
  </r>
  <r>
    <s v="Milestone 3"/>
    <s v="N"/>
    <x v="1"/>
    <s v="TCTDBS"/>
    <s v="PRIMEDB"/>
    <s v="archtBalances"/>
    <m/>
    <n v="6.1820000000000004"/>
    <s v="NA"/>
    <m/>
    <m/>
    <s v="N"/>
    <s v=" "/>
    <s v="CRM_DEV.prime4.TCTDBS_ARCHTBALANCES"/>
    <s v="Done"/>
    <s v="Done"/>
    <s v="Done"/>
    <s v="Not Done"/>
    <s v="Dev Done"/>
    <s v="NA"/>
    <s v="Not Done"/>
    <s v="Not Done"/>
    <s v="NA"/>
    <s v="Not Done"/>
    <s v="Not Done"/>
    <s v="NA"/>
    <x v="1"/>
    <x v="1"/>
  </r>
  <r>
    <s v="Milestone 3"/>
    <s v="N"/>
    <x v="1"/>
    <s v="TCTDBS"/>
    <s v="PRIMEDB"/>
    <s v="BATCHES"/>
    <m/>
    <n v="6.1580000000000004"/>
    <s v="NA"/>
    <m/>
    <m/>
    <s v="Y"/>
    <s v="BATCHDATE"/>
    <s v="CRM_DEV.prime4.TCTDBS_BATCHES"/>
    <s v="Done"/>
    <s v="Done"/>
    <s v="Done"/>
    <s v="Not Done"/>
    <s v="Not Done"/>
    <s v="NA"/>
    <s v="Not Done"/>
    <s v="Not Done"/>
    <s v="NA"/>
    <s v="Not Done"/>
    <s v="Not Done"/>
    <s v="NA"/>
    <x v="1"/>
    <x v="1"/>
  </r>
  <r>
    <s v="Milestone 1"/>
    <s v="N"/>
    <x v="5"/>
    <s v="dbo"/>
    <s v="RAKCAS"/>
    <s v="NG_TT_EXT_TABLE"/>
    <m/>
    <n v="5.28"/>
    <s v="ITEMINDEX,ITEMTYPE"/>
    <s v="ITEMINDEX,ITEMTYPE"/>
    <m/>
    <s v="Y"/>
    <s v="Createddatetime column under Wfinstrumenttable"/>
    <s v="CRM_DEV.ibps.DBO_NG_TT_EXT_TABLE"/>
    <s v="Done"/>
    <s v="Done"/>
    <s v="Done"/>
    <s v="Done"/>
    <s v="Dev Done"/>
    <s v="NA"/>
    <s v="Not Done"/>
    <s v="Not Done"/>
    <s v="NA"/>
    <s v="Not Done"/>
    <s v="Not Done"/>
    <s v="NA"/>
    <x v="1"/>
    <x v="0"/>
  </r>
  <r>
    <s v="TBD"/>
    <s v="N"/>
    <x v="8"/>
    <s v="DEHUSEROB"/>
    <s v="rakdehsit"/>
    <s v="CREDIT_CARDS_REQUEST_DET"/>
    <m/>
    <n v="5.25390625"/>
    <m/>
    <s v="PROSPECT_ID"/>
    <m/>
    <m/>
    <m/>
    <m/>
    <s v="Not Done"/>
    <s v="Not Done"/>
    <s v="Not Done"/>
    <s v="Not Done"/>
    <s v="Not Done"/>
    <s v="NA"/>
    <s v="Not Done"/>
    <s v="Not Done"/>
    <s v="NA"/>
    <s v="Not Done"/>
    <s v="Not Done"/>
    <s v="NA"/>
    <x v="1"/>
    <x v="1"/>
  </r>
  <r>
    <s v="Milestone 1"/>
    <s v="N"/>
    <x v="0"/>
    <s v="CRMUSER"/>
    <s v="FINUAT"/>
    <s v="Incidents"/>
    <m/>
    <n v="4.7489999999999997"/>
    <s v="INCIDENTID, BANK_ID"/>
    <s v="INCIDENTID,BANK_ID"/>
    <m/>
    <s v="N"/>
    <s v="BODATEMODIFIED"/>
    <s v="CRM_DEV.finacle.CRMUSER_INCIDENTS"/>
    <s v="Done"/>
    <s v="Done"/>
    <s v="Done"/>
    <s v="Done"/>
    <s v="Done"/>
    <s v="NA"/>
    <s v="Not Done"/>
    <s v="Not Done"/>
    <s v="NA"/>
    <s v="Not Done"/>
    <s v="Not Done"/>
    <s v="NA"/>
    <x v="1"/>
    <x v="0"/>
  </r>
  <r>
    <s v="Milestone 3"/>
    <s v="N"/>
    <x v="3"/>
    <s v="dbo"/>
    <s v="npss-epayment"/>
    <s v="NPSS_RTPaymentsDtl_OutExn"/>
    <s v="Due to AWS issue, End point has changed , Requested to FCR to replace with new end point"/>
    <n v="4.4480000000000004"/>
    <s v="RTD_MsgGenDt,RTD_RefID"/>
    <m/>
    <m/>
    <s v="Y"/>
    <s v="RTD_MsgGenDt"/>
    <s v="CRM_DEV.npss.DBO_NPSS_RTPAYMENTSDTL_OUTEXN"/>
    <s v="Done"/>
    <s v="Done"/>
    <s v="Done"/>
    <s v="Not Done"/>
    <s v="Dev Done"/>
    <s v="NA"/>
    <s v="Not Done"/>
    <s v="Not Done"/>
    <s v="NA"/>
    <s v="Not Done"/>
    <s v="Not Done"/>
    <s v="NA"/>
    <x v="1"/>
    <x v="0"/>
  </r>
  <r>
    <s v="TBD"/>
    <s v="N"/>
    <x v="1"/>
    <s v="TCTDBS"/>
    <s v="PRIMEDB"/>
    <s v="SERVICES"/>
    <m/>
    <n v="4.0339999999999998"/>
    <m/>
    <s v=" "/>
    <m/>
    <s v="N"/>
    <m/>
    <m/>
    <s v="Not Done"/>
    <s v="Not Done"/>
    <s v="Not Done"/>
    <s v="Not Done"/>
    <s v="Not Done"/>
    <s v="NA"/>
    <s v="Not Done"/>
    <s v="Not Done"/>
    <s v="NA"/>
    <s v="Not Done"/>
    <s v="Not Done"/>
    <s v="NA"/>
    <x v="1"/>
    <x v="1"/>
  </r>
  <r>
    <s v="TBD"/>
    <s v="N"/>
    <x v="1"/>
    <s v="TCTDBS"/>
    <s v="PRIMEDB"/>
    <s v="ctrxncampaignlinks"/>
    <m/>
    <n v="3.8109999999999999"/>
    <m/>
    <s v=" "/>
    <m/>
    <s v="N"/>
    <m/>
    <m/>
    <s v="Not Done"/>
    <s v="Not Done"/>
    <s v="Not Done"/>
    <s v="Not Done"/>
    <s v="Not Done"/>
    <s v="NA"/>
    <s v="Not Done"/>
    <s v="Not Done"/>
    <s v="NA"/>
    <s v="Not Done"/>
    <s v="Not Done"/>
    <s v="NA"/>
    <x v="1"/>
    <x v="1"/>
  </r>
  <r>
    <s v="Milestone 2"/>
    <s v="Y"/>
    <x v="9"/>
    <s v="RAK_JSITPH3"/>
    <s v="RLSPROD"/>
    <s v="CS_CASE_INFO"/>
    <m/>
    <n v="3.694"/>
    <s v="APPL_ID"/>
    <m/>
    <m/>
    <s v="N"/>
    <m/>
    <s v="CRM_DEV.cpf.DBO_CUSTOMER_CONSENT_AUDIT"/>
    <s v="NA"/>
    <s v="NA"/>
    <s v="NA"/>
    <s v="NA"/>
    <s v="NA"/>
    <s v="Done"/>
    <s v="Not Done"/>
    <s v="NA"/>
    <s v="Not Done"/>
    <s v="Not Done"/>
    <s v="NA"/>
    <s v="Not Done"/>
    <x v="1"/>
    <x v="1"/>
  </r>
  <r>
    <s v="Milestone 2"/>
    <s v="N"/>
    <x v="1"/>
    <s v="TCTDBS"/>
    <s v="PRIMEDB"/>
    <s v="CACCOUNTS"/>
    <m/>
    <n v="3.5470000000000002"/>
    <s v="SERNO"/>
    <s v="SERNO"/>
    <m/>
    <s v="N"/>
    <s v=" "/>
    <s v="CRM_DEV.prime4.TCTDBS_CACCOUNTS"/>
    <s v="Done"/>
    <s v="Done"/>
    <s v="Done"/>
    <s v="Done"/>
    <s v="Dev Done"/>
    <s v="NA"/>
    <s v="Not Done"/>
    <s v="Not Done"/>
    <s v="NA"/>
    <s v="Not Done"/>
    <s v="Not Done"/>
    <s v="NA"/>
    <x v="1"/>
    <x v="1"/>
  </r>
  <r>
    <s v="TBD"/>
    <s v="Y"/>
    <x v="9"/>
    <s v="FIN_LEAM"/>
    <s v="RLSPROD"/>
    <s v="NBFC_CHEQUE_DTL"/>
    <m/>
    <n v="3.407"/>
    <m/>
    <s v="CHEQUE_ID"/>
    <m/>
    <s v="N"/>
    <m/>
    <m/>
    <s v="NA"/>
    <s v="NA"/>
    <s v="NA"/>
    <s v="NA"/>
    <s v="NA"/>
    <s v="Not Done"/>
    <s v="NA"/>
    <s v="NA"/>
    <s v="Not Done"/>
    <s v="NA"/>
    <s v="NA"/>
    <s v="Not Done"/>
    <x v="1"/>
    <x v="0"/>
  </r>
  <r>
    <s v="Milestone 4"/>
    <s v="Y"/>
    <x v="10"/>
    <s v="CPPUSER"/>
    <s v="CPPSUAT"/>
    <s v="PAYMENT_TRANS_ONLINE_NOTIFY_T"/>
    <s v="CPPS has integration issue and it is not itegrated yet"/>
    <n v="3"/>
    <s v="SEQ_NO"/>
    <s v=" "/>
    <m/>
    <m/>
    <m/>
    <m/>
    <s v="NA"/>
    <s v="NA"/>
    <s v="NA"/>
    <s v="NA"/>
    <s v="Dev Done"/>
    <s v="Not Done"/>
    <s v="NA"/>
    <s v="NA"/>
    <s v="Not Done"/>
    <s v="NA"/>
    <s v="NA"/>
    <s v="Not Done"/>
    <x v="1"/>
    <x v="1"/>
  </r>
  <r>
    <s v="Milestone 2"/>
    <s v="N"/>
    <x v="0"/>
    <s v="TBAADM"/>
    <s v="FINUAT"/>
    <s v="GENERAL_ACCT_MAST_TABLE"/>
    <m/>
    <n v="2.819"/>
    <s v="CIF_ID,CUST_ID,FORACID,POOL_ID,SCHM_CODE, SOL_ID,ACCT_SHORT_NAME, SOL_ID,IBAN_NUMBE,LIMIT_B2KID"/>
    <s v="ACID"/>
    <m/>
    <s v="N"/>
    <s v="LCHG_TIME"/>
    <s v="CRM_DEV.finacle.TBAADM_GENERAL_ACCT_MAST_TABLE"/>
    <s v="Done"/>
    <s v="Done"/>
    <s v="Done"/>
    <s v="Done"/>
    <s v="Done"/>
    <s v="NA"/>
    <s v="Not Done"/>
    <s v="Not Done"/>
    <s v="NA"/>
    <s v="Not Done"/>
    <s v="Not Done"/>
    <s v="NA"/>
    <x v="1"/>
    <x v="0"/>
  </r>
  <r>
    <s v="Milestone 2"/>
    <s v="Y"/>
    <x v="9"/>
    <s v="LOS0909"/>
    <s v="RLSPROD"/>
    <s v="LEA_REPAYSCH_DTL"/>
    <m/>
    <n v="2.4620000000000002"/>
    <s v="Agreementid"/>
    <s v="PROPOSALID,INSTLNUM"/>
    <m/>
    <s v="N"/>
    <s v=" "/>
    <s v="CRM_DEV.rls.LOS0909_LEA_REPAYSCH_DTL"/>
    <s v="NA"/>
    <s v="NA"/>
    <s v="NA"/>
    <s v="NA"/>
    <s v="NA"/>
    <s v="Done"/>
    <s v="Not Done"/>
    <s v="NA"/>
    <s v="Not Done"/>
    <s v="Not Done"/>
    <s v="NA"/>
    <s v="Not Done"/>
    <x v="1"/>
    <x v="1"/>
  </r>
  <r>
    <s v="Milestone 3"/>
    <s v="N"/>
    <x v="0"/>
    <s v="CRMUSER"/>
    <s v="FINUAT"/>
    <s v="Address"/>
    <m/>
    <n v="2.4220000000000002"/>
    <s v="ADDRESSID, BANK_ID"/>
    <s v="ADDRESSID,BANK_ID"/>
    <m/>
    <s v="N"/>
    <s v="TMDATE"/>
    <s v="CRM_DEV.finacle.CRMUSER_ADDRESS"/>
    <s v="Done"/>
    <s v="Done"/>
    <s v="Done"/>
    <s v="Done"/>
    <s v="Not Done"/>
    <s v="NA"/>
    <s v="Not Done"/>
    <s v="Not Done"/>
    <s v="NA"/>
    <s v="Not Done"/>
    <s v="Not Done"/>
    <s v="NA"/>
    <x v="1"/>
    <x v="0"/>
  </r>
  <r>
    <s v="TBD"/>
    <s v="Y"/>
    <x v="9"/>
    <s v="RAK_JSITPH3"/>
    <s v="RLSPROD"/>
    <s v="PAYMENT_DETAILS_V"/>
    <m/>
    <n v="2.3319999999999999"/>
    <m/>
    <m/>
    <m/>
    <s v="Y"/>
    <m/>
    <s v="CRM_DEV.infobip._TO BE DECIDED"/>
    <s v="NA"/>
    <s v="NA"/>
    <s v="NA"/>
    <s v="NA"/>
    <s v="NA"/>
    <s v="Not Done"/>
    <s v="NA"/>
    <s v="NA"/>
    <s v="Not Done"/>
    <s v="NA"/>
    <s v="NA"/>
    <s v="Not Done"/>
    <x v="1"/>
    <x v="1"/>
  </r>
  <r>
    <s v="Milestone 3"/>
    <s v="N"/>
    <x v="3"/>
    <s v="dbo"/>
    <s v="npss-epayment"/>
    <s v="NPSS_RTPaymentsHdr_Out"/>
    <s v="Due to AWS issue, End point has changed , Requested to FCR to replace with new end point"/>
    <n v="2.3290000000000002"/>
    <s v="RTH_MsgGenDt,RTH_RefID"/>
    <m/>
    <m/>
    <s v="Y"/>
    <s v="RTH_MsgGenDt"/>
    <s v="CRM_DEV.npss.DBO_NPSS_RTPAYMENTSHDR_OUT"/>
    <s v="Done"/>
    <s v="Done"/>
    <s v="Done"/>
    <s v="Not Done"/>
    <s v="Dev Done"/>
    <s v="NA"/>
    <s v="Not Done"/>
    <s v="Not Done"/>
    <s v="NA"/>
    <s v="Not Done"/>
    <s v="Not Done"/>
    <s v="NA"/>
    <x v="1"/>
    <x v="1"/>
  </r>
  <r>
    <s v="TBD"/>
    <s v="N"/>
    <x v="8"/>
    <s v="DEHUSEROB"/>
    <s v="rakdehsit"/>
    <s v="RETAIL_ACCOUNTS_REQUEST_DET"/>
    <m/>
    <n v="2.3115234375"/>
    <m/>
    <s v=" "/>
    <m/>
    <m/>
    <m/>
    <m/>
    <s v="Not Done"/>
    <s v="Not Done"/>
    <s v="Not Done"/>
    <s v="Not Done"/>
    <s v="Not Done"/>
    <s v="NA"/>
    <s v="Not Done"/>
    <s v="Not Done"/>
    <s v="NA"/>
    <s v="Not Done"/>
    <s v="Not Done"/>
    <s v="NA"/>
    <x v="1"/>
    <x v="1"/>
  </r>
  <r>
    <s v="Milestone 3"/>
    <s v="N"/>
    <x v="1"/>
    <s v="TCTDBS"/>
    <s v="PRIMEDB"/>
    <s v="MEMOS"/>
    <m/>
    <n v="2.2610000000000001"/>
    <s v="SERNO"/>
    <s v="SERNO"/>
    <m/>
    <s v="Y"/>
    <s v="DATETIMESTAMP"/>
    <s v="CRM_DEV.prime4.TCTDBS_MEMOS"/>
    <s v="Done"/>
    <s v="Done"/>
    <s v="Done"/>
    <s v="Not Done"/>
    <s v="Not Done"/>
    <s v="NA"/>
    <s v="Not Done"/>
    <s v="Not Done"/>
    <s v="NA"/>
    <s v="Not Done"/>
    <s v="Not Done"/>
    <s v="NA"/>
    <x v="1"/>
    <x v="1"/>
  </r>
  <r>
    <s v="Milestone 1"/>
    <s v="N"/>
    <x v="5"/>
    <s v="dbo"/>
    <s v="RAKCAS"/>
    <s v="RB_KYC_REM_EXTTABLE"/>
    <m/>
    <n v="2.2400000000000002"/>
    <s v="ITEMINDEX,ITEMTYPE"/>
    <s v="ITEMINDEX,ITEMTYPE"/>
    <m/>
    <s v="Y"/>
    <s v="Createddatetime column under Wfinstrumenttable"/>
    <s v="CRM_DEV.ibps.DBO_RB_KYC_REM_EXTTABLE"/>
    <s v="Done"/>
    <s v="Done"/>
    <s v="Done"/>
    <s v="Done"/>
    <s v="Dev Done"/>
    <s v="NA"/>
    <s v="Not Done"/>
    <s v="Not Done"/>
    <s v="NA"/>
    <s v="Not Done"/>
    <s v="Not Done"/>
    <s v="NA"/>
    <x v="1"/>
    <x v="1"/>
  </r>
  <r>
    <s v="Milestone 1"/>
    <s v="N"/>
    <x v="1"/>
    <s v="TCTDBS"/>
    <s v="PRIMEDB"/>
    <s v="CARDX"/>
    <m/>
    <n v="2.1859999999999999"/>
    <s v="SERNO"/>
    <s v="SERNO"/>
    <m/>
    <s v="N"/>
    <s v=" "/>
    <s v="CRM_DEV.prime4.TCTDBS_CARDX"/>
    <s v="Done"/>
    <s v="Done"/>
    <s v="Done"/>
    <s v="Done"/>
    <s v="Dev Done"/>
    <s v="NA"/>
    <s v="Not Done"/>
    <s v="Not Done"/>
    <s v="NA"/>
    <s v="Not Done"/>
    <s v="Not Done"/>
    <s v="NA"/>
    <x v="1"/>
    <x v="1"/>
  </r>
  <r>
    <s v="Milestone 1"/>
    <s v="N"/>
    <x v="0"/>
    <s v="CRMUSER"/>
    <s v="FINUAT"/>
    <s v="accounts"/>
    <m/>
    <n v="2.1853259999999999"/>
    <s v="ACCOUNTID, BANK_ID"/>
    <s v="org_key"/>
    <m/>
    <s v="N"/>
    <s v="BODATEMODIFIED"/>
    <s v="CRM_DEV.finacle.CRMUSER_ACCOUNTS"/>
    <s v="Done"/>
    <s v="Done"/>
    <s v="Done"/>
    <s v="Done"/>
    <s v="Done"/>
    <s v="NA"/>
    <s v="Not Done"/>
    <s v="Not Done"/>
    <s v="NA"/>
    <s v="Not Done"/>
    <s v="Not Done"/>
    <s v="NA"/>
    <x v="1"/>
    <x v="0"/>
  </r>
  <r>
    <s v="Milestone 3"/>
    <s v="N"/>
    <x v="0"/>
    <s v="CUSTOM"/>
    <s v="FINUAT"/>
    <s v="CUST_PAYGEN_ORD_TABLE"/>
    <m/>
    <n v="2.0920000000000001"/>
    <s v="PYMT_REF_NUM"/>
    <s v="PYMT_REF_NUM"/>
    <m/>
    <s v="N"/>
    <s v="LCHG_TIME"/>
    <s v="CRM_DEV.finacle.CUSTOM_CUST_PAYGEN_ORD_TABLE"/>
    <s v="Done"/>
    <s v="Done"/>
    <s v="Done"/>
    <s v="Done"/>
    <s v="Not Done"/>
    <s v="NA"/>
    <s v="Not Done"/>
    <s v="Not Done"/>
    <s v="NA"/>
    <s v="Not Done"/>
    <s v="Not Done"/>
    <s v="NA"/>
    <x v="1"/>
    <x v="1"/>
  </r>
  <r>
    <s v="TBD"/>
    <s v="N"/>
    <x v="8"/>
    <s v="DEHUSEROB"/>
    <s v="rakdehsit"/>
    <s v="CARDS_ACCOUNTS_MASTER"/>
    <m/>
    <n v="1.974609375"/>
    <m/>
    <s v="PROSPECT_ID"/>
    <m/>
    <m/>
    <m/>
    <m/>
    <s v="Not Done"/>
    <s v="Not Done"/>
    <s v="Not Done"/>
    <s v="Not Done"/>
    <s v="Not Done"/>
    <s v="NA"/>
    <s v="Not Done"/>
    <s v="Not Done"/>
    <s v="NA"/>
    <s v="Not Done"/>
    <s v="Not Done"/>
    <s v="NA"/>
    <x v="1"/>
    <x v="1"/>
  </r>
  <r>
    <s v="Milestone 3"/>
    <s v="N"/>
    <x v="1"/>
    <s v="TCTDBS"/>
    <s v="PRIMEDB"/>
    <s v="CADDRESSES"/>
    <m/>
    <n v="1.879"/>
    <s v="SERNO"/>
    <s v="SERNO"/>
    <m/>
    <s v="N"/>
    <s v=" "/>
    <s v="CRM_DEV.prime4.TCTDBS_CADDRESSES"/>
    <s v="Done"/>
    <s v="Done"/>
    <s v="Done"/>
    <s v="Not Done"/>
    <s v="Not Done"/>
    <s v="NA"/>
    <s v="Not Done"/>
    <s v="Not Done"/>
    <s v="NA"/>
    <s v="Not Done"/>
    <s v="Not Done"/>
    <s v="NA"/>
    <x v="1"/>
    <x v="1"/>
  </r>
  <r>
    <s v="Milestone 4"/>
    <s v="N"/>
    <x v="0"/>
    <s v="CRMUSER"/>
    <s v="FINUAT"/>
    <s v="Request"/>
    <m/>
    <n v="1.82"/>
    <s v="REQUESTID, BANK_ID"/>
    <s v="REQUESTID,BANK_ID"/>
    <m/>
    <s v="N"/>
    <s v="BODATEMODIFIED"/>
    <s v="CRM_DEV.finacle.CRMUSER_REQUEST"/>
    <s v="Done"/>
    <s v="Done"/>
    <s v="Done"/>
    <s v="Done"/>
    <s v="Dev Done"/>
    <s v="NA"/>
    <s v="Not Done"/>
    <s v="Not Done"/>
    <s v="NA"/>
    <s v="Not Done"/>
    <s v="Not Done"/>
    <s v="NA"/>
    <x v="1"/>
    <x v="1"/>
  </r>
  <r>
    <s v="Milestone 2"/>
    <s v="N"/>
    <x v="0"/>
    <s v="CRMUSER"/>
    <s v="FINUAT"/>
    <s v="MiscellaneousInfo"/>
    <m/>
    <n v="1.6240000000000001"/>
    <s v="MISCELLANEOUSID, BANK_ID"/>
    <s v="MISCELLANEOUSID,BANK_ID"/>
    <m/>
    <s v="N"/>
    <s v="TMDATE"/>
    <s v="CRM_DEV.finacle.CRMUSER_MISCELLANEOUSINFO"/>
    <s v="Done"/>
    <s v="Done"/>
    <s v="Done"/>
    <s v="Done"/>
    <s v="Done"/>
    <s v="NA"/>
    <s v="Not Done"/>
    <s v="Not Done"/>
    <s v="NA"/>
    <s v="Not Done"/>
    <s v="Not Done"/>
    <s v="NA"/>
    <x v="1"/>
    <x v="0"/>
  </r>
  <r>
    <s v="Milestone 3"/>
    <s v="N"/>
    <x v="0"/>
    <s v="TBAADM"/>
    <s v="FINUAT"/>
    <s v="DAILY_TRAN_DETAIL_TABLE"/>
    <m/>
    <n v="1.53"/>
    <s v="SOL_ID, TRAN_CRNCY_CODE, GL_SUB_HEAD_CODE, SI_SRL_NUM, ACID"/>
    <s v="ACID,TRAN_ID, PART_TRAN_SRL_NUM"/>
    <m/>
    <s v="Y"/>
    <s v="TRAN_DATE "/>
    <s v="CRM_DEV.finacle.TBAADM_DAILY_TRAN_DETAIL_TABLE"/>
    <s v="Done"/>
    <s v="Done"/>
    <s v="Done"/>
    <s v="Done"/>
    <s v="Not Done"/>
    <s v="NA"/>
    <s v="Not Done"/>
    <s v="Not Done"/>
    <s v="NA"/>
    <s v="Not Done"/>
    <s v="Not Done"/>
    <s v="NA"/>
    <x v="1"/>
    <x v="0"/>
  </r>
  <r>
    <s v="Milestone 1"/>
    <s v="Y"/>
    <x v="4"/>
    <s v="ECECUSER"/>
    <s v="CNVGNIB"/>
    <s v="CORPORATE_USER"/>
    <m/>
    <n v="1.4970000000000001"/>
    <s v="ORG_ID, BANK_ID, USER_ID"/>
    <m/>
    <m/>
    <s v="N"/>
    <s v=" "/>
    <s v="CRM_DEV.digital_banking_admin.ECECUSER_CORPORATE_USER"/>
    <s v="NA"/>
    <s v="NA"/>
    <s v="NA"/>
    <s v="NA"/>
    <s v="Done"/>
    <s v="Done"/>
    <s v="Not Done"/>
    <s v="NA"/>
    <s v="Not Done"/>
    <s v="Not Done"/>
    <s v="NA"/>
    <s v="Not Done"/>
    <x v="1"/>
    <x v="1"/>
  </r>
  <r>
    <s v="Milestone 1"/>
    <s v="N"/>
    <x v="1"/>
    <s v="TCTDBS"/>
    <s v="PRIMEDB"/>
    <s v="PEOPLE"/>
    <m/>
    <n v="1.4890000000000001"/>
    <s v="SERNO"/>
    <s v="SERNO"/>
    <m/>
    <s v="N"/>
    <s v=" "/>
    <s v="CRM_DEV.digital_banking_admin.REQUEST_DETAILS"/>
    <s v="Done"/>
    <s v="Done"/>
    <s v="Done"/>
    <s v="Done"/>
    <s v="Dev Done"/>
    <s v="NA"/>
    <s v="Not Done"/>
    <s v="Not Done"/>
    <s v="NA"/>
    <s v="Not Done"/>
    <s v="Not Done"/>
    <s v="NA"/>
    <x v="1"/>
    <x v="1"/>
  </r>
  <r>
    <s v="Milestone 4"/>
    <s v="N"/>
    <x v="0"/>
    <s v="TBAADM"/>
    <s v="FINUAT"/>
    <s v="INT_TBL_CODE_TABLE"/>
    <m/>
    <n v="1.377"/>
    <s v="ENTITY_ID, ENTITY_TYPE, START_DATE, INT_TBL_CODE_SRL_NUM"/>
    <s v="ENTITY_ID,RECORD_DATE"/>
    <m/>
    <s v="N"/>
    <s v="LCHG_TIME"/>
    <s v="CRM_DEV.digital_banking_admin.MULTI_LEVEL_WORKFLOW_TABLE"/>
    <s v="Done"/>
    <s v="Done"/>
    <s v="Done"/>
    <s v="Done"/>
    <s v="Dev Done"/>
    <s v="NA"/>
    <s v="Not Done"/>
    <s v="Not Done"/>
    <s v="NA"/>
    <s v="Not Done"/>
    <s v="Not Done"/>
    <s v="NA"/>
    <x v="1"/>
    <x v="0"/>
  </r>
  <r>
    <s v="Milestone 1"/>
    <s v="N"/>
    <x v="5"/>
    <s v="dbo"/>
    <s v="RAKCAS"/>
    <s v="RB_TF_EXTTABLE"/>
    <m/>
    <n v="1.3540000000000001"/>
    <s v="ITEMINDEX,ITEMTYPE"/>
    <s v="ITEMINDEX,ITEMTYPE"/>
    <m/>
    <s v="Y"/>
    <s v="Createddatetime column under Wfinstrumenttable"/>
    <s v="CRM_DEV.digital_banking_admin.CUSTOMER_MASTER"/>
    <s v="Done"/>
    <s v="Done"/>
    <s v="Done"/>
    <s v="Done"/>
    <s v="Dev Done"/>
    <s v="NA"/>
    <s v="Not Done"/>
    <s v="Not Done"/>
    <s v="NA"/>
    <s v="Not Done"/>
    <s v="Not Done"/>
    <s v="NA"/>
    <x v="1"/>
    <x v="1"/>
  </r>
  <r>
    <s v="Milestone 2"/>
    <s v="N"/>
    <x v="0"/>
    <s v="TBAADM"/>
    <s v="FINUAT"/>
    <s v="ENTITY_INTEREST_TABLE"/>
    <m/>
    <n v="1.321"/>
    <s v="ENTITY_ID, ENTITY_TYPE, BANK_ID"/>
    <s v="ENTITY_ID"/>
    <m/>
    <s v="N"/>
    <s v="LCHG_TIME"/>
    <s v="CRM_DEV.finacle.TBAADM_ENTITY_INTEREST_TABLE"/>
    <s v="Done"/>
    <s v="Done"/>
    <s v="Done"/>
    <s v="Done"/>
    <s v="Done"/>
    <s v="NA"/>
    <s v="Not Done"/>
    <s v="Not Done"/>
    <s v="NA"/>
    <s v="Not Done"/>
    <s v="Not Done"/>
    <s v="NA"/>
    <x v="1"/>
    <x v="0"/>
  </r>
  <r>
    <s v="Milestone 2"/>
    <s v="Y"/>
    <x v="4"/>
    <s v="ECECUSER"/>
    <s v="CNVGNIB"/>
    <s v="REQUEST_DETAILS"/>
    <m/>
    <n v="1.3120000000000001"/>
    <s v="BANK_ID, FTXN_ID"/>
    <s v=" "/>
    <m/>
    <s v="N"/>
    <m/>
    <s v="CRM_DEV.digital_banking_admin.ECECUSER_REQUEST_DETAILS"/>
    <s v="NA"/>
    <s v="NA"/>
    <s v="NA"/>
    <s v="NA"/>
    <s v="Done"/>
    <s v="Done"/>
    <s v="NA"/>
    <s v="NA"/>
    <s v="Not Done"/>
    <s v="NA"/>
    <s v="NA"/>
    <s v="Not Done"/>
    <x v="1"/>
    <x v="1"/>
  </r>
  <r>
    <s v="TBD"/>
    <s v="N"/>
    <x v="1"/>
    <s v="TCTDBS"/>
    <s v="PRIMEDB"/>
    <s v="CARDTOKENS"/>
    <m/>
    <n v="1.3049999999999999"/>
    <m/>
    <s v=" "/>
    <m/>
    <s v="N"/>
    <m/>
    <m/>
    <s v="Not Done"/>
    <s v="Not Done"/>
    <s v="Not Done"/>
    <s v="Not Done"/>
    <s v="Not Done"/>
    <s v="NA"/>
    <s v="Not Done"/>
    <s v="Not Done"/>
    <s v="NA"/>
    <s v="Not Done"/>
    <s v="Not Done"/>
    <s v="NA"/>
    <x v="1"/>
    <x v="1"/>
  </r>
  <r>
    <s v="Milestone 1"/>
    <s v="N"/>
    <x v="0"/>
    <s v="CRMUSER"/>
    <s v="FINUAT"/>
    <s v="ENTITYDOCUMENT"/>
    <m/>
    <n v="1.2470000000000001"/>
    <s v="ENTITYDOCUMENTID, BANK_ID"/>
    <s v="ENTITYDOCUMENTID,BANK_ID"/>
    <m/>
    <s v="N"/>
    <s v="BODATEMODIFIED"/>
    <s v="CRM_DEV.finacle.CRMUSER_ENTITYDOCUMENT"/>
    <s v="Done"/>
    <s v="Done"/>
    <s v="Done"/>
    <s v="Done"/>
    <s v="Done"/>
    <s v="NA"/>
    <s v="Not Done"/>
    <s v="Not Done"/>
    <s v="NA"/>
    <s v="Not Done"/>
    <s v="Not Done"/>
    <s v="NA"/>
    <x v="1"/>
    <x v="0"/>
  </r>
  <r>
    <s v="TBD"/>
    <s v="N"/>
    <x v="8"/>
    <s v="DEHUSEROB"/>
    <s v="rakdehsit"/>
    <s v="RETAIL_ACCOUNTS_MASTER"/>
    <m/>
    <n v="1.2275390625"/>
    <m/>
    <s v="PROSPECT_ID"/>
    <m/>
    <m/>
    <m/>
    <m/>
    <s v="Not Done"/>
    <s v="Not Done"/>
    <s v="Not Done"/>
    <s v="Not Done"/>
    <s v="Not Done"/>
    <s v="NA"/>
    <s v="Not Done"/>
    <s v="Not Done"/>
    <s v="NA"/>
    <s v="Not Done"/>
    <s v="Not Done"/>
    <s v="NA"/>
    <x v="1"/>
    <x v="1"/>
  </r>
  <r>
    <s v="Milestone 3"/>
    <s v="N"/>
    <x v="3"/>
    <s v="dbo"/>
    <s v="npss-epayment"/>
    <s v="NPSS_RTPaymentsDtl_InwExn"/>
    <s v="Due to AWS issue, End point has changed , Requested to FCR to replace with new end point"/>
    <n v="1.2230000000000001"/>
    <s v="RTD_MsgGenDt,RTD_RefID"/>
    <m/>
    <m/>
    <s v="Y"/>
    <s v="RTD_MsgGenDt"/>
    <s v="CRM_DEV.npss.DBO_NPSS_RTPAYMENTSDTL_INWEXN"/>
    <s v="Done"/>
    <s v="Done"/>
    <s v="Done"/>
    <s v="Not Done"/>
    <s v="Not Done"/>
    <s v="NA"/>
    <s v="Not Done"/>
    <s v="Not Done"/>
    <s v="NA"/>
    <s v="Not Done"/>
    <s v="Not Done"/>
    <s v="NA"/>
    <x v="1"/>
    <x v="1"/>
  </r>
  <r>
    <s v="Milestone 1"/>
    <s v="N"/>
    <x v="5"/>
    <s v="dbo"/>
    <s v="RAKCAS"/>
    <s v="RB_SRO_EXTTABLE"/>
    <m/>
    <n v="1.1970000000000001"/>
    <s v="ITEMINDEX,ITEMTYPE"/>
    <s v="ITEMINDEX,ITEMTYPE"/>
    <m/>
    <s v="Y"/>
    <s v="Createddatetime column under Wfinstrumenttable"/>
    <s v="CRM_DEV.ibps.DBO_RB_SRO_EXTTABLE"/>
    <s v="Done"/>
    <s v="Done"/>
    <s v="Done"/>
    <s v="Done"/>
    <s v="Dev Done"/>
    <s v="NA"/>
    <s v="Not Done"/>
    <s v="Not Done"/>
    <s v="NA"/>
    <s v="Not Done"/>
    <s v="Not Done"/>
    <s v="NA"/>
    <x v="1"/>
    <x v="1"/>
  </r>
  <r>
    <s v="Milestone 1"/>
    <s v="N"/>
    <x v="0"/>
    <s v="CRMUSER"/>
    <s v="FINUAT"/>
    <s v="PhoneEmail"/>
    <m/>
    <n v="1.123"/>
    <s v="PHONEEMAILID, BANK_ID"/>
    <s v="PHONEEMAILID, BANK_ID"/>
    <m/>
    <s v="N"/>
    <s v="TMDATE"/>
    <s v="CRM_DEV.finacle.CRMUSER_PHONEEMAIL"/>
    <s v="Done"/>
    <s v="Done"/>
    <s v="Done"/>
    <s v="Done"/>
    <s v="Done"/>
    <s v="NA"/>
    <s v="Not Done"/>
    <s v="Not Done"/>
    <s v="NA"/>
    <s v="Not Done"/>
    <s v="Not Done"/>
    <s v="NA"/>
    <x v="1"/>
    <x v="0"/>
  </r>
  <r>
    <s v="Milestone 3"/>
    <s v="N"/>
    <x v="1"/>
    <s v="TCTDBS"/>
    <s v="PRIMEDB"/>
    <s v="CINSTALMENTS"/>
    <m/>
    <n v="1.1100000000000001"/>
    <s v=" SERNO , PARTITIONKEY "/>
    <s v="SERNO"/>
    <m/>
    <s v="N"/>
    <s v=" "/>
    <s v="CRM_DEV.prime4.TCTDBS_CINSTALMENTS"/>
    <s v="Done"/>
    <s v="Done"/>
    <s v="Done"/>
    <s v="Not Done"/>
    <s v="Not Done"/>
    <s v="NA"/>
    <s v="Not Done"/>
    <s v="Not Done"/>
    <s v="NA"/>
    <s v="Not Done"/>
    <s v="Not Done"/>
    <s v="NA"/>
    <x v="1"/>
    <x v="1"/>
  </r>
  <r>
    <s v="TBD"/>
    <s v="Y"/>
    <x v="4"/>
    <s v="ECECUSER"/>
    <s v="CNVGNIB"/>
    <s v="RAK_USER_ENDI_TABLE"/>
    <m/>
    <n v="0.95799999999999996"/>
    <m/>
    <s v=" "/>
    <m/>
    <s v="Y"/>
    <s v="R_cre_time"/>
    <m/>
    <s v="NA"/>
    <s v="NA"/>
    <s v="NA"/>
    <s v="NA"/>
    <s v="NA"/>
    <s v="Not Done"/>
    <s v="NA"/>
    <s v="NA"/>
    <s v="Not Done"/>
    <s v="NA"/>
    <s v="NA"/>
    <s v="Not Done"/>
    <x v="1"/>
    <x v="1"/>
  </r>
  <r>
    <s v="Milestone 3"/>
    <s v="N"/>
    <x v="1"/>
    <s v="TCTDBS"/>
    <s v="PRIMEDB"/>
    <s v="CACCOUNTSTMT"/>
    <m/>
    <n v="0.95499999999999996"/>
    <s v="NA"/>
    <s v="SERNO"/>
    <m/>
    <s v="Y"/>
    <s v="STMTNEXTDATE"/>
    <s v="CRM_DEV.prime4.TCTDBS_CACCOUNTSTMT"/>
    <s v="Done"/>
    <s v="Done"/>
    <s v="Done"/>
    <s v="Not Done"/>
    <s v="Not Done"/>
    <s v="NA"/>
    <s v="Not Done"/>
    <s v="Not Done"/>
    <s v="NA"/>
    <s v="Not Done"/>
    <s v="Not Done"/>
    <s v="NA"/>
    <x v="1"/>
    <x v="1"/>
  </r>
  <r>
    <s v="Milestone 1"/>
    <s v="N"/>
    <x v="5"/>
    <s v="dbo"/>
    <s v="RAKCAS"/>
    <s v="RB_SRB_EXTTABLE"/>
    <m/>
    <n v="0.91500000000000004"/>
    <s v="ITEMINDEX,ITEMTYPE"/>
    <s v="ITEMINDEX,ITEMTYPE"/>
    <m/>
    <s v="Y"/>
    <s v="Createddatetime column under Wfinstrumenttable"/>
    <s v="CRM_DEV.ibps.DBO_RB_SRB_EXTTABLE"/>
    <s v="Done"/>
    <s v="Done"/>
    <s v="Done"/>
    <s v="Done"/>
    <s v="Dev Done"/>
    <s v="NA"/>
    <s v="Not Done"/>
    <s v="Not Done"/>
    <s v="NA"/>
    <s v="Not Done"/>
    <s v="Not Done"/>
    <s v="NA"/>
    <x v="1"/>
    <x v="0"/>
  </r>
  <r>
    <s v="Milestone 2"/>
    <s v="N"/>
    <x v="1"/>
    <s v="TCTDBS"/>
    <s v="PRIMEDB"/>
    <s v="CARDEMBOSSING"/>
    <m/>
    <n v="0.79100000000000004"/>
    <s v="SERNO"/>
    <s v="SERNO"/>
    <m/>
    <s v="N"/>
    <s v=" "/>
    <s v="CRM_DEV.prime4.TCTDBS_CARDEMBOSSING"/>
    <s v="Done"/>
    <s v="Done"/>
    <s v="Done"/>
    <s v="Done"/>
    <s v="Dev Done"/>
    <s v="NA"/>
    <s v="Not Done"/>
    <s v="Not Done"/>
    <s v="NA"/>
    <s v="Not Done"/>
    <s v="Not Done"/>
    <s v="NA"/>
    <x v="1"/>
    <x v="1"/>
  </r>
  <r>
    <s v="Milestone 1"/>
    <s v="N"/>
    <x v="5"/>
    <s v="dbo"/>
    <s v="RAKCAS"/>
    <s v="RB_SRM_EXTTABLE"/>
    <m/>
    <n v="0.79"/>
    <s v="ITEMINDEX,ITEMTYPE"/>
    <s v="ITEMINDEX,ITEMTYPE"/>
    <m/>
    <s v="Y"/>
    <s v="Createddatetime column under Wfinstrumenttable"/>
    <s v="CRM_DEV.ibps.DBO_RB_SRM_EXTTABLE"/>
    <s v="Done"/>
    <s v="Done"/>
    <s v="Done"/>
    <s v="Done"/>
    <s v="Dev Done"/>
    <s v="NA"/>
    <s v="Not Done"/>
    <s v="Not Done"/>
    <s v="NA"/>
    <s v="Not Done"/>
    <s v="Not Done"/>
    <s v="NA"/>
    <x v="1"/>
    <x v="0"/>
  </r>
  <r>
    <s v="Milestone 3"/>
    <s v="N"/>
    <x v="0"/>
    <s v="TBAADM"/>
    <s v="FINUAT"/>
    <s v="ACCT_AUTH_SIGN_TABLE"/>
    <m/>
    <n v="0.72799999999999998"/>
    <s v="NMA_KEY_ID, CUST_ID, STMT_CUST_ID"/>
    <s v="ACID, ACCT_POA_AS_SRL_NUM, BANK_ID"/>
    <m/>
    <s v="N"/>
    <s v="LCHG_TIME"/>
    <s v="CRM_DEV.finacle.TBAADM_ACCT_AUTH_SIGN_TABLE"/>
    <s v="Done"/>
    <s v="Done"/>
    <s v="Done"/>
    <s v="Done"/>
    <s v="Not Done"/>
    <s v="NA"/>
    <s v="Not Done"/>
    <s v="Not Done"/>
    <s v="NA"/>
    <s v="Not Done"/>
    <s v="Not Done"/>
    <s v="NA"/>
    <x v="1"/>
    <x v="1"/>
  </r>
  <r>
    <s v="Milestone 1"/>
    <s v="N"/>
    <x v="5"/>
    <s v="dbo"/>
    <s v="RAKCAS"/>
    <s v="RB_BSR_EXTTABLE"/>
    <m/>
    <n v="0.72699999999999998"/>
    <s v="ITEMINDEX,ITEMTYPE"/>
    <s v="ITEMINDEX,ITEMTYPE"/>
    <m/>
    <s v="Y"/>
    <s v="Createddatetime column under Wfinstrumenttable"/>
    <s v="CRM_DEV.ibps.DBO_RB_BSR_EXTTABLE"/>
    <s v="Done"/>
    <s v="Done"/>
    <s v="Done"/>
    <s v="Done"/>
    <s v="Dev Done"/>
    <s v="NA"/>
    <s v="Not Done"/>
    <s v="Not Done"/>
    <s v="NA"/>
    <s v="Not Done"/>
    <s v="Not Done"/>
    <s v="NA"/>
    <x v="1"/>
    <x v="1"/>
  </r>
  <r>
    <s v="Milestone 1"/>
    <s v="N"/>
    <x v="5"/>
    <s v="dbo"/>
    <s v="RAKCAS"/>
    <s v="NG_DCC_EXTTABLE"/>
    <m/>
    <n v="0.71199999999999997"/>
    <s v="ITEMINDEX,ITEMTYPE"/>
    <s v="ITEMINDEX,ITEMTYPE"/>
    <m/>
    <s v="Y"/>
    <s v="Createddatetime column under Wfinstrumenttable"/>
    <s v="CRM_DEV.ibps.DBO_NG_DCC_EXTTABLE"/>
    <s v="Done"/>
    <s v="Done"/>
    <s v="Done"/>
    <s v="Done"/>
    <s v="Dev Done"/>
    <s v="NA"/>
    <s v="Not Done"/>
    <s v="Not Done"/>
    <s v="NA"/>
    <s v="Not Done"/>
    <s v="Not Done"/>
    <s v="NA"/>
    <x v="1"/>
    <x v="0"/>
  </r>
  <r>
    <s v="Milestone 1"/>
    <s v="N"/>
    <x v="5"/>
    <s v="dbo"/>
    <s v="RAKCAS"/>
    <s v="NG_DAO_EXTTABLE"/>
    <m/>
    <n v="0.7"/>
    <s v="ITEMINDEX,ITEMTYPE"/>
    <s v="ITEMINDEX,ITEMTYPE"/>
    <m/>
    <s v="Y"/>
    <s v="Createddatetime column under Wfinstrumenttable"/>
    <s v="CRM_DEV.ibps.DBO_NG_DAO_EXTTABLE"/>
    <s v="Done"/>
    <s v="Done"/>
    <s v="Done"/>
    <s v="Done"/>
    <s v="Dev Done"/>
    <s v="NA"/>
    <s v="Not Done"/>
    <s v="Not Done"/>
    <s v="NA"/>
    <s v="Not Done"/>
    <s v="Not Done"/>
    <s v="NA"/>
    <x v="1"/>
    <x v="0"/>
  </r>
  <r>
    <s v="Milestone 3"/>
    <s v="N"/>
    <x v="3"/>
    <s v="dbo"/>
    <s v="npss-epayment"/>
    <s v="NPSS_RTS_PmtStatusDtl_Dbtr"/>
    <s v="Due to AWS issue, End point has changed , Requested to FCR to replace with new end point"/>
    <n v="0.65500000000000003"/>
    <s v="RT_STD_MsgGenDt,RT_STD_RefId"/>
    <m/>
    <m/>
    <s v="N"/>
    <s v="RT_STD_MsgGenDt"/>
    <s v="CRM_DEV.npss.DBO_NPSS_RTS_PMTSTATUSDTL_DBTR"/>
    <s v="Done"/>
    <s v="Done"/>
    <s v="Done"/>
    <s v="Not Done"/>
    <s v="Not Done"/>
    <s v="NA"/>
    <s v="Not Done"/>
    <s v="Not Done"/>
    <s v="NA"/>
    <s v="Not Done"/>
    <s v="Not Done"/>
    <s v="NA"/>
    <x v="1"/>
    <x v="1"/>
  </r>
  <r>
    <s v="Milestone 2"/>
    <s v="N"/>
    <x v="0"/>
    <s v="CRMUSER"/>
    <s v="FINUAT"/>
    <s v="DEMOGRAPHIC"/>
    <m/>
    <n v="0.64100000000000001"/>
    <s v="DEMOGRAPHICID, BANK_ID"/>
    <s v="DEMOGRAPHICID,BANK_ID"/>
    <m/>
    <s v="N"/>
    <s v="BODATEMODIFIED"/>
    <s v="CRM_DEV.finacle.CRMUSER_DEMOGRAPHIC"/>
    <s v="Done"/>
    <s v="Done"/>
    <s v="Done"/>
    <s v="Done"/>
    <s v="Done"/>
    <s v="NA"/>
    <s v="Not Done"/>
    <s v="Not Done"/>
    <s v="NA"/>
    <s v="Not Done"/>
    <s v="Not Done"/>
    <s v="NA"/>
    <x v="1"/>
    <x v="0"/>
  </r>
  <r>
    <s v="TBD"/>
    <s v="N"/>
    <x v="8"/>
    <s v="DEHUSEROB"/>
    <s v="rakdehsit"/>
    <s v="RETAIL_ONBOARDING_MASTER"/>
    <m/>
    <n v="0.6337890625"/>
    <m/>
    <s v="PROSPECT_ID"/>
    <m/>
    <m/>
    <m/>
    <m/>
    <s v="Not Done"/>
    <s v="Not Done"/>
    <s v="Not Done"/>
    <s v="Not Done"/>
    <s v="Not Done"/>
    <s v="NA"/>
    <s v="Not Done"/>
    <s v="Not Done"/>
    <s v="NA"/>
    <s v="Not Done"/>
    <s v="Not Done"/>
    <s v="NA"/>
    <x v="1"/>
    <x v="1"/>
  </r>
  <r>
    <s v="TBD"/>
    <s v="N"/>
    <x v="0"/>
    <s v="TBAADM"/>
    <s v="FINUAT"/>
    <s v="GL_SUB_HEAD_TABLE"/>
    <m/>
    <n v="0.61799999999999999"/>
    <s v="SOL_ID, GL_SUB_HEAD_CODE, CRNCY_CODE, BANK_ID"/>
    <s v="SOL_ID, GL_SUB_HEAD_CODE, CRNCY_CODE, BANK_ID"/>
    <m/>
    <s v="N"/>
    <s v="LCHG_TIME"/>
    <m/>
    <s v="Done"/>
    <s v="Done"/>
    <s v="Done"/>
    <s v="Done"/>
    <s v="Not Done"/>
    <s v="NA"/>
    <s v="Not Done"/>
    <s v="Not Done"/>
    <s v="NA"/>
    <s v="Not Done"/>
    <s v="Not Done"/>
    <s v="NA"/>
    <x v="1"/>
    <x v="0"/>
  </r>
  <r>
    <s v="Milestone 1"/>
    <s v="N"/>
    <x v="5"/>
    <s v="dbo"/>
    <s v="RAKCAS"/>
    <s v="RB_CU_EXTTABLE"/>
    <m/>
    <n v="0.61599999999999999"/>
    <s v="ITEMINDEX,ITEMTYPE"/>
    <s v="ITEMINDEX,ITEMTYPE"/>
    <m/>
    <s v="Y"/>
    <s v="Createddatetime column under Wfinstrumenttable"/>
    <s v="CRM_DEV.ibps.DBO_RB_CU_EXTTABLE"/>
    <s v="Done"/>
    <s v="Done"/>
    <s v="Done"/>
    <s v="Done"/>
    <s v="Dev Done"/>
    <s v="NA"/>
    <s v="Not Done"/>
    <s v="Not Done"/>
    <s v="NA"/>
    <s v="Not Done"/>
    <s v="Not Done"/>
    <s v="NA"/>
    <x v="1"/>
    <x v="1"/>
  </r>
  <r>
    <s v="Milestone 3"/>
    <s v="N"/>
    <x v="1"/>
    <s v="TCTDBS"/>
    <s v="PRIMEDB"/>
    <s v="CCUSTOMERS"/>
    <m/>
    <n v="0.61199999999999999"/>
    <s v="SERNO"/>
    <s v="SERNO"/>
    <m/>
    <s v="N"/>
    <s v=" "/>
    <s v="CRM_DEV.prime4.TCTDBS_CCUSTOMERS"/>
    <s v="Done"/>
    <s v="Done"/>
    <s v="Done"/>
    <s v="Not Done"/>
    <s v="Not Done"/>
    <s v="NA"/>
    <s v="Not Done"/>
    <s v="Not Done"/>
    <s v="NA"/>
    <s v="Not Done"/>
    <s v="Not Done"/>
    <s v="NA"/>
    <x v="1"/>
    <x v="1"/>
  </r>
  <r>
    <s v="Milestone 3"/>
    <s v="N"/>
    <x v="11"/>
    <s v="dbo"/>
    <s v="cpf_platform_dev"/>
    <s v="customer_consent_audit"/>
    <m/>
    <n v="0.59699999999999998"/>
    <s v="id"/>
    <s v="consent_config_id,id"/>
    <s v="id"/>
    <s v="Y"/>
    <s v="last_updated_at"/>
    <s v="CRM_DEV.cpf.DBO_CUSTOMER_CONSENT_AUDIT"/>
    <s v="Done"/>
    <s v="Done"/>
    <s v="Done"/>
    <s v="Not Done"/>
    <s v="Not Done"/>
    <s v="NA"/>
    <s v="Not Done"/>
    <s v="Not Done"/>
    <s v="NA"/>
    <s v="Not Done"/>
    <s v="Not Done"/>
    <s v="NA"/>
    <x v="1"/>
    <x v="0"/>
  </r>
  <r>
    <s v="Milestone 2"/>
    <s v="N"/>
    <x v="2"/>
    <s v="WRM"/>
    <s v="WRM"/>
    <s v="DeliveryRegistration"/>
    <m/>
    <n v="0.58984375"/>
    <s v="ID"/>
    <m/>
    <m/>
    <s v="Y"/>
    <s v="CreationDate"/>
    <s v="CRM_DEV.ccm.DBO_DELIVERYREGISTRATION"/>
    <s v="Done"/>
    <s v="Done"/>
    <s v="Done"/>
    <s v="Done"/>
    <s v="Done"/>
    <s v="NA"/>
    <s v="Not Done"/>
    <s v="Not Done"/>
    <s v="NA"/>
    <s v="Not Done"/>
    <s v="Not Done"/>
    <s v="NA"/>
    <x v="1"/>
    <x v="1"/>
  </r>
  <r>
    <s v="Milestone 3"/>
    <s v="N"/>
    <x v="0"/>
    <s v="TBAADM"/>
    <s v="FINUAT"/>
    <s v="GEN_ACCT_CLASS_TABLE"/>
    <m/>
    <n v="0.53700000000000003"/>
    <s v="INT_CR_ACID, INT_DR_ACID, ACID, BANK_ID"/>
    <s v="ACID"/>
    <m/>
    <s v="N"/>
    <s v="LCHG_TIME"/>
    <s v="CRM_DEV.finacle.TBAADM_GEN_ACCT_CLASS_TABLE"/>
    <s v="Done"/>
    <s v="Done"/>
    <s v="Done"/>
    <s v="Done"/>
    <s v="Not Done"/>
    <s v="NA"/>
    <s v="Not Done"/>
    <s v="Not Done"/>
    <s v="NA"/>
    <s v="Not Done"/>
    <s v="Not Done"/>
    <s v="NA"/>
    <x v="1"/>
    <x v="0"/>
  </r>
  <r>
    <s v="Milestone 2"/>
    <s v="N"/>
    <x v="11"/>
    <s v="dbo"/>
    <s v="cpf_platform_dev"/>
    <s v="customer_consent"/>
    <m/>
    <n v="0.53700000000000003"/>
    <s v="id"/>
    <s v="consent_config_id,customer_id,id"/>
    <s v="id"/>
    <s v="N"/>
    <s v=" "/>
    <s v="CRM_DEV.cpf.DBO_CUSTOMER_CONSENT"/>
    <s v="Done"/>
    <s v="Done"/>
    <s v="Done"/>
    <s v="Done"/>
    <s v="Done"/>
    <s v="NA"/>
    <s v="Not Done"/>
    <s v="Not Done"/>
    <s v="NA"/>
    <s v="Not Done"/>
    <s v="Not Done"/>
    <s v="NA"/>
    <x v="1"/>
    <x v="0"/>
  </r>
  <r>
    <s v="Milestone 1"/>
    <s v="N"/>
    <x v="5"/>
    <s v="dbo"/>
    <s v="RAKCAS"/>
    <s v="RB_TL_EXTTABLE"/>
    <m/>
    <n v="0.44800000000000001"/>
    <s v="ITEMINDEX,ITEMTYPE"/>
    <s v="ITEMINDEX,ITEMTYPE"/>
    <m/>
    <s v="Y"/>
    <s v="Createddatetime column under Wfinstrumenttable"/>
    <s v="CRM_DEV.ibps.DBO_RB_TL_EXTTABLE"/>
    <s v="Done"/>
    <s v="Done"/>
    <s v="Done"/>
    <s v="Done"/>
    <s v="Dev Done"/>
    <s v="NA"/>
    <s v="Not Done"/>
    <s v="Not Done"/>
    <s v="NA"/>
    <s v="Not Done"/>
    <s v="Not Done"/>
    <s v="NA"/>
    <x v="1"/>
    <x v="0"/>
  </r>
  <r>
    <s v="TBD"/>
    <s v="Y"/>
    <x v="7"/>
    <s v="CAPSADMIN"/>
    <s v="CAPS"/>
    <s v="ACCOUNTS"/>
    <m/>
    <n v="0.42899999999999999"/>
    <s v="ACCOUNTNO"/>
    <s v="org_key"/>
    <m/>
    <m/>
    <m/>
    <m/>
    <s v="NA"/>
    <s v="NA"/>
    <s v="NA"/>
    <s v="NA"/>
    <s v="NA"/>
    <s v="Not Done"/>
    <s v="NA"/>
    <s v="NA"/>
    <s v="Not Done"/>
    <s v="NA"/>
    <s v="NA"/>
    <s v="Not Done"/>
    <x v="1"/>
    <x v="1"/>
  </r>
  <r>
    <s v="Milestone 3"/>
    <s v="Y"/>
    <x v="7"/>
    <s v="CAPSADMIN"/>
    <s v="Dealing"/>
    <s v="CARDS"/>
    <m/>
    <n v="0.40899999999999997"/>
    <s v="CRNNO"/>
    <s v="CRNNO"/>
    <m/>
    <s v=" "/>
    <s v=" "/>
    <s v="CRM_DEV.caps.CAPSADMIN_CARDS"/>
    <s v="NA"/>
    <s v="NA"/>
    <s v="NA"/>
    <s v="NA"/>
    <s v="NA"/>
    <s v="Done"/>
    <s v="Not Done"/>
    <s v="NA"/>
    <s v="Not Done"/>
    <s v="Not Done"/>
    <s v="NA"/>
    <s v="Not Done"/>
    <x v="1"/>
    <x v="1"/>
  </r>
  <r>
    <s v="Milestone 3"/>
    <s v="N"/>
    <x v="0"/>
    <s v="DEDUPADM"/>
    <s v="FINUAT"/>
    <s v="OPERATIONSREASONCODES_DEDUP"/>
    <m/>
    <n v="0.38100000000000001"/>
    <s v="REASONCODEID, BANK_ID, BLACKLISTDATASETID, NEGATIVELISTDATASETID"/>
    <s v="reasoncodeid"/>
    <m/>
    <s v="N"/>
    <m/>
    <s v="CRM_DEV.finacle.DEDUPADM_OPERATIONSREASONCODES_DEDUP"/>
    <s v="Done"/>
    <s v="Done"/>
    <s v="Done"/>
    <s v="Done"/>
    <s v="Not Done"/>
    <s v="NA"/>
    <s v="Not Done"/>
    <s v="Not Done"/>
    <s v="NA"/>
    <s v="Not Done"/>
    <s v="Not Done"/>
    <s v="NA"/>
    <x v="1"/>
    <x v="1"/>
  </r>
  <r>
    <s v="TBD"/>
    <s v="N"/>
    <x v="8"/>
    <s v="DEHUSEROB"/>
    <s v="rakdehsit"/>
    <s v="PERSONAL_LOAN_REQUEST_DET"/>
    <m/>
    <n v="0.375"/>
    <m/>
    <s v="PROSPECT_ID"/>
    <m/>
    <m/>
    <m/>
    <m/>
    <s v="Not Done"/>
    <s v="Not Done"/>
    <s v="Not Done"/>
    <s v="Not Done"/>
    <s v="Not Done"/>
    <s v="NA"/>
    <s v="Not Done"/>
    <s v="Not Done"/>
    <s v="NA"/>
    <s v="Not Done"/>
    <s v="Not Done"/>
    <s v="NA"/>
    <x v="1"/>
    <x v="1"/>
  </r>
  <r>
    <s v="Milestone 3"/>
    <s v="N"/>
    <x v="0"/>
    <s v="CRMUSER"/>
    <s v="FINUAT"/>
    <s v="psychographic"/>
    <m/>
    <n v="0.36599999999999999"/>
    <s v="PSYCHOGRAPHICID, BANK_ID"/>
    <s v="PSYCHOGRAPHICID,BANK_ID"/>
    <m/>
    <s v="N"/>
    <s v="BODATEMODIFIED"/>
    <s v="CRM_DEV.finacle.CRMUSER_PSYCHOGRAPHIC"/>
    <s v="Done"/>
    <s v="Done"/>
    <s v="Done"/>
    <s v="Done"/>
    <s v="Not Done"/>
    <s v="NA"/>
    <s v="Not Done"/>
    <s v="Not Done"/>
    <s v="NA"/>
    <s v="Not Done"/>
    <s v="Not Done"/>
    <s v="NA"/>
    <x v="1"/>
    <x v="0"/>
  </r>
  <r>
    <s v="Milestone 4"/>
    <s v="N"/>
    <x v="0"/>
    <s v="TBAADM"/>
    <s v="FINUAT"/>
    <s v="CHQ_BOOK_TABLE"/>
    <m/>
    <n v="0.35799999999999998"/>
    <s v="BEGIN_CHQ_NUM, ACID, BEGIN_CHQ_ALPHA, BANK_ID"/>
    <s v="ACID,BEGIN_CHQ_NUM"/>
    <m/>
    <s v="N"/>
    <s v="LCHG_TIME"/>
    <s v="CRM_DEV.finacle.TBAADM_CHQ_BOOK_TABLE"/>
    <s v="Done"/>
    <s v="Done"/>
    <s v="Done"/>
    <s v="Done"/>
    <s v="Not Done"/>
    <s v="NA"/>
    <s v="Not Done"/>
    <s v="Not Done"/>
    <s v="NA"/>
    <s v="Not Done"/>
    <s v="Not Done"/>
    <s v="NA"/>
    <x v="1"/>
    <x v="1"/>
  </r>
  <r>
    <s v="TBD"/>
    <s v="N"/>
    <x v="0"/>
    <s v="TBAADM"/>
    <s v="FINUAT"/>
    <s v="LIM_HISTORY_TABLE"/>
    <m/>
    <n v="0.35799999999999998"/>
    <s v="ACID, SERIAL_NUM, BANK_ID"/>
    <s v="ACID, SERIAL_NUM, BANK_ID"/>
    <m/>
    <s v="N"/>
    <s v="LCHG_TIME"/>
    <m/>
    <s v="Done"/>
    <s v="Done"/>
    <s v="Done"/>
    <s v="Done"/>
    <s v="Not Done"/>
    <s v="NA"/>
    <s v="Not Done"/>
    <s v="Not Done"/>
    <s v="NA"/>
    <s v="Not Done"/>
    <s v="Not Done"/>
    <s v="NA"/>
    <x v="1"/>
    <x v="0"/>
  </r>
  <r>
    <s v="Milestone 3"/>
    <s v="N"/>
    <x v="0"/>
    <s v="CUSTOM"/>
    <s v="FINUAT"/>
    <s v="C_PORD_REMIT_INR"/>
    <m/>
    <n v="0.34799999999999998"/>
    <s v="PYMT_REF_NUM, BANK_ID"/>
    <s v="PYMT_REF_NUM, BANK_ID"/>
    <m/>
    <s v="N"/>
    <s v="LCHG_TIME"/>
    <s v="CRM_DEV.finacle.CUSTOM_C_PORD_REMIT_INR"/>
    <s v="Done"/>
    <s v="Done"/>
    <s v="Done"/>
    <s v="Done"/>
    <s v="Not Done"/>
    <s v="NA"/>
    <s v="Not Done"/>
    <s v="Not Done"/>
    <s v="NA"/>
    <s v="Not Done"/>
    <s v="Not Done"/>
    <s v="NA"/>
    <x v="1"/>
    <x v="1"/>
  </r>
  <r>
    <s v="TBD"/>
    <s v="Y"/>
    <x v="4"/>
    <s v="ECECUSER"/>
    <s v="CNVGNIB"/>
    <s v="SECUREIDTABLE"/>
    <m/>
    <n v="0.30399999999999999"/>
    <s v="ORG_ID, BANK_ID, USER_ID, AUTH_MODE"/>
    <s v=" "/>
    <m/>
    <s v="N"/>
    <m/>
    <m/>
    <s v="NA"/>
    <s v="NA"/>
    <s v="NA"/>
    <s v="NA"/>
    <s v="NA"/>
    <s v="Not Done"/>
    <s v="NA"/>
    <s v="NA"/>
    <s v="Not Done"/>
    <s v="NA"/>
    <s v="NA"/>
    <s v="Not Done"/>
    <x v="1"/>
    <x v="1"/>
  </r>
  <r>
    <s v="Milestone 3"/>
    <s v="Y"/>
    <x v="7"/>
    <s v="CAPSADMIN"/>
    <s v="Dealing"/>
    <s v="CARD_GENERAL"/>
    <m/>
    <n v="0.27300000000000002"/>
    <s v="CRNNO"/>
    <s v="CRNNO"/>
    <m/>
    <s v=" "/>
    <s v=" "/>
    <s v="CRM_DEV.caps.CAPSADMIN_CARD_GENERAL"/>
    <s v="NA"/>
    <s v="NA"/>
    <s v="NA"/>
    <s v="NA"/>
    <s v="NA"/>
    <s v="Done"/>
    <s v="Not Done"/>
    <s v="NA"/>
    <s v="Not Done"/>
    <s v="Not Done"/>
    <s v="NA"/>
    <s v="Not Done"/>
    <x v="1"/>
    <x v="1"/>
  </r>
  <r>
    <s v="Milestone 1"/>
    <s v="Y"/>
    <x v="9"/>
    <s v="FIN_LEAM"/>
    <s v="RLSPROD"/>
    <s v="NBFC_CUSTOMER_M"/>
    <m/>
    <n v="0.26700000000000002"/>
    <s v="GCDNO"/>
    <s v="CUST_ID_N"/>
    <m/>
    <s v="N"/>
    <s v=" "/>
    <s v="CRM_DEV.rls.LOS0909_NBFC_CUSTOMER_M"/>
    <s v="NA"/>
    <s v="NA"/>
    <s v="NA"/>
    <s v="NA"/>
    <s v="NA"/>
    <s v="Done"/>
    <s v="Not Done"/>
    <s v="NA"/>
    <s v="Not Done"/>
    <s v="Not Done"/>
    <s v="NA"/>
    <s v="Not Done"/>
    <x v="1"/>
    <x v="0"/>
  </r>
  <r>
    <s v="Milestone 3"/>
    <s v="N"/>
    <x v="0"/>
    <s v="TBAADM"/>
    <s v="FINUAT"/>
    <s v="MEMO_PAD_TABLE"/>
    <m/>
    <n v="0.26500000000000001"/>
    <s v="ACID, MP_INTENT, MP_FUNC,KEY_WORD, TRAN_DATE, TRAN_ID, PART_TRAN_SRL_NUM"/>
    <s v="MP_SRL_NUM"/>
    <m/>
    <s v="N"/>
    <s v="LCHG_TIME"/>
    <s v="CRM_DEV.finacle.TBAADM_MEMO_PAD_TABLE"/>
    <s v="Done"/>
    <s v="Done"/>
    <s v="Done"/>
    <s v="Done"/>
    <s v="Not Done"/>
    <s v="NA"/>
    <s v="Not Done"/>
    <s v="Not Done"/>
    <s v="NA"/>
    <s v="Not Done"/>
    <s v="Not Done"/>
    <s v="NA"/>
    <x v="1"/>
    <x v="0"/>
  </r>
  <r>
    <s v="TBD"/>
    <s v="N"/>
    <x v="0"/>
    <s v="CRMUSER"/>
    <s v="FINUAT"/>
    <s v="CorpMiscellaneousInfo"/>
    <m/>
    <n v="0.26400000000000001"/>
    <s v="CORP_MISC_ID, BANK_ID"/>
    <s v="CORP_MISC_ID,BANK_ID"/>
    <m/>
    <s v="N"/>
    <s v="TMDATE"/>
    <s v="CRM_DEV.prime.TCTDBS_CARDSTATUSX"/>
    <s v="Done"/>
    <s v="Done"/>
    <s v="Done"/>
    <s v="Done"/>
    <s v="Not Done"/>
    <s v="NA"/>
    <s v="Not Done"/>
    <s v="Not Done"/>
    <s v="NA"/>
    <s v="Not Done"/>
    <s v="Not Done"/>
    <s v="NA"/>
    <x v="1"/>
    <x v="0"/>
  </r>
  <r>
    <s v="Milestone 1"/>
    <s v="Y"/>
    <x v="9"/>
    <s v="FIN_LEAM"/>
    <s v="RLSPROD"/>
    <s v="LEA_AGREEMENT_DTL"/>
    <m/>
    <n v="0.24"/>
    <s v="Agreementid"/>
    <s v="PROPOSALID"/>
    <m/>
    <s v="N"/>
    <s v=" "/>
    <s v="CRM_DEV.rls.FIN_LEAM_LEA_AGREEMENT_DTL"/>
    <s v="NA"/>
    <s v="NA"/>
    <s v="NA"/>
    <s v="NA"/>
    <s v="NA"/>
    <s v="Done"/>
    <s v="Not Done"/>
    <s v="NA"/>
    <s v="Not Done"/>
    <s v="Not Done"/>
    <s v="NA"/>
    <s v="Not Done"/>
    <x v="1"/>
    <x v="1"/>
  </r>
  <r>
    <s v="Milestone 1"/>
    <s v="N"/>
    <x v="0"/>
    <s v="CRMUSER"/>
    <s v="FINUAT"/>
    <s v="corporate"/>
    <m/>
    <n v="0.22600000000000001"/>
    <s v="CORP_ID, BANK_ID"/>
    <s v="CORP_ID, BANK_ID"/>
    <m/>
    <s v="N"/>
    <s v="BODATEMODIFIED"/>
    <s v="CRM_DEV.finacle.CRMUSER_CORPORATE"/>
    <s v="Done"/>
    <s v="Done"/>
    <s v="Done"/>
    <s v="Done"/>
    <s v="Done"/>
    <s v="NA"/>
    <s v="Not Done"/>
    <s v="Not Done"/>
    <s v="NA"/>
    <s v="Not Done"/>
    <s v="Not Done"/>
    <s v="NA"/>
    <x v="1"/>
    <x v="0"/>
  </r>
  <r>
    <s v="TBD"/>
    <s v="Y"/>
    <x v="9"/>
    <s v="LOS0909"/>
    <s v="RLSPROD"/>
    <s v="NBFC_ADDRESS_M"/>
    <m/>
    <n v="0.224"/>
    <m/>
    <s v="ADDRESSID"/>
    <m/>
    <s v="N"/>
    <m/>
    <m/>
    <s v="NA"/>
    <s v="NA"/>
    <s v="NA"/>
    <s v="NA"/>
    <s v="NA"/>
    <s v="Not Done"/>
    <s v="NA"/>
    <s v="NA"/>
    <s v="Not Done"/>
    <s v="NA"/>
    <s v="NA"/>
    <s v="Not Done"/>
    <x v="1"/>
    <x v="1"/>
  </r>
  <r>
    <s v="TBD"/>
    <s v="N"/>
    <x v="0"/>
    <s v="TBAADM"/>
    <s v="FINUAT"/>
    <s v="LA_DMD_HISTORY_TABLE"/>
    <m/>
    <n v="0.22"/>
    <s v="ACID, SHDL_NUM, DMD_FLOW_ID, DMD_DATE"/>
    <s v="ACID, SHDL_NUM, DMD_FLOW_ID, DMD_DATE, DMD_SRL_NUM, BANK_ID"/>
    <m/>
    <s v="N"/>
    <s v="LCHG_TIME"/>
    <m/>
    <s v="Done"/>
    <s v="Done"/>
    <s v="Done"/>
    <s v="Done"/>
    <s v="Not Done"/>
    <s v="NA"/>
    <s v="Not Done"/>
    <s v="Not Done"/>
    <s v="NA"/>
    <s v="Not Done"/>
    <s v="Not Done"/>
    <s v="NA"/>
    <x v="1"/>
    <x v="1"/>
  </r>
  <r>
    <s v="Milestone 1"/>
    <s v="N"/>
    <x v="0"/>
    <s v="CRMUSER"/>
    <s v="FINUAT"/>
    <s v="categories"/>
    <m/>
    <n v="0.20399999999999999"/>
    <s v="CATEGORYID, BANK_ID"/>
    <s v="CATEGORYID,BANK_ID"/>
    <m/>
    <s v="N"/>
    <s v="TMDATE"/>
    <s v="CRM_DEV.finacle.CRMUSER_CATEGORIES"/>
    <s v="Done"/>
    <s v="Done"/>
    <s v="Done"/>
    <s v="Done"/>
    <s v="Done"/>
    <s v="NA"/>
    <s v="Not Done"/>
    <s v="Not Done"/>
    <s v="NA"/>
    <s v="Not Done"/>
    <s v="Not Done"/>
    <s v="NA"/>
    <x v="1"/>
    <x v="0"/>
  </r>
  <r>
    <s v="Milestone 2"/>
    <s v="N"/>
    <x v="11"/>
    <s v="dbo"/>
    <s v="cpf_platform_dev"/>
    <s v="customer_info"/>
    <m/>
    <n v="0.185"/>
    <s v="id"/>
    <s v="id"/>
    <s v="id"/>
    <s v="N"/>
    <s v=" "/>
    <s v="CRM_DEV.cpf.DBO_CUSTOMER_INFO"/>
    <s v="Done"/>
    <s v="Done"/>
    <s v="Done"/>
    <s v="Done"/>
    <s v="Done"/>
    <s v="NA"/>
    <s v="Not Done"/>
    <s v="Not Done"/>
    <s v="NA"/>
    <s v="Not Done"/>
    <s v="Not Done"/>
    <s v="NA"/>
    <x v="1"/>
    <x v="0"/>
  </r>
  <r>
    <s v="Milestone 1"/>
    <s v="N"/>
    <x v="5"/>
    <s v="dbo"/>
    <s v="RAKCAS"/>
    <s v="RB_BAIS_EXTTABLE"/>
    <m/>
    <n v="0.182"/>
    <s v="ITEMINDEX,ITEMTYPE"/>
    <s v="ITEMINDEX,ITEMTYPE"/>
    <m/>
    <s v="Y"/>
    <s v="Createddatetime column under Wfinstrumenttable"/>
    <s v="CRM_DEV.ibps.DBO_RB_BAIS_EXTTABLE"/>
    <s v="Done"/>
    <s v="Done"/>
    <s v="Done"/>
    <s v="Done"/>
    <s v="Dev Done"/>
    <s v="NA"/>
    <s v="Not Done"/>
    <s v="Not Done"/>
    <s v="NA"/>
    <s v="Not Done"/>
    <s v="Not Done"/>
    <s v="NA"/>
    <x v="1"/>
    <x v="0"/>
  </r>
  <r>
    <s v="Milestone 3"/>
    <s v="N"/>
    <x v="0"/>
    <s v="TBAADM"/>
    <s v="FINUAT"/>
    <s v="ACCT_STATEMENT_TABLE"/>
    <m/>
    <n v="0.17899999999999999"/>
    <s v="ACID, BANK_ID"/>
    <s v="ACID"/>
    <m/>
    <s v="N"/>
    <s v="LCHG_TIME"/>
    <s v="CRM_DEV.finacle.TBAADM_ACCT_STATEMENT_TABLE"/>
    <s v="Done"/>
    <s v="Done"/>
    <s v="Done"/>
    <s v="Done"/>
    <s v="Not Done"/>
    <s v="NA"/>
    <s v="Not Done"/>
    <s v="Not Done"/>
    <s v="NA"/>
    <s v="Not Done"/>
    <s v="Not Done"/>
    <s v="NA"/>
    <x v="1"/>
    <x v="0"/>
  </r>
  <r>
    <s v="Milestone 4"/>
    <s v="N"/>
    <x v="0"/>
    <s v="CUSTOM"/>
    <s v="FINUAT"/>
    <s v="C_CHQ_REJ_DET"/>
    <s v="Composite key column INSTRMNT_ALPHA  has null value which was not allowed to insert/upsert  to CRM Database . So Data has been insert and skipped all those records which has null value.   789,257 null records skipped"/>
    <n v="0.16900000000000001"/>
    <s v="ACID, INSTRMNT_TYPE, INSTRMNT_NUM, INSTRMNT_ALPHA, REJECTED_DATE, ACID"/>
    <s v="CIF_ID"/>
    <m/>
    <s v="N"/>
    <s v="LCHG_TIME"/>
    <s v="CRM_DEV.finacle.CUSTOM_C_CHQ_REJ_DET"/>
    <s v="Done"/>
    <s v="Done"/>
    <s v="Done"/>
    <s v="Done"/>
    <s v="Not Done"/>
    <s v="NA"/>
    <s v="Not Done"/>
    <s v="Not Done"/>
    <s v="NA"/>
    <s v="Not Done"/>
    <s v="Not Done"/>
    <s v="NA"/>
    <x v="1"/>
    <x v="1"/>
  </r>
  <r>
    <s v="TBD"/>
    <s v="N"/>
    <x v="0"/>
    <s v="TBAADM"/>
    <s v="FINUAT"/>
    <s v="LA_REP_SHDL_TABLE"/>
    <m/>
    <n v="0.16700000000000001"/>
    <s v="ACID, SHDL_NUM, FLOW_ID, FLOW_START_DATE"/>
    <s v="ACID, SHDL_NUM, FLOW_ID, FLOW_START_DATE, BANK_ID"/>
    <m/>
    <s v="N"/>
    <s v="LCHG_TIME"/>
    <m/>
    <s v="Done"/>
    <s v="Done"/>
    <s v="Done"/>
    <s v="Done"/>
    <s v="Not Done"/>
    <s v="NA"/>
    <s v="Not Done"/>
    <s v="Not Done"/>
    <s v="NA"/>
    <s v="Not Done"/>
    <s v="Not Done"/>
    <s v="NA"/>
    <x v="1"/>
    <x v="1"/>
  </r>
  <r>
    <s v="Milestone 4"/>
    <s v="N"/>
    <x v="0"/>
    <s v="CRMUSER"/>
    <s v="FINUAT"/>
    <s v="FinancialDetails"/>
    <m/>
    <n v="0.14699999999999999"/>
    <s v="FINANCIAL_DETAILS_ID, BANK_ID"/>
    <s v="FINANCIAL_DETAILS_ID,BANK_ID"/>
    <m/>
    <s v="N"/>
    <s v="TMDATE"/>
    <s v="CRM_DEV.finacle.CRMUSER_FINANCIALDETAILS"/>
    <s v="Done"/>
    <s v="Done"/>
    <s v="Done"/>
    <s v="Done"/>
    <s v="Not Done"/>
    <s v="NA"/>
    <s v="Not Done"/>
    <s v="Not Done"/>
    <s v="NA"/>
    <s v="Not Done"/>
    <s v="Not Done"/>
    <s v="NA"/>
    <x v="1"/>
    <x v="1"/>
  </r>
  <r>
    <s v="Milestone 1"/>
    <s v="N"/>
    <x v="0"/>
    <s v="CRMUSER"/>
    <s v="FINUAT"/>
    <s v="category_lang"/>
    <m/>
    <n v="0.14399999999999999"/>
    <s v="CATEGORYLANGID, BANK_ID"/>
    <s v="CATEGORYLANGID,BANK_ID"/>
    <m/>
    <s v="N"/>
    <s v="TMDATE"/>
    <s v="CRM_DEV.finacle.CRMUSER_CATEGORY_LANG"/>
    <s v="Done"/>
    <s v="Done"/>
    <s v="Done"/>
    <s v="Done"/>
    <s v="Done"/>
    <s v="NA"/>
    <s v="Not Done"/>
    <s v="Not Done"/>
    <s v="NA"/>
    <s v="Not Done"/>
    <s v="Not Done"/>
    <s v="NA"/>
    <x v="1"/>
    <x v="0"/>
  </r>
  <r>
    <s v="Milestone 1"/>
    <s v="N"/>
    <x v="5"/>
    <s v="dbo"/>
    <s v="RAKCAS"/>
    <s v="RB_NBTL_EXTTABLE"/>
    <m/>
    <n v="0.14000000000000001"/>
    <s v="ITEMINDEX,ITEMTYPE"/>
    <s v="ITEMINDEX,ITEMTYPE"/>
    <m/>
    <s v="Y"/>
    <s v="Createddatetime column under Wfinstrumenttable"/>
    <s v="CRM_DEV.ibps.DBO_RB_NBTL_EXTTABLE"/>
    <s v="Done"/>
    <s v="Done"/>
    <s v="Done"/>
    <s v="Done"/>
    <s v="Dev Done"/>
    <s v="NA"/>
    <s v="Not Done"/>
    <s v="Not Done"/>
    <s v="NA"/>
    <s v="Not Done"/>
    <s v="Not Done"/>
    <s v="NA"/>
    <x v="1"/>
    <x v="1"/>
  </r>
  <r>
    <s v="Milestone 3"/>
    <s v="N"/>
    <x v="1"/>
    <s v="TCTDBS"/>
    <s v="PRIMEDB"/>
    <s v="ACPLINKS"/>
    <m/>
    <n v="0.13800000000000001"/>
    <s v="SERNO"/>
    <s v="SERNO"/>
    <m/>
    <s v="N"/>
    <s v=" "/>
    <s v="CRM_DEV.prime4.TCTDBS_ACPLINKS"/>
    <s v="Done"/>
    <s v="Done"/>
    <s v="Done"/>
    <s v="Not Done"/>
    <s v="Not Done"/>
    <s v="NA"/>
    <s v="Not Done"/>
    <s v="Not Done"/>
    <s v="NA"/>
    <s v="Not Done"/>
    <s v="Not Done"/>
    <s v="NA"/>
    <x v="1"/>
    <x v="1"/>
  </r>
  <r>
    <s v="TBD"/>
    <s v="N"/>
    <x v="12"/>
    <s v="TBAADM"/>
    <s v="WMS SIT"/>
    <s v="PORTFOLIO_SUMMARY_TABLE"/>
    <m/>
    <n v="0.128"/>
    <s v="INVESTMENT_ID, FROM_DATE, BANK_ID"/>
    <s v="INVESTMENT_ID,FROM_DATE"/>
    <m/>
    <s v="N"/>
    <s v="LCHG_TIME"/>
    <m/>
    <s v="Not Done"/>
    <s v="Not Done"/>
    <s v="Not Done"/>
    <s v="Not Done"/>
    <s v="Not Done"/>
    <s v="NA"/>
    <s v="Not Done"/>
    <s v="Not Done"/>
    <s v="NA"/>
    <s v="Not Done"/>
    <s v="Not Done"/>
    <s v="NA"/>
    <x v="1"/>
    <x v="1"/>
  </r>
  <r>
    <s v="TBD"/>
    <s v="N"/>
    <x v="8"/>
    <s v="DEHUSEROB"/>
    <s v="rakdehsit"/>
    <s v="PERSONAL_LOAN_MASTER"/>
    <m/>
    <n v="0.1240234375"/>
    <m/>
    <s v="PROSPECT_ID"/>
    <m/>
    <m/>
    <m/>
    <m/>
    <s v="Not Done"/>
    <s v="Not Done"/>
    <s v="Not Done"/>
    <s v="Not Done"/>
    <s v="Not Done"/>
    <s v="NA"/>
    <s v="Not Done"/>
    <s v="Not Done"/>
    <s v="NA"/>
    <s v="Not Done"/>
    <s v="Not Done"/>
    <s v="NA"/>
    <x v="1"/>
    <x v="1"/>
  </r>
  <r>
    <s v="Milestone 1"/>
    <s v="N"/>
    <x v="5"/>
    <s v="dbo"/>
    <s v="RAKCAS"/>
    <s v="RB_PC_EXTTABLE"/>
    <m/>
    <n v="0.124"/>
    <s v="ITEMINDEX,ITEMTYPE"/>
    <s v="ITEMINDEX,ITEMTYPE"/>
    <m/>
    <s v="Y"/>
    <s v="Createddatetime column under Wfinstrumenttable"/>
    <s v="CRM_DEV.ibps.DBO_RB_PC_EXTTABLE"/>
    <s v="Done"/>
    <s v="Done"/>
    <s v="Done"/>
    <s v="Done"/>
    <s v="Dev Done"/>
    <s v="NA"/>
    <s v="Not Done"/>
    <s v="Not Done"/>
    <s v="NA"/>
    <s v="Not Done"/>
    <s v="Not Done"/>
    <s v="NA"/>
    <x v="1"/>
    <x v="1"/>
  </r>
  <r>
    <s v="Milestone 3"/>
    <s v="N"/>
    <x v="0"/>
    <s v="TBAADM"/>
    <s v="FINUAT"/>
    <s v="POST_DATED_CHQ_TABLE"/>
    <m/>
    <n v="0.11600000000000001"/>
    <s v="ACID, FLOW_ID, FLOW_START_DATE, PDC_SRL_NUM"/>
    <s v="PDC_SRL_NUM,START_PDC_NUM"/>
    <m/>
    <s v="N"/>
    <s v="LCHG_TIME"/>
    <m/>
    <s v="Done"/>
    <s v="Done"/>
    <s v="Done"/>
    <s v="Done"/>
    <s v="Not Done"/>
    <s v="NA"/>
    <s v="Not Done"/>
    <s v="Not Done"/>
    <s v="NA"/>
    <s v="Not Done"/>
    <s v="Not Done"/>
    <s v="NA"/>
    <x v="1"/>
    <x v="1"/>
  </r>
  <r>
    <s v="Milestone 1"/>
    <s v="N"/>
    <x v="5"/>
    <s v="dbo"/>
    <s v="RAKCAS"/>
    <s v="RB_CSR_RR_EXTTABLE"/>
    <m/>
    <n v="0.111"/>
    <s v="NA"/>
    <m/>
    <m/>
    <s v="Y"/>
    <s v="Createddatetime column under Wfinstrumenttable"/>
    <s v="CRM_DEV.ibps._RB_CSR_RR_EXTTABLE"/>
    <s v="Done"/>
    <s v="Done"/>
    <s v="Done"/>
    <s v="Done"/>
    <s v="Dev Done"/>
    <s v="NA"/>
    <s v="Not Done"/>
    <s v="Not Done"/>
    <s v="NA"/>
    <s v="Not Done"/>
    <s v="Not Done"/>
    <s v="NA"/>
    <x v="1"/>
    <x v="0"/>
  </r>
  <r>
    <s v="Milestone 3"/>
    <s v="N"/>
    <x v="0"/>
    <s v="CRMUSER"/>
    <s v="FINUAT"/>
    <s v="memberships"/>
    <m/>
    <n v="0.109"/>
    <s v="MEMBERSHIPSID, BANK_ID"/>
    <s v="MEMBERSHIPSID,BANK_ID"/>
    <m/>
    <s v="N"/>
    <s v="TMDATE"/>
    <s v="CRM_DEV.finacle.CRMUSER_MEMBERSHIPS"/>
    <s v="Done"/>
    <s v="Done"/>
    <s v="Done"/>
    <s v="Done"/>
    <s v="Not Done"/>
    <s v="NA"/>
    <s v="Not Done"/>
    <s v="Not Done"/>
    <s v="NA"/>
    <s v="Not Done"/>
    <s v="Not Done"/>
    <s v="NA"/>
    <x v="1"/>
    <x v="1"/>
  </r>
  <r>
    <s v="TBD"/>
    <s v="N"/>
    <x v="0"/>
    <s v="TBAADM"/>
    <s v="FINUAT"/>
    <s v="LA_DMD_TABLE"/>
    <m/>
    <n v="0.109"/>
    <s v="ACID, SHDL_NUM, DMD_FLOW_ID, DMD_DATE"/>
    <s v=" "/>
    <m/>
    <s v="N"/>
    <s v="LCHG_TIME"/>
    <m/>
    <s v="Done"/>
    <s v="Done"/>
    <s v="Done"/>
    <s v="Done"/>
    <s v="Not Done"/>
    <s v="NA"/>
    <s v="Not Done"/>
    <s v="Not Done"/>
    <s v="NA"/>
    <s v="Not Done"/>
    <s v="Not Done"/>
    <s v="NA"/>
    <x v="1"/>
    <x v="1"/>
  </r>
  <r>
    <s v="Milestone 4"/>
    <s v="N"/>
    <x v="0"/>
    <s v="TBAADM"/>
    <s v="FINUAT"/>
    <s v="ACCOUNT_LIEN_TABLE"/>
    <m/>
    <n v="0.108"/>
    <s v="ACID, B2K_TYPE, B2K_ID, BANK_ID"/>
    <s v="ACID,B2kID"/>
    <m/>
    <s v="N"/>
    <s v="LCHG_TIME"/>
    <s v="CRM_DEV.finacle.TBAADM_ACCOUNT_LIEN_TABLE"/>
    <s v="Done"/>
    <s v="Done"/>
    <s v="Done"/>
    <s v="Done"/>
    <s v="Not Done"/>
    <s v="NA"/>
    <s v="Not Done"/>
    <s v="Not Done"/>
    <s v="NA"/>
    <s v="Not Done"/>
    <s v="Not Done"/>
    <s v="NA"/>
    <x v="1"/>
    <x v="0"/>
  </r>
  <r>
    <s v="Milestone 4"/>
    <s v="Y"/>
    <x v="10"/>
    <s v="CPPUSER"/>
    <s v="CPPSUAT"/>
    <s v="PAYMENT_TRANS"/>
    <s v="CPPS has integration issue and it is not itegrated yet"/>
    <n v="8.984375E-2"/>
    <s v="NA"/>
    <s v=" "/>
    <m/>
    <m/>
    <m/>
    <m/>
    <s v="NA"/>
    <s v="NA"/>
    <s v="NA"/>
    <s v="NA"/>
    <s v="NA"/>
    <s v="Not Done"/>
    <s v="NA"/>
    <s v="NA"/>
    <s v="Not Done"/>
    <s v="NA"/>
    <s v="NA"/>
    <s v="Not Done"/>
    <x v="1"/>
    <x v="1"/>
  </r>
  <r>
    <s v="Milestone 1"/>
    <s v="N"/>
    <x v="5"/>
    <s v="dbo"/>
    <s v="RAKCAS"/>
    <s v="RB_CSR_MISC_EXTTABLE"/>
    <m/>
    <n v="8.8999999999999996E-2"/>
    <s v="ITEMINDEX,ITEMTYPE"/>
    <s v="ITEMINDEX,ITEMTYPE"/>
    <m/>
    <s v="Y"/>
    <s v="Createddatetime column under Wfinstrumenttable"/>
    <s v="CRM_DEV.ibps.DBO_RB_CSR_MISC_EXTTABLE"/>
    <s v="Done"/>
    <s v="Done"/>
    <s v="Done"/>
    <s v="Done"/>
    <s v="Dev Done"/>
    <s v="NA"/>
    <s v="Not Done"/>
    <s v="Not Done"/>
    <s v="NA"/>
    <s v="Not Done"/>
    <s v="Not Done"/>
    <s v="NA"/>
    <x v="1"/>
    <x v="0"/>
  </r>
  <r>
    <s v="Milestone 1"/>
    <s v="N"/>
    <x v="5"/>
    <s v="dbo"/>
    <s v="RAKCAS"/>
    <s v="RB_DBO_EXTTABLE"/>
    <m/>
    <n v="8.2000000000000003E-2"/>
    <s v="ITEMINDEX,ITEMTYPE"/>
    <s v="ITEMINDEX,ITEMTYPE"/>
    <m/>
    <s v="Y"/>
    <s v="Createddatetime column under Wfinstrumenttable"/>
    <s v="CRM_DEV.ibps.DBO_RB_DBO_EXTTABLE"/>
    <s v="Done"/>
    <s v="Done"/>
    <s v="Done"/>
    <s v="Done"/>
    <s v="Dev Done"/>
    <s v="NA"/>
    <s v="Not Done"/>
    <s v="Not Done"/>
    <s v="NA"/>
    <s v="Not Done"/>
    <s v="Not Done"/>
    <s v="NA"/>
    <x v="1"/>
    <x v="0"/>
  </r>
  <r>
    <s v="Milestone 3"/>
    <s v="N"/>
    <x v="0"/>
    <s v="TBAADM"/>
    <s v="FINUAT"/>
    <s v="NAME_AND_ADD_TABLE"/>
    <m/>
    <n v="7.8E-2"/>
    <s v="ADDR_B2KID, ADDR_ID, BANK_ID"/>
    <s v="ADDR_B2KID"/>
    <m/>
    <s v="N"/>
    <s v="LCHG_TIME"/>
    <s v="CRM_DEV.finacle.TBAADM_NAME_AND_ADD_TABLE"/>
    <s v="Done"/>
    <s v="Done"/>
    <s v="Done"/>
    <s v="Done"/>
    <s v="Not Done"/>
    <s v="NA"/>
    <s v="Not Done"/>
    <s v="Not Done"/>
    <s v="NA"/>
    <s v="Not Done"/>
    <s v="Not Done"/>
    <s v="NA"/>
    <x v="1"/>
    <x v="1"/>
  </r>
  <r>
    <s v="Milestone 3"/>
    <s v="N"/>
    <x v="13"/>
    <s v="dbo"/>
    <s v="RAKICCS"/>
    <s v="Outward_ICCS"/>
    <m/>
    <n v="7.5999999999999998E-2"/>
    <s v="ItemType"/>
    <s v="ItemIndex,ItemType"/>
    <m/>
    <s v="Y"/>
    <s v="Scandate"/>
    <s v="CRM_DEV.iccs.DBO_OUTWARD_ICCS"/>
    <s v="Done"/>
    <s v="Done"/>
    <s v="Done"/>
    <s v="Done"/>
    <s v="Not Done"/>
    <s v="NA"/>
    <s v="Not Done"/>
    <s v="Not Done"/>
    <s v="NA"/>
    <s v="Not Done"/>
    <s v="Not Done"/>
    <s v="NA"/>
    <x v="1"/>
    <x v="1"/>
  </r>
  <r>
    <s v="TBD"/>
    <s v="N"/>
    <x v="12"/>
    <s v="TBAADM"/>
    <s v="WMS SIT"/>
    <s v="BO_CLOSING_PRICE_TBL"/>
    <m/>
    <n v="7.3999999999999996E-2"/>
    <s v="BOND_CODE, PRICE_DATE, SYMBOL, EXCHANGE_CODE"/>
    <s v="BOND_CODE,PRICE_DATE"/>
    <m/>
    <s v="N"/>
    <s v="LCHG_TIME"/>
    <m/>
    <s v="Not Done"/>
    <s v="Not Done"/>
    <s v="Not Done"/>
    <s v="Not Done"/>
    <s v="Not Done"/>
    <s v="NA"/>
    <s v="Not Done"/>
    <s v="Not Done"/>
    <s v="NA"/>
    <s v="Not Done"/>
    <s v="Not Done"/>
    <s v="NA"/>
    <x v="1"/>
    <x v="1"/>
  </r>
  <r>
    <s v="Milestone 1"/>
    <s v="N"/>
    <x v="5"/>
    <s v="dbo"/>
    <s v="RAKCAS"/>
    <s v="RB_EPP_EXTTABLE"/>
    <m/>
    <n v="7.2999999999999995E-2"/>
    <s v="ITEMINDEX,ITEMTYPE"/>
    <s v="ITEMINDEX,ITEMTYPE"/>
    <m/>
    <s v="Y"/>
    <s v="Createddatetime column under Wfinstrumenttable"/>
    <s v="CRM_DEV.ibps.DBO_RB_EPP_EXTTABLE"/>
    <s v="Done"/>
    <s v="Done"/>
    <s v="Done"/>
    <s v="Done"/>
    <s v="Dev Done"/>
    <s v="NA"/>
    <s v="Not Done"/>
    <s v="Not Done"/>
    <s v="NA"/>
    <s v="Not Done"/>
    <s v="Not Done"/>
    <s v="NA"/>
    <x v="1"/>
    <x v="0"/>
  </r>
  <r>
    <s v="Milestone 1"/>
    <s v="N"/>
    <x v="5"/>
    <s v="dbo"/>
    <s v="RAKCAS"/>
    <s v="RB_CSR_OCC_EXTTABLE"/>
    <m/>
    <n v="7.1999999999999995E-2"/>
    <s v="ITEMINDEX,ITEMTYPE"/>
    <s v="ITEMINDEX,ITEMTYPE"/>
    <m/>
    <s v="Y"/>
    <s v="Createddatetime column under Wfinstrumenttable"/>
    <s v="CRM_DEV.ibps.DBO_RB_CSR_OCC_EXTTABLE"/>
    <s v="Done"/>
    <s v="Done"/>
    <s v="Done"/>
    <s v="Done"/>
    <s v="Dev Done"/>
    <s v="NA"/>
    <s v="Not Done"/>
    <s v="Not Done"/>
    <s v="NA"/>
    <s v="Not Done"/>
    <s v="Not Done"/>
    <s v="NA"/>
    <x v="1"/>
    <x v="1"/>
  </r>
  <r>
    <s v="Milestone 1"/>
    <s v="N"/>
    <x v="5"/>
    <s v="dbo"/>
    <s v="RAKCAS"/>
    <s v="RB_iRBL_EXTTABLE"/>
    <m/>
    <n v="7.0000000000000007E-2"/>
    <s v="ITEMINDEX,ITEMTYPE"/>
    <s v="ITEMINDEX,ITEMTYPE"/>
    <m/>
    <s v="Y"/>
    <s v="Createddatetime column under Wfinstrumenttable"/>
    <s v="CRM_DEV.ibps.DBO_RB_IRBL_EXTTABLE"/>
    <s v="Done"/>
    <s v="Done"/>
    <s v="Done"/>
    <s v="Done"/>
    <s v="Dev Done"/>
    <s v="NA"/>
    <s v="Not Done"/>
    <s v="Not Done"/>
    <s v="NA"/>
    <s v="Not Done"/>
    <s v="Not Done"/>
    <s v="NA"/>
    <x v="1"/>
    <x v="0"/>
  </r>
  <r>
    <s v="Milestone 3"/>
    <s v="N"/>
    <x v="0"/>
    <s v="CUSTOM"/>
    <s v="FINUAT"/>
    <s v="CUST_CALBK"/>
    <m/>
    <n v="6.9000000000000006E-2"/>
    <s v="FORACID, PYMT_REF_NUM"/>
    <s v="FORACID, PYMT_REF_NUM"/>
    <m/>
    <s v="N"/>
    <s v="LCHG_TIME"/>
    <s v="CRM_DEV.finacle.CUSTOM_CUST_CALBK"/>
    <s v="Done"/>
    <s v="Done"/>
    <s v="Done"/>
    <s v="Done"/>
    <s v="Not Done"/>
    <s v="NA"/>
    <s v="Not Done"/>
    <s v="Not Done"/>
    <s v="NA"/>
    <s v="Not Done"/>
    <s v="Not Done"/>
    <s v="NA"/>
    <x v="1"/>
    <x v="1"/>
  </r>
  <r>
    <s v="Milestone 2"/>
    <s v="N"/>
    <x v="0"/>
    <s v="TBAADM"/>
    <s v="FINUAT"/>
    <s v="TD_ACCT_MASTER_TABLE"/>
    <m/>
    <n v="6.3E-2"/>
    <s v="LINK_OPER_ACCOUNT,RELATED_ACID,MASTER_B2K_ID,REPAYMENT_ACID,ACID, BANK_ID,SOL_ID, MATURITY_DATE_x000a_"/>
    <s v="ACID"/>
    <m/>
    <s v="N"/>
    <s v="LCHG_TIME"/>
    <s v="CRM_DEV.finacle.TBAADM_TD_ACCT_MASTER_TABLE"/>
    <s v="Done"/>
    <s v="Done"/>
    <s v="Done"/>
    <s v="Done"/>
    <s v="Done"/>
    <s v="NA"/>
    <s v="Not Done"/>
    <s v="Not Done"/>
    <s v="NA"/>
    <s v="Not Done"/>
    <s v="Not Done"/>
    <s v="NA"/>
    <x v="1"/>
    <x v="0"/>
  </r>
  <r>
    <s v="Milestone 1"/>
    <s v="N"/>
    <x v="5"/>
    <s v="dbo"/>
    <s v="RAKCAS"/>
    <s v="RB_CSR_CCC_EXTTABLE"/>
    <m/>
    <n v="6.3E-2"/>
    <s v="NA"/>
    <m/>
    <m/>
    <s v="Y"/>
    <s v="Createddatetime column under Wfinstrumenttable"/>
    <s v="CRM_DEV.ibps._RB_CSR_CCC_EXTTABLE"/>
    <s v="Done"/>
    <s v="Done"/>
    <s v="Done"/>
    <s v="Done"/>
    <s v="Dev Done"/>
    <s v="NA"/>
    <s v="Not Done"/>
    <s v="Not Done"/>
    <s v="NA"/>
    <s v="Not Done"/>
    <s v="Not Done"/>
    <s v="NA"/>
    <x v="1"/>
    <x v="1"/>
  </r>
  <r>
    <s v="Milestone 4"/>
    <s v="N"/>
    <x v="0"/>
    <s v="TBAADM"/>
    <s v="FINUAT"/>
    <s v="TD_DEFN_TABLE"/>
    <m/>
    <n v="6.3E-2"/>
    <s v="ACID, SRL_NUM, BANK_ID"/>
    <s v="ACID,SRL_NUM"/>
    <m/>
    <s v="N"/>
    <s v="LCHG_TIME"/>
    <s v="CRM_DEV.finacle.TBAADM_TD_DEFN_TABLE"/>
    <s v="Done"/>
    <s v="Done"/>
    <s v="Done"/>
    <s v="Done"/>
    <s v="Not Done"/>
    <s v="NA"/>
    <s v="Not Done"/>
    <s v="Not Done"/>
    <s v="NA"/>
    <s v="Not Done"/>
    <s v="Not Done"/>
    <s v="NA"/>
    <x v="1"/>
    <x v="1"/>
  </r>
  <r>
    <s v="TBD"/>
    <s v="N"/>
    <x v="0"/>
    <s v="CUSTOM"/>
    <s v="FINUAT"/>
    <s v="CUST_CBDSME_DOCDET_TABLE"/>
    <m/>
    <n v="6.0999999999999999E-2"/>
    <s v="LIMIT_B2KID,DOC_SRL_NUM,BANK_ID"/>
    <s v="DOC_SRL_NUM"/>
    <m/>
    <s v="N"/>
    <s v="LCHG_TIME"/>
    <m/>
    <s v="Done"/>
    <s v="Done"/>
    <s v="Done"/>
    <s v="Done"/>
    <s v="Not Done"/>
    <s v="NA"/>
    <s v="Not Done"/>
    <s v="Not Done"/>
    <s v="NA"/>
    <s v="Not Done"/>
    <s v="Not Done"/>
    <s v="NA"/>
    <x v="1"/>
    <x v="0"/>
  </r>
  <r>
    <s v="Milestone 3"/>
    <s v="N"/>
    <x v="0"/>
    <s v="TBAADM"/>
    <s v="FINUAT"/>
    <s v="LOGIN_TABLE"/>
    <m/>
    <n v="6.0999999999999999E-2"/>
    <s v="USER_ID, ROLE_ID, SESSION_ID"/>
    <s v="USER_ID, ROLE_ID, SESSION_ID"/>
    <m/>
    <s v="N"/>
    <m/>
    <s v="CRM_DEV.finacle.TBAADM_LOGIN_TABLE"/>
    <s v="Done"/>
    <s v="Done"/>
    <s v="Done"/>
    <s v="Done"/>
    <s v="Not Done"/>
    <s v="NA"/>
    <s v="Not Done"/>
    <s v="Not Done"/>
    <s v="NA"/>
    <s v="Not Done"/>
    <s v="Not Done"/>
    <s v="NA"/>
    <x v="1"/>
    <x v="1"/>
  </r>
  <r>
    <s v="TBD"/>
    <s v="N"/>
    <x v="0"/>
    <s v="CUSTOM"/>
    <s v="FINUAT"/>
    <s v="CUST_CASA_PACKAGE_CHRG_HIS"/>
    <m/>
    <n v="5.8999999999999997E-2"/>
    <s v="FORACID, EVENT_ID"/>
    <s v=" "/>
    <m/>
    <s v="N"/>
    <s v="LCHG_TIME"/>
    <m/>
    <s v="Done"/>
    <s v="Done"/>
    <s v="Done"/>
    <s v="Done"/>
    <s v="Not Done"/>
    <s v="NA"/>
    <s v="Not Done"/>
    <s v="Not Done"/>
    <s v="NA"/>
    <s v="Not Done"/>
    <s v="Not Done"/>
    <s v="NA"/>
    <x v="1"/>
    <x v="1"/>
  </r>
  <r>
    <s v="TBD"/>
    <s v="N"/>
    <x v="2"/>
    <m/>
    <s v="Dealing"/>
    <s v="Content"/>
    <m/>
    <n v="5.8999999999999997E-2"/>
    <m/>
    <s v="CONTENTID"/>
    <m/>
    <m/>
    <m/>
    <m/>
    <s v="Done"/>
    <s v="Done"/>
    <s v="Done"/>
    <s v="Not Done"/>
    <s v="Not Done"/>
    <s v="NA"/>
    <s v="Not Done"/>
    <s v="Not Done"/>
    <s v="NA"/>
    <s v="Not Done"/>
    <s v="Not Done"/>
    <s v="NA"/>
    <x v="1"/>
    <x v="1"/>
  </r>
  <r>
    <s v="Milestone 2"/>
    <s v="N"/>
    <x v="0"/>
    <s v="TBAADM"/>
    <s v="FINUAT"/>
    <s v="SBCA_MAST_TABLE"/>
    <m/>
    <n v="5.6000000000000001E-2"/>
    <s v="ACID, BANK_ID"/>
    <s v="ACID"/>
    <m/>
    <s v="N"/>
    <s v="LCHG_TIME"/>
    <s v="CRM_DEV.finacle.TBAADM_SBCA_MAST_TABLE"/>
    <s v="Done"/>
    <s v="Done"/>
    <s v="Done"/>
    <s v="Done"/>
    <s v="Done"/>
    <s v="NA"/>
    <s v="Not Done"/>
    <s v="Not Done"/>
    <s v="NA"/>
    <s v="Not Done"/>
    <s v="Not Done"/>
    <s v="NA"/>
    <x v="1"/>
    <x v="0"/>
  </r>
  <r>
    <s v="TBD"/>
    <s v="N"/>
    <x v="3"/>
    <s v="dbo"/>
    <s v="npss-customer-mgmt"/>
    <s v="NPSS_MerchantMaster"/>
    <m/>
    <n v="5.6000000000000001E-2"/>
    <s v="CIFNumber"/>
    <s v=" "/>
    <m/>
    <s v="N"/>
    <s v="EnrolledOn"/>
    <m/>
    <s v="Not Done"/>
    <s v="Not Done"/>
    <s v="Not Done"/>
    <s v="Not Done"/>
    <s v="Not Done"/>
    <s v="NA"/>
    <s v="Not Done"/>
    <s v="Not Done"/>
    <s v="NA"/>
    <s v="Not Done"/>
    <s v="Not Done"/>
    <s v="NA"/>
    <x v="1"/>
    <x v="1"/>
  </r>
  <r>
    <s v="Milestone 1"/>
    <s v="N"/>
    <x v="5"/>
    <s v="dbo"/>
    <s v="RAKCAS"/>
    <s v="RB_AO_EXTTABLE"/>
    <m/>
    <n v="5.1999999999999998E-2"/>
    <s v="ITEMINDEX,ITEMTYPE"/>
    <s v="ITEMINDEX,ITEMTYPE"/>
    <m/>
    <s v="Y"/>
    <s v="Createddatetime column under Wfinstrumenttable"/>
    <s v="CRM_DEV.ibps.DBO_RB_AO_EXTTABLE"/>
    <s v="Done"/>
    <s v="Done"/>
    <s v="Done"/>
    <s v="Done"/>
    <s v="Dev Done"/>
    <s v="NA"/>
    <s v="Not Done"/>
    <s v="Not Done"/>
    <s v="NA"/>
    <s v="Not Done"/>
    <s v="Not Done"/>
    <s v="NA"/>
    <x v="1"/>
    <x v="1"/>
  </r>
  <r>
    <s v="Milestone 1"/>
    <s v="N"/>
    <x v="5"/>
    <s v="dbo"/>
    <s v="RAKCAS"/>
    <s v="NG_TS_EXTTABLE"/>
    <m/>
    <n v="5.0999999999999997E-2"/>
    <s v="ITEMINDEX,ITEMTYPE"/>
    <s v="ITEMINDEX,ITEMTYPE"/>
    <m/>
    <s v="Y"/>
    <s v="Createddatetime column under Wfinstrumenttable"/>
    <s v="CRM_DEV.ibps.DBO_NG_TS_EXTTABLE"/>
    <s v="Done"/>
    <s v="Done"/>
    <s v="Done"/>
    <s v="Done"/>
    <s v="Dev Done"/>
    <s v="NA"/>
    <s v="Not Done"/>
    <s v="Not Done"/>
    <s v="NA"/>
    <s v="Not Done"/>
    <s v="Not Done"/>
    <s v="NA"/>
    <x v="1"/>
    <x v="1"/>
  </r>
  <r>
    <s v="Milestone 4"/>
    <s v="Y"/>
    <x v="10"/>
    <s v="CPPUSER"/>
    <s v="CPPSUAT"/>
    <s v="SI_DETAILS"/>
    <s v="CPPS has integration issue and it is not itegrated yet"/>
    <n v="4.9804688E-2"/>
    <s v="SI_REFERENCE"/>
    <s v=" "/>
    <m/>
    <m/>
    <m/>
    <m/>
    <s v="NA"/>
    <s v="NA"/>
    <s v="NA"/>
    <s v="NA"/>
    <s v="NA"/>
    <s v="Not Done"/>
    <s v="NA"/>
    <s v="NA"/>
    <s v="Not Done"/>
    <s v="NA"/>
    <s v="NA"/>
    <s v="Not Done"/>
    <x v="1"/>
    <x v="1"/>
  </r>
  <r>
    <s v="Milestone 3"/>
    <s v="N"/>
    <x v="0"/>
    <s v="CRMUSER"/>
    <s v="FINUAT"/>
    <s v="preferences"/>
    <m/>
    <n v="4.7E-2"/>
    <s v="PREFERENCE_ID, BANK_ID"/>
    <s v="PREFERENCE,BANK_ID"/>
    <m/>
    <s v="N"/>
    <s v="BODATEMODIFIED"/>
    <s v="CRM_DEV.finacle.CRMUSER_PREFERENCES"/>
    <s v="Done"/>
    <s v="Done"/>
    <s v="Done"/>
    <s v="Done"/>
    <s v="Not Done"/>
    <s v="NA"/>
    <s v="Not Done"/>
    <s v="Not Done"/>
    <s v="NA"/>
    <s v="Not Done"/>
    <s v="Not Done"/>
    <s v="NA"/>
    <x v="1"/>
    <x v="0"/>
  </r>
  <r>
    <s v="Milestone 3"/>
    <s v="N"/>
    <x v="0"/>
    <s v="CRMUSER"/>
    <s v="FINUAT"/>
    <s v="entityrelationship"/>
    <m/>
    <n v="4.4999999999999998E-2"/>
    <s v="ENTITYRELATIONSHIPID, BANK_ID"/>
    <s v="ENTITYRELATIONSHIPID,BANK_ID"/>
    <m/>
    <s v="N"/>
    <s v="BODATEMODIFIED"/>
    <s v="CRM_DEV.finacle.CRMUSER_ENTITYRELATIONSHIP"/>
    <s v="Done"/>
    <s v="Done"/>
    <s v="Done"/>
    <s v="Done"/>
    <s v="Not Done"/>
    <s v="NA"/>
    <s v="Not Done"/>
    <s v="Not Done"/>
    <s v="NA"/>
    <s v="Not Done"/>
    <s v="Not Done"/>
    <s v="NA"/>
    <x v="1"/>
    <x v="1"/>
  </r>
  <r>
    <s v="TBD"/>
    <s v="N"/>
    <x v="0"/>
    <s v="TBAADM"/>
    <s v="FINUAT"/>
    <s v="LIMIT_LIAB_TABLE"/>
    <m/>
    <n v="4.2999999999999997E-2"/>
    <s v="LIMIT_B2KID, BANK_ID"/>
    <s v="LIMIT_B2KID"/>
    <m/>
    <s v="N"/>
    <s v="LCHG_TIME"/>
    <m/>
    <s v="Done"/>
    <s v="Done"/>
    <s v="Done"/>
    <s v="Done"/>
    <s v="Not Done"/>
    <s v="NA"/>
    <s v="Not Done"/>
    <s v="Not Done"/>
    <s v="NA"/>
    <s v="Not Done"/>
    <s v="Not Done"/>
    <s v="NA"/>
    <x v="1"/>
    <x v="1"/>
  </r>
  <r>
    <s v="TBD"/>
    <s v="N"/>
    <x v="0"/>
    <s v="TBAADM"/>
    <s v="FINUAT"/>
    <s v="STANDALONE_COLL_MNT_TABLE"/>
    <m/>
    <n v="3.6999999999999998E-2"/>
    <s v="SECU_LINKAGE_TYPE, ACID, LIMIT_B2KID, SECU_SRL_NUM"/>
    <s v="SECU_SRL_NUM"/>
    <m/>
    <s v="N"/>
    <s v="LCHG_TIME"/>
    <m/>
    <s v="Done"/>
    <s v="Done"/>
    <s v="Done"/>
    <s v="Done"/>
    <s v="Not Done"/>
    <s v="NA"/>
    <s v="Not Done"/>
    <s v="Not Done"/>
    <s v="NA"/>
    <s v="Not Done"/>
    <s v="Not Done"/>
    <s v="NA"/>
    <x v="1"/>
    <x v="0"/>
  </r>
  <r>
    <s v="TBD"/>
    <s v="N"/>
    <x v="0"/>
    <s v="CRMUSER"/>
    <s v="FINUAT"/>
    <s v="FINANCIAL"/>
    <m/>
    <n v="3.5000000000000003E-2"/>
    <s v="FINANCIAL_ID, BANK_ID"/>
    <s v="FINANCIAL_ID,BANK_ID"/>
    <m/>
    <s v="N"/>
    <s v="BODATEMODIFIED"/>
    <m/>
    <s v="Done"/>
    <s v="Done"/>
    <s v="Done"/>
    <s v="Done"/>
    <s v="Not Done"/>
    <s v="NA"/>
    <s v="Not Done"/>
    <s v="Not Done"/>
    <s v="NA"/>
    <s v="Not Done"/>
    <s v="Not Done"/>
    <s v="NA"/>
    <x v="1"/>
    <x v="0"/>
  </r>
  <r>
    <s v="Milestone 3"/>
    <s v="N"/>
    <x v="0"/>
    <s v="CUSTOM"/>
    <s v="FINUAT"/>
    <s v="C_PORDM_DELETE"/>
    <m/>
    <n v="3.4000000000000002E-2"/>
    <s v="PYMT_REF_NUM"/>
    <m/>
    <m/>
    <s v="N"/>
    <s v="Its a custom table and dependent on PROD/PORH table, mapping field pymt_ref_num"/>
    <s v="CRM_DEV.finacle.CUSTOM_C_PORDM_DELETE"/>
    <s v="Done"/>
    <s v="Done"/>
    <s v="Done"/>
    <s v="Done"/>
    <s v="Not Done"/>
    <s v="NA"/>
    <s v="Not Done"/>
    <s v="Not Done"/>
    <s v="NA"/>
    <s v="Not Done"/>
    <s v="Not Done"/>
    <s v="NA"/>
    <x v="1"/>
    <x v="1"/>
  </r>
  <r>
    <s v="Milestone 1"/>
    <s v="N"/>
    <x v="5"/>
    <s v="dbo"/>
    <s v="RAKCAS"/>
    <s v="RB_ML_EXTTABLE"/>
    <m/>
    <n v="3.4000000000000002E-2"/>
    <s v="ITEMINDEX,ITEMTYPE"/>
    <s v="ITEMINDEX,ITEMTYPE"/>
    <m/>
    <s v="Y"/>
    <s v="Createddatetime column under Wfinstrumenttable"/>
    <s v="CRM_DEV.ibps.DBO_RB_ML_EXTTABLE"/>
    <s v="Done"/>
    <s v="Done"/>
    <s v="Done"/>
    <s v="Done"/>
    <s v="Dev Done"/>
    <s v="NA"/>
    <s v="Not Done"/>
    <s v="Not Done"/>
    <s v="NA"/>
    <s v="Not Done"/>
    <s v="Not Done"/>
    <s v="NA"/>
    <x v="1"/>
    <x v="1"/>
  </r>
  <r>
    <s v="TBD"/>
    <s v="N"/>
    <x v="12"/>
    <s v="TBAADM"/>
    <s v="WMS SIT"/>
    <s v="IN_TRAN_PREMIUM_TABLE"/>
    <m/>
    <n v="3.4000000000000002E-2"/>
    <s v="NA"/>
    <s v="TRAN_ID"/>
    <m/>
    <s v="Y"/>
    <s v="LCHG_TIME"/>
    <m/>
    <s v="Not Done"/>
    <s v="Not Done"/>
    <s v="Not Done"/>
    <s v="Not Done"/>
    <s v="Not Done"/>
    <s v="NA"/>
    <s v="Not Done"/>
    <s v="Not Done"/>
    <s v="NA"/>
    <s v="Not Done"/>
    <s v="Not Done"/>
    <s v="NA"/>
    <x v="1"/>
    <x v="1"/>
  </r>
  <r>
    <s v="TBD"/>
    <s v="N"/>
    <x v="0"/>
    <s v="TBAADM"/>
    <s v="FINUAT"/>
    <s v="SECU_DETAIL_RGTR_TABLE"/>
    <m/>
    <n v="3.4000000000000002E-2"/>
    <s v="NA"/>
    <s v="SECU_LINKAGE_TYPE, ACID, LIMIT_B2KID, SECU_SRL_NUM, BANK_ID"/>
    <m/>
    <s v="N"/>
    <s v="LCHG_TIME"/>
    <m/>
    <s v="Done"/>
    <s v="Done"/>
    <s v="Done"/>
    <s v="Done"/>
    <s v="Not Done"/>
    <s v="NA"/>
    <s v="Not Done"/>
    <s v="Not Done"/>
    <s v="NA"/>
    <s v="Not Done"/>
    <s v="Not Done"/>
    <s v="NA"/>
    <x v="1"/>
    <x v="0"/>
  </r>
  <r>
    <s v="TBD"/>
    <s v="Y"/>
    <x v="9"/>
    <s v="FIN_LEAM"/>
    <s v="RLSPROD"/>
    <s v="LEA_ASSET_M"/>
    <m/>
    <n v="3.3000000000000002E-2"/>
    <m/>
    <s v="ASSETID"/>
    <m/>
    <s v="N"/>
    <m/>
    <m/>
    <s v="NA"/>
    <s v="NA"/>
    <s v="NA"/>
    <s v="NA"/>
    <s v="NA"/>
    <s v="Not Done"/>
    <s v="NA"/>
    <s v="NA"/>
    <s v="Not Done"/>
    <s v="NA"/>
    <s v="NA"/>
    <s v="Not Done"/>
    <x v="1"/>
    <x v="1"/>
  </r>
  <r>
    <s v="TBD"/>
    <s v="Y"/>
    <x v="9"/>
    <s v="FIN_LEAM"/>
    <s v="RLSPROD"/>
    <s v="LEA_TERMINATION_DTL"/>
    <m/>
    <n v="3.2000000000000001E-2"/>
    <m/>
    <s v="AGREEMENTID"/>
    <m/>
    <s v="N"/>
    <m/>
    <m/>
    <s v="NA"/>
    <s v="NA"/>
    <s v="NA"/>
    <s v="NA"/>
    <s v="NA"/>
    <s v="Not Done"/>
    <s v="NA"/>
    <s v="NA"/>
    <s v="Not Done"/>
    <s v="NA"/>
    <s v="NA"/>
    <s v="Not Done"/>
    <x v="1"/>
    <x v="1"/>
  </r>
  <r>
    <s v="Milestone 4"/>
    <s v="N"/>
    <x v="0"/>
    <s v="TBAADM"/>
    <s v="FINUAT"/>
    <s v="AMT_DRV_METHOD_TBL"/>
    <m/>
    <n v="3.1E-2"/>
    <s v="AMT_DRV_SRL_NUM, BANK_ID"/>
    <s v="AMT_DRV_SRL_NUM"/>
    <m/>
    <s v="N"/>
    <s v="LCHG_TIME"/>
    <s v="CRM_DEV.finacle.TBAADM_AMT_DRV_METHOD_TBL"/>
    <s v="Done"/>
    <s v="Done"/>
    <s v="Done"/>
    <s v="Done"/>
    <s v="Not Done"/>
    <s v="NA"/>
    <s v="Not Done"/>
    <s v="Not Done"/>
    <s v="NA"/>
    <s v="Not Done"/>
    <s v="Not Done"/>
    <s v="NA"/>
    <x v="1"/>
    <x v="1"/>
  </r>
  <r>
    <s v="TBD"/>
    <s v="Y"/>
    <x v="9"/>
    <s v="FIN_LEAM"/>
    <s v="RLSPROD"/>
    <s v="CR_DECISION_M"/>
    <m/>
    <n v="3.1E-2"/>
    <m/>
    <s v="BRANCHID,APPID"/>
    <m/>
    <s v="N"/>
    <m/>
    <m/>
    <s v="NA"/>
    <s v="NA"/>
    <s v="NA"/>
    <s v="NA"/>
    <s v="NA"/>
    <s v="Not Done"/>
    <s v="NA"/>
    <s v="NA"/>
    <s v="Not Done"/>
    <s v="NA"/>
    <s v="NA"/>
    <s v="Not Done"/>
    <x v="1"/>
    <x v="1"/>
  </r>
  <r>
    <s v="TBD"/>
    <s v="Y"/>
    <x v="9"/>
    <s v="RAK_JSITPH3"/>
    <s v="RLSPROD"/>
    <s v="EARLY_SETTLEMENT"/>
    <m/>
    <n v="3.1E-2"/>
    <m/>
    <m/>
    <m/>
    <s v="Y"/>
    <m/>
    <s v="CRM_DEV.rls.RAK_JSITPH3_CS_CASE_INFO"/>
    <s v="NA"/>
    <s v="NA"/>
    <s v="NA"/>
    <s v="NA"/>
    <s v="NA"/>
    <s v="Not Done"/>
    <s v="NA"/>
    <s v="NA"/>
    <s v="Not Done"/>
    <s v="NA"/>
    <s v="NA"/>
    <s v="Not Done"/>
    <x v="1"/>
    <x v="1"/>
  </r>
  <r>
    <s v="Milestone 1"/>
    <s v="N"/>
    <x v="5"/>
    <s v="dbo"/>
    <s v="RAKCAS"/>
    <s v="RB_DBS_EXTTABLE"/>
    <m/>
    <n v="2.9000000000000001E-2"/>
    <s v="NA"/>
    <m/>
    <m/>
    <s v="Y"/>
    <s v="Createddatetime column under Wfinstrumenttable"/>
    <s v="CRM_DEV.ibps._RB_DBS_EXTTABLE"/>
    <s v="Done"/>
    <s v="Done"/>
    <s v="Done"/>
    <s v="Done"/>
    <s v="Dev Done"/>
    <s v="NA"/>
    <s v="Not Done"/>
    <s v="Not Done"/>
    <s v="NA"/>
    <s v="Not Done"/>
    <s v="Not Done"/>
    <s v="NA"/>
    <x v="1"/>
    <x v="1"/>
  </r>
  <r>
    <s v="TBD"/>
    <s v="N"/>
    <x v="0"/>
    <s v="TBAADM"/>
    <s v="FINUAT"/>
    <s v="LIMIT_DOC_TABLE"/>
    <m/>
    <n v="2.9000000000000001E-2"/>
    <s v="NA"/>
    <s v="LIMIT_B2KID,DOC_SRL_NUM"/>
    <m/>
    <s v="N"/>
    <s v="LCHG_TIME"/>
    <m/>
    <s v="Done"/>
    <s v="Done"/>
    <s v="Done"/>
    <s v="Done"/>
    <s v="Not Done"/>
    <s v="NA"/>
    <s v="Not Done"/>
    <s v="Not Done"/>
    <s v="NA"/>
    <s v="Not Done"/>
    <s v="Not Done"/>
    <s v="NA"/>
    <x v="1"/>
    <x v="0"/>
  </r>
  <r>
    <s v="Milestone 3"/>
    <s v="N"/>
    <x v="13"/>
    <s v="dbo"/>
    <s v="RAKICCS"/>
    <s v="Inward_Ext_Tab"/>
    <m/>
    <n v="2.5999999999999999E-2"/>
    <s v="ItemIndex, ItemType"/>
    <s v="ItemIndex,ItemType"/>
    <m/>
    <s v="Y"/>
    <s v="ecesettlementdate"/>
    <s v="CRM_DEV.iccs.DBO_INWARD_EXT_TAB"/>
    <s v="Done"/>
    <s v="Done"/>
    <s v="Done"/>
    <s v="Done"/>
    <s v="Not Done"/>
    <s v="NA"/>
    <s v="Not Done"/>
    <s v="Not Done"/>
    <s v="NA"/>
    <s v="Not Done"/>
    <s v="Not Done"/>
    <s v="NA"/>
    <x v="1"/>
    <x v="1"/>
  </r>
  <r>
    <s v="Milestone 1"/>
    <s v="N"/>
    <x v="5"/>
    <s v="dbo"/>
    <s v="RAKCAS"/>
    <s v="RB_GSR_LCOL_EXTTABLE"/>
    <m/>
    <n v="2.5999999999999999E-2"/>
    <s v="NA"/>
    <m/>
    <m/>
    <s v="Y"/>
    <s v="Createddatetime column under Wfinstrumenttable"/>
    <s v="CRM_DEV.ibps._RB_GSR_LCOL_EXTTABLE"/>
    <s v="NA"/>
    <s v="NA"/>
    <s v="NA"/>
    <s v="NA"/>
    <s v="NA"/>
    <s v="NA"/>
    <s v="Not Done"/>
    <s v="Not Done"/>
    <s v="NA"/>
    <s v="Not Done"/>
    <s v="Not Done"/>
    <s v="NA"/>
    <x v="1"/>
    <x v="1"/>
  </r>
  <r>
    <s v="Milestone 1"/>
    <s v="N"/>
    <x v="5"/>
    <s v="dbo"/>
    <s v="RAKCAS"/>
    <s v="RB_TWC_EXTTABLE"/>
    <m/>
    <n v="2.5999999999999999E-2"/>
    <s v="ITEMINDEX,ITEMTYPE"/>
    <s v="ITEMINDEX,ITEMTYPE"/>
    <m/>
    <s v="Y"/>
    <s v="Createddatetime column under Wfinstrumenttable"/>
    <s v="CRM_DEV.ibps.DBO_RB_TWC_EXTTABLE"/>
    <s v="Done"/>
    <s v="Done"/>
    <s v="Done"/>
    <s v="Done"/>
    <s v="Dev Done"/>
    <s v="NA"/>
    <s v="Not Done"/>
    <s v="Not Done"/>
    <s v="NA"/>
    <s v="Not Done"/>
    <s v="Not Done"/>
    <s v="NA"/>
    <x v="1"/>
    <x v="1"/>
  </r>
  <r>
    <s v="TBD"/>
    <s v="N"/>
    <x v="0"/>
    <s v="TBAADM"/>
    <s v="FINUAT"/>
    <s v="LA_ACCT_MAST_TABLE"/>
    <m/>
    <n v="2.5999999999999999E-2"/>
    <s v="NA"/>
    <s v="ACID"/>
    <m/>
    <s v="N"/>
    <s v="LCHG_TIME"/>
    <m/>
    <s v="Done"/>
    <s v="Done"/>
    <s v="Done"/>
    <s v="Done"/>
    <s v="Not Done"/>
    <s v="NA"/>
    <s v="Not Done"/>
    <s v="Not Done"/>
    <s v="NA"/>
    <s v="Not Done"/>
    <s v="Not Done"/>
    <s v="NA"/>
    <x v="1"/>
    <x v="0"/>
  </r>
  <r>
    <s v="Milestone 1"/>
    <s v="Y"/>
    <x v="4"/>
    <s v="ECECUSER"/>
    <s v="CNVGNIB"/>
    <s v="MULTI_LEVEL_WORKFLOW_TABLE"/>
    <m/>
    <n v="2.4E-2"/>
    <s v="BANK_ID,TXN_KEY"/>
    <m/>
    <m/>
    <s v="N"/>
    <s v=" "/>
    <s v="CRM_DEV.digital_banking_admin.ECECUSER_MULTI_LEVEL_WORKFLOW_TABLE"/>
    <s v="NA"/>
    <s v="NA"/>
    <s v="NA"/>
    <s v="NA"/>
    <s v="Done"/>
    <s v="Done"/>
    <s v="Not Done"/>
    <s v="NA"/>
    <s v="Not Done"/>
    <s v="Not Done"/>
    <s v="NA"/>
    <s v="Not Done"/>
    <x v="1"/>
    <x v="1"/>
  </r>
  <r>
    <s v="Milestone 1"/>
    <s v="Y"/>
    <x v="9"/>
    <s v="FIN_LEAM"/>
    <s v="RLSPROD"/>
    <s v="LEA_APPL_DTL"/>
    <m/>
    <n v="2.4E-2"/>
    <s v="Agreementid"/>
    <s v="APPLID"/>
    <m/>
    <s v="N"/>
    <s v=" "/>
    <s v="CRM_DEV.rls.FIN_LEAM_LEA_APPL_DTL"/>
    <s v="NA"/>
    <s v="NA"/>
    <s v="NA"/>
    <s v="NA"/>
    <s v="NA"/>
    <s v="Done"/>
    <s v="Not Done"/>
    <s v="NA"/>
    <s v="Not Done"/>
    <s v="Not Done"/>
    <s v="NA"/>
    <s v="Not Done"/>
    <x v="1"/>
    <x v="1"/>
  </r>
  <r>
    <s v="Milestone 1"/>
    <s v="N"/>
    <x v="5"/>
    <s v="dbo"/>
    <s v="RAKCAS"/>
    <s v="RB_DSR_ODC_EXTTABLE"/>
    <m/>
    <n v="2.1000000000000001E-2"/>
    <s v="NA"/>
    <m/>
    <m/>
    <s v="Y"/>
    <s v="Createddatetime column under Wfinstrumenttable"/>
    <s v="CRM_DEV.ibps._RB_DSR_ODC_EXTTABLE"/>
    <s v="Done"/>
    <s v="Done"/>
    <s v="Done"/>
    <s v="Done"/>
    <s v="Dev Done"/>
    <s v="NA"/>
    <s v="Not Done"/>
    <s v="Not Done"/>
    <s v="NA"/>
    <s v="Not Done"/>
    <s v="Not Done"/>
    <s v="NA"/>
    <x v="1"/>
    <x v="1"/>
  </r>
  <r>
    <s v="Milestone 1"/>
    <s v="N"/>
    <x v="5"/>
    <s v="dbo"/>
    <s v="RAKCAS"/>
    <s v="NG_DPL_EXTTABLE"/>
    <m/>
    <n v="2.1000000000000001E-2"/>
    <s v="ITEMINDEX,ITEMTYPE"/>
    <s v="ITEMINDEX,ITEMTYPE"/>
    <m/>
    <s v="Y"/>
    <s v="Createddatetime column under Wfinstrumenttable"/>
    <s v="CRM_DEV.ibps.DBO_NG_DPL_EXTTABLE"/>
    <s v="Done"/>
    <s v="Done"/>
    <s v="Done"/>
    <s v="Done"/>
    <s v="Dev Done"/>
    <s v="NA"/>
    <s v="Not Done"/>
    <s v="Not Done"/>
    <s v="NA"/>
    <s v="Not Done"/>
    <s v="Not Done"/>
    <s v="NA"/>
    <x v="1"/>
    <x v="1"/>
  </r>
  <r>
    <s v="TBD"/>
    <s v="N"/>
    <x v="2"/>
    <m/>
    <s v="Dealing"/>
    <s v="WrmRequest"/>
    <m/>
    <n v="0.02"/>
    <m/>
    <s v=" "/>
    <m/>
    <m/>
    <m/>
    <m/>
    <s v="Done"/>
    <s v="Done"/>
    <s v="Done"/>
    <s v="Not Done"/>
    <s v="Not Done"/>
    <s v="NA"/>
    <s v="Not Done"/>
    <s v="Not Done"/>
    <s v="NA"/>
    <s v="Not Done"/>
    <s v="Not Done"/>
    <s v="NA"/>
    <x v="1"/>
    <x v="1"/>
  </r>
  <r>
    <s v="Milestone 1"/>
    <s v="N"/>
    <x v="5"/>
    <s v="dbo"/>
    <s v="RAKCAS"/>
    <s v="RB_DA_Exttable"/>
    <m/>
    <n v="1.9E-2"/>
    <s v="NA"/>
    <m/>
    <m/>
    <s v="Y"/>
    <s v="Createddatetime column under Wfinstrumenttable"/>
    <s v="CRM_DEV.ibps._RB_DA_EXTTABLE"/>
    <s v="Done"/>
    <s v="Done"/>
    <s v="Done"/>
    <s v="Done"/>
    <s v="Dev Done"/>
    <s v="NA"/>
    <s v="Not Done"/>
    <s v="Not Done"/>
    <s v="NA"/>
    <s v="Not Done"/>
    <s v="Not Done"/>
    <s v="NA"/>
    <x v="1"/>
    <x v="1"/>
  </r>
  <r>
    <s v="Milestone 4"/>
    <s v="N"/>
    <x v="1"/>
    <s v="TCTDBS"/>
    <s v="PRIMEDB"/>
    <s v="cTrxnRewardGifts"/>
    <m/>
    <n v="1.9E-2"/>
    <s v="NA"/>
    <s v=" "/>
    <m/>
    <s v="N"/>
    <m/>
    <m/>
    <s v="Done"/>
    <s v="Done"/>
    <s v="Done"/>
    <s v="Not Done"/>
    <s v="Not Done"/>
    <s v="NA"/>
    <s v="Not Done"/>
    <s v="Not Done"/>
    <s v="NA"/>
    <s v="Not Done"/>
    <s v="Not Done"/>
    <s v="NA"/>
    <x v="1"/>
    <x v="1"/>
  </r>
  <r>
    <s v="TBD"/>
    <s v="N"/>
    <x v="8"/>
    <s v="DEHUSEROB"/>
    <s v="rakdehsit"/>
    <s v="COMMONCODES"/>
    <m/>
    <n v="1.8433000000000001E-2"/>
    <m/>
    <s v=" "/>
    <m/>
    <m/>
    <m/>
    <m/>
    <s v="Not Done"/>
    <s v="Not Done"/>
    <s v="Not Done"/>
    <s v="Not Done"/>
    <s v="Not Done"/>
    <s v="NA"/>
    <s v="Not Done"/>
    <s v="Not Done"/>
    <s v="NA"/>
    <s v="Not Done"/>
    <s v="Not Done"/>
    <s v="NA"/>
    <x v="1"/>
    <x v="1"/>
  </r>
  <r>
    <s v="Milestone 3"/>
    <s v="N"/>
    <x v="0"/>
    <s v="TBAADM"/>
    <s v="FINUAT"/>
    <s v="ML_MMSG_TBL"/>
    <m/>
    <n v="1.7999999999999999E-2"/>
    <s v="MSG_LITERAL, SOURCE_TYPE, MSG_ID"/>
    <s v="MSG_ID"/>
    <m/>
    <s v="N"/>
    <m/>
    <s v="CRM_DEV.finacle.TBAADM_ML_MMSG_TBL"/>
    <s v="Done"/>
    <s v="Done"/>
    <s v="Done"/>
    <s v="Done"/>
    <s v="Not Done"/>
    <s v="NA"/>
    <s v="Not Done"/>
    <s v="Not Done"/>
    <s v="NA"/>
    <s v="Not Done"/>
    <s v="Not Done"/>
    <s v="NA"/>
    <x v="1"/>
    <x v="1"/>
  </r>
  <r>
    <s v="Milestone 1"/>
    <s v="N"/>
    <x v="5"/>
    <s v="dbo"/>
    <s v="RAKCAS"/>
    <s v="RB_CMS_EXTTABLE"/>
    <m/>
    <n v="1.7000000000000001E-2"/>
    <s v="ITEMINDEX,ITEMTYPE"/>
    <s v="ITEMINDEX,ITEMTYPE"/>
    <m/>
    <s v="Y"/>
    <s v="Createddatetime column under Wfinstrumenttable"/>
    <s v="CRM_DEV.ibps.DBO_RB_CMS_EXTTABLE"/>
    <s v="Done"/>
    <s v="Done"/>
    <s v="Done"/>
    <s v="Done"/>
    <s v="Dev Done"/>
    <s v="NA"/>
    <s v="Not Done"/>
    <s v="Not Done"/>
    <s v="NA"/>
    <s v="Not Done"/>
    <s v="Not Done"/>
    <s v="NA"/>
    <x v="1"/>
    <x v="1"/>
  </r>
  <r>
    <s v="TBD"/>
    <s v="Y"/>
    <x v="4"/>
    <s v="ECECUSER"/>
    <s v="CNVGNIB"/>
    <s v="COMMONCODES"/>
    <m/>
    <n v="1.6448999999999998E-2"/>
    <s v="BANK_ID, CM_CODE, LANG_ID, CODE_TYPE"/>
    <s v=" "/>
    <m/>
    <s v="N"/>
    <m/>
    <m/>
    <s v="NA"/>
    <s v="NA"/>
    <s v="NA"/>
    <s v="NA"/>
    <s v="NA"/>
    <s v="Not Done"/>
    <s v="NA"/>
    <s v="NA"/>
    <s v="Not Done"/>
    <s v="NA"/>
    <s v="NA"/>
    <s v="Not Done"/>
    <x v="1"/>
    <x v="1"/>
  </r>
  <r>
    <s v="TBD"/>
    <s v="Y"/>
    <x v="9"/>
    <s v="FIN_LEAM"/>
    <s v="RLSPROD"/>
    <s v="LEA_ASSET_DTL"/>
    <m/>
    <n v="1.6E-2"/>
    <m/>
    <s v="ASSETID"/>
    <m/>
    <s v="N"/>
    <m/>
    <m/>
    <s v="NA"/>
    <s v="NA"/>
    <s v="NA"/>
    <s v="NA"/>
    <s v="NA"/>
    <s v="Not Done"/>
    <s v="NA"/>
    <s v="NA"/>
    <s v="Not Done"/>
    <s v="NA"/>
    <s v="NA"/>
    <s v="Not Done"/>
    <x v="1"/>
    <x v="1"/>
  </r>
  <r>
    <s v="Milestone 4"/>
    <s v="N"/>
    <x v="0"/>
    <s v="TBAADM"/>
    <s v="FINUAT"/>
    <s v="SI_HEADER_TABLE"/>
    <m/>
    <n v="1.4999999999999999E-2"/>
    <s v="SI_SRL_NUM, BANK_ID"/>
    <s v="si_srl_num"/>
    <m/>
    <s v="N"/>
    <s v="LCHG_TIME"/>
    <s v="CRM_DEV.finacle.TBAADM_SI_HEADER_TABLE"/>
    <s v="Done"/>
    <s v="Done"/>
    <s v="Done"/>
    <s v="Done"/>
    <s v="Not Done"/>
    <s v="NA"/>
    <s v="Not Done"/>
    <s v="Not Done"/>
    <s v="NA"/>
    <s v="Not Done"/>
    <s v="Not Done"/>
    <s v="NA"/>
    <x v="1"/>
    <x v="1"/>
  </r>
  <r>
    <s v="Milestone 1"/>
    <s v="N"/>
    <x v="12"/>
    <s v="TBAADM"/>
    <s v="WMS SIT"/>
    <s v="WMS_INV_GEN_DTLS_TBL"/>
    <m/>
    <n v="1.4E-2"/>
    <s v="CIF_ID,OPER_ACID,INV_ID"/>
    <s v="INV_ID"/>
    <m/>
    <s v="N"/>
    <s v="LCHG_TIME"/>
    <s v="CRM_DEV.wms.TBAADM_WMS_INV_GEN_DTLS_TBL"/>
    <s v="Done"/>
    <s v="Done"/>
    <s v="Done"/>
    <s v="Done"/>
    <s v="Done"/>
    <s v="NA"/>
    <s v="Not Done"/>
    <s v="Not Done"/>
    <s v="NA"/>
    <s v="Not Done"/>
    <s v="Not Done"/>
    <s v="NA"/>
    <x v="1"/>
    <x v="1"/>
  </r>
  <r>
    <s v="TBD"/>
    <s v="N"/>
    <x v="0"/>
    <s v="TBAADM"/>
    <s v="FINUAT"/>
    <s v="PNL_INT_TBL_CODE_TABLE"/>
    <m/>
    <n v="1.2999999999999999E-2"/>
    <s v="NA"/>
    <s v="Entity_ID, INT_TBL_CODE_SRL_NUM"/>
    <m/>
    <s v="N"/>
    <s v="LCHG_TIME"/>
    <m/>
    <s v="Done"/>
    <s v="Done"/>
    <s v="Done"/>
    <s v="Done"/>
    <s v="Not Done"/>
    <s v="NA"/>
    <s v="Not Done"/>
    <s v="Not Done"/>
    <s v="NA"/>
    <s v="Not Done"/>
    <s v="Not Done"/>
    <s v="NA"/>
    <x v="1"/>
    <x v="1"/>
  </r>
  <r>
    <s v="TBD"/>
    <s v="N"/>
    <x v="0"/>
    <s v="CUSTOM"/>
    <s v="FINUAT"/>
    <s v="CUST_CASA_PACKAGE_CHRG"/>
    <m/>
    <n v="1.0999999999999999E-2"/>
    <s v="NA"/>
    <s v="CIF_ID,Event_ID"/>
    <m/>
    <s v="N"/>
    <s v="LCHG_TIME"/>
    <m/>
    <s v="Done"/>
    <s v="Done"/>
    <s v="Done"/>
    <s v="Done"/>
    <s v="Not Done"/>
    <s v="NA"/>
    <s v="Not Done"/>
    <s v="Not Done"/>
    <s v="NA"/>
    <s v="Not Done"/>
    <s v="Not Done"/>
    <s v="NA"/>
    <x v="1"/>
    <x v="1"/>
  </r>
  <r>
    <s v="TBD"/>
    <s v="N"/>
    <x v="12"/>
    <s v="TBAADM"/>
    <s v="WMS SIT"/>
    <s v="INS_POLICY_DTLS_TABLE"/>
    <m/>
    <n v="1.0999999999999999E-2"/>
    <s v="NA"/>
    <s v="POL_B2K_ID,POLICY_NO"/>
    <m/>
    <s v="N"/>
    <s v="LCHG_TIME"/>
    <m/>
    <s v="Not Done"/>
    <s v="Not Done"/>
    <s v="Not Done"/>
    <s v="Not Done"/>
    <s v="Not Done"/>
    <s v="NA"/>
    <s v="Not Done"/>
    <s v="Not Done"/>
    <s v="NA"/>
    <s v="Not Done"/>
    <s v="Not Done"/>
    <s v="NA"/>
    <x v="1"/>
    <x v="1"/>
  </r>
  <r>
    <s v="TBD"/>
    <s v="N"/>
    <x v="0"/>
    <s v="TBAADM"/>
    <s v="FINUAT"/>
    <s v="LA_RESHDL_HDR_TABLE"/>
    <m/>
    <n v="0.01"/>
    <s v="NA"/>
    <s v=" "/>
    <m/>
    <s v="N"/>
    <s v="LCHG_TIME"/>
    <m/>
    <s v="Done"/>
    <s v="Done"/>
    <s v="Done"/>
    <s v="Done"/>
    <s v="Not Done"/>
    <s v="NA"/>
    <s v="Not Done"/>
    <s v="Not Done"/>
    <s v="NA"/>
    <s v="Not Done"/>
    <s v="Not Done"/>
    <s v="NA"/>
    <x v="1"/>
    <x v="1"/>
  </r>
  <r>
    <s v="TBD"/>
    <s v="Y"/>
    <x v="9"/>
    <s v="FIN_LEAM"/>
    <s v="RLSPROD"/>
    <s v="LEA_PROPERTY_DTL"/>
    <m/>
    <n v="8.9999999999999993E-3"/>
    <m/>
    <s v="PROPERTYID"/>
    <m/>
    <s v="N"/>
    <m/>
    <m/>
    <s v="NA"/>
    <s v="NA"/>
    <s v="NA"/>
    <s v="NA"/>
    <s v="NA"/>
    <s v="Not Done"/>
    <s v="NA"/>
    <s v="NA"/>
    <s v="Not Done"/>
    <s v="NA"/>
    <s v="NA"/>
    <s v="Not Done"/>
    <x v="1"/>
    <x v="1"/>
  </r>
  <r>
    <s v="Milestone 4"/>
    <s v="N"/>
    <x v="0"/>
    <s v="TBAADM"/>
    <s v="FINUAT"/>
    <s v="RENEWAL_OPTION_TABLE"/>
    <m/>
    <n v="8.0000000000000002E-3"/>
    <s v="ACID, BANK_ID"/>
    <s v="ACID"/>
    <m/>
    <s v="N"/>
    <s v="LCHG_TIME"/>
    <s v="CRM_DEV.finacle.TBAADM_RENEWAL_OPTION_TABLE"/>
    <s v="Done"/>
    <s v="Done"/>
    <s v="Done"/>
    <s v="Done"/>
    <s v="Not Done"/>
    <s v="NA"/>
    <s v="Not Done"/>
    <s v="Not Done"/>
    <s v="NA"/>
    <s v="Not Done"/>
    <s v="Not Done"/>
    <s v="NA"/>
    <x v="1"/>
    <x v="1"/>
  </r>
  <r>
    <s v="TBD"/>
    <s v="N"/>
    <x v="0"/>
    <s v="TBAADM"/>
    <s v="FINUAT"/>
    <s v="INT_CODE_VERSION_TABLE"/>
    <m/>
    <n v="8.0000000000000002E-3"/>
    <s v="NA"/>
    <s v="INT_TBL_CODE, CRNCY_CODE, INT_TBL_VER_NUM, BANK_ID"/>
    <m/>
    <s v="N"/>
    <s v="LCHG_TIME"/>
    <m/>
    <s v="Done"/>
    <s v="Done"/>
    <s v="Done"/>
    <s v="Done"/>
    <s v="Not Done"/>
    <s v="NA"/>
    <s v="Not Done"/>
    <s v="Not Done"/>
    <s v="NA"/>
    <s v="Not Done"/>
    <s v="Not Done"/>
    <s v="NA"/>
    <x v="1"/>
    <x v="1"/>
  </r>
  <r>
    <s v="TBD"/>
    <s v="N"/>
    <x v="0"/>
    <s v="TBAADM"/>
    <s v="FINUAT"/>
    <s v="CL_DRAW_DOWN_SCHEDULE_TBL"/>
    <m/>
    <n v="7.0000000000000001E-3"/>
    <s v="NA"/>
    <s v="ACID"/>
    <m/>
    <s v="N"/>
    <s v="LCHG_TIME"/>
    <m/>
    <s v="Done"/>
    <s v="Done"/>
    <s v="Done"/>
    <s v="Done"/>
    <s v="Not Done"/>
    <s v="NA"/>
    <s v="Not Done"/>
    <s v="Not Done"/>
    <s v="NA"/>
    <s v="Not Done"/>
    <s v="Not Done"/>
    <s v="NA"/>
    <x v="1"/>
    <x v="0"/>
  </r>
  <r>
    <s v="TBD"/>
    <s v="Y"/>
    <x v="9"/>
    <s v="FIN_LEAM"/>
    <s v="RLSPROD"/>
    <s v="LEA_COLLATERAL_DTL"/>
    <m/>
    <n v="7.0000000000000001E-3"/>
    <m/>
    <s v="collateralID"/>
    <m/>
    <s v="N"/>
    <m/>
    <m/>
    <s v="NA"/>
    <s v="NA"/>
    <s v="NA"/>
    <s v="NA"/>
    <s v="NA"/>
    <s v="Not Done"/>
    <s v="NA"/>
    <s v="NA"/>
    <s v="Not Done"/>
    <s v="NA"/>
    <s v="NA"/>
    <s v="Not Done"/>
    <x v="1"/>
    <x v="1"/>
  </r>
  <r>
    <s v="TBD"/>
    <s v="Y"/>
    <x v="9"/>
    <s v="LOS0909"/>
    <s v="RLSPROD"/>
    <s v="LEA_GUARANTOR_HIRER_DTL"/>
    <m/>
    <n v="6.79E-3"/>
    <m/>
    <s v="GUARANTOR_HIRER_ID"/>
    <m/>
    <s v="N"/>
    <m/>
    <m/>
    <s v="NA"/>
    <s v="NA"/>
    <s v="NA"/>
    <s v="NA"/>
    <s v="NA"/>
    <s v="Not Done"/>
    <s v="NA"/>
    <s v="NA"/>
    <s v="Not Done"/>
    <s v="NA"/>
    <s v="NA"/>
    <s v="Not Done"/>
    <x v="1"/>
    <x v="1"/>
  </r>
  <r>
    <s v="Milestone 3"/>
    <s v="N"/>
    <x v="0"/>
    <s v="TBAADM"/>
    <s v="FINUAT"/>
    <s v="GEN_ACCT_MAST_MOD_TABLE"/>
    <m/>
    <n v="5.0000000000000001E-3"/>
    <s v="ACID, BANK_ID"/>
    <s v="ACID, BANK_ID"/>
    <m/>
    <s v="N"/>
    <s v="LCHG_TIME"/>
    <s v="CRM_DEV.finacle.TBAADM_GEN_ACCT_MAST_MOD_TABLE"/>
    <s v="Done"/>
    <s v="Done"/>
    <s v="Done"/>
    <s v="Done"/>
    <s v="Not Done"/>
    <s v="NA"/>
    <s v="Not Done"/>
    <s v="Not Done"/>
    <s v="NA"/>
    <s v="Not Done"/>
    <s v="Not Done"/>
    <s v="NA"/>
    <x v="1"/>
    <x v="1"/>
  </r>
  <r>
    <s v="Milestone 3"/>
    <s v="N"/>
    <x v="1"/>
    <s v="TCTDBS"/>
    <s v="PRIMEDB"/>
    <s v="GLOBALPARAMETERVALUES"/>
    <m/>
    <n v="5.0000000000000001E-3"/>
    <s v="SERNO"/>
    <s v="SERNO"/>
    <m/>
    <s v="N"/>
    <s v=" "/>
    <s v="CRM_DEV.prime4.TCTDBS_GLOBALPARAMETERVALUES"/>
    <s v="Done"/>
    <s v="Done"/>
    <s v="Done"/>
    <s v="Not Done"/>
    <s v="Not Done"/>
    <s v="NA"/>
    <s v="Not Done"/>
    <s v="Not Done"/>
    <s v="NA"/>
    <s v="Not Done"/>
    <s v="Not Done"/>
    <s v="NA"/>
    <x v="1"/>
    <x v="1"/>
  </r>
  <r>
    <s v="Milestone 3"/>
    <s v="N"/>
    <x v="1"/>
    <s v="TCTDBS"/>
    <s v="PRIMEDB"/>
    <s v="GLOBALPARAMETERS"/>
    <m/>
    <n v="5.0000000000000001E-3"/>
    <s v="SERNO"/>
    <s v="SERNO"/>
    <m/>
    <s v="N"/>
    <s v=" "/>
    <s v="CRM_DEV.prime4.TCTDBS_GLOBALPARAMETERS"/>
    <s v="Done"/>
    <s v="Done"/>
    <s v="Done"/>
    <s v="Not Done"/>
    <s v="Not Done"/>
    <s v="NA"/>
    <s v="Not Done"/>
    <s v="Not Done"/>
    <s v="NA"/>
    <s v="Not Done"/>
    <s v="Not Done"/>
    <s v="NA"/>
    <x v="1"/>
    <x v="1"/>
  </r>
  <r>
    <s v="Milestone 1"/>
    <s v="N"/>
    <x v="5"/>
    <s v="dbo"/>
    <s v="RAKCAS"/>
    <s v="RB_DAC_EXTTABLE"/>
    <m/>
    <n v="5.0000000000000001E-3"/>
    <s v="ITEMINDEX,ITEMTYPE"/>
    <s v="ITEMINDEX,ITEMTYPE"/>
    <m/>
    <s v="Y"/>
    <s v="Createddatetime column under Wfinstrumenttable"/>
    <s v="CRM_DEV.ibps.DBO_RB_DAC_EXTTABLE"/>
    <s v="Done"/>
    <s v="Done"/>
    <s v="Done"/>
    <s v="Done"/>
    <s v="Dev Done"/>
    <s v="NA"/>
    <s v="Not Done"/>
    <s v="Not Done"/>
    <s v="NA"/>
    <s v="Not Done"/>
    <s v="Not Done"/>
    <s v="NA"/>
    <x v="1"/>
    <x v="1"/>
  </r>
  <r>
    <s v="Milestone 3"/>
    <s v="N"/>
    <x v="3"/>
    <s v="dbo"/>
    <s v="npss-epayment"/>
    <s v="NPSS_PmtStatus_ReqHdr"/>
    <s v="Due to AWS issue, End point has changed , Requested to FCR to replace with new end point"/>
    <n v="5.0000000000000001E-3"/>
    <s v="Pmt_SRH_CrtdDt,Pmt_SRH_RefId"/>
    <m/>
    <m/>
    <s v="N"/>
    <s v="Pmt_SRH_CrtdDt"/>
    <s v="CRM_DEV.npss.DBO_NPSS_PMTSTATUS_REQHDR"/>
    <s v="Done"/>
    <s v="Done"/>
    <s v="Done"/>
    <s v="Not Done"/>
    <s v="Not Done"/>
    <s v="NA"/>
    <s v="Not Done"/>
    <s v="Not Done"/>
    <s v="NA"/>
    <s v="Not Done"/>
    <s v="Not Done"/>
    <s v="NA"/>
    <x v="1"/>
    <x v="1"/>
  </r>
  <r>
    <s v="TBD"/>
    <s v="N"/>
    <x v="0"/>
    <s v="CRMUSER"/>
    <s v="FINUAT"/>
    <s v="GROUPHOUSEHOLD"/>
    <m/>
    <n v="4.0000000000000001E-3"/>
    <s v="GROUPHOUSEHOLDID, BANK_ID"/>
    <s v="GROUPHOUSEHOLDID,BANK_ID"/>
    <m/>
    <s v="N"/>
    <s v="TMDATE"/>
    <m/>
    <s v="Done"/>
    <s v="Done"/>
    <s v="Done"/>
    <s v="Done"/>
    <s v="Not Done"/>
    <s v="NA"/>
    <s v="Not Done"/>
    <s v="Not Done"/>
    <s v="NA"/>
    <s v="Not Done"/>
    <s v="Not Done"/>
    <s v="NA"/>
    <x v="1"/>
    <x v="0"/>
  </r>
  <r>
    <s v="Milestone 4"/>
    <s v="N"/>
    <x v="0"/>
    <s v="CUSTOM"/>
    <s v="FINUAT"/>
    <s v="C_CPARAM_VALUE_TABLE"/>
    <s v="Composite key column  MODULE_NAME  has null value which was not allowed to insert/upsert  to CRM Database . So Data has been insert and skipped all those records which has null value.    18 null records skipped"/>
    <n v="4.0000000000000001E-3"/>
    <s v="PARAMETER_ID, LEVELCODE_1, LEVELCODE_2, MODULE_NAME"/>
    <s v="PARAMETER_ID, LEVELCODE_1, LEVELCODE_2, MODULE_NAME, BANK_ID"/>
    <m/>
    <s v="N"/>
    <s v="LCHG_TIME"/>
    <s v="CRM_DEV.finacle.CUSTOM_C_CPARAM_VALUE_TABLE"/>
    <s v="Done"/>
    <s v="Done"/>
    <s v="Done"/>
    <s v="Done"/>
    <s v="Not Done"/>
    <s v="NA"/>
    <s v="Not Done"/>
    <s v="Not Done"/>
    <s v="NA"/>
    <s v="Not Done"/>
    <s v="Not Done"/>
    <s v="NA"/>
    <x v="1"/>
    <x v="1"/>
  </r>
  <r>
    <s v="Milestone 1"/>
    <s v="N"/>
    <x v="5"/>
    <s v="dbo"/>
    <s v="RAKCAS"/>
    <s v="RB_SAR_EXTTABLE"/>
    <m/>
    <n v="3.0000000000000001E-3"/>
    <s v="ITEMINDEX,ITEMTYPE"/>
    <s v="ITEMINDEX,ITEMTYPE"/>
    <m/>
    <s v="Y"/>
    <s v="Createddatetime column under Wfinstrumenttable"/>
    <s v="CRM_DEV.ibps.DBO_RB_SAR_EXTTABLE"/>
    <s v="NA"/>
    <s v="NA"/>
    <s v="NA"/>
    <s v="NA"/>
    <s v="Dev Done"/>
    <s v="NA"/>
    <s v="Not Done"/>
    <s v="Not Done"/>
    <s v="NA"/>
    <s v="Not Done"/>
    <s v="Not Done"/>
    <s v="NA"/>
    <x v="1"/>
    <x v="1"/>
  </r>
  <r>
    <s v="Milestone 4"/>
    <s v="N"/>
    <x v="0"/>
    <s v="TBAADM"/>
    <s v="FINUAT"/>
    <s v="REMIT_THRU_SI_TD_TABLE"/>
    <m/>
    <n v="3.0000000000000001E-3"/>
    <s v="PR_SRL_NUM, SERIAL_NUM, BANK_ID"/>
    <s v="pr_srl_num"/>
    <m/>
    <s v="N"/>
    <s v="LCHG_TIME"/>
    <s v="CRM_DEV.finacle.TBAADM_REMIT_THRU_SI_TD_TABLE"/>
    <s v="Done"/>
    <s v="Done"/>
    <s v="Done"/>
    <s v="Done"/>
    <s v="Not Done"/>
    <s v="NA"/>
    <s v="Not Done"/>
    <s v="Not Done"/>
    <s v="NA"/>
    <s v="Not Done"/>
    <s v="Not Done"/>
    <s v="NA"/>
    <x v="1"/>
    <x v="1"/>
  </r>
  <r>
    <s v="TBD"/>
    <s v="N"/>
    <x v="0"/>
    <s v="TBAADM"/>
    <s v="FINUAT"/>
    <s v="CRNCY_SCHM_PARM_TBL"/>
    <m/>
    <n v="3.0000000000000001E-3"/>
    <s v="NA"/>
    <s v="SCHM_CODE,CRNCY_CODE,BANK_ID"/>
    <m/>
    <s v="N"/>
    <s v="LCHG_TIME"/>
    <m/>
    <s v="Done"/>
    <s v="Done"/>
    <s v="Done"/>
    <s v="Done"/>
    <s v="Not Done"/>
    <s v="NA"/>
    <s v="Not Done"/>
    <s v="Not Done"/>
    <s v="NA"/>
    <s v="Not Done"/>
    <s v="Not Done"/>
    <s v="NA"/>
    <x v="1"/>
    <x v="0"/>
  </r>
  <r>
    <s v="TBD"/>
    <s v="N"/>
    <x v="12"/>
    <s v="TBAADM"/>
    <s v="WMS SIT"/>
    <s v="IN_NW_PREM_COLL_MAND_TBL"/>
    <m/>
    <n v="3.0000000000000001E-3"/>
    <s v="NA"/>
    <s v="TRAN_ID"/>
    <m/>
    <s v="Y"/>
    <s v="LCHG_TIME"/>
    <m/>
    <s v="Not Done"/>
    <s v="Not Done"/>
    <s v="Not Done"/>
    <s v="Not Done"/>
    <s v="Not Done"/>
    <s v="NA"/>
    <s v="Not Done"/>
    <s v="Not Done"/>
    <s v="NA"/>
    <s v="Not Done"/>
    <s v="Not Done"/>
    <s v="NA"/>
    <x v="1"/>
    <x v="1"/>
  </r>
  <r>
    <s v="TBD"/>
    <s v="N"/>
    <x v="12"/>
    <s v="TBAADM"/>
    <s v="WMS SIT"/>
    <s v="MF_TRAN_BAL_SUMMARY_TBL"/>
    <m/>
    <n v="3.0000000000000001E-3"/>
    <s v="NA"/>
    <s v="inv_id,fund_cd"/>
    <m/>
    <s v="N"/>
    <s v="LCHG_TIME"/>
    <m/>
    <s v="Not Done"/>
    <s v="Not Done"/>
    <s v="Not Done"/>
    <s v="Not Done"/>
    <s v="Not Done"/>
    <s v="NA"/>
    <s v="Not Done"/>
    <s v="Not Done"/>
    <s v="NA"/>
    <s v="Not Done"/>
    <s v="Not Done"/>
    <s v="NA"/>
    <x v="1"/>
    <x v="1"/>
  </r>
  <r>
    <s v="Milestone 3"/>
    <s v="N"/>
    <x v="0"/>
    <s v="TBAADM"/>
    <s v="FINUAT"/>
    <s v="REFERENCE_CODE_TABLE"/>
    <m/>
    <n v="3.0000000000000001E-3"/>
    <s v="REF_REC_TYPE, REF_CODE, BANK_ID"/>
    <s v="REF_REC_TYPE,REF_CODE"/>
    <m/>
    <s v="N"/>
    <s v="LCHG_TIME"/>
    <m/>
    <s v="Done"/>
    <s v="Done"/>
    <s v="Done"/>
    <s v="Done"/>
    <s v="Not Done"/>
    <s v="NA"/>
    <s v="Not Done"/>
    <s v="Not Done"/>
    <s v="NA"/>
    <s v="Not Done"/>
    <s v="Not Done"/>
    <s v="NA"/>
    <x v="1"/>
    <x v="0"/>
  </r>
  <r>
    <s v="TBD"/>
    <s v="N"/>
    <x v="0"/>
    <s v="CUSTOM"/>
    <s v="FINUAT"/>
    <s v="CUST_CASA_HISTDTL"/>
    <m/>
    <n v="2E-3"/>
    <s v="NA"/>
    <s v="CIF_ID"/>
    <m/>
    <s v="N"/>
    <s v="LCHG_TIME"/>
    <m/>
    <s v="Done"/>
    <s v="Done"/>
    <s v="Done"/>
    <s v="Done"/>
    <s v="Not Done"/>
    <s v="NA"/>
    <s v="Not Done"/>
    <s v="Not Done"/>
    <s v="NA"/>
    <s v="Not Done"/>
    <s v="Not Done"/>
    <s v="NA"/>
    <x v="1"/>
    <x v="1"/>
  </r>
  <r>
    <s v="TBD"/>
    <s v="N"/>
    <x v="0"/>
    <s v="CUSTOM"/>
    <s v="FINUAT"/>
    <s v="CUST_CASA_PACKAGE_MAIN"/>
    <m/>
    <n v="2E-3"/>
    <s v="NA"/>
    <s v="CIF_ID"/>
    <m/>
    <s v="N"/>
    <s v="LCHG_TIME"/>
    <m/>
    <s v="Done"/>
    <s v="Done"/>
    <s v="Done"/>
    <s v="Done"/>
    <s v="Not Done"/>
    <s v="NA"/>
    <s v="Not Done"/>
    <s v="Not Done"/>
    <s v="NA"/>
    <s v="Not Done"/>
    <s v="Not Done"/>
    <s v="NA"/>
    <x v="1"/>
    <x v="1"/>
  </r>
  <r>
    <s v="Milestone 1"/>
    <s v="N"/>
    <x v="5"/>
    <s v="dbo"/>
    <s v="RAKCAS"/>
    <s v="RB_CSR_BT_EXTTABLE"/>
    <m/>
    <n v="2E-3"/>
    <s v="NA"/>
    <m/>
    <m/>
    <s v="Y"/>
    <s v="Createddatetime column under Wfinstrumenttable"/>
    <s v="CRM_DEV.ibps._RB_CSR_BT_EXTTABLE"/>
    <s v="Done"/>
    <s v="Done"/>
    <s v="Done"/>
    <s v="Done"/>
    <s v="Dev Done"/>
    <s v="NA"/>
    <s v="Not Done"/>
    <s v="Not Done"/>
    <s v="NA"/>
    <s v="Not Done"/>
    <s v="Not Done"/>
    <s v="NA"/>
    <x v="1"/>
    <x v="1"/>
  </r>
  <r>
    <s v="TBD"/>
    <s v="N"/>
    <x v="12"/>
    <s v="TBAADM"/>
    <s v="WMS SIT"/>
    <s v="BO_BOND_MASTER"/>
    <m/>
    <n v="2E-3"/>
    <s v="NA"/>
    <s v="Bond_code"/>
    <m/>
    <s v="N"/>
    <s v="LCHG_TIME"/>
    <m/>
    <s v="Not Done"/>
    <s v="Not Done"/>
    <s v="Not Done"/>
    <s v="Not Done"/>
    <s v="Not Done"/>
    <s v="NA"/>
    <s v="Not Done"/>
    <s v="Not Done"/>
    <s v="NA"/>
    <s v="Not Done"/>
    <s v="Not Done"/>
    <s v="NA"/>
    <x v="1"/>
    <x v="0"/>
  </r>
  <r>
    <s v="TBD"/>
    <s v="N"/>
    <x v="12"/>
    <s v="TBAADM"/>
    <s v="WMS SIT"/>
    <s v="BOND_TRAN_BAL_SUMMARY_TBL"/>
    <m/>
    <n v="2E-3"/>
    <s v="NA"/>
    <s v="Bond_code,INV_ID"/>
    <m/>
    <s v="N"/>
    <s v="LCHG_TIME"/>
    <m/>
    <s v="Not Done"/>
    <s v="Not Done"/>
    <s v="Not Done"/>
    <s v="Not Done"/>
    <s v="Not Done"/>
    <s v="NA"/>
    <s v="Not Done"/>
    <s v="Not Done"/>
    <s v="NA"/>
    <s v="Not Done"/>
    <s v="Not Done"/>
    <s v="NA"/>
    <x v="1"/>
    <x v="1"/>
  </r>
  <r>
    <s v="TBD"/>
    <s v="N"/>
    <x v="12"/>
    <s v="TBAADM"/>
    <s v="WMS SIT"/>
    <s v="SP_ORDER_DETAILS_TABLE"/>
    <m/>
    <n v="2E-3"/>
    <s v="NA"/>
    <s v="Order_id"/>
    <m/>
    <s v="Y"/>
    <s v="TRAN_DATE"/>
    <m/>
    <s v="Not Done"/>
    <s v="Not Done"/>
    <s v="Not Done"/>
    <s v="Not Done"/>
    <s v="Not Done"/>
    <s v="NA"/>
    <s v="Not Done"/>
    <s v="Not Done"/>
    <s v="NA"/>
    <s v="Not Done"/>
    <s v="Not Done"/>
    <s v="NA"/>
    <x v="1"/>
    <x v="1"/>
  </r>
  <r>
    <s v="TBD"/>
    <s v="N"/>
    <x v="12"/>
    <s v="TBAADM"/>
    <s v="WMS SIT"/>
    <s v="WMS_INV_CUST_DTLS_TBL"/>
    <m/>
    <n v="2E-3"/>
    <s v="NA"/>
    <s v="INV_ID"/>
    <m/>
    <s v="N"/>
    <s v="LCHG_TIME"/>
    <m/>
    <s v="Not Done"/>
    <s v="Not Done"/>
    <s v="Not Done"/>
    <s v="Not Done"/>
    <s v="Not Done"/>
    <s v="NA"/>
    <s v="Not Done"/>
    <s v="Not Done"/>
    <s v="NA"/>
    <s v="Not Done"/>
    <s v="Not Done"/>
    <s v="NA"/>
    <x v="1"/>
    <x v="1"/>
  </r>
  <r>
    <s v="Milestone 1"/>
    <s v="N"/>
    <x v="0"/>
    <s v="CRMUSER"/>
    <s v="FINUAT"/>
    <s v="Person"/>
    <m/>
    <n v="1E-3"/>
    <s v="PERSONID"/>
    <s v="PERSONID"/>
    <m/>
    <s v="N"/>
    <s v="TMDATE"/>
    <s v="CRM_DEV.finacle.CRMUSER_PERSON"/>
    <s v="Done"/>
    <s v="Done"/>
    <s v="Done"/>
    <s v="Done"/>
    <s v="Done"/>
    <s v="NA"/>
    <s v="Not Done"/>
    <s v="Not Done"/>
    <s v="NA"/>
    <s v="Not Done"/>
    <s v="Not Done"/>
    <s v="NA"/>
    <x v="1"/>
    <x v="0"/>
  </r>
  <r>
    <s v="Milestone 3"/>
    <s v="N"/>
    <x v="0"/>
    <s v="CRMUSER"/>
    <s v="FINUAT"/>
    <s v="users"/>
    <m/>
    <n v="1E-3"/>
    <s v="PERSONID"/>
    <s v="PERSONID"/>
    <m/>
    <s v="N"/>
    <s v="TMDATE"/>
    <s v="CRM_DEV.finacle.CRMUSER_USERS"/>
    <s v="Done"/>
    <s v="Done"/>
    <s v="Done"/>
    <s v="Done"/>
    <s v="Not Done"/>
    <s v="NA"/>
    <s v="Not Done"/>
    <s v="Not Done"/>
    <s v="NA"/>
    <s v="Not Done"/>
    <s v="Not Done"/>
    <s v="NA"/>
    <x v="1"/>
    <x v="1"/>
  </r>
  <r>
    <s v="TBD"/>
    <s v="N"/>
    <x v="0"/>
    <s v="CRMUSER"/>
    <s v="FINUAT"/>
    <s v="GROUPHOUSEHOLDMASTER"/>
    <m/>
    <n v="1E-3"/>
    <s v="GROUPHOUSEHOLDMASTERID, BANK_ID"/>
    <s v="GROUPHOUSEHOLDMASTERID,BANK_ID"/>
    <m/>
    <s v="N"/>
    <s v="BODATEMODIFIED"/>
    <m/>
    <s v="Done"/>
    <s v="Done"/>
    <s v="Done"/>
    <s v="Done"/>
    <s v="Not Done"/>
    <s v="NA"/>
    <s v="Not Done"/>
    <s v="Not Done"/>
    <s v="NA"/>
    <s v="Not Done"/>
    <s v="Not Done"/>
    <s v="NA"/>
    <x v="1"/>
    <x v="1"/>
  </r>
  <r>
    <s v="Milestone 3"/>
    <s v="N"/>
    <x v="0"/>
    <s v="CUSTOM"/>
    <s v="FINUAT"/>
    <s v="CUST_LDFEE"/>
    <m/>
    <n v="1E-3"/>
    <s v="CIF_TYPE, SCHM_CODE, AC_CURRENCY"/>
    <s v="CIF_TYPE, SCHM_CODE, AC_CURRENCY"/>
    <m/>
    <s v="N"/>
    <s v="LCHG_TIME"/>
    <s v="CRM_DEV.finacle.CUSTOM_CUST_LDFEE"/>
    <s v="Done"/>
    <s v="Done"/>
    <s v="Done"/>
    <s v="Done"/>
    <s v="Not Done"/>
    <s v="NA"/>
    <s v="Not Done"/>
    <s v="Not Done"/>
    <s v="NA"/>
    <s v="Not Done"/>
    <s v="Not Done"/>
    <s v="NA"/>
    <x v="1"/>
    <x v="1"/>
  </r>
  <r>
    <s v="Milestone 3"/>
    <s v="N"/>
    <x v="0"/>
    <s v="TBAADM"/>
    <s v="FINUAT"/>
    <s v="GEN_SCHM_PARM_TABLE"/>
    <m/>
    <n v="1E-3"/>
    <s v="SCHM_TYPE, SCHM_CODE, BANK_ID"/>
    <s v="SCHM_CODE, BANK_ID"/>
    <m/>
    <s v="N"/>
    <s v="LCHG_TIME"/>
    <s v="CRM_DEV.finacle.TBAADM_GEN_SCHM_PARM_TABLE"/>
    <s v="Done"/>
    <s v="Done"/>
    <s v="Done"/>
    <s v="Done"/>
    <s v="Not Done"/>
    <s v="NA"/>
    <s v="Not Done"/>
    <s v="Not Done"/>
    <s v="NA"/>
    <s v="Not Done"/>
    <s v="Not Done"/>
    <s v="NA"/>
    <x v="1"/>
    <x v="0"/>
  </r>
  <r>
    <s v="Milestone 2"/>
    <s v="N"/>
    <x v="1"/>
    <s v="TCTDBS"/>
    <s v="PRIMEDB"/>
    <s v="PRODUCTS"/>
    <m/>
    <n v="1E-3"/>
    <s v="SERNO"/>
    <s v="PRODUCTID,BANK_ID"/>
    <m/>
    <s v="N"/>
    <s v=" "/>
    <s v="CRM_DEV.prime4.TCTDBS_PRODUCTS"/>
    <s v="Done"/>
    <s v="Done"/>
    <s v="Done"/>
    <s v="Done"/>
    <s v="Dev Done"/>
    <s v="NA"/>
    <s v="Not Done"/>
    <s v="Not Done"/>
    <s v="NA"/>
    <s v="Not Done"/>
    <s v="Not Done"/>
    <s v="NA"/>
    <x v="1"/>
    <x v="1"/>
  </r>
  <r>
    <s v="Milestone 3"/>
    <s v="N"/>
    <x v="1"/>
    <s v="TCTDBS"/>
    <s v="PRIMEDB"/>
    <s v="INSTALMENTPLANS"/>
    <m/>
    <n v="1E-3"/>
    <s v="SERNO"/>
    <s v="SERNO"/>
    <m/>
    <s v="N"/>
    <s v=" "/>
    <s v="CRM_DEV.prime4.TCTDBS_INSTALMENTPLANS"/>
    <s v="Done"/>
    <s v="Done"/>
    <s v="Done"/>
    <s v="Not Done"/>
    <s v="Not Done"/>
    <s v="NA"/>
    <s v="Not Done"/>
    <s v="Not Done"/>
    <s v="NA"/>
    <s v="Not Done"/>
    <s v="Not Done"/>
    <s v="NA"/>
    <x v="1"/>
    <x v="1"/>
  </r>
  <r>
    <s v="Milestone 3"/>
    <s v="N"/>
    <x v="1"/>
    <s v="TCTDBS"/>
    <s v="PRIMEDB"/>
    <s v="PROFILES"/>
    <m/>
    <n v="1E-3"/>
    <s v="SERNO"/>
    <s v="SERNO"/>
    <m/>
    <s v="N"/>
    <s v=" "/>
    <s v="CRM_DEV.prime4.TCTDBS_PROFILES"/>
    <s v="Done"/>
    <s v="Done"/>
    <s v="Done"/>
    <s v="Not Done"/>
    <s v="Not Done"/>
    <s v="NA"/>
    <s v="Not Done"/>
    <s v="Not Done"/>
    <s v="NA"/>
    <s v="Not Done"/>
    <s v="Not Done"/>
    <s v="NA"/>
    <x v="1"/>
    <x v="1"/>
  </r>
  <r>
    <s v="Milestone 3"/>
    <s v="N"/>
    <x v="1"/>
    <s v="TCTDBS"/>
    <s v="PRIMEDB"/>
    <s v="Trxntypes"/>
    <m/>
    <n v="1E-3"/>
    <s v="SERNO, INSTITUTION_ID"/>
    <s v="SERNO"/>
    <m/>
    <s v="N"/>
    <s v=" "/>
    <s v="CRM_DEV.prime4.TCTDBS_TRXNTYPES"/>
    <s v="Done"/>
    <s v="Done"/>
    <s v="Done"/>
    <s v="Not Done"/>
    <s v="Not Done"/>
    <s v="NA"/>
    <s v="Not Done"/>
    <s v="Not Done"/>
    <s v="NA"/>
    <s v="Not Done"/>
    <s v="Not Done"/>
    <s v="NA"/>
    <x v="1"/>
    <x v="1"/>
  </r>
  <r>
    <s v="Milestone 1"/>
    <s v="N"/>
    <x v="5"/>
    <s v="dbo"/>
    <s v="RAKCAS"/>
    <s v="RB_DSR_MISC_EXTTABLE"/>
    <m/>
    <n v="1E-3"/>
    <s v="NA"/>
    <m/>
    <m/>
    <s v="Y"/>
    <s v="Createddatetime column under Wfinstrumenttable"/>
    <s v="CRM_DEV.ibps._RB_DSR_MISC_EXTTABLE"/>
    <s v="Done"/>
    <s v="Done"/>
    <s v="Done"/>
    <s v="Done"/>
    <s v="Dev Done"/>
    <s v="NA"/>
    <s v="Not Done"/>
    <s v="Not Done"/>
    <s v="NA"/>
    <s v="Not Done"/>
    <s v="Not Done"/>
    <s v="NA"/>
    <x v="1"/>
    <x v="1"/>
  </r>
  <r>
    <s v="Milestone 1"/>
    <s v="N"/>
    <x v="5"/>
    <s v="dbo"/>
    <s v="RAKCAS"/>
    <s v="RB_OECD_EXTTABLE"/>
    <m/>
    <n v="1E-3"/>
    <s v="NA"/>
    <m/>
    <m/>
    <s v="Y"/>
    <s v="Createddatetime column under Wfinstrumenttable"/>
    <s v="CRM_DEV.ibps._RB_OECD_EXTTABLE"/>
    <s v="Done"/>
    <s v="Done"/>
    <s v="Done"/>
    <s v="Done"/>
    <s v="Dev Done"/>
    <s v="NA"/>
    <s v="Not Done"/>
    <s v="Not Done"/>
    <s v="NA"/>
    <s v="Not Done"/>
    <s v="Not Done"/>
    <s v="NA"/>
    <x v="1"/>
    <x v="1"/>
  </r>
  <r>
    <s v="Milestone 1"/>
    <s v="N"/>
    <x v="5"/>
    <s v="dbo"/>
    <s v="RAKCAS"/>
    <s v="RB_PL_EXTTABLE"/>
    <m/>
    <n v="1E-3"/>
    <s v="NA"/>
    <m/>
    <m/>
    <s v="Y"/>
    <s v="Createddatetime column under Wfinstrumenttable"/>
    <s v="CRM_DEV.ibps._RB_PL_EXTTABLE"/>
    <s v="Done"/>
    <s v="Done"/>
    <s v="Done"/>
    <s v="Done"/>
    <s v="Dev Done"/>
    <s v="NA"/>
    <s v="Not Done"/>
    <s v="Not Done"/>
    <s v="NA"/>
    <s v="Not Done"/>
    <s v="Not Done"/>
    <s v="NA"/>
    <x v="1"/>
    <x v="1"/>
  </r>
  <r>
    <s v="TBD"/>
    <s v="N"/>
    <x v="12"/>
    <s v="TBAADM"/>
    <s v="WMS SIT"/>
    <s v="MF_FUND_MASTER_TBL"/>
    <m/>
    <n v="1E-3"/>
    <s v="NA"/>
    <s v="FUND_ID, RULE_EFF_DATE, BANK_ID"/>
    <m/>
    <s v="N"/>
    <s v="LCHG_TIME"/>
    <m/>
    <s v="Not Done"/>
    <s v="Not Done"/>
    <s v="Not Done"/>
    <s v="Not Done"/>
    <s v="Not Done"/>
    <s v="NA"/>
    <s v="Not Done"/>
    <s v="Not Done"/>
    <s v="NA"/>
    <s v="Not Done"/>
    <s v="Not Done"/>
    <s v="NA"/>
    <x v="1"/>
    <x v="0"/>
  </r>
  <r>
    <s v="TBD"/>
    <s v="N"/>
    <x v="1"/>
    <s v="TCTDBS"/>
    <s v="PRIMEDB"/>
    <s v="SERVICELIST"/>
    <m/>
    <n v="1E-3"/>
    <m/>
    <s v=" "/>
    <m/>
    <s v="N"/>
    <m/>
    <m/>
    <s v="Not Done"/>
    <s v="Not Done"/>
    <s v="Not Done"/>
    <s v="Not Done"/>
    <s v="Not Done"/>
    <s v="NA"/>
    <s v="Not Done"/>
    <s v="Not Done"/>
    <s v="NA"/>
    <s v="Not Done"/>
    <s v="Not Done"/>
    <s v="NA"/>
    <x v="1"/>
    <x v="1"/>
  </r>
  <r>
    <s v="Milestone 4"/>
    <s v="Y"/>
    <x v="9"/>
    <s v="FIN_LEAM"/>
    <s v="RLSPROD"/>
    <s v="LEA_SCHEME_M"/>
    <m/>
    <n v="1.22E-4"/>
    <s v="SCHEMEID"/>
    <s v="SCHEMEID"/>
    <m/>
    <s v="N"/>
    <m/>
    <m/>
    <s v="NA"/>
    <s v="NA"/>
    <s v="NA"/>
    <s v="NA"/>
    <s v="NA"/>
    <s v="Done"/>
    <s v="NA"/>
    <s v="NA"/>
    <s v="Not Done"/>
    <s v="NA"/>
    <s v="NA"/>
    <s v="Not Done"/>
    <x v="1"/>
    <x v="1"/>
  </r>
  <r>
    <s v="TBD"/>
    <s v="Y"/>
    <x v="9"/>
    <s v="LOS0909"/>
    <s v="RLSPROD"/>
    <s v="NBFC_PARAMETER_M"/>
    <m/>
    <n v="3.1000000000000001E-5"/>
    <m/>
    <s v=" "/>
    <m/>
    <s v="N"/>
    <m/>
    <m/>
    <s v="NA"/>
    <s v="NA"/>
    <s v="NA"/>
    <s v="NA"/>
    <s v="NA"/>
    <s v="Not Done"/>
    <s v="NA"/>
    <s v="NA"/>
    <s v="Not Done"/>
    <s v="NA"/>
    <s v="NA"/>
    <s v="Not Done"/>
    <x v="1"/>
    <x v="0"/>
  </r>
  <r>
    <s v="Milestone 2"/>
    <s v="N"/>
    <x v="0"/>
    <s v="CRMUSER"/>
    <s v="FINUAT"/>
    <s v="agent_entity_details"/>
    <m/>
    <n v="0"/>
    <s v="DETAIL_RECORD_ID, PERSONID, BANK_ID"/>
    <s v="DETAIL_RECORD_ID,PERSONID,BANK_ID"/>
    <m/>
    <s v="N"/>
    <s v="TMDATE"/>
    <s v="CRM_DEV.finacle.CRMUSER_AGENT_ENTITY_DETAILS"/>
    <s v="Done"/>
    <s v="Done"/>
    <s v="Done"/>
    <s v="Done"/>
    <s v="Done"/>
    <s v="NA"/>
    <s v="Not Done"/>
    <s v="Not Done"/>
    <s v="NA"/>
    <s v="Not Done"/>
    <s v="Not Done"/>
    <s v="NA"/>
    <x v="1"/>
    <x v="1"/>
  </r>
  <r>
    <s v="Milestone 2"/>
    <s v="N"/>
    <x v="0"/>
    <s v="CRMUSER"/>
    <s v="FINUAT"/>
    <s v="bizcenter"/>
    <m/>
    <n v="0"/>
    <s v="BCID"/>
    <s v="BCID"/>
    <m/>
    <s v="N"/>
    <s v="BODATEMODIFIED"/>
    <s v="CRM_DEV.finacle.CRMUSER_BIZCENTER"/>
    <s v="Done"/>
    <s v="Done"/>
    <s v="Done"/>
    <s v="Done"/>
    <s v="Done"/>
    <s v="NA"/>
    <s v="Not Done"/>
    <s v="Not Done"/>
    <s v="NA"/>
    <s v="Not Done"/>
    <s v="Not Done"/>
    <s v="NA"/>
    <x v="1"/>
    <x v="1"/>
  </r>
  <r>
    <s v="TBD"/>
    <s v="N"/>
    <x v="0"/>
    <s v="CUSTOM"/>
    <s v="FINUAT"/>
    <s v="C_LNM_DETAIL_TBL_MOD"/>
    <m/>
    <n v="0"/>
    <s v="NA"/>
    <s v=" "/>
    <m/>
    <s v="N"/>
    <s v="LCHG_TIME"/>
    <s v="CRM_DEV.finacle.CUSTOM_C_LNM_DETAIL_TBL_MOD"/>
    <s v="Done"/>
    <s v="Done"/>
    <s v="Done"/>
    <s v="Done"/>
    <s v="Not Done"/>
    <s v="NA"/>
    <s v="Not Done"/>
    <s v="Not Done"/>
    <s v="NA"/>
    <s v="Not Done"/>
    <s v="Not Done"/>
    <s v="NA"/>
    <x v="1"/>
    <x v="1"/>
  </r>
  <r>
    <s v="TBD"/>
    <s v="N"/>
    <x v="0"/>
    <s v="CUSTOM"/>
    <s v="FINUAT"/>
    <s v="CUST_CASA_PACKAGE"/>
    <m/>
    <n v="0"/>
    <s v="NA"/>
    <s v="Event_ID, Package_ID"/>
    <m/>
    <s v="N"/>
    <s v="LCHG_TIME"/>
    <m/>
    <s v="Done"/>
    <s v="Done"/>
    <s v="Done"/>
    <s v="Done"/>
    <s v="Not Done"/>
    <s v="NA"/>
    <s v="Not Done"/>
    <s v="Not Done"/>
    <s v="NA"/>
    <s v="Not Done"/>
    <s v="Not Done"/>
    <s v="NA"/>
    <x v="1"/>
    <x v="1"/>
  </r>
  <r>
    <s v="Milestone 3"/>
    <s v="N"/>
    <x v="0"/>
    <s v="TBAADM"/>
    <s v="FINUAT"/>
    <s v="ACH_PAYSYS_REASON_TABLE"/>
    <m/>
    <n v="0"/>
    <s v="PAYSYS_ID, REASON_ID, BANK_ID"/>
    <m/>
    <m/>
    <s v="N"/>
    <s v="LCHG_TIME"/>
    <s v="CRM_DEV.finacle.TBAADM_ACH_PAYSYS_REASON_TABLE"/>
    <s v="NA"/>
    <s v="NA"/>
    <s v="NA"/>
    <s v="NA"/>
    <s v="NA"/>
    <s v="NA"/>
    <s v="Not Done"/>
    <s v="Not Done"/>
    <s v="NA"/>
    <s v="Not Done"/>
    <s v="Not Done"/>
    <s v="NA"/>
    <x v="1"/>
    <x v="1"/>
  </r>
  <r>
    <s v="Milestone 3"/>
    <s v="N"/>
    <x v="0"/>
    <s v="TBAADM"/>
    <s v="FINUAT"/>
    <s v="CMB_CSIS_GEN_ACCT_TABLE"/>
    <m/>
    <n v="0"/>
    <s v="SOL_ID, CUST_ID, POOL_ID"/>
    <m/>
    <m/>
    <s v="N"/>
    <m/>
    <s v="CRM_DEV.finacle.TBAADM_CMB_CSIS_GEN_ACCT_TABLE"/>
    <s v="NA"/>
    <s v="NA"/>
    <s v="NA"/>
    <s v="NA"/>
    <s v="NA"/>
    <s v="NA"/>
    <s v="Not Done"/>
    <s v="Not Done"/>
    <s v="NA"/>
    <s v="Not Done"/>
    <s v="Not Done"/>
    <s v="NA"/>
    <x v="1"/>
    <x v="1"/>
  </r>
  <r>
    <s v="Milestone 3"/>
    <s v="N"/>
    <x v="0"/>
    <s v="TBAADM"/>
    <s v="FINUAT"/>
    <s v="SOL_GROUP_CONTROL_TABLE"/>
    <m/>
    <n v="0"/>
    <s v="SOL_GROUP_ID, BANK_ID"/>
    <m/>
    <m/>
    <s v="N"/>
    <s v="LCHG_TIME"/>
    <s v="CRM_DEV.finacle.TBAADM_SOL_GROUP_CONTROL_TABLE"/>
    <s v="Done"/>
    <s v="Done"/>
    <s v="Done"/>
    <s v="Done"/>
    <s v="Not Done"/>
    <s v="NA"/>
    <s v="Not Done"/>
    <s v="Not Done"/>
    <s v="NA"/>
    <s v="Not Done"/>
    <s v="Not Done"/>
    <s v="NA"/>
    <x v="1"/>
    <x v="0"/>
  </r>
  <r>
    <s v="Milestone 2"/>
    <s v="N"/>
    <x v="1"/>
    <s v="TCTDBS"/>
    <s v="PRIMEDB"/>
    <s v="CURRENCIES"/>
    <m/>
    <n v="0"/>
    <s v="SERNO"/>
    <m/>
    <m/>
    <s v="N"/>
    <s v=" "/>
    <s v="CRM_DEV.prime4.TCTDBS_CURRENCIES"/>
    <s v="Done"/>
    <s v="Done"/>
    <s v="Done"/>
    <s v="Done"/>
    <s v="Dev Done"/>
    <s v="NA"/>
    <s v="Not Done"/>
    <s v="Not Done"/>
    <s v="NA"/>
    <s v="Not Done"/>
    <s v="Not Done"/>
    <s v="NA"/>
    <x v="1"/>
    <x v="1"/>
  </r>
  <r>
    <s v="Milestone 3"/>
    <s v="N"/>
    <x v="1"/>
    <s v="TCTDBS"/>
    <s v="PRIMEDB"/>
    <s v="ACPROFILES"/>
    <m/>
    <n v="0"/>
    <s v="SERNO"/>
    <s v="SERNO"/>
    <m/>
    <s v="N"/>
    <s v=" "/>
    <s v="CRM_DEV.prime4.TCTDBS_ACPROFILES"/>
    <s v="Done"/>
    <s v="Done"/>
    <s v="Done"/>
    <s v="Not Done"/>
    <s v="Not Done"/>
    <s v="NA"/>
    <s v="Not Done"/>
    <s v="Not Done"/>
    <s v="NA"/>
    <s v="Not Done"/>
    <s v="Not Done"/>
    <s v="NA"/>
    <x v="1"/>
    <x v="1"/>
  </r>
  <r>
    <s v="Milestone 3"/>
    <s v="N"/>
    <x v="1"/>
    <s v="TCTDBS"/>
    <s v="PRIMEDB"/>
    <s v="TRXNSTATUS"/>
    <m/>
    <n v="0"/>
    <s v="PSERNO"/>
    <s v="PSERNO"/>
    <m/>
    <s v="N"/>
    <s v=" "/>
    <s v="CRM_DEV.prime4.TCTDBS_TRXNSTATUS"/>
    <s v="Done"/>
    <s v="Done"/>
    <s v="Done"/>
    <s v="Not Done"/>
    <s v="Not Done"/>
    <s v="NA"/>
    <s v="Not Done"/>
    <s v="Not Done"/>
    <s v="NA"/>
    <s v="Not Done"/>
    <s v="Not Done"/>
    <s v="NA"/>
    <x v="1"/>
    <x v="1"/>
  </r>
  <r>
    <s v="Milestone 3"/>
    <s v="N"/>
    <x v="1"/>
    <s v="TCTDBS"/>
    <s v="PRIMEDB"/>
    <s v="MEMOTYPES"/>
    <m/>
    <n v="0"/>
    <s v="SERNO"/>
    <s v="SERNO"/>
    <m/>
    <s v="N"/>
    <s v=" "/>
    <s v="CRM_DEV.prime4.TCTDBS_MEMOTYPES"/>
    <s v="Done"/>
    <s v="Done"/>
    <s v="Done"/>
    <s v="Not Done"/>
    <s v="Not Done"/>
    <s v="NA"/>
    <s v="Not Done"/>
    <s v="Not Done"/>
    <s v="NA"/>
    <s v="Not Done"/>
    <s v="Not Done"/>
    <s v="NA"/>
    <x v="1"/>
    <x v="1"/>
  </r>
  <r>
    <s v="Milestone 3"/>
    <s v="N"/>
    <x v="13"/>
    <s v="dbo"/>
    <s v="RAKICCS"/>
    <s v="ICCS_TAB_RoutingNumbers"/>
    <m/>
    <n v="0"/>
    <s v="NA"/>
    <s v="Sl No"/>
    <m/>
    <s v="N"/>
    <s v=" "/>
    <s v="CRM_DEV.iccs.DBO_ICCS_TAB_ROUTINGNUMBERS"/>
    <s v="Done"/>
    <s v="Done"/>
    <s v="Done"/>
    <s v="Done"/>
    <s v="Not Done"/>
    <s v="NA"/>
    <s v="Not Done"/>
    <s v="Not Done"/>
    <s v="NA"/>
    <s v="Not Done"/>
    <s v="Not Done"/>
    <s v="NA"/>
    <x v="1"/>
    <x v="1"/>
  </r>
  <r>
    <s v="Milestone 1"/>
    <s v="N"/>
    <x v="5"/>
    <s v="dbo"/>
    <s v="RAKCAS"/>
    <s v="RB_CSR_CCB_EXTTABLE"/>
    <m/>
    <n v="0"/>
    <s v="NA"/>
    <m/>
    <m/>
    <s v="Y"/>
    <s v="Createddatetime column under Wfinstrumenttable"/>
    <s v="CRM_DEV.ibps._RB_CSR_CCB_EXTTABLE"/>
    <s v="NA"/>
    <s v="NA"/>
    <s v="NA"/>
    <s v="NA"/>
    <s v="NA"/>
    <s v="NA"/>
    <s v="Not Done"/>
    <s v="Not Done"/>
    <s v="NA"/>
    <s v="Not Done"/>
    <s v="Not Done"/>
    <s v="NA"/>
    <x v="1"/>
    <x v="1"/>
  </r>
  <r>
    <s v="Milestone 1"/>
    <s v="N"/>
    <x v="5"/>
    <s v="dbo"/>
    <s v="RAKCAS"/>
    <s v="RB_DSR_DCB_EXTTABLE"/>
    <m/>
    <n v="0"/>
    <s v="NA"/>
    <m/>
    <m/>
    <s v="Y"/>
    <s v="Createddatetime column under Wfinstrumenttable"/>
    <s v="CRM_DEV.ibps._RB_DSR_DCB_EXTTABLE"/>
    <s v="Done"/>
    <s v="Done"/>
    <s v="Done"/>
    <s v="Done"/>
    <s v="Dev Done"/>
    <s v="NA"/>
    <s v="Not Done"/>
    <s v="Not Done"/>
    <s v="NA"/>
    <s v="Not Done"/>
    <s v="Not Done"/>
    <s v="NA"/>
    <x v="1"/>
    <x v="1"/>
  </r>
  <r>
    <s v="Milestone 1"/>
    <s v="N"/>
    <x v="5"/>
    <s v="dbo"/>
    <s v="RAKCAS"/>
    <s v="RB_ODDD_EXTTABLE"/>
    <m/>
    <n v="0"/>
    <s v="NA"/>
    <m/>
    <m/>
    <s v="Y"/>
    <s v="Createddatetime column under Wfinstrumenttable"/>
    <m/>
    <s v="Not Done"/>
    <s v="Not Done"/>
    <s v="Not Done"/>
    <s v="Not Done"/>
    <s v="Not Done"/>
    <s v="NA"/>
    <s v="Not Done"/>
    <s v="Not Done"/>
    <s v="NA"/>
    <s v="Not Done"/>
    <s v="Not Done"/>
    <s v="NA"/>
    <x v="1"/>
    <x v="1"/>
  </r>
  <r>
    <s v="Milestone 1"/>
    <s v="N"/>
    <x v="5"/>
    <s v="dbo"/>
    <s v="RAKCAS"/>
    <s v="NG_EIBOR_EXTTABLE"/>
    <m/>
    <n v="0"/>
    <s v="NA"/>
    <m/>
    <m/>
    <s v="Y"/>
    <s v="Createddatetime column under Wfinstrumenttable"/>
    <s v="CRM_DEV.ibps._NG_EIBOR_EXTTABLE"/>
    <s v="NA"/>
    <s v="NA"/>
    <s v="NA"/>
    <s v="NA"/>
    <s v="NA"/>
    <s v="NA"/>
    <s v="Not Done"/>
    <s v="Not Done"/>
    <s v="NA"/>
    <s v="Not Done"/>
    <s v="Not Done"/>
    <s v="NA"/>
    <x v="1"/>
    <x v="1"/>
  </r>
  <r>
    <s v="Milestone 1"/>
    <s v="N"/>
    <x v="5"/>
    <s v="dbo"/>
    <s v="RAKCAS"/>
    <s v="ng_CourtOrder_exttable"/>
    <m/>
    <n v="0"/>
    <s v="ITEMINDEX,ITEMTYPE"/>
    <s v="ITEMINDEX,ITEMTYPE"/>
    <m/>
    <s v="Y"/>
    <s v="Createddatetime column under Wfinstrumenttable"/>
    <s v="CRM_DEV.ibps.DBO_NG_COURTORDER_EXTTABLE"/>
    <s v="Done"/>
    <s v="Done"/>
    <s v="Done"/>
    <s v="Done"/>
    <s v="Dev Done"/>
    <s v="NA"/>
    <s v="Not Done"/>
    <s v="Not Done"/>
    <s v="NA"/>
    <s v="Not Done"/>
    <s v="Not Done"/>
    <s v="NA"/>
    <x v="1"/>
    <x v="1"/>
  </r>
  <r>
    <s v="Milestone 3"/>
    <s v="N"/>
    <x v="3"/>
    <s v="dbo"/>
    <s v="npss-epayment"/>
    <s v="NPSS_PaymentsStatusConfig"/>
    <s v="Due to AWS issue, End point has changed , Requested to FCR to replace with new end point"/>
    <n v="0"/>
    <s v="Id"/>
    <m/>
    <m/>
    <s v="N"/>
    <s v="NA"/>
    <s v="CRM_DEV.npss.DBO_NPSS_PAYMENTSSTATUSCONFIG"/>
    <s v="Done"/>
    <s v="Done"/>
    <s v="Done"/>
    <s v="Not Done"/>
    <s v="Not Done"/>
    <s v="NA"/>
    <s v="Not Done"/>
    <s v="Not Done"/>
    <s v="NA"/>
    <s v="Not Done"/>
    <s v="Not Done"/>
    <s v="NA"/>
    <x v="1"/>
    <x v="1"/>
  </r>
  <r>
    <s v="Milestone 2"/>
    <s v="N"/>
    <x v="11"/>
    <s v="dbo"/>
    <s v="cpf_platform_dev"/>
    <s v="consent_configs"/>
    <m/>
    <n v="0"/>
    <s v="id"/>
    <s v="id"/>
    <s v="id"/>
    <s v="N"/>
    <s v=" "/>
    <s v="CRM_DEV.cpf.DBO_CONSENT_CONFIGS"/>
    <s v="Done"/>
    <s v="Done"/>
    <s v="Done"/>
    <s v="Done"/>
    <s v="Done"/>
    <s v="NA"/>
    <s v="Not Done"/>
    <s v="Not Done"/>
    <s v="NA"/>
    <s v="Not Done"/>
    <s v="Not Done"/>
    <s v="NA"/>
    <x v="1"/>
    <x v="0"/>
  </r>
  <r>
    <s v="Milestone 3"/>
    <s v="N"/>
    <x v="0"/>
    <s v="TBAADM"/>
    <s v="FINUAT"/>
    <s v="SERVICE_OUTLET_TABLE"/>
    <m/>
    <n v="0"/>
    <s v="SOL_ID, BR_CODE, BANK_CODE"/>
    <s v="SOL_ID"/>
    <m/>
    <s v="N"/>
    <s v="LCHG_TIME"/>
    <s v="CRM_DEV.finacle.TBAADM_SERVICE_OUTLET_TABLE"/>
    <s v="Done"/>
    <s v="Done"/>
    <s v="Done"/>
    <s v="Done"/>
    <s v="Not Done"/>
    <s v="NA"/>
    <s v="Not Done"/>
    <s v="Not Done"/>
    <s v="NA"/>
    <s v="Not Done"/>
    <s v="Not Done"/>
    <s v="NA"/>
    <x v="1"/>
    <x v="1"/>
  </r>
  <r>
    <s v="Milestone 4"/>
    <s v="N"/>
    <x v="0"/>
    <s v="TBAADM"/>
    <s v="FINUAT"/>
    <s v="CNTRY_CURR_CRNCY_TABLE"/>
    <m/>
    <n v="0"/>
    <s v="CRNCY_CODE, BANK_ID"/>
    <s v="CRNCY_CODE"/>
    <m/>
    <s v="N"/>
    <s v="LCHG_TIME"/>
    <s v="CRM_DEV.finacle.TBAADM_CNTRY_CURR_CRNCY_TABLE"/>
    <s v="Done"/>
    <s v="Done"/>
    <s v="Done"/>
    <s v="Done"/>
    <s v="Not Done"/>
    <s v="NA"/>
    <s v="Not Done"/>
    <s v="Not Done"/>
    <s v="NA"/>
    <s v="Not Done"/>
    <s v="Not Done"/>
    <s v="NA"/>
    <x v="1"/>
    <x v="0"/>
  </r>
  <r>
    <s v="Milestone 4"/>
    <s v="N"/>
    <x v="0"/>
    <s v="TBAADM"/>
    <s v="FINUAT"/>
    <s v="POOL_OF_FUNDS_TABLE"/>
    <m/>
    <n v="0"/>
    <s v="POOL_ID, BANK_ID"/>
    <s v="POOL_ID, BANK_ID"/>
    <m/>
    <s v="N"/>
    <s v="LCHG_TIME"/>
    <s v="CRM_DEV.finacle.TBAADM_POOL_OF_FUNDS_TABLE"/>
    <s v="Done"/>
    <s v="Done"/>
    <s v="Done"/>
    <s v="Done"/>
    <s v="Not Done"/>
    <s v="NA"/>
    <s v="Not Done"/>
    <s v="Not Done"/>
    <s v="NA"/>
    <s v="Not Done"/>
    <s v="Not Done"/>
    <s v="NA"/>
    <x v="1"/>
    <x v="1"/>
  </r>
  <r>
    <s v="Milestone 4"/>
    <s v="N"/>
    <x v="0"/>
    <s v="TBAADM"/>
    <s v="FINUAT"/>
    <s v="TD_SCHM_DEFN_TABLE"/>
    <m/>
    <n v="0"/>
    <s v="SCHM_CODE, SRL_NUM, BANK_ID"/>
    <m/>
    <m/>
    <s v="N"/>
    <s v="LCHG_TIME"/>
    <s v="CRM_DEV.finacle.TBAADM_TD_SCHM_DEFN_TABLE"/>
    <s v="Done"/>
    <s v="Done"/>
    <s v="Done"/>
    <s v="Done"/>
    <s v="Not Done"/>
    <s v="NA"/>
    <s v="Not Done"/>
    <s v="Not Done"/>
    <s v="NA"/>
    <s v="Not Done"/>
    <s v="Not Done"/>
    <s v="NA"/>
    <x v="1"/>
    <x v="1"/>
  </r>
  <r>
    <s v="TBD"/>
    <s v="N"/>
    <x v="0"/>
    <s v="TBAADM"/>
    <s v="FINUAT"/>
    <s v="EQ_security_master_tbl"/>
    <m/>
    <n v="0"/>
    <s v="NA"/>
    <s v=" "/>
    <m/>
    <s v="N"/>
    <s v="LCHG_TIME"/>
    <m/>
    <s v="Done"/>
    <s v="Done"/>
    <s v="Done"/>
    <s v="Done"/>
    <s v="Not Done"/>
    <s v="NA"/>
    <s v="Not Done"/>
    <s v="Not Done"/>
    <s v="NA"/>
    <s v="Not Done"/>
    <s v="Not Done"/>
    <s v="NA"/>
    <x v="1"/>
    <x v="1"/>
  </r>
  <r>
    <s v="TBD"/>
    <s v="N"/>
    <x v="0"/>
    <s v="TBAADM"/>
    <s v="FINUAT"/>
    <s v="LA_FLOW_MNT_TABLE"/>
    <m/>
    <n v="0"/>
    <s v="NA"/>
    <s v="Flow_ID"/>
    <m/>
    <s v="N"/>
    <s v="LCHG_TIME"/>
    <m/>
    <s v="Done"/>
    <s v="Done"/>
    <s v="Done"/>
    <s v="Done"/>
    <s v="Not Done"/>
    <s v="NA"/>
    <s v="Not Done"/>
    <s v="Not Done"/>
    <s v="NA"/>
    <s v="Not Done"/>
    <s v="Not Done"/>
    <s v="NA"/>
    <x v="1"/>
    <x v="1"/>
  </r>
  <r>
    <s v="TBD"/>
    <s v="N"/>
    <x v="12"/>
    <s v="TBAADM"/>
    <s v="WMS SIT"/>
    <s v="AI_PROD_CODE_DTLS_TBL"/>
    <m/>
    <n v="0"/>
    <s v="NA"/>
    <s v="Product_code"/>
    <m/>
    <s v="N"/>
    <s v="LCHG_TIME"/>
    <m/>
    <s v="Not Done"/>
    <s v="Not Done"/>
    <s v="Not Done"/>
    <s v="Not Done"/>
    <s v="Not Done"/>
    <s v="NA"/>
    <s v="Not Done"/>
    <s v="Not Done"/>
    <s v="NA"/>
    <s v="Not Done"/>
    <s v="Not Done"/>
    <s v="NA"/>
    <x v="1"/>
    <x v="1"/>
  </r>
  <r>
    <s v="TBD"/>
    <s v="N"/>
    <x v="12"/>
    <s v="TBAADM"/>
    <s v="WMS SIT"/>
    <s v="EQ_INV_BALANCE_SUMMARY_TBL"/>
    <m/>
    <n v="0"/>
    <s v="NA"/>
    <s v=" "/>
    <m/>
    <s v="N"/>
    <s v="LCHG_TIME"/>
    <m/>
    <s v="Not Done"/>
    <s v="Not Done"/>
    <s v="Not Done"/>
    <s v="Not Done"/>
    <s v="Not Done"/>
    <s v="NA"/>
    <s v="Not Done"/>
    <s v="Not Done"/>
    <s v="NA"/>
    <s v="Not Done"/>
    <s v="Not Done"/>
    <s v="NA"/>
    <x v="1"/>
    <x v="1"/>
  </r>
  <r>
    <s v="TBD"/>
    <s v="N"/>
    <x v="12"/>
    <s v="TBAADM"/>
    <s v="WMS SIT"/>
    <s v="EQ_SECURITY_MASTER_TBL"/>
    <m/>
    <n v="0"/>
    <s v="NA"/>
    <s v=" "/>
    <m/>
    <s v="N"/>
    <s v="LCHG_TIME"/>
    <m/>
    <s v="Not Done"/>
    <s v="Not Done"/>
    <s v="Not Done"/>
    <s v="Not Done"/>
    <s v="Not Done"/>
    <s v="NA"/>
    <s v="Not Done"/>
    <s v="Not Done"/>
    <s v="NA"/>
    <s v="Not Done"/>
    <s v="Not Done"/>
    <s v="NA"/>
    <x v="1"/>
    <x v="1"/>
  </r>
  <r>
    <s v="TBD"/>
    <s v="N"/>
    <x v="12"/>
    <s v="TBAADM"/>
    <s v="WMS SIT"/>
    <s v="HA_INV_DTLS_TBL"/>
    <m/>
    <n v="0"/>
    <s v="NA"/>
    <s v=" "/>
    <m/>
    <s v=" "/>
    <s v="This is held away asset and not using in RAK"/>
    <m/>
    <s v="Not Done"/>
    <s v="Not Done"/>
    <s v="Not Done"/>
    <s v="Not Done"/>
    <s v="Not Done"/>
    <s v="NA"/>
    <s v="Not Done"/>
    <s v="Not Done"/>
    <s v="NA"/>
    <s v="Not Done"/>
    <s v="Not Done"/>
    <s v="NA"/>
    <x v="1"/>
    <x v="1"/>
  </r>
  <r>
    <s v="TBD"/>
    <s v="N"/>
    <x v="12"/>
    <s v="TBAADM"/>
    <s v="WMS SIT"/>
    <s v="IN_PRODUCT_MASTER_DTLS_TBL"/>
    <m/>
    <n v="0"/>
    <s v="NA"/>
    <s v="prod_code"/>
    <m/>
    <s v="N"/>
    <s v="LCHG_TIME"/>
    <m/>
    <s v="Not Done"/>
    <s v="Not Done"/>
    <s v="Not Done"/>
    <s v="Not Done"/>
    <s v="Not Done"/>
    <s v="NA"/>
    <s v="Not Done"/>
    <s v="Not Done"/>
    <s v="NA"/>
    <s v="Not Done"/>
    <s v="Not Done"/>
    <s v="NA"/>
    <x v="1"/>
    <x v="1"/>
  </r>
  <r>
    <s v="TBD"/>
    <s v="N"/>
    <x v="12"/>
    <s v="TBAADM"/>
    <s v="WMS SIT"/>
    <s v="IN_TRAN_PROP_INSUR_TABLE"/>
    <m/>
    <n v="0"/>
    <s v="NA"/>
    <s v="tran_id,Serial_num"/>
    <m/>
    <s v="Y"/>
    <s v="LCHG_TIME"/>
    <m/>
    <s v="Not Done"/>
    <s v="Not Done"/>
    <s v="Not Done"/>
    <s v="Not Done"/>
    <s v="Not Done"/>
    <s v="NA"/>
    <s v="Not Done"/>
    <s v="Not Done"/>
    <s v="NA"/>
    <s v="Not Done"/>
    <s v="Not Done"/>
    <s v="NA"/>
    <x v="1"/>
    <x v="1"/>
  </r>
  <r>
    <s v="TBD"/>
    <s v="N"/>
    <x v="12"/>
    <s v="TBAADM"/>
    <s v="WMS SIT"/>
    <s v="MF_FUND_LATEST_DTLS_TBL"/>
    <m/>
    <n v="0"/>
    <s v="NA"/>
    <s v="Fund_ID"/>
    <m/>
    <s v="N"/>
    <s v="LCHG_TIME"/>
    <m/>
    <s v="Not Done"/>
    <s v="Not Done"/>
    <s v="Not Done"/>
    <s v="Not Done"/>
    <s v="Not Done"/>
    <s v="NA"/>
    <s v="Not Done"/>
    <s v="Not Done"/>
    <s v="NA"/>
    <s v="Not Done"/>
    <s v="Not Done"/>
    <s v="NA"/>
    <x v="1"/>
    <x v="1"/>
  </r>
  <r>
    <s v="TBD"/>
    <s v="N"/>
    <x v="12"/>
    <s v="TBAADM"/>
    <s v="WMS SIT"/>
    <s v="AI_PEID_BAL_SUMMARY_TBL"/>
    <m/>
    <n v="0"/>
    <s v="NA"/>
    <s v=" "/>
    <m/>
    <s v="N"/>
    <s v="LCHG_TIME"/>
    <m/>
    <s v="Not Done"/>
    <s v="Not Done"/>
    <s v="Not Done"/>
    <s v="Not Done"/>
    <s v="Not Done"/>
    <s v="NA"/>
    <s v="Not Done"/>
    <s v="Not Done"/>
    <s v="NA"/>
    <s v="Not Done"/>
    <s v="Not Done"/>
    <s v="NA"/>
    <x v="1"/>
    <x v="1"/>
  </r>
  <r>
    <s v="TBD"/>
    <s v="N"/>
    <x v="12"/>
    <s v="TBAADM"/>
    <s v="WMS SIT"/>
    <s v="SP_ACCRUAL_INFO_TABLE"/>
    <m/>
    <n v="0"/>
    <s v="NA"/>
    <s v="Prod_code"/>
    <m/>
    <s v="N"/>
    <s v="LCHG_TIME"/>
    <m/>
    <s v="Not Done"/>
    <s v="Not Done"/>
    <s v="Not Done"/>
    <s v="Not Done"/>
    <s v="Not Done"/>
    <s v="NA"/>
    <s v="Not Done"/>
    <s v="Not Done"/>
    <s v="NA"/>
    <s v="Not Done"/>
    <s v="Not Done"/>
    <s v="NA"/>
    <x v="1"/>
    <x v="1"/>
  </r>
  <r>
    <s v="TBD"/>
    <s v="N"/>
    <x v="12"/>
    <s v="TBAADM"/>
    <s v="WMS SIT"/>
    <s v="SP_GEN_DESCRIPTION_TABLE"/>
    <m/>
    <n v="0"/>
    <s v="NA"/>
    <s v="Prod_code"/>
    <m/>
    <s v="N"/>
    <s v="LCHG_TIME"/>
    <m/>
    <s v="Not Done"/>
    <s v="Not Done"/>
    <s v="Not Done"/>
    <s v="Not Done"/>
    <s v="Not Done"/>
    <s v="NA"/>
    <s v="Not Done"/>
    <s v="Not Done"/>
    <s v="NA"/>
    <s v="Not Done"/>
    <s v="Not Done"/>
    <s v="NA"/>
    <x v="1"/>
    <x v="0"/>
  </r>
  <r>
    <s v="TBD"/>
    <s v="Y"/>
    <x v="9"/>
    <s v="LOS0909"/>
    <s v="RLSPROD"/>
    <s v="NBFC_CONST_M"/>
    <m/>
    <n v="0"/>
    <m/>
    <s v="CONSTID"/>
    <m/>
    <s v="N"/>
    <m/>
    <m/>
    <s v="NA"/>
    <s v="NA"/>
    <s v="NA"/>
    <s v="NA"/>
    <s v="NA"/>
    <s v="Not Done"/>
    <s v="NA"/>
    <s v="NA"/>
    <s v="Not Done"/>
    <s v="NA"/>
    <s v="NA"/>
    <s v="Not Done"/>
    <x v="1"/>
    <x v="1"/>
  </r>
  <r>
    <s v="TBD"/>
    <s v="Y"/>
    <x v="9"/>
    <s v="LOS0909"/>
    <s v="RLSPROD"/>
    <s v="NBFC_INDUSTRY_M"/>
    <m/>
    <n v="0"/>
    <m/>
    <s v="INDUSTRYID"/>
    <m/>
    <s v="N"/>
    <m/>
    <m/>
    <s v="NA"/>
    <s v="NA"/>
    <s v="NA"/>
    <s v="NA"/>
    <s v="NA"/>
    <s v="Not Done"/>
    <s v="NA"/>
    <s v="NA"/>
    <s v="Not Done"/>
    <s v="NA"/>
    <s v="NA"/>
    <s v="Not Done"/>
    <x v="1"/>
    <x v="1"/>
  </r>
  <r>
    <s v="TBD"/>
    <s v="Y"/>
    <x v="9"/>
    <s v="FIN_LEAM"/>
    <s v="RLSPROD"/>
    <s v="LEA_CATG_M"/>
    <m/>
    <n v="0"/>
    <m/>
    <s v="CATGID"/>
    <m/>
    <s v="N"/>
    <m/>
    <m/>
    <s v="NA"/>
    <s v="NA"/>
    <s v="NA"/>
    <s v="NA"/>
    <s v="NA"/>
    <s v="Not Done"/>
    <s v="NA"/>
    <s v="NA"/>
    <s v="Not Done"/>
    <s v="NA"/>
    <s v="NA"/>
    <s v="Not Done"/>
    <x v="1"/>
    <x v="1"/>
  </r>
  <r>
    <s v="Milestone 3"/>
    <s v="N"/>
    <x v="0"/>
    <s v="TBAADM"/>
    <s v="FINUAT"/>
    <s v="FLEXI_FIXED_PARM_TABLE"/>
    <m/>
    <n v="0"/>
    <s v="ACID, BANK_ID"/>
    <s v="ACID"/>
    <m/>
    <s v="N"/>
    <s v="LCHG_TIME"/>
    <m/>
    <s v="Done"/>
    <s v="Done"/>
    <s v="Done"/>
    <s v="Done"/>
    <s v="Not Done"/>
    <s v="NA"/>
    <s v="Not Done"/>
    <s v="Not Done"/>
    <s v="NA"/>
    <s v="Not Done"/>
    <s v="Not Done"/>
    <s v="NA"/>
    <x v="1"/>
    <x v="1"/>
  </r>
  <r>
    <s v="TBD"/>
    <s v="N"/>
    <x v="0"/>
    <s v="TBAADM"/>
    <s v="FINUAT"/>
    <s v="LA_SCHM_PARM_TABLE"/>
    <m/>
    <n v="0"/>
    <s v="NA"/>
    <s v=" "/>
    <m/>
    <s v="N"/>
    <s v="LCHG_TIME"/>
    <m/>
    <s v="Done"/>
    <s v="Done"/>
    <s v="Done"/>
    <s v="Done"/>
    <s v="Not Done"/>
    <s v="NA"/>
    <s v="Not Done"/>
    <s v="Not Done"/>
    <s v="NA"/>
    <s v="Not Done"/>
    <s v="Not Done"/>
    <s v="NA"/>
    <x v="1"/>
    <x v="1"/>
  </r>
  <r>
    <s v="TBD"/>
    <s v="N"/>
    <x v="2"/>
    <m/>
    <s v="Dealing"/>
    <s v="Campaign"/>
    <m/>
    <n v="0"/>
    <m/>
    <s v="CampaignID"/>
    <m/>
    <m/>
    <m/>
    <m/>
    <s v="Done"/>
    <s v="Done"/>
    <s v="Done"/>
    <s v="Not Done"/>
    <s v="Not Done"/>
    <s v="NA"/>
    <s v="Not Done"/>
    <s v="Not Done"/>
    <s v="NA"/>
    <s v="Not Done"/>
    <s v="Not Done"/>
    <s v="NA"/>
    <x v="1"/>
    <x v="1"/>
  </r>
  <r>
    <s v="TBD"/>
    <s v="N"/>
    <x v="1"/>
    <s v="TCTDBS"/>
    <s v="PRIMEDB"/>
    <s v="EXTENSIONFIELDS"/>
    <m/>
    <n v="0"/>
    <m/>
    <s v=" "/>
    <m/>
    <s v="N"/>
    <m/>
    <m/>
    <s v="Not Done"/>
    <s v="Not Done"/>
    <s v="Not Done"/>
    <s v="Not Done"/>
    <s v="Not Done"/>
    <s v="NA"/>
    <s v="Not Done"/>
    <s v="Not Done"/>
    <s v="NA"/>
    <s v="Not Done"/>
    <s v="Not Done"/>
    <s v="NA"/>
    <x v="1"/>
    <x v="1"/>
  </r>
  <r>
    <s v="Milestone 4"/>
    <s v="N"/>
    <x v="14"/>
    <s v="TCTDBS"/>
    <s v="OnlineDB"/>
    <s v="INTERNALTYPEDESCRIPTIONS"/>
    <m/>
    <n v="0"/>
    <s v="NA"/>
    <s v=" "/>
    <m/>
    <s v="N"/>
    <m/>
    <m/>
    <s v="Done"/>
    <s v="Done"/>
    <s v="Done"/>
    <s v="Not Done"/>
    <s v="Not Done"/>
    <s v="NA"/>
    <s v="Not Done"/>
    <s v="Not Done"/>
    <s v="NA"/>
    <s v="Not Done"/>
    <s v="Not Done"/>
    <s v="NA"/>
    <x v="1"/>
    <x v="1"/>
  </r>
  <r>
    <s v="TBD"/>
    <s v="Y"/>
    <x v="9"/>
    <s v="RAK_JSITPH3"/>
    <s v="RLSPROD"/>
    <s v="CREDIT_CARD_TRAN_V"/>
    <m/>
    <n v="0"/>
    <m/>
    <m/>
    <m/>
    <s v="Y"/>
    <m/>
    <s v="CRM_DEV.prime.TCTDBS_CARDSTATUSX"/>
    <s v="NA"/>
    <s v="NA"/>
    <s v="NA"/>
    <s v="NA"/>
    <s v="NA"/>
    <s v="Not Done"/>
    <s v="NA"/>
    <s v="NA"/>
    <s v="Not Done"/>
    <s v="NA"/>
    <s v="NA"/>
    <s v="Not Done"/>
    <x v="1"/>
    <x v="1"/>
  </r>
  <r>
    <s v="TBD"/>
    <s v="Y"/>
    <x v="9"/>
    <s v="RAK_JSITPH3"/>
    <s v="RLSPROD"/>
    <s v="CHEQUE_DETAILS"/>
    <m/>
    <n v="0"/>
    <m/>
    <m/>
    <m/>
    <s v="Y"/>
    <m/>
    <m/>
    <s v="NA"/>
    <s v="NA"/>
    <s v="NA"/>
    <s v="NA"/>
    <s v="NA"/>
    <s v="Not Done"/>
    <s v="NA"/>
    <s v="NA"/>
    <s v="Not Done"/>
    <s v="NA"/>
    <s v="NA"/>
    <s v="Not Done"/>
    <x v="1"/>
    <x v="1"/>
  </r>
  <r>
    <s v="Milestone 2"/>
    <s v="N"/>
    <x v="15"/>
    <m/>
    <m/>
    <m/>
    <s v="Received CSV files  have be uploaded to ADLS  by Mon 30th April"/>
    <n v="0"/>
    <s v="MessageId "/>
    <m/>
    <m/>
    <m/>
    <m/>
    <m/>
    <m/>
    <m/>
    <m/>
    <s v="Not Done"/>
    <s v="Not Done"/>
    <s v="NA"/>
    <s v="Not Done"/>
    <s v="Not Done"/>
    <s v="NA"/>
    <s v="Not Done"/>
    <s v="Not Done"/>
    <s v="NA"/>
    <x v="1"/>
    <x v="1"/>
  </r>
  <r>
    <s v="Milestone 2"/>
    <s v="N"/>
    <x v="0"/>
    <s v="CRMUSER"/>
    <s v="FINUAT"/>
    <s v="EXTN_BODATA "/>
    <m/>
    <m/>
    <s v="EXTENSIONID, BANK_ID"/>
    <s v="extensionid"/>
    <m/>
    <s v="N"/>
    <s v="TMDATE"/>
    <s v="CRM_DEV.finacle.CRMUSER_EXTN_BODATA "/>
    <s v="Done"/>
    <s v="Done"/>
    <s v="Done"/>
    <s v="Done"/>
    <s v="Done"/>
    <s v="NA"/>
    <s v="Not Done"/>
    <s v="Not Done"/>
    <s v="NA"/>
    <s v="Not Done"/>
    <s v="Not Done"/>
    <s v="NA"/>
    <x v="1"/>
    <x v="1"/>
  </r>
  <r>
    <s v="Milestone 3"/>
    <s v="N"/>
    <x v="0"/>
    <s v="CUSTOM"/>
    <s v="FINUAT"/>
    <s v="CUST_REJECT"/>
    <m/>
    <m/>
    <s v="PYMT_REF_NUM"/>
    <s v="PYMT_REF_NUM"/>
    <m/>
    <s v="N"/>
    <s v="VALUE_DATE"/>
    <s v="CRM_DEV.finacle.CUSTOM_CUST_REJECT"/>
    <s v="Done"/>
    <s v="Done"/>
    <s v="Done"/>
    <s v="Done"/>
    <s v="Not Done"/>
    <s v="NA"/>
    <s v="Not Done"/>
    <s v="Not Done"/>
    <s v="NA"/>
    <s v="Not Done"/>
    <s v="Not Done"/>
    <s v="NA"/>
    <x v="1"/>
    <x v="1"/>
  </r>
  <r>
    <s v="TBD"/>
    <s v="N"/>
    <x v="0"/>
    <s v="CUSTOM"/>
    <s v="FINUAT"/>
    <s v="TBA_COLTRL_GURNT_DTL_TBL"/>
    <m/>
    <m/>
    <s v="NA"/>
    <s v=" "/>
    <m/>
    <s v="N"/>
    <s v="LCHG_TIME"/>
    <m/>
    <s v="Done"/>
    <s v="Done"/>
    <s v="Done"/>
    <s v="Done"/>
    <s v="Not Done"/>
    <s v="NA"/>
    <s v="Not Done"/>
    <s v="Not Done"/>
    <s v="NA"/>
    <s v="Not Done"/>
    <s v="Not Done"/>
    <s v="NA"/>
    <x v="1"/>
    <x v="1"/>
  </r>
  <r>
    <s v="TBD"/>
    <s v="N"/>
    <x v="0"/>
    <s v="SVSUSER"/>
    <s v="FINUAT"/>
    <s v="SIGNMAINTANENCE"/>
    <m/>
    <m/>
    <s v="SIGNID"/>
    <s v=" "/>
    <m/>
    <s v="N"/>
    <s v="Valid table name - SIGNMAINTENANCE, CREATEDDATE(Newly created record) or MODIFIEDDATE(Last Modified record)"/>
    <m/>
    <s v="Done"/>
    <s v="Done"/>
    <s v="Done"/>
    <s v="Done"/>
    <s v="Not Done"/>
    <s v="NA"/>
    <s v="Not Done"/>
    <s v="Not Done"/>
    <s v="NA"/>
    <s v="Not Done"/>
    <s v="Not Done"/>
    <s v="NA"/>
    <x v="1"/>
    <x v="1"/>
  </r>
  <r>
    <s v="Milestone 2"/>
    <s v="N"/>
    <x v="14"/>
    <s v="TCTDBS"/>
    <s v="OnlineDB"/>
    <s v="CARDSTATUS"/>
    <m/>
    <m/>
    <s v="INSTITUTION_ID, CODE, MCCODE, RUPAYCOD"/>
    <m/>
    <m/>
    <s v="N"/>
    <s v=" "/>
    <s v="CRM_DEV.online.TCTDBS_CARDSTATUS"/>
    <s v="Reingestion in progress"/>
    <s v="Done"/>
    <s v="Done"/>
    <s v="Done"/>
    <s v="Not Done"/>
    <s v="NA"/>
    <s v="Not Done"/>
    <s v="Not Done"/>
    <s v="NA"/>
    <s v="Not Done"/>
    <s v="Not Done"/>
    <s v="NA"/>
    <x v="1"/>
    <x v="1"/>
  </r>
  <r>
    <s v="Milestone 2"/>
    <s v="N"/>
    <x v="14"/>
    <s v="TCTDBS"/>
    <s v="OnlineDB"/>
    <s v="AUTHORIZATIONS"/>
    <m/>
    <m/>
    <s v="SERNO"/>
    <s v="SERNO"/>
    <m/>
    <s v="Y"/>
    <s v="LTIMESTAMP"/>
    <s v="CRM_DEV.online.TCTDBS_AUTHORIZATIONS"/>
    <s v="Reingestion in progress"/>
    <s v="Done"/>
    <s v="Done"/>
    <s v="Done"/>
    <s v="Not Done"/>
    <s v="NA"/>
    <s v="Not Done"/>
    <s v="Not Done"/>
    <s v="NA"/>
    <s v="Not Done"/>
    <s v="Not Done"/>
    <s v="NA"/>
    <x v="1"/>
    <x v="1"/>
  </r>
  <r>
    <s v="Milestone 3"/>
    <s v="N"/>
    <x v="14"/>
    <s v="TCTDBS"/>
    <s v="OnlineDB"/>
    <s v="CARDS"/>
    <m/>
    <m/>
    <s v="CARDNUMBER"/>
    <s v="CRNNO"/>
    <m/>
    <s v="N"/>
    <s v=" "/>
    <s v="CRM_DEV.online.TCTDBS_CARDS"/>
    <s v="Done"/>
    <s v="Done"/>
    <s v="Done"/>
    <s v="Not Done"/>
    <s v="Not Done"/>
    <s v="NA"/>
    <s v="Not Done"/>
    <s v="Not Done"/>
    <s v="NA"/>
    <s v="Not Done"/>
    <s v="Not Done"/>
    <s v="NA"/>
    <x v="1"/>
    <x v="1"/>
  </r>
  <r>
    <s v="Milestone 3"/>
    <s v="N"/>
    <x v="14"/>
    <s v="TCTDBS"/>
    <s v="OnlineDB"/>
    <s v="GROUPS"/>
    <m/>
    <m/>
    <s v="SERNO"/>
    <m/>
    <m/>
    <s v="N"/>
    <s v=" "/>
    <s v="CRM_DEV.online.TCTDBS_GROUPS"/>
    <s v="Done"/>
    <s v="Done"/>
    <s v="Done"/>
    <s v="Not Done"/>
    <s v="Not Done"/>
    <s v="NA"/>
    <s v="Not Done"/>
    <s v="Not Done"/>
    <s v="NA"/>
    <s v="Not Done"/>
    <s v="Not Done"/>
    <s v="NA"/>
    <x v="1"/>
    <x v="1"/>
  </r>
  <r>
    <s v="TBD"/>
    <s v="N"/>
    <x v="12"/>
    <s v="TBAADM"/>
    <s v="WMS SIT"/>
    <s v="INCTD"/>
    <m/>
    <m/>
    <s v="TBAADM.INTDT &amp; TBAADM.INTHT table View"/>
    <s v="tran_id"/>
    <m/>
    <s v="Y"/>
    <s v="TRAN_DATE"/>
    <m/>
    <s v="Not Done"/>
    <s v="Not Done"/>
    <s v="Not Done"/>
    <s v="Not Done"/>
    <s v="Not Done"/>
    <s v="NA"/>
    <s v="Not Done"/>
    <s v="Not Done"/>
    <s v="NA"/>
    <s v="Not Done"/>
    <s v="Not Done"/>
    <s v="NA"/>
    <x v="1"/>
    <x v="1"/>
  </r>
  <r>
    <s v="TBD"/>
    <s v="N"/>
    <x v="0"/>
    <s v="TBAADM"/>
    <s v="FINUAT"/>
    <s v="PAID_CHQ_RETURN_TABLE"/>
    <m/>
    <m/>
    <s v="NA"/>
    <s v=" "/>
    <m/>
    <s v="N"/>
    <s v="LCHG_TIME"/>
    <m/>
    <s v="Done"/>
    <s v="Done"/>
    <s v="Done"/>
    <s v="Done"/>
    <s v="Not Done"/>
    <s v="NA"/>
    <s v="Not Done"/>
    <s v="Not Done"/>
    <s v="NA"/>
    <s v="Not Done"/>
    <s v="Not Done"/>
    <s v="NA"/>
    <x v="1"/>
    <x v="1"/>
  </r>
  <r>
    <s v="TBD"/>
    <s v="N"/>
    <x v="14"/>
    <s v="TCTDBS"/>
    <s v="OnlineDB"/>
    <s v="RESPCODES"/>
    <m/>
    <m/>
    <m/>
    <s v=" "/>
    <m/>
    <s v="N"/>
    <m/>
    <m/>
    <s v="Not Done"/>
    <s v="Not Done"/>
    <s v="Not Done"/>
    <s v="Not Done"/>
    <s v="Not Done"/>
    <s v="NA"/>
    <s v="Not Done"/>
    <s v="Not Done"/>
    <s v="NA"/>
    <s v="Not Done"/>
    <s v="Not Done"/>
    <s v="NA"/>
    <x v="1"/>
    <x v="1"/>
  </r>
  <r>
    <s v="Milestone 2"/>
    <s v="N"/>
    <x v="1"/>
    <s v="TCTDBS"/>
    <s v="PRIMEDB"/>
    <s v="CARDSTATUSX"/>
    <m/>
    <m/>
    <s v="PSERNO"/>
    <m/>
    <m/>
    <s v="N"/>
    <s v=" "/>
    <s v="CRM_DEV.prime.TCTDBS_CARDSTATUSX"/>
    <s v="Done"/>
    <s v="Done"/>
    <s v="Done"/>
    <s v="Done"/>
    <s v="Dev Done"/>
    <s v="NA"/>
    <s v="Not Done"/>
    <s v="Not Done"/>
    <s v="NA"/>
    <s v="Not Done"/>
    <s v="Not Done"/>
    <s v="NA"/>
    <x v="1"/>
    <x v="1"/>
  </r>
  <r>
    <s v="Milestone 3"/>
    <s v="N"/>
    <x v="1"/>
    <s v="TCTDBS"/>
    <s v="PRIMEDB"/>
    <s v="archctransactions"/>
    <m/>
    <m/>
    <s v="NA"/>
    <m/>
    <m/>
    <s v="Y"/>
    <m/>
    <m/>
    <s v="Done"/>
    <s v="Done"/>
    <s v="Done"/>
    <s v="Not Done"/>
    <s v="Not Done"/>
    <s v="NA"/>
    <s v="Not Done"/>
    <s v="Not Done"/>
    <s v="NA"/>
    <s v="Not Done"/>
    <s v="Not Done"/>
    <s v="NA"/>
    <x v="1"/>
    <x v="1"/>
  </r>
  <r>
    <s v="Milestone 3"/>
    <s v="N"/>
    <x v="0"/>
    <s v="TBAADM"/>
    <s v="FINUAT"/>
    <s v="DAILY_TRAN_HEADER_TABLE"/>
    <m/>
    <m/>
    <s v="TRAN_ID, TRAN_DATE, BANK_ID"/>
    <s v="TRAN_ID, TRAN_DATE, BANK_ID"/>
    <m/>
    <s v="Y"/>
    <s v="TRAN_DATE"/>
    <m/>
    <s v="Done"/>
    <s v="Done"/>
    <s v="Done"/>
    <s v="Done"/>
    <s v="Not Done"/>
    <s v="NA"/>
    <s v="Not Done"/>
    <s v="Not Done"/>
    <s v="NA"/>
    <s v="Not Done"/>
    <s v="Not Done"/>
    <s v="NA"/>
    <x v="1"/>
    <x v="1"/>
  </r>
  <r>
    <s v="Milestone 3"/>
    <s v="N"/>
    <x v="0"/>
    <s v="TBAADM"/>
    <s v="FINUAT"/>
    <s v="HIST_TRAN_HEADER_TABLE"/>
    <m/>
    <m/>
    <s v="TRAN_DATE, TRAN_ID, BANK_ID"/>
    <s v="HIST_TRAN_HEADER_TABLE"/>
    <m/>
    <s v="Y"/>
    <s v="TRAN_DATE"/>
    <m/>
    <s v="Done"/>
    <s v="Done"/>
    <s v="Done"/>
    <s v="Done"/>
    <s v="Not Done"/>
    <s v="NA"/>
    <s v="Not Done"/>
    <s v="Not Done"/>
    <s v="NA"/>
    <s v="Not Done"/>
    <s v="Not Done"/>
    <s v="NA"/>
    <x v="1"/>
    <x v="1"/>
  </r>
  <r>
    <s v="Milestone 3"/>
    <s v="N"/>
    <x v="0"/>
    <s v="TBAADM"/>
    <s v="FINUAT"/>
    <s v="EOD_ACCT_BAL_TABLE"/>
    <m/>
    <m/>
    <s v="ACID, EOD_DATE, END_EOD_DATE, BANK_ID"/>
    <m/>
    <m/>
    <s v="N"/>
    <m/>
    <m/>
    <s v="Done"/>
    <s v="Done"/>
    <s v="Done"/>
    <s v="Done"/>
    <s v="Not Done"/>
    <s v="NA"/>
    <s v="Not Done"/>
    <s v="Not Done"/>
    <s v="NA"/>
    <s v="Not Done"/>
    <s v="Not Done"/>
    <s v="NA"/>
    <x v="1"/>
    <x v="0"/>
  </r>
  <r>
    <s v="Milestone 2"/>
    <s v="N"/>
    <x v="5"/>
    <s v="dbo"/>
    <s v="IBPS"/>
    <s v="processdeftable"/>
    <m/>
    <m/>
    <s v="NA"/>
    <m/>
    <m/>
    <s v="Y"/>
    <s v="Createddatetime column under Wfinstrumenttable"/>
    <s v="CRM_DEV.ibps.dbo_processdeftable"/>
    <s v="Done"/>
    <s v="Done"/>
    <s v="Done"/>
    <s v="Done"/>
    <s v="Dev Done"/>
    <s v="NA"/>
    <s v="Not Done"/>
    <s v="Not Done"/>
    <s v="NA"/>
    <s v="Not Done"/>
    <s v="Not Done"/>
    <s v="NA"/>
    <x v="1"/>
    <x v="1"/>
  </r>
  <r>
    <s v="Milestone 3"/>
    <s v="N"/>
    <x v="0"/>
    <s v="TBAADM"/>
    <s v="FINUAT"/>
    <s v="CCOD_ACCT_MAST_TABLE"/>
    <m/>
    <m/>
    <s v="ACID, BANK_ID"/>
    <m/>
    <m/>
    <s v="N"/>
    <m/>
    <m/>
    <s v="Done"/>
    <s v="Done"/>
    <s v="Done"/>
    <s v="Done"/>
    <s v="Not Done"/>
    <s v="NA"/>
    <s v="Not Done"/>
    <s v="Not Done"/>
    <s v="NA"/>
    <s v="Not Done"/>
    <s v="Not Done"/>
    <s v="NA"/>
    <x v="1"/>
    <x v="0"/>
  </r>
  <r>
    <s v="Milestone 3"/>
    <s v="N"/>
    <x v="0"/>
    <s v="CRMUSER"/>
    <s v="FINUAT"/>
    <s v="Agents"/>
    <m/>
    <m/>
    <s v="PERSONID"/>
    <m/>
    <m/>
    <s v="N"/>
    <s v="BODATEMODIFIED"/>
    <m/>
    <s v="Done"/>
    <s v="Done"/>
    <s v="Done"/>
    <s v="Done"/>
    <s v="Not Done"/>
    <s v="NA"/>
    <s v="Not Done"/>
    <s v="Not Done"/>
    <s v="NA"/>
    <s v="Not Done"/>
    <s v="Not Done"/>
    <s v="NA"/>
    <x v="1"/>
    <x v="0"/>
  </r>
  <r>
    <s v="Milestone 3"/>
    <s v="N"/>
    <x v="6"/>
    <s v="REMIT_SL"/>
    <s v="REMITTDB"/>
    <s v="dx_trns_cashier_pay_details "/>
    <m/>
    <m/>
    <s v="NA"/>
    <m/>
    <m/>
    <s v="Y"/>
    <s v="Trandate"/>
    <m/>
    <s v="Done"/>
    <s v="Done"/>
    <m/>
    <s v="Not Done"/>
    <s v="Not Done"/>
    <s v="NA"/>
    <s v="Not Done"/>
    <s v="Not Done"/>
    <s v="NA"/>
    <s v="Not Done"/>
    <s v="Not Done"/>
    <s v="NA"/>
    <x v="1"/>
    <x v="1"/>
  </r>
  <r>
    <s v="Milestone 3"/>
    <s v="N"/>
    <x v="6"/>
    <s v="REMIT_SL"/>
    <s v="REMITTDB"/>
    <s v="DX_MST_ORG_BRANCH_LANG"/>
    <m/>
    <m/>
    <s v="BRANCHCODE, ORGCODE, LANGCODE"/>
    <m/>
    <m/>
    <s v="N"/>
    <m/>
    <m/>
    <s v="Done"/>
    <s v="Done"/>
    <m/>
    <s v="Not Done"/>
    <s v="Not Done"/>
    <s v="NA"/>
    <s v="Not Done"/>
    <s v="Not Done"/>
    <s v="NA"/>
    <s v="Not Done"/>
    <s v="Not Done"/>
    <s v="NA"/>
    <x v="1"/>
    <x v="1"/>
  </r>
  <r>
    <s v="Milestone 3"/>
    <s v="N"/>
    <x v="6"/>
    <s v="REMIT_SL"/>
    <s v="REMITTDB"/>
    <s v="DX_MST_PURPOSE"/>
    <m/>
    <m/>
    <s v="PURPCODE, ORGCODE, CORRORGCODE"/>
    <m/>
    <m/>
    <s v="N"/>
    <m/>
    <m/>
    <s v="Done"/>
    <s v="Done"/>
    <m/>
    <s v="Not Done"/>
    <s v="Not Done"/>
    <s v="NA"/>
    <s v="Not Done"/>
    <s v="Not Done"/>
    <s v="NA"/>
    <s v="Not Done"/>
    <s v="Not Done"/>
    <s v="NA"/>
    <x v="1"/>
    <x v="1"/>
  </r>
  <r>
    <s v="Milestone 3"/>
    <s v="N"/>
    <x v="6"/>
    <s v="REMIT_SL"/>
    <s v="REMITTDB"/>
    <s v="DX_MST_CUSSEGMENTATION"/>
    <m/>
    <m/>
    <s v="ORGCODE, CSID"/>
    <m/>
    <m/>
    <s v="N"/>
    <m/>
    <m/>
    <s v="Done"/>
    <s v="Done"/>
    <m/>
    <s v="Not Done"/>
    <s v="Not Done"/>
    <s v="NA"/>
    <s v="Not Done"/>
    <s v="Not Done"/>
    <s v="NA"/>
    <s v="Not Done"/>
    <s v="Not Done"/>
    <s v="NA"/>
    <x v="1"/>
    <x v="1"/>
  </r>
  <r>
    <s v="Milestone 3"/>
    <s v="N"/>
    <x v="6"/>
    <s v="REMIT_SL"/>
    <s v="REMITTDB"/>
    <s v="DX_REF_COUNTRY"/>
    <m/>
    <m/>
    <s v="CONTCODE, LANGCODE"/>
    <m/>
    <m/>
    <s v="N"/>
    <m/>
    <m/>
    <s v="Done"/>
    <s v="Done"/>
    <m/>
    <s v="Not Done"/>
    <s v="Not Done"/>
    <s v="NA"/>
    <s v="Not Done"/>
    <s v="Not Done"/>
    <s v="NA"/>
    <s v="Not Done"/>
    <s v="Not Done"/>
    <s v="NA"/>
    <x v="1"/>
    <x v="1"/>
  </r>
  <r>
    <s v="Milestone 3"/>
    <s v="N"/>
    <x v="6"/>
    <s v="REMIT_SL"/>
    <s v="REMITTDB"/>
    <s v="DX_MST_SERVICE"/>
    <m/>
    <m/>
    <s v="_x000a_SERVCODE,LANGCODE"/>
    <m/>
    <m/>
    <s v="N"/>
    <m/>
    <m/>
    <s v="Done"/>
    <s v="Done"/>
    <m/>
    <s v="Not Done"/>
    <s v="Not Done"/>
    <s v="NA"/>
    <s v="Not Done"/>
    <s v="Not Done"/>
    <s v="NA"/>
    <s v="Not Done"/>
    <s v="Not Done"/>
    <s v="NA"/>
    <x v="1"/>
    <x v="1"/>
  </r>
  <r>
    <s v="Milestone 3"/>
    <s v="N"/>
    <x v="13"/>
    <s v="dbo"/>
    <s v="RAKICCS"/>
    <s v="ICCS_ErrorMaster"/>
    <m/>
    <m/>
    <s v="ID"/>
    <m/>
    <m/>
    <s v="N"/>
    <m/>
    <m/>
    <s v="Done"/>
    <s v="Done"/>
    <s v="Done"/>
    <s v="Done"/>
    <s v="Not Done"/>
    <s v="NA"/>
    <s v="Not Done"/>
    <s v="Not Done"/>
    <s v="NA"/>
    <s v="Not Done"/>
    <s v="Not Done"/>
    <s v="NA"/>
    <x v="1"/>
    <x v="1"/>
  </r>
  <r>
    <s v="Milestone 4"/>
    <s v="N"/>
    <x v="0"/>
    <s v="TBAADM"/>
    <s v="FINUAT"/>
    <s v="TBA_RENEWAL_OPTION_TBL"/>
    <s v="Did  not   receive data from source  table.  "/>
    <m/>
    <s v="ACID, BANK_ID"/>
    <m/>
    <m/>
    <s v="N"/>
    <m/>
    <m/>
    <s v="Not Done"/>
    <s v="Not Done"/>
    <s v="Not Done"/>
    <s v="Not Done"/>
    <s v="Not Done"/>
    <s v="NA"/>
    <s v="Not Done"/>
    <s v="Not Done"/>
    <s v="NA"/>
    <s v="Not Done"/>
    <s v="Not Done"/>
    <s v="NA"/>
    <x v="1"/>
    <x v="1"/>
  </r>
  <r>
    <s v="Milestone 3"/>
    <s v="N"/>
    <x v="1"/>
    <s v="TCTDBS"/>
    <s v="PRIMEDB"/>
    <s v="caccountrelations"/>
    <m/>
    <m/>
    <s v="NA"/>
    <m/>
    <m/>
    <s v="N"/>
    <m/>
    <m/>
    <s v="Done"/>
    <s v="Done"/>
    <s v="Done"/>
    <s v="Not Done"/>
    <s v="Not Done"/>
    <s v="NA"/>
    <s v="Not Done"/>
    <s v="Not Done"/>
    <s v="NA"/>
    <s v="Not Done"/>
    <s v="Not Done"/>
    <s v="NA"/>
    <x v="1"/>
    <x v="1"/>
  </r>
  <r>
    <s v="Milestone 3"/>
    <s v="N"/>
    <x v="1"/>
    <s v="TCTDBS"/>
    <s v="PRIMEDB"/>
    <s v="cstatementlinks"/>
    <m/>
    <m/>
    <s v="NA"/>
    <m/>
    <m/>
    <s v="N"/>
    <m/>
    <m/>
    <s v="Done"/>
    <s v="Done"/>
    <s v="Done"/>
    <s v="Not Done"/>
    <s v="Not Done"/>
    <s v="NA"/>
    <s v="Not Done"/>
    <s v="Not Done"/>
    <s v="NA"/>
    <s v="Not Done"/>
    <s v="Not Done"/>
    <s v="NA"/>
    <x v="1"/>
    <x v="1"/>
  </r>
  <r>
    <s v="Milestone 4"/>
    <s v="N"/>
    <x v="0"/>
    <s v="CUSTOM"/>
    <s v="FINUAT"/>
    <s v="C_CHQ_REJ_CNT"/>
    <m/>
    <m/>
    <s v="CIF_ID"/>
    <s v="CIF_ID"/>
    <m/>
    <s v="N"/>
    <s v="LCHG_TIME"/>
    <m/>
    <s v="Done"/>
    <s v="Done"/>
    <s v="Done"/>
    <s v="Done"/>
    <s v="Not Done"/>
    <s v="NA"/>
    <s v="Not Done"/>
    <s v="Not Done"/>
    <s v="NA"/>
    <s v="Not Done"/>
    <s v="Not Done"/>
    <s v="NA"/>
    <x v="1"/>
    <x v="1"/>
  </r>
  <r>
    <s v="Milestone 3"/>
    <s v="N"/>
    <x v="1"/>
    <s v="TCTDBS"/>
    <s v="PRIMEDB"/>
    <s v="caddresslinks  "/>
    <m/>
    <m/>
    <s v="NA"/>
    <m/>
    <m/>
    <s v="N"/>
    <m/>
    <m/>
    <s v="Done"/>
    <s v="Done"/>
    <s v="Done"/>
    <s v="Not Done"/>
    <s v="Not Done"/>
    <s v="NA"/>
    <s v="Not Done"/>
    <s v="Not Done"/>
    <s v="NA"/>
    <s v="Not Done"/>
    <s v="Not Done"/>
    <s v="NA"/>
    <x v="1"/>
    <x v="1"/>
  </r>
  <r>
    <s v="Milestone 4"/>
    <s v="Y"/>
    <x v="7"/>
    <s v="CAPSADMIN"/>
    <s v="CAPS"/>
    <s v="PERSONS"/>
    <m/>
    <m/>
    <s v="PERSONNO"/>
    <m/>
    <m/>
    <m/>
    <m/>
    <s v="CRM_DEV.[caps].[CAPSADMIN_PERSONS]"/>
    <s v="NA"/>
    <s v="NA"/>
    <s v="NA"/>
    <s v="NA"/>
    <s v="NA"/>
    <s v="Done"/>
    <s v="Not Done"/>
    <s v="Not Done"/>
    <s v="NA"/>
    <s v="Not Done"/>
    <s v="Not Done"/>
    <s v="NA"/>
    <x v="1"/>
    <x v="1"/>
  </r>
  <r>
    <s v="Milestone 1"/>
    <s v="N"/>
    <x v="16"/>
    <m/>
    <s v="INSURANCE_DIRECT_DEBIT"/>
    <s v="IDD_INSURANCE_POLICY_DTL_T"/>
    <m/>
    <m/>
    <m/>
    <m/>
    <m/>
    <s v="N"/>
    <m/>
    <m/>
    <s v="Done"/>
    <s v="Done"/>
    <s v="Done"/>
    <s v="Done"/>
    <s v="Not Done"/>
    <s v="NA"/>
    <s v="Not Done"/>
    <s v="Not Done"/>
    <s v="NA"/>
    <s v="Not Done"/>
    <s v="Not Done"/>
    <s v="NA"/>
    <x v="1"/>
    <x v="1"/>
  </r>
  <r>
    <s v="Milestone 1"/>
    <s v="N"/>
    <x v="17"/>
    <m/>
    <s v="ProspectsDB"/>
    <s v="PROSPECT_CALLS"/>
    <m/>
    <m/>
    <m/>
    <m/>
    <m/>
    <s v="N"/>
    <m/>
    <m/>
    <s v="Done"/>
    <s v="Done"/>
    <s v="Done"/>
    <s v="Done"/>
    <s v="Not Done"/>
    <s v="NA"/>
    <s v="Not Done"/>
    <s v="Not Done"/>
    <s v="NA"/>
    <s v="Not Done"/>
    <s v="Not Done"/>
    <s v="NA"/>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s v="TBD"/>
    <s v="N"/>
    <x v="0"/>
    <s v="TBAADM"/>
    <s v="FINUAT"/>
    <s v="HIST_TRAN_DTL_TABLE"/>
    <m/>
    <n v="2097.1039999999998"/>
    <s v="ACID, TRAN_DATE"/>
    <s v="ACID,REF_NUM,PSTD_DATE"/>
    <m/>
    <s v="Y"/>
    <s v="TRAN_DATE"/>
    <m/>
    <s v="Done"/>
    <s v="Done"/>
    <s v="Done"/>
    <x v="0"/>
    <x v="0"/>
    <s v="NA"/>
    <s v="Not Done"/>
    <s v="Not Done"/>
    <s v="NA"/>
    <s v="Not Done"/>
    <s v="Not Done"/>
    <s v="NA"/>
    <s v="Yes"/>
    <s v="yes"/>
  </r>
  <r>
    <s v="Milestone 3"/>
    <s v="N"/>
    <x v="1"/>
    <s v="TCTDBS"/>
    <s v="PRIMEDB"/>
    <s v="APPLOG"/>
    <m/>
    <n v="177.80500000000001"/>
    <s v="NA"/>
    <s v="EODSERNO,TABNAME,COLNAME,ROWSERNO"/>
    <m/>
    <s v="Y"/>
    <s v="DATETIMESTAMP"/>
    <s v="CRM_DEV.prime4.TCTDBS_APPLOG"/>
    <s v="Done"/>
    <s v="Done"/>
    <s v="Done"/>
    <x v="1"/>
    <x v="0"/>
    <s v="NA"/>
    <s v="Not Done"/>
    <s v="Not Done"/>
    <s v="NA"/>
    <s v="Not Done"/>
    <s v="Not Done"/>
    <s v="NA"/>
    <s v="Yes"/>
    <s v="No"/>
  </r>
  <r>
    <s v="Milestone 4"/>
    <s v="N"/>
    <x v="0"/>
    <s v="TBAADM"/>
    <s v="FINUAT"/>
    <s v="CHRG_TRAN_LOG_TBL"/>
    <m/>
    <n v="134.40199999999999"/>
    <s v="CUST_ID, TARGET_ACID, CHRG_TRAN_DATE"/>
    <s v="CUST_ID_x000a_TARGET_ACID, CHRG_TRAN_DATE_x000a_CHRG_TRAN_ID, COMP_B2KID, SYS_NC00054$, BANK_ID"/>
    <m/>
    <s v="Y"/>
    <s v="CHRG_TRAN_DATE"/>
    <m/>
    <s v="Done"/>
    <s v="Done"/>
    <s v="Done"/>
    <x v="0"/>
    <x v="0"/>
    <s v="NA"/>
    <s v="Not Done"/>
    <s v="Not Done"/>
    <s v="NA"/>
    <s v="Not Done"/>
    <s v="Not Done"/>
    <s v="NA"/>
    <s v="Yes"/>
    <s v="No"/>
  </r>
  <r>
    <s v="TBD"/>
    <s v="N"/>
    <x v="2"/>
    <m/>
    <s v="Dealing"/>
    <s v="EmailDetail"/>
    <m/>
    <n v="129.48400000000001"/>
    <m/>
    <s v="TARGET_ACID, CHRG_TRAN_DATE"/>
    <m/>
    <m/>
    <m/>
    <m/>
    <s v="Done"/>
    <s v="Done"/>
    <s v="Done"/>
    <x v="1"/>
    <x v="0"/>
    <s v="NA"/>
    <s v="Not Done"/>
    <s v="Not Done"/>
    <s v="NA"/>
    <s v="Not Done"/>
    <s v="Not Done"/>
    <s v="NA"/>
    <s v="Yes"/>
    <s v="No"/>
  </r>
  <r>
    <s v="Milestone 3"/>
    <s v="N"/>
    <x v="1"/>
    <s v="TCTDBS"/>
    <s v="PRIMEDB"/>
    <s v="CTRANSACTIONS"/>
    <m/>
    <n v="120.59699999999999"/>
    <s v=" SERNO , PARTITIONKEY "/>
    <s v="CHRG_TRAN_ID, COMP_B2KID, SYS_NC00054$, BANK_ID"/>
    <m/>
    <s v="Y"/>
    <s v=" I013_TRXN_DATE"/>
    <s v="CRM_DEV.prime4.TCTDBS_CTRANSACTIONS"/>
    <s v="Done"/>
    <s v="Done"/>
    <s v="Done"/>
    <x v="1"/>
    <x v="0"/>
    <s v="NA"/>
    <s v="Not Done"/>
    <s v="Not Done"/>
    <s v="NA"/>
    <s v="Not Done"/>
    <s v="Not Done"/>
    <s v="NA"/>
    <s v="Yes"/>
    <s v="No"/>
  </r>
  <r>
    <s v="Milestone 2"/>
    <s v="N"/>
    <x v="1"/>
    <s v="TCTDBS"/>
    <s v="PRIMEDB"/>
    <s v="tbalances"/>
    <m/>
    <n v="118.532"/>
    <s v="SERNO, PARTITIONKEY"/>
    <s v="SERNO"/>
    <m/>
    <s v="N"/>
    <s v=" "/>
    <s v="CRM_DEV.prime4.TCTDBS_TBALANCES"/>
    <s v="Done"/>
    <s v="Done"/>
    <s v="Done"/>
    <x v="0"/>
    <x v="1"/>
    <s v="NA"/>
    <s v="Not Done"/>
    <s v="Not Done"/>
    <s v="NA"/>
    <s v="Not Done"/>
    <s v="Not Done"/>
    <s v="NA"/>
    <s v="No"/>
    <s v="No"/>
  </r>
  <r>
    <s v="Milestone 3"/>
    <s v="N"/>
    <x v="0"/>
    <s v="TBAADM"/>
    <s v="FINUAT"/>
    <s v="SWIFT_MSG_HISTORY_TABLE"/>
    <m/>
    <n v="104.608"/>
    <s v="TRAN_ID, PTRAN_SRL_NUM, TRAN_DATE"/>
    <s v="SW_SRL_NUM"/>
    <m/>
    <s v="N"/>
    <s v="LCHG_TIME"/>
    <s v="CRM_DEV.finacle.TBAADM_SWIFT_MSG_HISTORY_TABLE"/>
    <s v="Done"/>
    <s v="Done"/>
    <s v="Done"/>
    <x v="0"/>
    <x v="0"/>
    <s v="NA"/>
    <s v="Not Done"/>
    <s v="Not Done"/>
    <s v="NA"/>
    <s v="Not Done"/>
    <s v="Not Done"/>
    <s v="NA"/>
    <s v="No"/>
    <s v="No"/>
  </r>
  <r>
    <s v="TBD"/>
    <s v="N"/>
    <x v="2"/>
    <m/>
    <s v="Dealing"/>
    <s v="Email"/>
    <m/>
    <n v="69.927000000000007"/>
    <m/>
    <s v=" "/>
    <m/>
    <m/>
    <m/>
    <m/>
    <s v="Done"/>
    <s v="Done"/>
    <s v="Done"/>
    <x v="1"/>
    <x v="0"/>
    <s v="NA"/>
    <s v="Not Done"/>
    <s v="Not Done"/>
    <s v="NA"/>
    <s v="Not Done"/>
    <s v="Not Done"/>
    <s v="NA"/>
    <s v="No"/>
    <s v="yes"/>
  </r>
  <r>
    <s v="Milestone 3"/>
    <s v="N"/>
    <x v="1"/>
    <s v="TCTDBS"/>
    <s v="PRIMEDB"/>
    <s v="CISOTRXNS"/>
    <m/>
    <n v="69.468999999999994"/>
    <s v="NA"/>
    <s v="SERNO"/>
    <m/>
    <s v="Y"/>
    <s v="I012_TRXN_TIME"/>
    <s v="CRM_DEV.prime4.TCTDBS_CISOTRXNS"/>
    <s v="Done"/>
    <s v="Done"/>
    <s v="Done"/>
    <x v="1"/>
    <x v="0"/>
    <s v="NA"/>
    <s v="Not Done"/>
    <s v="Not Done"/>
    <s v="NA"/>
    <s v="Not Done"/>
    <s v="Not Done"/>
    <s v="NA"/>
    <s v="No"/>
    <s v="No"/>
  </r>
  <r>
    <s v="Milestone 4"/>
    <s v="N"/>
    <x v="0"/>
    <s v="TBAADM"/>
    <s v="FINUAT"/>
    <s v="ACCOUNT_LIEN_HISTORY_TABLE"/>
    <m/>
    <n v="68.841999999999999"/>
    <s v="ACID, MODIFY_BOD_DATE, SRL_NUM, BANK_ID"/>
    <s v="ACID,TRAN_ID,TRAN_DATE"/>
    <m/>
    <s v="N"/>
    <s v="LCHG_TIME"/>
    <s v="CRM_DEV.finacle.TBAADM_ACCOUNT_LIEN_HISTORY_TABLE"/>
    <s v="Done"/>
    <s v="Done"/>
    <s v="Done"/>
    <x v="0"/>
    <x v="0"/>
    <s v="NA"/>
    <s v="Not Done"/>
    <s v="Not Done"/>
    <s v="NA"/>
    <s v="Not Done"/>
    <s v="Not Done"/>
    <s v="NA"/>
    <s v="No"/>
    <s v="No"/>
  </r>
  <r>
    <s v="Milestone 3"/>
    <s v="N"/>
    <x v="0"/>
    <s v="TBAADM"/>
    <s v="FINUAT"/>
    <s v="PAYMENT_ORDER_DETAIL_TABLE"/>
    <m/>
    <n v="56.279000000000003"/>
    <s v="TRAN_REF_NUM, SENDER_CHANNEL, BANK_ID"/>
    <s v="PYMT_REF_NUM"/>
    <m/>
    <s v="N"/>
    <s v="LCHG_TIME"/>
    <s v="CRM_DEV.finacle.TBAADM_PAYMENT_ORDER_DETAIL_TABLE"/>
    <s v="Done"/>
    <s v="Done"/>
    <s v="Done"/>
    <x v="0"/>
    <x v="0"/>
    <s v="NA"/>
    <s v="Not Done"/>
    <s v="Not Done"/>
    <s v="NA"/>
    <s v="Not Done"/>
    <s v="Not Done"/>
    <s v="NA"/>
    <s v="No"/>
    <s v="yes"/>
  </r>
  <r>
    <s v="Milestone 3"/>
    <s v="N"/>
    <x v="0"/>
    <s v="TBAADM"/>
    <s v="FINUAT"/>
    <s v="PAYMENT_ORDER_HEADER_TABLE"/>
    <m/>
    <n v="40.820999999999998"/>
    <s v="REQ_EXEC_DATE, DR_ACCT, TRAN_DATE, TRAN_ID"/>
    <s v="PYMT_REF_NUM"/>
    <m/>
    <s v="N"/>
    <s v="LCHG_TIME"/>
    <s v="CRM_DEV.finacle.TBAADM_PAYMENT_ORDER_HEADER_TABLE"/>
    <s v="Done"/>
    <s v="Done"/>
    <s v="Done"/>
    <x v="0"/>
    <x v="0"/>
    <s v="NA"/>
    <s v="Not Done"/>
    <s v="Not Done"/>
    <s v="NA"/>
    <s v="Not Done"/>
    <s v="Not Done"/>
    <s v="NA"/>
    <s v="No"/>
    <s v="No"/>
  </r>
  <r>
    <s v="Milestone 3"/>
    <s v="N"/>
    <x v="3"/>
    <s v="dbo"/>
    <s v="npss-epayment"/>
    <s v="NPSS_RTPaymentsHdr_Inw"/>
    <s v="Due to AWS issue, End point has changed , Requested to FCR to replace with new end point"/>
    <n v="35.356999999999999"/>
    <s v="RTH_MsgGenDt,RTH_RefID"/>
    <m/>
    <m/>
    <s v="Y"/>
    <s v="RTH_MsgGenDt"/>
    <s v="CRM_DEV.npss.DBO_NPSS_RTPAYMENTSHDR_INW"/>
    <s v="Done"/>
    <s v="Done"/>
    <s v="Done"/>
    <x v="1"/>
    <x v="0"/>
    <s v="NA"/>
    <s v="Not Done"/>
    <s v="Not Done"/>
    <s v="NA"/>
    <s v="Not Done"/>
    <s v="Not Done"/>
    <s v="NA"/>
    <s v="No"/>
    <s v="yes"/>
  </r>
  <r>
    <s v="TBD"/>
    <s v="Y"/>
    <x v="4"/>
    <s v="ECECUSER"/>
    <s v="CNVGNIB"/>
    <s v="RQSTHISTORYTABLE"/>
    <m/>
    <n v="21.917000000000002"/>
    <s v="BANK_ID, REQUEST_SRL_NUM"/>
    <s v="REQUEST_SRL_NUM"/>
    <m/>
    <s v="Y"/>
    <s v="R_cre_time"/>
    <m/>
    <s v="NA"/>
    <s v="NA"/>
    <s v="NA"/>
    <x v="2"/>
    <x v="2"/>
    <s v="Not Done"/>
    <s v="NA"/>
    <s v="NA"/>
    <s v="Not Done"/>
    <s v="NA"/>
    <s v="NA"/>
    <s v="Not Done"/>
    <s v="No"/>
    <s v="No"/>
  </r>
  <r>
    <s v="Milestone 1"/>
    <s v="N"/>
    <x v="5"/>
    <s v="dbo"/>
    <s v="RAKCAS"/>
    <s v="wfinstrumenttable"/>
    <m/>
    <n v="19.841000000000001"/>
    <s v="ProcessInstanceID,WorkItemId"/>
    <s v="ProcessInstanceID,WorkItemId"/>
    <m/>
    <s v="Y"/>
    <s v="Createddatetime column under Wfinstrumenttable"/>
    <s v="CRM_DEV.ibps.DBO_WFINSTRUMENTTABLE"/>
    <s v="Done"/>
    <s v="Done"/>
    <s v="Done"/>
    <x v="0"/>
    <x v="1"/>
    <s v="NA"/>
    <s v="Not Done"/>
    <s v="Not Done"/>
    <s v="NA"/>
    <s v="Not Done"/>
    <s v="Not Done"/>
    <s v="NA"/>
    <s v="No"/>
    <s v="yes"/>
  </r>
  <r>
    <s v="Milestone 3"/>
    <s v="N"/>
    <x v="6"/>
    <s v="REMIT_SL"/>
    <s v="REMITPRD"/>
    <s v="DX_TRNS_REMITTANCE"/>
    <m/>
    <n v="18.350999999999999"/>
    <s v="refno"/>
    <s v="REFNO"/>
    <m/>
    <s v="Y"/>
    <s v="Trandate"/>
    <s v="CRM_DEV.casmex.REMIT_SL_DX_TRNS_REMITTANCE"/>
    <s v="Done"/>
    <s v="Done"/>
    <m/>
    <x v="1"/>
    <x v="1"/>
    <s v="NA"/>
    <s v="Not Done"/>
    <s v="Not Done"/>
    <s v="NA"/>
    <s v="Not Done"/>
    <s v="Not Done"/>
    <s v="NA"/>
    <s v="No"/>
    <s v="yes"/>
  </r>
  <r>
    <s v="Milestone 3"/>
    <s v="N"/>
    <x v="1"/>
    <s v="TCTDBS"/>
    <s v="PRIMEDB"/>
    <s v="CEXTENSION"/>
    <m/>
    <n v="17.05"/>
    <s v="NA"/>
    <s v="FIELDNO,ROWSERNO,TABINDICATOR"/>
    <m/>
    <s v="N"/>
    <s v=" "/>
    <s v="CRM_DEV.prime4.TCTDBS_CEXTENSION"/>
    <s v="Done"/>
    <s v="Done"/>
    <s v="Done"/>
    <x v="1"/>
    <x v="1"/>
    <s v="NA"/>
    <s v="Not Done"/>
    <s v="Not Done"/>
    <s v="NA"/>
    <s v="Not Done"/>
    <s v="Not Done"/>
    <s v="NA"/>
    <s v="No"/>
    <s v="No"/>
  </r>
  <r>
    <s v="TBD"/>
    <s v="Y"/>
    <x v="7"/>
    <s v="CAPSADMIN"/>
    <s v="CAPS"/>
    <s v="DELINQUENCYCALENDAR"/>
    <m/>
    <n v="16.832000000000001"/>
    <s v="NA"/>
    <s v=" "/>
    <m/>
    <m/>
    <m/>
    <m/>
    <s v="NA"/>
    <s v="NA"/>
    <s v="NA"/>
    <x v="2"/>
    <x v="2"/>
    <s v="Not Done"/>
    <s v="NA"/>
    <s v="NA"/>
    <s v="Not Done"/>
    <s v="NA"/>
    <s v="NA"/>
    <s v="Not Done"/>
    <s v="No"/>
    <s v="No"/>
  </r>
  <r>
    <s v="Milestone 2"/>
    <s v="N"/>
    <x v="1"/>
    <s v="TCTDBS"/>
    <s v="PRIMEDB"/>
    <s v="CSTATEMENTS"/>
    <m/>
    <n v="15.944000000000001"/>
    <s v="SERNO, PARTITIONKEY"/>
    <s v="SERNO"/>
    <m/>
    <s v="Y"/>
    <s v="billingdate"/>
    <s v="CRM_DEV.prime4.TCTDBS_CSTATEMENTS"/>
    <s v="Done"/>
    <s v="Done"/>
    <s v="Done"/>
    <x v="0"/>
    <x v="1"/>
    <s v="NA"/>
    <s v="Not Done"/>
    <s v="Not Done"/>
    <s v="NA"/>
    <s v="Not Done"/>
    <s v="Not Done"/>
    <s v="NA"/>
    <s v="No"/>
    <s v="No"/>
  </r>
  <r>
    <s v="Milestone 3"/>
    <s v="N"/>
    <x v="6"/>
    <s v="REMIT_SL"/>
    <s v="REMITPRD"/>
    <s v="DX_REF_ACTIVITY_LOG"/>
    <m/>
    <n v="12.773999999999999"/>
    <s v="NA"/>
    <m/>
    <m/>
    <s v="Y"/>
    <s v="Authdate"/>
    <s v="CRM_DEV.casmex.REMIT_SL_DX_REF_ACTIVITY_LOG"/>
    <s v="Done"/>
    <s v="Done"/>
    <m/>
    <x v="1"/>
    <x v="1"/>
    <s v="NA"/>
    <s v="Not Done"/>
    <s v="Not Done"/>
    <s v="NA"/>
    <s v="Not Done"/>
    <s v="Not Done"/>
    <s v="NA"/>
    <s v="No"/>
    <s v="yes"/>
  </r>
  <r>
    <s v="Milestone 3"/>
    <s v="N"/>
    <x v="3"/>
    <s v="dbo"/>
    <s v="npss-epayment"/>
    <s v="NPSS_RTPaymentsDtl_Inw"/>
    <s v="Due to AWS issue, End point has changed , Requested to FCR to replace with new end point"/>
    <n v="11.544"/>
    <s v="RTD_MsgGenDt,RTD_RefID"/>
    <m/>
    <m/>
    <s v="Y"/>
    <s v="RTD_MsgGenDt"/>
    <s v="CRM_DEV.npss.DBO_NPSS_RTPAYMENTSDTL_INW"/>
    <s v="Done"/>
    <s v="Done"/>
    <s v="Done"/>
    <x v="1"/>
    <x v="1"/>
    <s v="NA"/>
    <s v="Not Done"/>
    <s v="Not Done"/>
    <s v="NA"/>
    <s v="Not Done"/>
    <s v="Not Done"/>
    <s v="NA"/>
    <s v="No"/>
    <s v="yes"/>
  </r>
  <r>
    <s v="Milestone 3"/>
    <s v="N"/>
    <x v="1"/>
    <s v="TCTDBS"/>
    <s v="PRIMEDB"/>
    <s v="Cinstalmentamortization"/>
    <m/>
    <n v="6.6760000000000002"/>
    <s v=" SERNO , PARTITIONKEY "/>
    <s v="SERNO"/>
    <m/>
    <s v="N"/>
    <s v=" "/>
    <s v="CRM_DEV.prime4.TCTDBS_CINSTALMENTAMORTIZATION"/>
    <s v="Done"/>
    <s v="Done"/>
    <s v="Done"/>
    <x v="1"/>
    <x v="1"/>
    <s v="NA"/>
    <s v="Not Done"/>
    <s v="Not Done"/>
    <s v="NA"/>
    <s v="Not Done"/>
    <s v="Not Done"/>
    <s v="NA"/>
    <s v="No"/>
    <s v="No"/>
  </r>
  <r>
    <s v="Milestone 3"/>
    <s v="N"/>
    <x v="3"/>
    <s v="dbo"/>
    <s v="npss-epayment"/>
    <s v="NPSS_RTPaymentsDtl_Out"/>
    <s v="Due to AWS issue, End point has changed , Requested to FCR to replace with new end point"/>
    <n v="6.5270000000000001"/>
    <s v="RTD_MsgGenDt,RTD_RefID"/>
    <m/>
    <m/>
    <s v="Y"/>
    <s v="RTD_MsgGenDt"/>
    <s v="CRM_DEV.npss.DBO_NPSS_RTPAYMENTSDTL_OUT"/>
    <s v="Done"/>
    <s v="Done"/>
    <s v="Done"/>
    <x v="1"/>
    <x v="1"/>
    <s v="NA"/>
    <s v="Not Done"/>
    <s v="Not Done"/>
    <s v="NA"/>
    <s v="Not Done"/>
    <s v="Not Done"/>
    <s v="NA"/>
    <s v="No"/>
    <s v="No"/>
  </r>
  <r>
    <s v="Milestone 3"/>
    <s v="N"/>
    <x v="1"/>
    <s v="TCTDBS"/>
    <s v="PRIMEDB"/>
    <s v="archtBalances"/>
    <m/>
    <n v="6.1820000000000004"/>
    <s v="NA"/>
    <m/>
    <m/>
    <s v="N"/>
    <s v=" "/>
    <s v="CRM_DEV.prime4.TCTDBS_ARCHTBALANCES"/>
    <s v="Done"/>
    <s v="Done"/>
    <s v="Done"/>
    <x v="1"/>
    <x v="1"/>
    <s v="NA"/>
    <s v="Not Done"/>
    <s v="Not Done"/>
    <s v="NA"/>
    <s v="Not Done"/>
    <s v="Not Done"/>
    <s v="NA"/>
    <s v="No"/>
    <s v="No"/>
  </r>
  <r>
    <s v="Milestone 3"/>
    <s v="N"/>
    <x v="1"/>
    <s v="TCTDBS"/>
    <s v="PRIMEDB"/>
    <s v="BATCHES"/>
    <m/>
    <n v="6.1580000000000004"/>
    <s v="NA"/>
    <m/>
    <m/>
    <s v="Y"/>
    <s v="BATCHDATE"/>
    <s v="CRM_DEV.prime4.TCTDBS_BATCHES"/>
    <s v="Done"/>
    <s v="Done"/>
    <s v="Done"/>
    <x v="1"/>
    <x v="0"/>
    <s v="NA"/>
    <s v="Not Done"/>
    <s v="Not Done"/>
    <s v="NA"/>
    <s v="Not Done"/>
    <s v="Not Done"/>
    <s v="NA"/>
    <s v="No"/>
    <s v="No"/>
  </r>
  <r>
    <s v="Milestone 1"/>
    <s v="N"/>
    <x v="5"/>
    <s v="dbo"/>
    <s v="RAKCAS"/>
    <s v="NG_TT_EXT_TABLE"/>
    <m/>
    <n v="5.28"/>
    <s v="ITEMINDEX,ITEMTYPE"/>
    <s v="ITEMINDEX,ITEMTYPE"/>
    <m/>
    <s v="Y"/>
    <s v="Createddatetime column under Wfinstrumenttable"/>
    <s v="CRM_DEV.ibps.DBO_NG_TT_EXT_TABLE"/>
    <s v="Done"/>
    <s v="Done"/>
    <s v="Done"/>
    <x v="0"/>
    <x v="1"/>
    <s v="NA"/>
    <s v="Not Done"/>
    <s v="Not Done"/>
    <s v="NA"/>
    <s v="Not Done"/>
    <s v="Not Done"/>
    <s v="NA"/>
    <s v="No"/>
    <s v="yes"/>
  </r>
  <r>
    <s v="TBD"/>
    <s v="N"/>
    <x v="8"/>
    <s v="DEHUSEROB"/>
    <s v="rakdehsit"/>
    <s v="CREDIT_CARDS_REQUEST_DET"/>
    <m/>
    <n v="5.25390625"/>
    <m/>
    <s v="PROSPECT_ID"/>
    <m/>
    <m/>
    <m/>
    <m/>
    <s v="Not Done"/>
    <s v="Not Done"/>
    <s v="Not Done"/>
    <x v="1"/>
    <x v="0"/>
    <s v="NA"/>
    <s v="Not Done"/>
    <s v="Not Done"/>
    <s v="NA"/>
    <s v="Not Done"/>
    <s v="Not Done"/>
    <s v="NA"/>
    <s v="No"/>
    <s v="No"/>
  </r>
  <r>
    <s v="Milestone 1"/>
    <s v="N"/>
    <x v="0"/>
    <s v="CRMUSER"/>
    <s v="FINUAT"/>
    <s v="Incidents"/>
    <m/>
    <n v="4.7489999999999997"/>
    <s v="INCIDENTID, BANK_ID"/>
    <s v="INCIDENTID,BANK_ID"/>
    <m/>
    <s v="N"/>
    <s v="BODATEMODIFIED"/>
    <s v="CRM_DEV.finacle.CRMUSER_INCIDENTS"/>
    <s v="Done"/>
    <s v="Done"/>
    <s v="Done"/>
    <x v="0"/>
    <x v="3"/>
    <s v="NA"/>
    <s v="Not Done"/>
    <s v="Not Done"/>
    <s v="NA"/>
    <s v="Not Done"/>
    <s v="Not Done"/>
    <s v="NA"/>
    <s v="No"/>
    <s v="yes"/>
  </r>
  <r>
    <s v="Milestone 3"/>
    <s v="N"/>
    <x v="3"/>
    <s v="dbo"/>
    <s v="npss-epayment"/>
    <s v="NPSS_RTPaymentsDtl_OutExn"/>
    <s v="Due to AWS issue, End point has changed , Requested to FCR to replace with new end point"/>
    <n v="4.4480000000000004"/>
    <s v="RTD_MsgGenDt,RTD_RefID"/>
    <m/>
    <m/>
    <s v="Y"/>
    <s v="RTD_MsgGenDt"/>
    <s v="CRM_DEV.npss.DBO_NPSS_RTPAYMENTSDTL_OUTEXN"/>
    <s v="Done"/>
    <s v="Done"/>
    <s v="Done"/>
    <x v="1"/>
    <x v="1"/>
    <s v="NA"/>
    <s v="Not Done"/>
    <s v="Not Done"/>
    <s v="NA"/>
    <s v="Not Done"/>
    <s v="Not Done"/>
    <s v="NA"/>
    <s v="No"/>
    <s v="yes"/>
  </r>
  <r>
    <s v="TBD"/>
    <s v="N"/>
    <x v="1"/>
    <s v="TCTDBS"/>
    <s v="PRIMEDB"/>
    <s v="SERVICES"/>
    <m/>
    <n v="4.0339999999999998"/>
    <m/>
    <s v=" "/>
    <m/>
    <s v="N"/>
    <m/>
    <m/>
    <s v="Not Done"/>
    <s v="Not Done"/>
    <s v="Not Done"/>
    <x v="1"/>
    <x v="0"/>
    <s v="NA"/>
    <s v="Not Done"/>
    <s v="Not Done"/>
    <s v="NA"/>
    <s v="Not Done"/>
    <s v="Not Done"/>
    <s v="NA"/>
    <s v="No"/>
    <s v="No"/>
  </r>
  <r>
    <s v="TBD"/>
    <s v="N"/>
    <x v="1"/>
    <s v="TCTDBS"/>
    <s v="PRIMEDB"/>
    <s v="ctrxncampaignlinks"/>
    <m/>
    <n v="3.8109999999999999"/>
    <m/>
    <s v=" "/>
    <m/>
    <s v="N"/>
    <m/>
    <m/>
    <s v="Not Done"/>
    <s v="Not Done"/>
    <s v="Not Done"/>
    <x v="1"/>
    <x v="0"/>
    <s v="NA"/>
    <s v="Not Done"/>
    <s v="Not Done"/>
    <s v="NA"/>
    <s v="Not Done"/>
    <s v="Not Done"/>
    <s v="NA"/>
    <s v="No"/>
    <s v="No"/>
  </r>
  <r>
    <s v="Milestone 2"/>
    <s v="Y"/>
    <x v="9"/>
    <s v="RAK_JSITPH3"/>
    <s v="RLSPROD"/>
    <s v="CS_CASE_INFO"/>
    <m/>
    <n v="3.694"/>
    <s v="APPL_ID"/>
    <m/>
    <m/>
    <s v="N"/>
    <m/>
    <s v="CRM_DEV.cpf.DBO_CUSTOMER_CONSENT_AUDIT"/>
    <s v="NA"/>
    <s v="NA"/>
    <s v="NA"/>
    <x v="2"/>
    <x v="2"/>
    <s v="Done"/>
    <s v="Not Done"/>
    <s v="NA"/>
    <s v="Not Done"/>
    <s v="Not Done"/>
    <s v="NA"/>
    <s v="Not Done"/>
    <s v="No"/>
    <s v="No"/>
  </r>
  <r>
    <s v="Milestone 2"/>
    <s v="N"/>
    <x v="1"/>
    <s v="TCTDBS"/>
    <s v="PRIMEDB"/>
    <s v="CACCOUNTS"/>
    <m/>
    <n v="3.5470000000000002"/>
    <s v="SERNO"/>
    <s v="SERNO"/>
    <m/>
    <s v="N"/>
    <s v=" "/>
    <s v="CRM_DEV.prime4.TCTDBS_CACCOUNTS"/>
    <s v="Done"/>
    <s v="Done"/>
    <s v="Done"/>
    <x v="0"/>
    <x v="1"/>
    <s v="NA"/>
    <s v="Not Done"/>
    <s v="Not Done"/>
    <s v="NA"/>
    <s v="Not Done"/>
    <s v="Not Done"/>
    <s v="NA"/>
    <s v="No"/>
    <s v="No"/>
  </r>
  <r>
    <s v="TBD"/>
    <s v="Y"/>
    <x v="9"/>
    <s v="FIN_LEAM"/>
    <s v="RLSPROD"/>
    <s v="NBFC_CHEQUE_DTL"/>
    <m/>
    <n v="3.407"/>
    <m/>
    <s v="CHEQUE_ID"/>
    <m/>
    <s v="N"/>
    <m/>
    <m/>
    <s v="NA"/>
    <s v="NA"/>
    <s v="NA"/>
    <x v="2"/>
    <x v="2"/>
    <s v="Not Done"/>
    <s v="NA"/>
    <s v="NA"/>
    <s v="Not Done"/>
    <s v="NA"/>
    <s v="NA"/>
    <s v="Not Done"/>
    <s v="No"/>
    <s v="yes"/>
  </r>
  <r>
    <s v="Milestone 4"/>
    <s v="Y"/>
    <x v="10"/>
    <s v="CPPUSER"/>
    <s v="CPPSUAT"/>
    <s v="PAYMENT_TRANS_ONLINE_NOTIFY_T"/>
    <s v="CPPS has integration issue and it is not itegrated yet"/>
    <n v="3"/>
    <s v="SEQ_NO"/>
    <s v=" "/>
    <m/>
    <m/>
    <m/>
    <m/>
    <s v="NA"/>
    <s v="NA"/>
    <s v="NA"/>
    <x v="2"/>
    <x v="1"/>
    <s v="Not Done"/>
    <s v="NA"/>
    <s v="NA"/>
    <s v="Not Done"/>
    <s v="NA"/>
    <s v="NA"/>
    <s v="Not Done"/>
    <s v="No"/>
    <s v="No"/>
  </r>
  <r>
    <s v="Milestone 2"/>
    <s v="N"/>
    <x v="0"/>
    <s v="TBAADM"/>
    <s v="FINUAT"/>
    <s v="GENERAL_ACCT_MAST_TABLE"/>
    <m/>
    <n v="2.819"/>
    <s v="CIF_ID,CUST_ID,FORACID,POOL_ID,SCHM_CODE, SOL_ID,ACCT_SHORT_NAME, SOL_ID,IBAN_NUMBE,LIMIT_B2KID"/>
    <s v="ACID"/>
    <m/>
    <s v="N"/>
    <s v="LCHG_TIME"/>
    <s v="CRM_DEV.finacle.TBAADM_GENERAL_ACCT_MAST_TABLE"/>
    <s v="Done"/>
    <s v="Done"/>
    <s v="Done"/>
    <x v="0"/>
    <x v="3"/>
    <s v="NA"/>
    <s v="Not Done"/>
    <s v="Not Done"/>
    <s v="NA"/>
    <s v="Not Done"/>
    <s v="Not Done"/>
    <s v="NA"/>
    <s v="No"/>
    <s v="yes"/>
  </r>
  <r>
    <s v="Milestone 2"/>
    <s v="Y"/>
    <x v="9"/>
    <s v="LOS0909"/>
    <s v="RLSPROD"/>
    <s v="LEA_REPAYSCH_DTL"/>
    <m/>
    <n v="2.4620000000000002"/>
    <s v="Agreementid"/>
    <s v="PROPOSALID,INSTLNUM"/>
    <m/>
    <s v="N"/>
    <s v=" "/>
    <s v="CRM_DEV.rls.LOS0909_LEA_REPAYSCH_DTL"/>
    <s v="NA"/>
    <s v="NA"/>
    <s v="NA"/>
    <x v="2"/>
    <x v="2"/>
    <s v="Done"/>
    <s v="Not Done"/>
    <s v="NA"/>
    <s v="Not Done"/>
    <s v="Not Done"/>
    <s v="NA"/>
    <s v="Not Done"/>
    <s v="No"/>
    <s v="No"/>
  </r>
  <r>
    <s v="Milestone 3"/>
    <s v="N"/>
    <x v="0"/>
    <s v="CRMUSER"/>
    <s v="FINUAT"/>
    <s v="Address"/>
    <m/>
    <n v="2.4220000000000002"/>
    <s v="ADDRESSID, BANK_ID"/>
    <s v="ADDRESSID,BANK_ID"/>
    <m/>
    <s v="N"/>
    <s v="TMDATE"/>
    <s v="CRM_DEV.finacle.CRMUSER_ADDRESS"/>
    <s v="Done"/>
    <s v="Done"/>
    <s v="Done"/>
    <x v="0"/>
    <x v="0"/>
    <s v="NA"/>
    <s v="Not Done"/>
    <s v="Not Done"/>
    <s v="NA"/>
    <s v="Not Done"/>
    <s v="Not Done"/>
    <s v="NA"/>
    <s v="No"/>
    <s v="yes"/>
  </r>
  <r>
    <s v="TBD"/>
    <s v="Y"/>
    <x v="9"/>
    <s v="RAK_JSITPH3"/>
    <s v="RLSPROD"/>
    <s v="PAYMENT_DETAILS_V"/>
    <m/>
    <n v="2.3319999999999999"/>
    <m/>
    <m/>
    <m/>
    <s v="Y"/>
    <m/>
    <s v="CRM_DEV.infobip._TO BE DECIDED"/>
    <s v="NA"/>
    <s v="NA"/>
    <s v="NA"/>
    <x v="2"/>
    <x v="2"/>
    <s v="Not Done"/>
    <s v="NA"/>
    <s v="NA"/>
    <s v="Not Done"/>
    <s v="NA"/>
    <s v="NA"/>
    <s v="Not Done"/>
    <s v="No"/>
    <s v="No"/>
  </r>
  <r>
    <s v="Milestone 3"/>
    <s v="N"/>
    <x v="3"/>
    <s v="dbo"/>
    <s v="npss-epayment"/>
    <s v="NPSS_RTPaymentsHdr_Out"/>
    <s v="Due to AWS issue, End point has changed , Requested to FCR to replace with new end point"/>
    <n v="2.3290000000000002"/>
    <s v="RTH_MsgGenDt,RTH_RefID"/>
    <m/>
    <m/>
    <s v="Y"/>
    <s v="RTH_MsgGenDt"/>
    <s v="CRM_DEV.npss.DBO_NPSS_RTPAYMENTSHDR_OUT"/>
    <s v="Done"/>
    <s v="Done"/>
    <s v="Done"/>
    <x v="1"/>
    <x v="1"/>
    <s v="NA"/>
    <s v="Not Done"/>
    <s v="Not Done"/>
    <s v="NA"/>
    <s v="Not Done"/>
    <s v="Not Done"/>
    <s v="NA"/>
    <s v="No"/>
    <s v="No"/>
  </r>
  <r>
    <s v="TBD"/>
    <s v="N"/>
    <x v="8"/>
    <s v="DEHUSEROB"/>
    <s v="rakdehsit"/>
    <s v="RETAIL_ACCOUNTS_REQUEST_DET"/>
    <m/>
    <n v="2.3115234375"/>
    <m/>
    <s v=" "/>
    <m/>
    <m/>
    <m/>
    <m/>
    <s v="Not Done"/>
    <s v="Not Done"/>
    <s v="Not Done"/>
    <x v="1"/>
    <x v="0"/>
    <s v="NA"/>
    <s v="Not Done"/>
    <s v="Not Done"/>
    <s v="NA"/>
    <s v="Not Done"/>
    <s v="Not Done"/>
    <s v="NA"/>
    <s v="No"/>
    <s v="No"/>
  </r>
  <r>
    <s v="Milestone 3"/>
    <s v="N"/>
    <x v="1"/>
    <s v="TCTDBS"/>
    <s v="PRIMEDB"/>
    <s v="MEMOS"/>
    <m/>
    <n v="2.2610000000000001"/>
    <s v="SERNO"/>
    <s v="SERNO"/>
    <m/>
    <s v="Y"/>
    <s v="DATETIMESTAMP"/>
    <s v="CRM_DEV.prime4.TCTDBS_MEMOS"/>
    <s v="Done"/>
    <s v="Done"/>
    <s v="Done"/>
    <x v="1"/>
    <x v="0"/>
    <s v="NA"/>
    <s v="Not Done"/>
    <s v="Not Done"/>
    <s v="NA"/>
    <s v="Not Done"/>
    <s v="Not Done"/>
    <s v="NA"/>
    <s v="No"/>
    <s v="No"/>
  </r>
  <r>
    <s v="Milestone 1"/>
    <s v="N"/>
    <x v="5"/>
    <s v="dbo"/>
    <s v="RAKCAS"/>
    <s v="RB_KYC_REM_EXTTABLE"/>
    <m/>
    <n v="2.2400000000000002"/>
    <s v="ITEMINDEX,ITEMTYPE"/>
    <s v="ITEMINDEX,ITEMTYPE"/>
    <m/>
    <s v="Y"/>
    <s v="Createddatetime column under Wfinstrumenttable"/>
    <s v="CRM_DEV.ibps.DBO_RB_KYC_REM_EXTTABLE"/>
    <s v="Done"/>
    <s v="Done"/>
    <s v="Done"/>
    <x v="0"/>
    <x v="1"/>
    <s v="NA"/>
    <s v="Not Done"/>
    <s v="Not Done"/>
    <s v="NA"/>
    <s v="Not Done"/>
    <s v="Not Done"/>
    <s v="NA"/>
    <s v="No"/>
    <s v="No"/>
  </r>
  <r>
    <s v="Milestone 1"/>
    <s v="N"/>
    <x v="1"/>
    <s v="TCTDBS"/>
    <s v="PRIMEDB"/>
    <s v="CARDX"/>
    <m/>
    <n v="2.1859999999999999"/>
    <s v="SERNO"/>
    <s v="SERNO"/>
    <m/>
    <s v="N"/>
    <s v=" "/>
    <s v="CRM_DEV.prime4.TCTDBS_CARDX"/>
    <s v="Done"/>
    <s v="Done"/>
    <s v="Done"/>
    <x v="0"/>
    <x v="1"/>
    <s v="NA"/>
    <s v="Not Done"/>
    <s v="Not Done"/>
    <s v="NA"/>
    <s v="Not Done"/>
    <s v="Not Done"/>
    <s v="NA"/>
    <s v="No"/>
    <s v="No"/>
  </r>
  <r>
    <s v="Milestone 1"/>
    <s v="N"/>
    <x v="0"/>
    <s v="CRMUSER"/>
    <s v="FINUAT"/>
    <s v="accounts"/>
    <m/>
    <n v="2.1853259999999999"/>
    <s v="ACCOUNTID, BANK_ID"/>
    <s v="org_key"/>
    <m/>
    <s v="N"/>
    <s v="BODATEMODIFIED"/>
    <s v="CRM_DEV.finacle.CRMUSER_ACCOUNTS"/>
    <s v="Done"/>
    <s v="Done"/>
    <s v="Done"/>
    <x v="0"/>
    <x v="3"/>
    <s v="NA"/>
    <s v="Not Done"/>
    <s v="Not Done"/>
    <s v="NA"/>
    <s v="Not Done"/>
    <s v="Not Done"/>
    <s v="NA"/>
    <s v="No"/>
    <s v="yes"/>
  </r>
  <r>
    <s v="Milestone 3"/>
    <s v="N"/>
    <x v="0"/>
    <s v="CUSTOM"/>
    <s v="FINUAT"/>
    <s v="CUST_PAYGEN_ORD_TABLE"/>
    <m/>
    <n v="2.0920000000000001"/>
    <s v="PYMT_REF_NUM"/>
    <s v="PYMT_REF_NUM"/>
    <m/>
    <s v="N"/>
    <s v="LCHG_TIME"/>
    <s v="CRM_DEV.finacle.CUSTOM_CUST_PAYGEN_ORD_TABLE"/>
    <s v="Done"/>
    <s v="Done"/>
    <s v="Done"/>
    <x v="0"/>
    <x v="0"/>
    <s v="NA"/>
    <s v="Not Done"/>
    <s v="Not Done"/>
    <s v="NA"/>
    <s v="Not Done"/>
    <s v="Not Done"/>
    <s v="NA"/>
    <s v="No"/>
    <s v="No"/>
  </r>
  <r>
    <s v="TBD"/>
    <s v="N"/>
    <x v="8"/>
    <s v="DEHUSEROB"/>
    <s v="rakdehsit"/>
    <s v="CARDS_ACCOUNTS_MASTER"/>
    <m/>
    <n v="1.974609375"/>
    <m/>
    <s v="PROSPECT_ID"/>
    <m/>
    <m/>
    <m/>
    <m/>
    <s v="Not Done"/>
    <s v="Not Done"/>
    <s v="Not Done"/>
    <x v="1"/>
    <x v="0"/>
    <s v="NA"/>
    <s v="Not Done"/>
    <s v="Not Done"/>
    <s v="NA"/>
    <s v="Not Done"/>
    <s v="Not Done"/>
    <s v="NA"/>
    <s v="No"/>
    <s v="No"/>
  </r>
  <r>
    <s v="Milestone 3"/>
    <s v="N"/>
    <x v="1"/>
    <s v="TCTDBS"/>
    <s v="PRIMEDB"/>
    <s v="CADDRESSES"/>
    <m/>
    <n v="1.879"/>
    <s v="SERNO"/>
    <s v="SERNO"/>
    <m/>
    <s v="N"/>
    <s v=" "/>
    <s v="CRM_DEV.prime4.TCTDBS_CADDRESSES"/>
    <s v="Done"/>
    <s v="Done"/>
    <s v="Done"/>
    <x v="1"/>
    <x v="0"/>
    <s v="NA"/>
    <s v="Not Done"/>
    <s v="Not Done"/>
    <s v="NA"/>
    <s v="Not Done"/>
    <s v="Not Done"/>
    <s v="NA"/>
    <s v="No"/>
    <s v="No"/>
  </r>
  <r>
    <s v="Milestone 4"/>
    <s v="N"/>
    <x v="0"/>
    <s v="CRMUSER"/>
    <s v="FINUAT"/>
    <s v="Request"/>
    <m/>
    <n v="1.82"/>
    <s v="REQUESTID, BANK_ID"/>
    <s v="REQUESTID,BANK_ID"/>
    <m/>
    <s v="N"/>
    <s v="BODATEMODIFIED"/>
    <s v="CRM_DEV.finacle.CRMUSER_REQUEST"/>
    <s v="Done"/>
    <s v="Done"/>
    <s v="Done"/>
    <x v="0"/>
    <x v="1"/>
    <s v="NA"/>
    <s v="Not Done"/>
    <s v="Not Done"/>
    <s v="NA"/>
    <s v="Not Done"/>
    <s v="Not Done"/>
    <s v="NA"/>
    <s v="No"/>
    <s v="No"/>
  </r>
  <r>
    <s v="Milestone 2"/>
    <s v="N"/>
    <x v="0"/>
    <s v="CRMUSER"/>
    <s v="FINUAT"/>
    <s v="MiscellaneousInfo"/>
    <m/>
    <n v="1.6240000000000001"/>
    <s v="MISCELLANEOUSID, BANK_ID"/>
    <s v="MISCELLANEOUSID,BANK_ID"/>
    <m/>
    <s v="N"/>
    <s v="TMDATE"/>
    <s v="CRM_DEV.finacle.CRMUSER_MISCELLANEOUSINFO"/>
    <s v="Done"/>
    <s v="Done"/>
    <s v="Done"/>
    <x v="0"/>
    <x v="3"/>
    <s v="NA"/>
    <s v="Not Done"/>
    <s v="Not Done"/>
    <s v="NA"/>
    <s v="Not Done"/>
    <s v="Not Done"/>
    <s v="NA"/>
    <s v="No"/>
    <s v="yes"/>
  </r>
  <r>
    <s v="Milestone 3"/>
    <s v="N"/>
    <x v="0"/>
    <s v="TBAADM"/>
    <s v="FINUAT"/>
    <s v="DAILY_TRAN_DETAIL_TABLE"/>
    <m/>
    <n v="1.53"/>
    <s v="SOL_ID, TRAN_CRNCY_CODE, GL_SUB_HEAD_CODE, SI_SRL_NUM, ACID"/>
    <s v="ACID,TRAN_ID, PART_TRAN_SRL_NUM"/>
    <m/>
    <s v="Y"/>
    <s v="TRAN_DATE "/>
    <s v="CRM_DEV.finacle.TBAADM_DAILY_TRAN_DETAIL_TABLE"/>
    <s v="Done"/>
    <s v="Done"/>
    <s v="Done"/>
    <x v="0"/>
    <x v="0"/>
    <s v="NA"/>
    <s v="Not Done"/>
    <s v="Not Done"/>
    <s v="NA"/>
    <s v="Not Done"/>
    <s v="Not Done"/>
    <s v="NA"/>
    <s v="No"/>
    <s v="yes"/>
  </r>
  <r>
    <s v="Milestone 1"/>
    <s v="Y"/>
    <x v="4"/>
    <s v="ECECUSER"/>
    <s v="CNVGNIB"/>
    <s v="CORPORATE_USER"/>
    <m/>
    <n v="1.4970000000000001"/>
    <s v="ORG_ID, BANK_ID, USER_ID"/>
    <m/>
    <m/>
    <s v="N"/>
    <s v=" "/>
    <s v="CRM_DEV.digital_banking_admin.ECECUSER_CORPORATE_USER"/>
    <s v="NA"/>
    <s v="NA"/>
    <s v="NA"/>
    <x v="2"/>
    <x v="3"/>
    <s v="Done"/>
    <s v="Not Done"/>
    <s v="NA"/>
    <s v="Not Done"/>
    <s v="Not Done"/>
    <s v="NA"/>
    <s v="Not Done"/>
    <s v="No"/>
    <s v="No"/>
  </r>
  <r>
    <s v="Milestone 1"/>
    <s v="N"/>
    <x v="1"/>
    <s v="TCTDBS"/>
    <s v="PRIMEDB"/>
    <s v="PEOPLE"/>
    <m/>
    <n v="1.4890000000000001"/>
    <s v="SERNO"/>
    <s v="SERNO"/>
    <m/>
    <s v="N"/>
    <s v=" "/>
    <s v="CRM_DEV.digital_banking_admin.REQUEST_DETAILS"/>
    <s v="Done"/>
    <s v="Done"/>
    <s v="Done"/>
    <x v="0"/>
    <x v="1"/>
    <s v="NA"/>
    <s v="Not Done"/>
    <s v="Not Done"/>
    <s v="NA"/>
    <s v="Not Done"/>
    <s v="Not Done"/>
    <s v="NA"/>
    <s v="No"/>
    <s v="No"/>
  </r>
  <r>
    <s v="Milestone 4"/>
    <s v="N"/>
    <x v="0"/>
    <s v="TBAADM"/>
    <s v="FINUAT"/>
    <s v="INT_TBL_CODE_TABLE"/>
    <m/>
    <n v="1.377"/>
    <s v="ENTITY_ID, ENTITY_TYPE, START_DATE, INT_TBL_CODE_SRL_NUM"/>
    <s v="ENTITY_ID,RECORD_DATE"/>
    <m/>
    <s v="N"/>
    <s v="LCHG_TIME"/>
    <s v="CRM_DEV.digital_banking_admin.MULTI_LEVEL_WORKFLOW_TABLE"/>
    <s v="Done"/>
    <s v="Done"/>
    <s v="Done"/>
    <x v="0"/>
    <x v="1"/>
    <s v="NA"/>
    <s v="Not Done"/>
    <s v="Not Done"/>
    <s v="NA"/>
    <s v="Not Done"/>
    <s v="Not Done"/>
    <s v="NA"/>
    <s v="No"/>
    <s v="yes"/>
  </r>
  <r>
    <s v="Milestone 1"/>
    <s v="N"/>
    <x v="5"/>
    <s v="dbo"/>
    <s v="RAKCAS"/>
    <s v="RB_TF_EXTTABLE"/>
    <m/>
    <n v="1.3540000000000001"/>
    <s v="ITEMINDEX,ITEMTYPE"/>
    <s v="ITEMINDEX,ITEMTYPE"/>
    <m/>
    <s v="Y"/>
    <s v="Createddatetime column under Wfinstrumenttable"/>
    <s v="CRM_DEV.digital_banking_admin.CUSTOMER_MASTER"/>
    <s v="Done"/>
    <s v="Done"/>
    <s v="Done"/>
    <x v="0"/>
    <x v="1"/>
    <s v="NA"/>
    <s v="Not Done"/>
    <s v="Not Done"/>
    <s v="NA"/>
    <s v="Not Done"/>
    <s v="Not Done"/>
    <s v="NA"/>
    <s v="No"/>
    <s v="No"/>
  </r>
  <r>
    <s v="Milestone 2"/>
    <s v="N"/>
    <x v="0"/>
    <s v="TBAADM"/>
    <s v="FINUAT"/>
    <s v="ENTITY_INTEREST_TABLE"/>
    <m/>
    <n v="1.321"/>
    <s v="ENTITY_ID, ENTITY_TYPE, BANK_ID"/>
    <s v="ENTITY_ID"/>
    <m/>
    <s v="N"/>
    <s v="LCHG_TIME"/>
    <s v="CRM_DEV.finacle.TBAADM_ENTITY_INTEREST_TABLE"/>
    <s v="Done"/>
    <s v="Done"/>
    <s v="Done"/>
    <x v="0"/>
    <x v="3"/>
    <s v="NA"/>
    <s v="Not Done"/>
    <s v="Not Done"/>
    <s v="NA"/>
    <s v="Not Done"/>
    <s v="Not Done"/>
    <s v="NA"/>
    <s v="No"/>
    <s v="yes"/>
  </r>
  <r>
    <s v="Milestone 2"/>
    <s v="Y"/>
    <x v="4"/>
    <s v="ECECUSER"/>
    <s v="CNVGNIB"/>
    <s v="REQUEST_DETAILS"/>
    <m/>
    <n v="1.3120000000000001"/>
    <s v="BANK_ID, FTXN_ID"/>
    <s v=" "/>
    <m/>
    <s v="N"/>
    <m/>
    <s v="CRM_DEV.digital_banking_admin.ECECUSER_REQUEST_DETAILS"/>
    <s v="NA"/>
    <s v="NA"/>
    <s v="NA"/>
    <x v="2"/>
    <x v="3"/>
    <s v="Done"/>
    <s v="NA"/>
    <s v="NA"/>
    <s v="Not Done"/>
    <s v="NA"/>
    <s v="NA"/>
    <s v="Not Done"/>
    <s v="No"/>
    <s v="No"/>
  </r>
  <r>
    <s v="TBD"/>
    <s v="N"/>
    <x v="1"/>
    <s v="TCTDBS"/>
    <s v="PRIMEDB"/>
    <s v="CARDTOKENS"/>
    <m/>
    <n v="1.3049999999999999"/>
    <m/>
    <s v=" "/>
    <m/>
    <s v="N"/>
    <m/>
    <m/>
    <s v="Not Done"/>
    <s v="Not Done"/>
    <s v="Not Done"/>
    <x v="1"/>
    <x v="0"/>
    <s v="NA"/>
    <s v="Not Done"/>
    <s v="Not Done"/>
    <s v="NA"/>
    <s v="Not Done"/>
    <s v="Not Done"/>
    <s v="NA"/>
    <s v="No"/>
    <s v="No"/>
  </r>
  <r>
    <s v="Milestone 1"/>
    <s v="N"/>
    <x v="0"/>
    <s v="CRMUSER"/>
    <s v="FINUAT"/>
    <s v="ENTITYDOCUMENT"/>
    <m/>
    <n v="1.2470000000000001"/>
    <s v="ENTITYDOCUMENTID, BANK_ID"/>
    <s v="ENTITYDOCUMENTID,BANK_ID"/>
    <m/>
    <s v="N"/>
    <s v="BODATEMODIFIED"/>
    <s v="CRM_DEV.finacle.CRMUSER_ENTITYDOCUMENT"/>
    <s v="Done"/>
    <s v="Done"/>
    <s v="Done"/>
    <x v="0"/>
    <x v="3"/>
    <s v="NA"/>
    <s v="Not Done"/>
    <s v="Not Done"/>
    <s v="NA"/>
    <s v="Not Done"/>
    <s v="Not Done"/>
    <s v="NA"/>
    <s v="No"/>
    <s v="yes"/>
  </r>
  <r>
    <s v="TBD"/>
    <s v="N"/>
    <x v="8"/>
    <s v="DEHUSEROB"/>
    <s v="rakdehsit"/>
    <s v="RETAIL_ACCOUNTS_MASTER"/>
    <m/>
    <n v="1.2275390625"/>
    <m/>
    <s v="PROSPECT_ID"/>
    <m/>
    <m/>
    <m/>
    <m/>
    <s v="Not Done"/>
    <s v="Not Done"/>
    <s v="Not Done"/>
    <x v="1"/>
    <x v="0"/>
    <s v="NA"/>
    <s v="Not Done"/>
    <s v="Not Done"/>
    <s v="NA"/>
    <s v="Not Done"/>
    <s v="Not Done"/>
    <s v="NA"/>
    <s v="No"/>
    <s v="No"/>
  </r>
  <r>
    <s v="Milestone 3"/>
    <s v="N"/>
    <x v="3"/>
    <s v="dbo"/>
    <s v="npss-epayment"/>
    <s v="NPSS_RTPaymentsDtl_InwExn"/>
    <s v="Due to AWS issue, End point has changed , Requested to FCR to replace with new end point"/>
    <n v="1.2230000000000001"/>
    <s v="RTD_MsgGenDt,RTD_RefID"/>
    <m/>
    <m/>
    <s v="Y"/>
    <s v="RTD_MsgGenDt"/>
    <s v="CRM_DEV.npss.DBO_NPSS_RTPAYMENTSDTL_INWEXN"/>
    <s v="Done"/>
    <s v="Done"/>
    <s v="Done"/>
    <x v="1"/>
    <x v="0"/>
    <s v="NA"/>
    <s v="Not Done"/>
    <s v="Not Done"/>
    <s v="NA"/>
    <s v="Not Done"/>
    <s v="Not Done"/>
    <s v="NA"/>
    <s v="No"/>
    <s v="No"/>
  </r>
  <r>
    <s v="Milestone 1"/>
    <s v="N"/>
    <x v="5"/>
    <s v="dbo"/>
    <s v="RAKCAS"/>
    <s v="RB_SRO_EXTTABLE"/>
    <m/>
    <n v="1.1970000000000001"/>
    <s v="ITEMINDEX,ITEMTYPE"/>
    <s v="ITEMINDEX,ITEMTYPE"/>
    <m/>
    <s v="Y"/>
    <s v="Createddatetime column under Wfinstrumenttable"/>
    <s v="CRM_DEV.ibps.DBO_RB_SRO_EXTTABLE"/>
    <s v="Done"/>
    <s v="Done"/>
    <s v="Done"/>
    <x v="0"/>
    <x v="1"/>
    <s v="NA"/>
    <s v="Not Done"/>
    <s v="Not Done"/>
    <s v="NA"/>
    <s v="Not Done"/>
    <s v="Not Done"/>
    <s v="NA"/>
    <s v="No"/>
    <s v="No"/>
  </r>
  <r>
    <s v="Milestone 1"/>
    <s v="N"/>
    <x v="0"/>
    <s v="CRMUSER"/>
    <s v="FINUAT"/>
    <s v="PhoneEmail"/>
    <m/>
    <n v="1.123"/>
    <s v="PHONEEMAILID, BANK_ID"/>
    <s v="PHONEEMAILID, BANK_ID"/>
    <m/>
    <s v="N"/>
    <s v="TMDATE"/>
    <s v="CRM_DEV.finacle.CRMUSER_PHONEEMAIL"/>
    <s v="Done"/>
    <s v="Done"/>
    <s v="Done"/>
    <x v="0"/>
    <x v="3"/>
    <s v="NA"/>
    <s v="Not Done"/>
    <s v="Not Done"/>
    <s v="NA"/>
    <s v="Not Done"/>
    <s v="Not Done"/>
    <s v="NA"/>
    <s v="No"/>
    <s v="yes"/>
  </r>
  <r>
    <s v="Milestone 3"/>
    <s v="N"/>
    <x v="1"/>
    <s v="TCTDBS"/>
    <s v="PRIMEDB"/>
    <s v="CINSTALMENTS"/>
    <m/>
    <n v="1.1100000000000001"/>
    <s v=" SERNO , PARTITIONKEY "/>
    <s v="SERNO"/>
    <m/>
    <s v="N"/>
    <s v=" "/>
    <s v="CRM_DEV.prime4.TCTDBS_CINSTALMENTS"/>
    <s v="Done"/>
    <s v="Done"/>
    <s v="Done"/>
    <x v="1"/>
    <x v="0"/>
    <s v="NA"/>
    <s v="Not Done"/>
    <s v="Not Done"/>
    <s v="NA"/>
    <s v="Not Done"/>
    <s v="Not Done"/>
    <s v="NA"/>
    <s v="No"/>
    <s v="No"/>
  </r>
  <r>
    <s v="TBD"/>
    <s v="Y"/>
    <x v="4"/>
    <s v="ECECUSER"/>
    <s v="CNVGNIB"/>
    <s v="RAK_USER_ENDI_TABLE"/>
    <m/>
    <n v="0.95799999999999996"/>
    <m/>
    <s v=" "/>
    <m/>
    <s v="Y"/>
    <s v="R_cre_time"/>
    <m/>
    <s v="NA"/>
    <s v="NA"/>
    <s v="NA"/>
    <x v="2"/>
    <x v="2"/>
    <s v="Not Done"/>
    <s v="NA"/>
    <s v="NA"/>
    <s v="Not Done"/>
    <s v="NA"/>
    <s v="NA"/>
    <s v="Not Done"/>
    <s v="No"/>
    <s v="No"/>
  </r>
  <r>
    <s v="Milestone 3"/>
    <s v="N"/>
    <x v="1"/>
    <s v="TCTDBS"/>
    <s v="PRIMEDB"/>
    <s v="CACCOUNTSTMT"/>
    <m/>
    <n v="0.95499999999999996"/>
    <s v="NA"/>
    <s v="SERNO"/>
    <m/>
    <s v="Y"/>
    <s v="STMTNEXTDATE"/>
    <s v="CRM_DEV.prime4.TCTDBS_CACCOUNTSTMT"/>
    <s v="Done"/>
    <s v="Done"/>
    <s v="Done"/>
    <x v="1"/>
    <x v="0"/>
    <s v="NA"/>
    <s v="Not Done"/>
    <s v="Not Done"/>
    <s v="NA"/>
    <s v="Not Done"/>
    <s v="Not Done"/>
    <s v="NA"/>
    <s v="No"/>
    <s v="No"/>
  </r>
  <r>
    <s v="Milestone 1"/>
    <s v="N"/>
    <x v="5"/>
    <s v="dbo"/>
    <s v="RAKCAS"/>
    <s v="RB_SRB_EXTTABLE"/>
    <m/>
    <n v="0.91500000000000004"/>
    <s v="ITEMINDEX,ITEMTYPE"/>
    <s v="ITEMINDEX,ITEMTYPE"/>
    <m/>
    <s v="Y"/>
    <s v="Createddatetime column under Wfinstrumenttable"/>
    <s v="CRM_DEV.ibps.DBO_RB_SRB_EXTTABLE"/>
    <s v="Done"/>
    <s v="Done"/>
    <s v="Done"/>
    <x v="0"/>
    <x v="1"/>
    <s v="NA"/>
    <s v="Not Done"/>
    <s v="Not Done"/>
    <s v="NA"/>
    <s v="Not Done"/>
    <s v="Not Done"/>
    <s v="NA"/>
    <s v="No"/>
    <s v="yes"/>
  </r>
  <r>
    <s v="Milestone 2"/>
    <s v="N"/>
    <x v="1"/>
    <s v="TCTDBS"/>
    <s v="PRIMEDB"/>
    <s v="CARDEMBOSSING"/>
    <m/>
    <n v="0.79100000000000004"/>
    <s v="SERNO"/>
    <s v="SERNO"/>
    <m/>
    <s v="N"/>
    <s v=" "/>
    <s v="CRM_DEV.prime4.TCTDBS_CARDEMBOSSING"/>
    <s v="Done"/>
    <s v="Done"/>
    <s v="Done"/>
    <x v="0"/>
    <x v="1"/>
    <s v="NA"/>
    <s v="Not Done"/>
    <s v="Not Done"/>
    <s v="NA"/>
    <s v="Not Done"/>
    <s v="Not Done"/>
    <s v="NA"/>
    <s v="No"/>
    <s v="No"/>
  </r>
  <r>
    <s v="Milestone 1"/>
    <s v="N"/>
    <x v="5"/>
    <s v="dbo"/>
    <s v="RAKCAS"/>
    <s v="RB_SRM_EXTTABLE"/>
    <m/>
    <n v="0.79"/>
    <s v="ITEMINDEX,ITEMTYPE"/>
    <s v="ITEMINDEX,ITEMTYPE"/>
    <m/>
    <s v="Y"/>
    <s v="Createddatetime column under Wfinstrumenttable"/>
    <s v="CRM_DEV.ibps.DBO_RB_SRM_EXTTABLE"/>
    <s v="Done"/>
    <s v="Done"/>
    <s v="Done"/>
    <x v="0"/>
    <x v="1"/>
    <s v="NA"/>
    <s v="Not Done"/>
    <s v="Not Done"/>
    <s v="NA"/>
    <s v="Not Done"/>
    <s v="Not Done"/>
    <s v="NA"/>
    <s v="No"/>
    <s v="yes"/>
  </r>
  <r>
    <s v="Milestone 3"/>
    <s v="N"/>
    <x v="0"/>
    <s v="TBAADM"/>
    <s v="FINUAT"/>
    <s v="ACCT_AUTH_SIGN_TABLE"/>
    <m/>
    <n v="0.72799999999999998"/>
    <s v="NMA_KEY_ID, CUST_ID, STMT_CUST_ID"/>
    <s v="ACID, ACCT_POA_AS_SRL_NUM, BANK_ID"/>
    <m/>
    <s v="N"/>
    <s v="LCHG_TIME"/>
    <s v="CRM_DEV.finacle.TBAADM_ACCT_AUTH_SIGN_TABLE"/>
    <s v="Done"/>
    <s v="Done"/>
    <s v="Done"/>
    <x v="0"/>
    <x v="0"/>
    <s v="NA"/>
    <s v="Not Done"/>
    <s v="Not Done"/>
    <s v="NA"/>
    <s v="Not Done"/>
    <s v="Not Done"/>
    <s v="NA"/>
    <s v="No"/>
    <s v="No"/>
  </r>
  <r>
    <s v="Milestone 1"/>
    <s v="N"/>
    <x v="5"/>
    <s v="dbo"/>
    <s v="RAKCAS"/>
    <s v="RB_BSR_EXTTABLE"/>
    <m/>
    <n v="0.72699999999999998"/>
    <s v="ITEMINDEX,ITEMTYPE"/>
    <s v="ITEMINDEX,ITEMTYPE"/>
    <m/>
    <s v="Y"/>
    <s v="Createddatetime column under Wfinstrumenttable"/>
    <s v="CRM_DEV.ibps.DBO_RB_BSR_EXTTABLE"/>
    <s v="Done"/>
    <s v="Done"/>
    <s v="Done"/>
    <x v="0"/>
    <x v="1"/>
    <s v="NA"/>
    <s v="Not Done"/>
    <s v="Not Done"/>
    <s v="NA"/>
    <s v="Not Done"/>
    <s v="Not Done"/>
    <s v="NA"/>
    <s v="No"/>
    <s v="No"/>
  </r>
  <r>
    <s v="Milestone 1"/>
    <s v="N"/>
    <x v="5"/>
    <s v="dbo"/>
    <s v="RAKCAS"/>
    <s v="NG_DCC_EXTTABLE"/>
    <m/>
    <n v="0.71199999999999997"/>
    <s v="ITEMINDEX,ITEMTYPE"/>
    <s v="ITEMINDEX,ITEMTYPE"/>
    <m/>
    <s v="Y"/>
    <s v="Createddatetime column under Wfinstrumenttable"/>
    <s v="CRM_DEV.ibps.DBO_NG_DCC_EXTTABLE"/>
    <s v="Done"/>
    <s v="Done"/>
    <s v="Done"/>
    <x v="0"/>
    <x v="1"/>
    <s v="NA"/>
    <s v="Not Done"/>
    <s v="Not Done"/>
    <s v="NA"/>
    <s v="Not Done"/>
    <s v="Not Done"/>
    <s v="NA"/>
    <s v="No"/>
    <s v="yes"/>
  </r>
  <r>
    <s v="Milestone 1"/>
    <s v="N"/>
    <x v="5"/>
    <s v="dbo"/>
    <s v="RAKCAS"/>
    <s v="NG_DAO_EXTTABLE"/>
    <m/>
    <n v="0.7"/>
    <s v="ITEMINDEX,ITEMTYPE"/>
    <s v="ITEMINDEX,ITEMTYPE"/>
    <m/>
    <s v="Y"/>
    <s v="Createddatetime column under Wfinstrumenttable"/>
    <s v="CRM_DEV.ibps.DBO_NG_DAO_EXTTABLE"/>
    <s v="Done"/>
    <s v="Done"/>
    <s v="Done"/>
    <x v="0"/>
    <x v="1"/>
    <s v="NA"/>
    <s v="Not Done"/>
    <s v="Not Done"/>
    <s v="NA"/>
    <s v="Not Done"/>
    <s v="Not Done"/>
    <s v="NA"/>
    <s v="No"/>
    <s v="yes"/>
  </r>
  <r>
    <s v="Milestone 3"/>
    <s v="N"/>
    <x v="3"/>
    <s v="dbo"/>
    <s v="npss-epayment"/>
    <s v="NPSS_RTS_PmtStatusDtl_Dbtr"/>
    <s v="Due to AWS issue, End point has changed , Requested to FCR to replace with new end point"/>
    <n v="0.65500000000000003"/>
    <s v="RT_STD_MsgGenDt,RT_STD_RefId"/>
    <m/>
    <m/>
    <s v="N"/>
    <s v="RT_STD_MsgGenDt"/>
    <s v="CRM_DEV.npss.DBO_NPSS_RTS_PMTSTATUSDTL_DBTR"/>
    <s v="Done"/>
    <s v="Done"/>
    <s v="Done"/>
    <x v="1"/>
    <x v="0"/>
    <s v="NA"/>
    <s v="Not Done"/>
    <s v="Not Done"/>
    <s v="NA"/>
    <s v="Not Done"/>
    <s v="Not Done"/>
    <s v="NA"/>
    <s v="No"/>
    <s v="No"/>
  </r>
  <r>
    <s v="Milestone 2"/>
    <s v="N"/>
    <x v="0"/>
    <s v="CRMUSER"/>
    <s v="FINUAT"/>
    <s v="DEMOGRAPHIC"/>
    <m/>
    <n v="0.64100000000000001"/>
    <s v="DEMOGRAPHICID, BANK_ID"/>
    <s v="DEMOGRAPHICID,BANK_ID"/>
    <m/>
    <s v="N"/>
    <s v="BODATEMODIFIED"/>
    <s v="CRM_DEV.finacle.CRMUSER_DEMOGRAPHIC"/>
    <s v="Done"/>
    <s v="Done"/>
    <s v="Done"/>
    <x v="0"/>
    <x v="3"/>
    <s v="NA"/>
    <s v="Not Done"/>
    <s v="Not Done"/>
    <s v="NA"/>
    <s v="Not Done"/>
    <s v="Not Done"/>
    <s v="NA"/>
    <s v="No"/>
    <s v="yes"/>
  </r>
  <r>
    <s v="TBD"/>
    <s v="N"/>
    <x v="8"/>
    <s v="DEHUSEROB"/>
    <s v="rakdehsit"/>
    <s v="RETAIL_ONBOARDING_MASTER"/>
    <m/>
    <n v="0.6337890625"/>
    <m/>
    <s v="PROSPECT_ID"/>
    <m/>
    <m/>
    <m/>
    <m/>
    <s v="Not Done"/>
    <s v="Not Done"/>
    <s v="Not Done"/>
    <x v="1"/>
    <x v="0"/>
    <s v="NA"/>
    <s v="Not Done"/>
    <s v="Not Done"/>
    <s v="NA"/>
    <s v="Not Done"/>
    <s v="Not Done"/>
    <s v="NA"/>
    <s v="No"/>
    <s v="No"/>
  </r>
  <r>
    <s v="TBD"/>
    <s v="N"/>
    <x v="0"/>
    <s v="TBAADM"/>
    <s v="FINUAT"/>
    <s v="GL_SUB_HEAD_TABLE"/>
    <m/>
    <n v="0.61799999999999999"/>
    <s v="SOL_ID, GL_SUB_HEAD_CODE, CRNCY_CODE, BANK_ID"/>
    <s v="SOL_ID, GL_SUB_HEAD_CODE, CRNCY_CODE, BANK_ID"/>
    <m/>
    <s v="N"/>
    <s v="LCHG_TIME"/>
    <m/>
    <s v="Done"/>
    <s v="Done"/>
    <s v="Done"/>
    <x v="0"/>
    <x v="0"/>
    <s v="NA"/>
    <s v="Not Done"/>
    <s v="Not Done"/>
    <s v="NA"/>
    <s v="Not Done"/>
    <s v="Not Done"/>
    <s v="NA"/>
    <s v="No"/>
    <s v="yes"/>
  </r>
  <r>
    <s v="Milestone 1"/>
    <s v="N"/>
    <x v="5"/>
    <s v="dbo"/>
    <s v="RAKCAS"/>
    <s v="RB_CU_EXTTABLE"/>
    <m/>
    <n v="0.61599999999999999"/>
    <s v="ITEMINDEX,ITEMTYPE"/>
    <s v="ITEMINDEX,ITEMTYPE"/>
    <m/>
    <s v="Y"/>
    <s v="Createddatetime column under Wfinstrumenttable"/>
    <s v="CRM_DEV.ibps.DBO_RB_CU_EXTTABLE"/>
    <s v="Done"/>
    <s v="Done"/>
    <s v="Done"/>
    <x v="0"/>
    <x v="1"/>
    <s v="NA"/>
    <s v="Not Done"/>
    <s v="Not Done"/>
    <s v="NA"/>
    <s v="Not Done"/>
    <s v="Not Done"/>
    <s v="NA"/>
    <s v="No"/>
    <s v="No"/>
  </r>
  <r>
    <s v="Milestone 3"/>
    <s v="N"/>
    <x v="1"/>
    <s v="TCTDBS"/>
    <s v="PRIMEDB"/>
    <s v="CCUSTOMERS"/>
    <m/>
    <n v="0.61199999999999999"/>
    <s v="SERNO"/>
    <s v="SERNO"/>
    <m/>
    <s v="N"/>
    <s v=" "/>
    <s v="CRM_DEV.prime4.TCTDBS_CCUSTOMERS"/>
    <s v="Done"/>
    <s v="Done"/>
    <s v="Done"/>
    <x v="1"/>
    <x v="0"/>
    <s v="NA"/>
    <s v="Not Done"/>
    <s v="Not Done"/>
    <s v="NA"/>
    <s v="Not Done"/>
    <s v="Not Done"/>
    <s v="NA"/>
    <s v="No"/>
    <s v="No"/>
  </r>
  <r>
    <s v="Milestone 3"/>
    <s v="N"/>
    <x v="11"/>
    <s v="dbo"/>
    <s v="cpf_platform_dev"/>
    <s v="customer_consent_audit"/>
    <m/>
    <n v="0.59699999999999998"/>
    <s v="id"/>
    <s v="consent_config_id,id"/>
    <s v="id"/>
    <s v="Y"/>
    <s v="last_updated_at"/>
    <s v="CRM_DEV.cpf.DBO_CUSTOMER_CONSENT_AUDIT"/>
    <s v="Done"/>
    <s v="Done"/>
    <s v="Done"/>
    <x v="1"/>
    <x v="0"/>
    <s v="NA"/>
    <s v="Not Done"/>
    <s v="Not Done"/>
    <s v="NA"/>
    <s v="Not Done"/>
    <s v="Not Done"/>
    <s v="NA"/>
    <s v="No"/>
    <s v="yes"/>
  </r>
  <r>
    <s v="Milestone 2"/>
    <s v="N"/>
    <x v="2"/>
    <s v="WRM"/>
    <s v="WRM"/>
    <s v="DeliveryRegistration"/>
    <m/>
    <n v="0.58984375"/>
    <s v="ID"/>
    <m/>
    <m/>
    <s v="Y"/>
    <s v="CreationDate"/>
    <s v="CRM_DEV.ccm.DBO_DELIVERYREGISTRATION"/>
    <s v="Done"/>
    <s v="Done"/>
    <s v="Done"/>
    <x v="0"/>
    <x v="3"/>
    <s v="NA"/>
    <s v="Not Done"/>
    <s v="Not Done"/>
    <s v="NA"/>
    <s v="Not Done"/>
    <s v="Not Done"/>
    <s v="NA"/>
    <s v="No"/>
    <s v="No"/>
  </r>
  <r>
    <s v="Milestone 3"/>
    <s v="N"/>
    <x v="0"/>
    <s v="TBAADM"/>
    <s v="FINUAT"/>
    <s v="GEN_ACCT_CLASS_TABLE"/>
    <m/>
    <n v="0.53700000000000003"/>
    <s v="INT_CR_ACID, INT_DR_ACID, ACID, BANK_ID"/>
    <s v="ACID"/>
    <m/>
    <s v="N"/>
    <s v="LCHG_TIME"/>
    <s v="CRM_DEV.finacle.TBAADM_GEN_ACCT_CLASS_TABLE"/>
    <s v="Done"/>
    <s v="Done"/>
    <s v="Done"/>
    <x v="0"/>
    <x v="0"/>
    <s v="NA"/>
    <s v="Not Done"/>
    <s v="Not Done"/>
    <s v="NA"/>
    <s v="Not Done"/>
    <s v="Not Done"/>
    <s v="NA"/>
    <s v="No"/>
    <s v="yes"/>
  </r>
  <r>
    <s v="Milestone 2"/>
    <s v="N"/>
    <x v="11"/>
    <s v="dbo"/>
    <s v="cpf_platform_dev"/>
    <s v="customer_consent"/>
    <m/>
    <n v="0.53700000000000003"/>
    <s v="id"/>
    <s v="consent_config_id,customer_id,id"/>
    <s v="id"/>
    <s v="N"/>
    <s v=" "/>
    <s v="CRM_DEV.cpf.DBO_CUSTOMER_CONSENT"/>
    <s v="Done"/>
    <s v="Done"/>
    <s v="Done"/>
    <x v="0"/>
    <x v="3"/>
    <s v="NA"/>
    <s v="Not Done"/>
    <s v="Not Done"/>
    <s v="NA"/>
    <s v="Not Done"/>
    <s v="Not Done"/>
    <s v="NA"/>
    <s v="No"/>
    <s v="yes"/>
  </r>
  <r>
    <s v="Milestone 1"/>
    <s v="N"/>
    <x v="5"/>
    <s v="dbo"/>
    <s v="RAKCAS"/>
    <s v="RB_TL_EXTTABLE"/>
    <m/>
    <n v="0.44800000000000001"/>
    <s v="ITEMINDEX,ITEMTYPE"/>
    <s v="ITEMINDEX,ITEMTYPE"/>
    <m/>
    <s v="Y"/>
    <s v="Createddatetime column under Wfinstrumenttable"/>
    <s v="CRM_DEV.ibps.DBO_RB_TL_EXTTABLE"/>
    <s v="Done"/>
    <s v="Done"/>
    <s v="Done"/>
    <x v="0"/>
    <x v="1"/>
    <s v="NA"/>
    <s v="Not Done"/>
    <s v="Not Done"/>
    <s v="NA"/>
    <s v="Not Done"/>
    <s v="Not Done"/>
    <s v="NA"/>
    <s v="No"/>
    <s v="yes"/>
  </r>
  <r>
    <s v="TBD"/>
    <s v="Y"/>
    <x v="7"/>
    <s v="CAPSADMIN"/>
    <s v="CAPS"/>
    <s v="ACCOUNTS"/>
    <m/>
    <n v="0.42899999999999999"/>
    <s v="ACCOUNTNO"/>
    <s v="org_key"/>
    <m/>
    <m/>
    <m/>
    <m/>
    <s v="NA"/>
    <s v="NA"/>
    <s v="NA"/>
    <x v="2"/>
    <x v="2"/>
    <s v="Not Done"/>
    <s v="NA"/>
    <s v="NA"/>
    <s v="Not Done"/>
    <s v="NA"/>
    <s v="NA"/>
    <s v="Not Done"/>
    <s v="No"/>
    <s v="No"/>
  </r>
  <r>
    <s v="Milestone 3"/>
    <s v="Y"/>
    <x v="7"/>
    <s v="CAPSADMIN"/>
    <s v="Dealing"/>
    <s v="CARDS"/>
    <m/>
    <n v="0.40899999999999997"/>
    <s v="CRNNO"/>
    <s v="CRNNO"/>
    <m/>
    <s v=" "/>
    <s v=" "/>
    <s v="CRM_DEV.caps.CAPSADMIN_CARDS"/>
    <s v="NA"/>
    <s v="NA"/>
    <s v="NA"/>
    <x v="2"/>
    <x v="2"/>
    <s v="Done"/>
    <s v="Not Done"/>
    <s v="NA"/>
    <s v="Not Done"/>
    <s v="Not Done"/>
    <s v="NA"/>
    <s v="Not Done"/>
    <s v="No"/>
    <s v="No"/>
  </r>
  <r>
    <s v="Milestone 3"/>
    <s v="N"/>
    <x v="0"/>
    <s v="DEDUPADM"/>
    <s v="FINUAT"/>
    <s v="OPERATIONSREASONCODES_DEDUP"/>
    <m/>
    <n v="0.38100000000000001"/>
    <s v="REASONCODEID, BANK_ID, BLACKLISTDATASETID, NEGATIVELISTDATASETID"/>
    <s v="reasoncodeid"/>
    <m/>
    <s v="N"/>
    <m/>
    <s v="CRM_DEV.finacle.DEDUPADM_OPERATIONSREASONCODES_DEDUP"/>
    <s v="Done"/>
    <s v="Done"/>
    <s v="Done"/>
    <x v="0"/>
    <x v="0"/>
    <s v="NA"/>
    <s v="Not Done"/>
    <s v="Not Done"/>
    <s v="NA"/>
    <s v="Not Done"/>
    <s v="Not Done"/>
    <s v="NA"/>
    <s v="No"/>
    <s v="No"/>
  </r>
  <r>
    <s v="TBD"/>
    <s v="N"/>
    <x v="8"/>
    <s v="DEHUSEROB"/>
    <s v="rakdehsit"/>
    <s v="PERSONAL_LOAN_REQUEST_DET"/>
    <m/>
    <n v="0.375"/>
    <m/>
    <s v="PROSPECT_ID"/>
    <m/>
    <m/>
    <m/>
    <m/>
    <s v="Not Done"/>
    <s v="Not Done"/>
    <s v="Not Done"/>
    <x v="1"/>
    <x v="0"/>
    <s v="NA"/>
    <s v="Not Done"/>
    <s v="Not Done"/>
    <s v="NA"/>
    <s v="Not Done"/>
    <s v="Not Done"/>
    <s v="NA"/>
    <s v="No"/>
    <s v="No"/>
  </r>
  <r>
    <s v="Milestone 3"/>
    <s v="N"/>
    <x v="0"/>
    <s v="CRMUSER"/>
    <s v="FINUAT"/>
    <s v="psychographic"/>
    <m/>
    <n v="0.36599999999999999"/>
    <s v="PSYCHOGRAPHICID, BANK_ID"/>
    <s v="PSYCHOGRAPHICID,BANK_ID"/>
    <m/>
    <s v="N"/>
    <s v="BODATEMODIFIED"/>
    <s v="CRM_DEV.finacle.CRMUSER_PSYCHOGRAPHIC"/>
    <s v="Done"/>
    <s v="Done"/>
    <s v="Done"/>
    <x v="0"/>
    <x v="0"/>
    <s v="NA"/>
    <s v="Not Done"/>
    <s v="Not Done"/>
    <s v="NA"/>
    <s v="Not Done"/>
    <s v="Not Done"/>
    <s v="NA"/>
    <s v="No"/>
    <s v="yes"/>
  </r>
  <r>
    <s v="Milestone 4"/>
    <s v="N"/>
    <x v="0"/>
    <s v="TBAADM"/>
    <s v="FINUAT"/>
    <s v="CHQ_BOOK_TABLE"/>
    <m/>
    <n v="0.35799999999999998"/>
    <s v="BEGIN_CHQ_NUM, ACID, BEGIN_CHQ_ALPHA, BANK_ID"/>
    <s v="ACID,BEGIN_CHQ_NUM"/>
    <m/>
    <s v="N"/>
    <s v="LCHG_TIME"/>
    <s v="CRM_DEV.finacle.TBAADM_CHQ_BOOK_TABLE"/>
    <s v="Done"/>
    <s v="Done"/>
    <s v="Done"/>
    <x v="0"/>
    <x v="0"/>
    <s v="NA"/>
    <s v="Not Done"/>
    <s v="Not Done"/>
    <s v="NA"/>
    <s v="Not Done"/>
    <s v="Not Done"/>
    <s v="NA"/>
    <s v="No"/>
    <s v="No"/>
  </r>
  <r>
    <s v="TBD"/>
    <s v="N"/>
    <x v="0"/>
    <s v="TBAADM"/>
    <s v="FINUAT"/>
    <s v="LIM_HISTORY_TABLE"/>
    <m/>
    <n v="0.35799999999999998"/>
    <s v="ACID, SERIAL_NUM, BANK_ID"/>
    <s v="ACID, SERIAL_NUM, BANK_ID"/>
    <m/>
    <s v="N"/>
    <s v="LCHG_TIME"/>
    <m/>
    <s v="Done"/>
    <s v="Done"/>
    <s v="Done"/>
    <x v="0"/>
    <x v="0"/>
    <s v="NA"/>
    <s v="Not Done"/>
    <s v="Not Done"/>
    <s v="NA"/>
    <s v="Not Done"/>
    <s v="Not Done"/>
    <s v="NA"/>
    <s v="No"/>
    <s v="yes"/>
  </r>
  <r>
    <s v="Milestone 3"/>
    <s v="N"/>
    <x v="0"/>
    <s v="CUSTOM"/>
    <s v="FINUAT"/>
    <s v="C_PORD_REMIT_INR"/>
    <m/>
    <n v="0.34799999999999998"/>
    <s v="PYMT_REF_NUM, BANK_ID"/>
    <s v="PYMT_REF_NUM, BANK_ID"/>
    <m/>
    <s v="N"/>
    <s v="LCHG_TIME"/>
    <s v="CRM_DEV.finacle.CUSTOM_C_PORD_REMIT_INR"/>
    <s v="Done"/>
    <s v="Done"/>
    <s v="Done"/>
    <x v="0"/>
    <x v="0"/>
    <s v="NA"/>
    <s v="Not Done"/>
    <s v="Not Done"/>
    <s v="NA"/>
    <s v="Not Done"/>
    <s v="Not Done"/>
    <s v="NA"/>
    <s v="No"/>
    <s v="No"/>
  </r>
  <r>
    <s v="TBD"/>
    <s v="Y"/>
    <x v="4"/>
    <s v="ECECUSER"/>
    <s v="CNVGNIB"/>
    <s v="SECUREIDTABLE"/>
    <m/>
    <n v="0.30399999999999999"/>
    <s v="ORG_ID, BANK_ID, USER_ID, AUTH_MODE"/>
    <s v=" "/>
    <m/>
    <s v="N"/>
    <m/>
    <m/>
    <s v="NA"/>
    <s v="NA"/>
    <s v="NA"/>
    <x v="2"/>
    <x v="2"/>
    <s v="Not Done"/>
    <s v="NA"/>
    <s v="NA"/>
    <s v="Not Done"/>
    <s v="NA"/>
    <s v="NA"/>
    <s v="Not Done"/>
    <s v="No"/>
    <s v="No"/>
  </r>
  <r>
    <s v="Milestone 3"/>
    <s v="Y"/>
    <x v="7"/>
    <s v="CAPSADMIN"/>
    <s v="Dealing"/>
    <s v="CARD_GENERAL"/>
    <m/>
    <n v="0.27300000000000002"/>
    <s v="CRNNO"/>
    <s v="CRNNO"/>
    <m/>
    <s v=" "/>
    <s v=" "/>
    <s v="CRM_DEV.caps.CAPSADMIN_CARD_GENERAL"/>
    <s v="NA"/>
    <s v="NA"/>
    <s v="NA"/>
    <x v="2"/>
    <x v="2"/>
    <s v="Done"/>
    <s v="Not Done"/>
    <s v="NA"/>
    <s v="Not Done"/>
    <s v="Not Done"/>
    <s v="NA"/>
    <s v="Not Done"/>
    <s v="No"/>
    <s v="No"/>
  </r>
  <r>
    <s v="Milestone 1"/>
    <s v="Y"/>
    <x v="9"/>
    <s v="FIN_LEAM"/>
    <s v="RLSPROD"/>
    <s v="NBFC_CUSTOMER_M"/>
    <m/>
    <n v="0.26700000000000002"/>
    <s v="GCDNO"/>
    <s v="CUST_ID_N"/>
    <m/>
    <s v="N"/>
    <s v=" "/>
    <s v="CRM_DEV.rls.LOS0909_NBFC_CUSTOMER_M"/>
    <s v="NA"/>
    <s v="NA"/>
    <s v="NA"/>
    <x v="2"/>
    <x v="2"/>
    <s v="Done"/>
    <s v="Not Done"/>
    <s v="NA"/>
    <s v="Not Done"/>
    <s v="Not Done"/>
    <s v="NA"/>
    <s v="Not Done"/>
    <s v="No"/>
    <s v="yes"/>
  </r>
  <r>
    <s v="Milestone 3"/>
    <s v="N"/>
    <x v="0"/>
    <s v="TBAADM"/>
    <s v="FINUAT"/>
    <s v="MEMO_PAD_TABLE"/>
    <m/>
    <n v="0.26500000000000001"/>
    <s v="ACID, MP_INTENT, MP_FUNC,KEY_WORD, TRAN_DATE, TRAN_ID, PART_TRAN_SRL_NUM"/>
    <s v="MP_SRL_NUM"/>
    <m/>
    <s v="N"/>
    <s v="LCHG_TIME"/>
    <s v="CRM_DEV.finacle.TBAADM_MEMO_PAD_TABLE"/>
    <s v="Done"/>
    <s v="Done"/>
    <s v="Done"/>
    <x v="0"/>
    <x v="0"/>
    <s v="NA"/>
    <s v="Not Done"/>
    <s v="Not Done"/>
    <s v="NA"/>
    <s v="Not Done"/>
    <s v="Not Done"/>
    <s v="NA"/>
    <s v="No"/>
    <s v="yes"/>
  </r>
  <r>
    <s v="TBD"/>
    <s v="N"/>
    <x v="0"/>
    <s v="CRMUSER"/>
    <s v="FINUAT"/>
    <s v="CorpMiscellaneousInfo"/>
    <m/>
    <n v="0.26400000000000001"/>
    <s v="CORP_MISC_ID, BANK_ID"/>
    <s v="CORP_MISC_ID,BANK_ID"/>
    <m/>
    <s v="N"/>
    <s v="TMDATE"/>
    <s v="CRM_DEV.prime.TCTDBS_CARDSTATUSX"/>
    <s v="Done"/>
    <s v="Done"/>
    <s v="Done"/>
    <x v="0"/>
    <x v="0"/>
    <s v="NA"/>
    <s v="Not Done"/>
    <s v="Not Done"/>
    <s v="NA"/>
    <s v="Not Done"/>
    <s v="Not Done"/>
    <s v="NA"/>
    <s v="No"/>
    <s v="yes"/>
  </r>
  <r>
    <s v="Milestone 1"/>
    <s v="Y"/>
    <x v="9"/>
    <s v="FIN_LEAM"/>
    <s v="RLSPROD"/>
    <s v="LEA_AGREEMENT_DTL"/>
    <m/>
    <n v="0.24"/>
    <s v="Agreementid"/>
    <s v="PROPOSALID"/>
    <m/>
    <s v="N"/>
    <s v=" "/>
    <s v="CRM_DEV.rls.FIN_LEAM_LEA_AGREEMENT_DTL"/>
    <s v="NA"/>
    <s v="NA"/>
    <s v="NA"/>
    <x v="2"/>
    <x v="2"/>
    <s v="Done"/>
    <s v="Not Done"/>
    <s v="NA"/>
    <s v="Not Done"/>
    <s v="Not Done"/>
    <s v="NA"/>
    <s v="Not Done"/>
    <s v="No"/>
    <s v="No"/>
  </r>
  <r>
    <s v="Milestone 1"/>
    <s v="N"/>
    <x v="0"/>
    <s v="CRMUSER"/>
    <s v="FINUAT"/>
    <s v="corporate"/>
    <m/>
    <n v="0.22600000000000001"/>
    <s v="CORP_ID, BANK_ID"/>
    <s v="CORP_ID, BANK_ID"/>
    <m/>
    <s v="N"/>
    <s v="BODATEMODIFIED"/>
    <s v="CRM_DEV.finacle.CRMUSER_CORPORATE"/>
    <s v="Done"/>
    <s v="Done"/>
    <s v="Done"/>
    <x v="0"/>
    <x v="3"/>
    <s v="NA"/>
    <s v="Not Done"/>
    <s v="Not Done"/>
    <s v="NA"/>
    <s v="Not Done"/>
    <s v="Not Done"/>
    <s v="NA"/>
    <s v="No"/>
    <s v="yes"/>
  </r>
  <r>
    <s v="TBD"/>
    <s v="Y"/>
    <x v="9"/>
    <s v="LOS0909"/>
    <s v="RLSPROD"/>
    <s v="NBFC_ADDRESS_M"/>
    <m/>
    <n v="0.224"/>
    <m/>
    <s v="ADDRESSID"/>
    <m/>
    <s v="N"/>
    <m/>
    <m/>
    <s v="NA"/>
    <s v="NA"/>
    <s v="NA"/>
    <x v="2"/>
    <x v="2"/>
    <s v="Not Done"/>
    <s v="NA"/>
    <s v="NA"/>
    <s v="Not Done"/>
    <s v="NA"/>
    <s v="NA"/>
    <s v="Not Done"/>
    <s v="No"/>
    <s v="No"/>
  </r>
  <r>
    <s v="TBD"/>
    <s v="N"/>
    <x v="0"/>
    <s v="TBAADM"/>
    <s v="FINUAT"/>
    <s v="LA_DMD_HISTORY_TABLE"/>
    <m/>
    <n v="0.22"/>
    <s v="ACID, SHDL_NUM, DMD_FLOW_ID, DMD_DATE"/>
    <s v="ACID, SHDL_NUM, DMD_FLOW_ID, DMD_DATE, DMD_SRL_NUM, BANK_ID"/>
    <m/>
    <s v="N"/>
    <s v="LCHG_TIME"/>
    <m/>
    <s v="Done"/>
    <s v="Done"/>
    <s v="Done"/>
    <x v="0"/>
    <x v="0"/>
    <s v="NA"/>
    <s v="Not Done"/>
    <s v="Not Done"/>
    <s v="NA"/>
    <s v="Not Done"/>
    <s v="Not Done"/>
    <s v="NA"/>
    <s v="No"/>
    <s v="No"/>
  </r>
  <r>
    <s v="Milestone 1"/>
    <s v="N"/>
    <x v="0"/>
    <s v="CRMUSER"/>
    <s v="FINUAT"/>
    <s v="categories"/>
    <m/>
    <n v="0.20399999999999999"/>
    <s v="CATEGORYID, BANK_ID"/>
    <s v="CATEGORYID,BANK_ID"/>
    <m/>
    <s v="N"/>
    <s v="TMDATE"/>
    <s v="CRM_DEV.finacle.CRMUSER_CATEGORIES"/>
    <s v="Done"/>
    <s v="Done"/>
    <s v="Done"/>
    <x v="0"/>
    <x v="3"/>
    <s v="NA"/>
    <s v="Not Done"/>
    <s v="Not Done"/>
    <s v="NA"/>
    <s v="Not Done"/>
    <s v="Not Done"/>
    <s v="NA"/>
    <s v="No"/>
    <s v="yes"/>
  </r>
  <r>
    <s v="Milestone 2"/>
    <s v="N"/>
    <x v="11"/>
    <s v="dbo"/>
    <s v="cpf_platform_dev"/>
    <s v="customer_info"/>
    <m/>
    <n v="0.185"/>
    <s v="id"/>
    <s v="id"/>
    <s v="id"/>
    <s v="N"/>
    <s v=" "/>
    <s v="CRM_DEV.cpf.DBO_CUSTOMER_INFO"/>
    <s v="Done"/>
    <s v="Done"/>
    <s v="Done"/>
    <x v="0"/>
    <x v="3"/>
    <s v="NA"/>
    <s v="Not Done"/>
    <s v="Not Done"/>
    <s v="NA"/>
    <s v="Not Done"/>
    <s v="Not Done"/>
    <s v="NA"/>
    <s v="No"/>
    <s v="yes"/>
  </r>
  <r>
    <s v="Milestone 1"/>
    <s v="N"/>
    <x v="5"/>
    <s v="dbo"/>
    <s v="RAKCAS"/>
    <s v="RB_BAIS_EXTTABLE"/>
    <m/>
    <n v="0.182"/>
    <s v="ITEMINDEX,ITEMTYPE"/>
    <s v="ITEMINDEX,ITEMTYPE"/>
    <m/>
    <s v="Y"/>
    <s v="Createddatetime column under Wfinstrumenttable"/>
    <s v="CRM_DEV.ibps.DBO_RB_BAIS_EXTTABLE"/>
    <s v="Done"/>
    <s v="Done"/>
    <s v="Done"/>
    <x v="0"/>
    <x v="1"/>
    <s v="NA"/>
    <s v="Not Done"/>
    <s v="Not Done"/>
    <s v="NA"/>
    <s v="Not Done"/>
    <s v="Not Done"/>
    <s v="NA"/>
    <s v="No"/>
    <s v="yes"/>
  </r>
  <r>
    <s v="Milestone 3"/>
    <s v="N"/>
    <x v="0"/>
    <s v="TBAADM"/>
    <s v="FINUAT"/>
    <s v="ACCT_STATEMENT_TABLE"/>
    <m/>
    <n v="0.17899999999999999"/>
    <s v="ACID, BANK_ID"/>
    <s v="ACID"/>
    <m/>
    <s v="N"/>
    <s v="LCHG_TIME"/>
    <s v="CRM_DEV.finacle.TBAADM_ACCT_STATEMENT_TABLE"/>
    <s v="Done"/>
    <s v="Done"/>
    <s v="Done"/>
    <x v="0"/>
    <x v="0"/>
    <s v="NA"/>
    <s v="Not Done"/>
    <s v="Not Done"/>
    <s v="NA"/>
    <s v="Not Done"/>
    <s v="Not Done"/>
    <s v="NA"/>
    <s v="No"/>
    <s v="yes"/>
  </r>
  <r>
    <s v="Milestone 4"/>
    <s v="N"/>
    <x v="0"/>
    <s v="CUSTOM"/>
    <s v="FINUAT"/>
    <s v="C_CHQ_REJ_DET"/>
    <s v="Composite key column INSTRMNT_ALPHA  has null value which was not allowed to insert/upsert  to CRM Database . So Data has been insert and skipped all those records which has null value.   789,257 null records skipped"/>
    <n v="0.16900000000000001"/>
    <s v="ACID, INSTRMNT_TYPE, INSTRMNT_NUM, INSTRMNT_ALPHA, REJECTED_DATE, ACID"/>
    <s v="CIF_ID"/>
    <m/>
    <s v="N"/>
    <s v="LCHG_TIME"/>
    <s v="CRM_DEV.finacle.CUSTOM_C_CHQ_REJ_DET"/>
    <s v="Done"/>
    <s v="Done"/>
    <s v="Done"/>
    <x v="0"/>
    <x v="0"/>
    <s v="NA"/>
    <s v="Not Done"/>
    <s v="Not Done"/>
    <s v="NA"/>
    <s v="Not Done"/>
    <s v="Not Done"/>
    <s v="NA"/>
    <s v="No"/>
    <s v="No"/>
  </r>
  <r>
    <s v="TBD"/>
    <s v="N"/>
    <x v="0"/>
    <s v="TBAADM"/>
    <s v="FINUAT"/>
    <s v="LA_REP_SHDL_TABLE"/>
    <m/>
    <n v="0.16700000000000001"/>
    <s v="ACID, SHDL_NUM, FLOW_ID, FLOW_START_DATE"/>
    <s v="ACID, SHDL_NUM, FLOW_ID, FLOW_START_DATE, BANK_ID"/>
    <m/>
    <s v="N"/>
    <s v="LCHG_TIME"/>
    <m/>
    <s v="Done"/>
    <s v="Done"/>
    <s v="Done"/>
    <x v="0"/>
    <x v="0"/>
    <s v="NA"/>
    <s v="Not Done"/>
    <s v="Not Done"/>
    <s v="NA"/>
    <s v="Not Done"/>
    <s v="Not Done"/>
    <s v="NA"/>
    <s v="No"/>
    <s v="No"/>
  </r>
  <r>
    <s v="Milestone 4"/>
    <s v="N"/>
    <x v="0"/>
    <s v="CRMUSER"/>
    <s v="FINUAT"/>
    <s v="FinancialDetails"/>
    <m/>
    <n v="0.14699999999999999"/>
    <s v="FINANCIAL_DETAILS_ID, BANK_ID"/>
    <s v="FINANCIAL_DETAILS_ID,BANK_ID"/>
    <m/>
    <s v="N"/>
    <s v="TMDATE"/>
    <s v="CRM_DEV.finacle.CRMUSER_FINANCIALDETAILS"/>
    <s v="Done"/>
    <s v="Done"/>
    <s v="Done"/>
    <x v="0"/>
    <x v="0"/>
    <s v="NA"/>
    <s v="Not Done"/>
    <s v="Not Done"/>
    <s v="NA"/>
    <s v="Not Done"/>
    <s v="Not Done"/>
    <s v="NA"/>
    <s v="No"/>
    <s v="No"/>
  </r>
  <r>
    <s v="Milestone 1"/>
    <s v="N"/>
    <x v="0"/>
    <s v="CRMUSER"/>
    <s v="FINUAT"/>
    <s v="category_lang"/>
    <m/>
    <n v="0.14399999999999999"/>
    <s v="CATEGORYLANGID, BANK_ID"/>
    <s v="CATEGORYLANGID,BANK_ID"/>
    <m/>
    <s v="N"/>
    <s v="TMDATE"/>
    <s v="CRM_DEV.finacle.CRMUSER_CATEGORY_LANG"/>
    <s v="Done"/>
    <s v="Done"/>
    <s v="Done"/>
    <x v="0"/>
    <x v="3"/>
    <s v="NA"/>
    <s v="Not Done"/>
    <s v="Not Done"/>
    <s v="NA"/>
    <s v="Not Done"/>
    <s v="Not Done"/>
    <s v="NA"/>
    <s v="No"/>
    <s v="yes"/>
  </r>
  <r>
    <s v="Milestone 1"/>
    <s v="N"/>
    <x v="5"/>
    <s v="dbo"/>
    <s v="RAKCAS"/>
    <s v="RB_NBTL_EXTTABLE"/>
    <m/>
    <n v="0.14000000000000001"/>
    <s v="ITEMINDEX,ITEMTYPE"/>
    <s v="ITEMINDEX,ITEMTYPE"/>
    <m/>
    <s v="Y"/>
    <s v="Createddatetime column under Wfinstrumenttable"/>
    <s v="CRM_DEV.ibps.DBO_RB_NBTL_EXTTABLE"/>
    <s v="Done"/>
    <s v="Done"/>
    <s v="Done"/>
    <x v="0"/>
    <x v="1"/>
    <s v="NA"/>
    <s v="Not Done"/>
    <s v="Not Done"/>
    <s v="NA"/>
    <s v="Not Done"/>
    <s v="Not Done"/>
    <s v="NA"/>
    <s v="No"/>
    <s v="No"/>
  </r>
  <r>
    <s v="Milestone 3"/>
    <s v="N"/>
    <x v="1"/>
    <s v="TCTDBS"/>
    <s v="PRIMEDB"/>
    <s v="ACPLINKS"/>
    <m/>
    <n v="0.13800000000000001"/>
    <s v="SERNO"/>
    <s v="SERNO"/>
    <m/>
    <s v="N"/>
    <s v=" "/>
    <s v="CRM_DEV.prime4.TCTDBS_ACPLINKS"/>
    <s v="Done"/>
    <s v="Done"/>
    <s v="Done"/>
    <x v="1"/>
    <x v="0"/>
    <s v="NA"/>
    <s v="Not Done"/>
    <s v="Not Done"/>
    <s v="NA"/>
    <s v="Not Done"/>
    <s v="Not Done"/>
    <s v="NA"/>
    <s v="No"/>
    <s v="No"/>
  </r>
  <r>
    <s v="TBD"/>
    <s v="N"/>
    <x v="12"/>
    <s v="TBAADM"/>
    <s v="WMS SIT"/>
    <s v="PORTFOLIO_SUMMARY_TABLE"/>
    <m/>
    <n v="0.128"/>
    <s v="INVESTMENT_ID, FROM_DATE, BANK_ID"/>
    <s v="INVESTMENT_ID,FROM_DATE"/>
    <m/>
    <s v="N"/>
    <s v="LCHG_TIME"/>
    <m/>
    <s v="Not Done"/>
    <s v="Not Done"/>
    <s v="Not Done"/>
    <x v="1"/>
    <x v="0"/>
    <s v="NA"/>
    <s v="Not Done"/>
    <s v="Not Done"/>
    <s v="NA"/>
    <s v="Not Done"/>
    <s v="Not Done"/>
    <s v="NA"/>
    <s v="No"/>
    <s v="No"/>
  </r>
  <r>
    <s v="TBD"/>
    <s v="N"/>
    <x v="8"/>
    <s v="DEHUSEROB"/>
    <s v="rakdehsit"/>
    <s v="PERSONAL_LOAN_MASTER"/>
    <m/>
    <n v="0.1240234375"/>
    <m/>
    <s v="PROSPECT_ID"/>
    <m/>
    <m/>
    <m/>
    <m/>
    <s v="Not Done"/>
    <s v="Not Done"/>
    <s v="Not Done"/>
    <x v="1"/>
    <x v="0"/>
    <s v="NA"/>
    <s v="Not Done"/>
    <s v="Not Done"/>
    <s v="NA"/>
    <s v="Not Done"/>
    <s v="Not Done"/>
    <s v="NA"/>
    <s v="No"/>
    <s v="No"/>
  </r>
  <r>
    <s v="Milestone 1"/>
    <s v="N"/>
    <x v="5"/>
    <s v="dbo"/>
    <s v="RAKCAS"/>
    <s v="RB_PC_EXTTABLE"/>
    <m/>
    <n v="0.124"/>
    <s v="ITEMINDEX,ITEMTYPE"/>
    <s v="ITEMINDEX,ITEMTYPE"/>
    <m/>
    <s v="Y"/>
    <s v="Createddatetime column under Wfinstrumenttable"/>
    <s v="CRM_DEV.ibps.DBO_RB_PC_EXTTABLE"/>
    <s v="Done"/>
    <s v="Done"/>
    <s v="Done"/>
    <x v="0"/>
    <x v="1"/>
    <s v="NA"/>
    <s v="Not Done"/>
    <s v="Not Done"/>
    <s v="NA"/>
    <s v="Not Done"/>
    <s v="Not Done"/>
    <s v="NA"/>
    <s v="No"/>
    <s v="No"/>
  </r>
  <r>
    <s v="Milestone 3"/>
    <s v="N"/>
    <x v="0"/>
    <s v="TBAADM"/>
    <s v="FINUAT"/>
    <s v="POST_DATED_CHQ_TABLE"/>
    <m/>
    <n v="0.11600000000000001"/>
    <s v="ACID, FLOW_ID, FLOW_START_DATE, PDC_SRL_NUM"/>
    <s v="PDC_SRL_NUM,START_PDC_NUM"/>
    <m/>
    <s v="N"/>
    <s v="LCHG_TIME"/>
    <m/>
    <s v="Done"/>
    <s v="Done"/>
    <s v="Done"/>
    <x v="0"/>
    <x v="0"/>
    <s v="NA"/>
    <s v="Not Done"/>
    <s v="Not Done"/>
    <s v="NA"/>
    <s v="Not Done"/>
    <s v="Not Done"/>
    <s v="NA"/>
    <s v="No"/>
    <s v="No"/>
  </r>
  <r>
    <s v="Milestone 1"/>
    <s v="N"/>
    <x v="5"/>
    <s v="dbo"/>
    <s v="RAKCAS"/>
    <s v="RB_CSR_RR_EXTTABLE"/>
    <m/>
    <n v="0.111"/>
    <s v="NA"/>
    <m/>
    <m/>
    <s v="Y"/>
    <s v="Createddatetime column under Wfinstrumenttable"/>
    <s v="CRM_DEV.ibps._RB_CSR_RR_EXTTABLE"/>
    <s v="Done"/>
    <s v="Done"/>
    <s v="Done"/>
    <x v="0"/>
    <x v="1"/>
    <s v="NA"/>
    <s v="Not Done"/>
    <s v="Not Done"/>
    <s v="NA"/>
    <s v="Not Done"/>
    <s v="Not Done"/>
    <s v="NA"/>
    <s v="No"/>
    <s v="yes"/>
  </r>
  <r>
    <s v="Milestone 3"/>
    <s v="N"/>
    <x v="0"/>
    <s v="CRMUSER"/>
    <s v="FINUAT"/>
    <s v="memberships"/>
    <m/>
    <n v="0.109"/>
    <s v="MEMBERSHIPSID, BANK_ID"/>
    <s v="MEMBERSHIPSID,BANK_ID"/>
    <m/>
    <s v="N"/>
    <s v="TMDATE"/>
    <s v="CRM_DEV.finacle.CRMUSER_MEMBERSHIPS"/>
    <s v="Done"/>
    <s v="Done"/>
    <s v="Done"/>
    <x v="0"/>
    <x v="0"/>
    <s v="NA"/>
    <s v="Not Done"/>
    <s v="Not Done"/>
    <s v="NA"/>
    <s v="Not Done"/>
    <s v="Not Done"/>
    <s v="NA"/>
    <s v="No"/>
    <s v="No"/>
  </r>
  <r>
    <s v="TBD"/>
    <s v="N"/>
    <x v="0"/>
    <s v="TBAADM"/>
    <s v="FINUAT"/>
    <s v="LA_DMD_TABLE"/>
    <m/>
    <n v="0.109"/>
    <s v="ACID, SHDL_NUM, DMD_FLOW_ID, DMD_DATE"/>
    <s v=" "/>
    <m/>
    <s v="N"/>
    <s v="LCHG_TIME"/>
    <m/>
    <s v="Done"/>
    <s v="Done"/>
    <s v="Done"/>
    <x v="0"/>
    <x v="0"/>
    <s v="NA"/>
    <s v="Not Done"/>
    <s v="Not Done"/>
    <s v="NA"/>
    <s v="Not Done"/>
    <s v="Not Done"/>
    <s v="NA"/>
    <s v="No"/>
    <s v="No"/>
  </r>
  <r>
    <s v="Milestone 4"/>
    <s v="N"/>
    <x v="0"/>
    <s v="TBAADM"/>
    <s v="FINUAT"/>
    <s v="ACCOUNT_LIEN_TABLE"/>
    <m/>
    <n v="0.108"/>
    <s v="ACID, B2K_TYPE, B2K_ID, BANK_ID"/>
    <s v="ACID,B2kID"/>
    <m/>
    <s v="N"/>
    <s v="LCHG_TIME"/>
    <s v="CRM_DEV.finacle.TBAADM_ACCOUNT_LIEN_TABLE"/>
    <s v="Done"/>
    <s v="Done"/>
    <s v="Done"/>
    <x v="0"/>
    <x v="0"/>
    <s v="NA"/>
    <s v="Not Done"/>
    <s v="Not Done"/>
    <s v="NA"/>
    <s v="Not Done"/>
    <s v="Not Done"/>
    <s v="NA"/>
    <s v="No"/>
    <s v="yes"/>
  </r>
  <r>
    <s v="Milestone 4"/>
    <s v="Y"/>
    <x v="10"/>
    <s v="CPPUSER"/>
    <s v="CPPSUAT"/>
    <s v="PAYMENT_TRANS"/>
    <s v="CPPS has integration issue and it is not itegrated yet"/>
    <n v="8.984375E-2"/>
    <s v="NA"/>
    <s v=" "/>
    <m/>
    <m/>
    <m/>
    <m/>
    <s v="NA"/>
    <s v="NA"/>
    <s v="NA"/>
    <x v="2"/>
    <x v="2"/>
    <s v="Not Done"/>
    <s v="NA"/>
    <s v="NA"/>
    <s v="Not Done"/>
    <s v="NA"/>
    <s v="NA"/>
    <s v="Not Done"/>
    <s v="No"/>
    <s v="No"/>
  </r>
  <r>
    <s v="Milestone 1"/>
    <s v="N"/>
    <x v="5"/>
    <s v="dbo"/>
    <s v="RAKCAS"/>
    <s v="RB_CSR_MISC_EXTTABLE"/>
    <m/>
    <n v="8.8999999999999996E-2"/>
    <s v="ITEMINDEX,ITEMTYPE"/>
    <s v="ITEMINDEX,ITEMTYPE"/>
    <m/>
    <s v="Y"/>
    <s v="Createddatetime column under Wfinstrumenttable"/>
    <s v="CRM_DEV.ibps.DBO_RB_CSR_MISC_EXTTABLE"/>
    <s v="Done"/>
    <s v="Done"/>
    <s v="Done"/>
    <x v="0"/>
    <x v="1"/>
    <s v="NA"/>
    <s v="Not Done"/>
    <s v="Not Done"/>
    <s v="NA"/>
    <s v="Not Done"/>
    <s v="Not Done"/>
    <s v="NA"/>
    <s v="No"/>
    <s v="yes"/>
  </r>
  <r>
    <s v="Milestone 1"/>
    <s v="N"/>
    <x v="5"/>
    <s v="dbo"/>
    <s v="RAKCAS"/>
    <s v="RB_DBO_EXTTABLE"/>
    <m/>
    <n v="8.2000000000000003E-2"/>
    <s v="ITEMINDEX,ITEMTYPE"/>
    <s v="ITEMINDEX,ITEMTYPE"/>
    <m/>
    <s v="Y"/>
    <s v="Createddatetime column under Wfinstrumenttable"/>
    <s v="CRM_DEV.ibps.DBO_RB_DBO_EXTTABLE"/>
    <s v="Done"/>
    <s v="Done"/>
    <s v="Done"/>
    <x v="0"/>
    <x v="1"/>
    <s v="NA"/>
    <s v="Not Done"/>
    <s v="Not Done"/>
    <s v="NA"/>
    <s v="Not Done"/>
    <s v="Not Done"/>
    <s v="NA"/>
    <s v="No"/>
    <s v="yes"/>
  </r>
  <r>
    <s v="Milestone 3"/>
    <s v="N"/>
    <x v="0"/>
    <s v="TBAADM"/>
    <s v="FINUAT"/>
    <s v="NAME_AND_ADD_TABLE"/>
    <m/>
    <n v="7.8E-2"/>
    <s v="ADDR_B2KID, ADDR_ID, BANK_ID"/>
    <s v="ADDR_B2KID"/>
    <m/>
    <s v="N"/>
    <s v="LCHG_TIME"/>
    <s v="CRM_DEV.finacle.TBAADM_NAME_AND_ADD_TABLE"/>
    <s v="Done"/>
    <s v="Done"/>
    <s v="Done"/>
    <x v="0"/>
    <x v="0"/>
    <s v="NA"/>
    <s v="Not Done"/>
    <s v="Not Done"/>
    <s v="NA"/>
    <s v="Not Done"/>
    <s v="Not Done"/>
    <s v="NA"/>
    <s v="No"/>
    <s v="No"/>
  </r>
  <r>
    <s v="Milestone 3"/>
    <s v="N"/>
    <x v="13"/>
    <s v="dbo"/>
    <s v="RAKICCS"/>
    <s v="Outward_ICCS"/>
    <m/>
    <n v="7.5999999999999998E-2"/>
    <s v="ItemType"/>
    <s v="ItemIndex,ItemType"/>
    <m/>
    <s v="Y"/>
    <s v="Scandate"/>
    <s v="CRM_DEV.iccs.DBO_OUTWARD_ICCS"/>
    <s v="Done"/>
    <s v="Done"/>
    <s v="Done"/>
    <x v="0"/>
    <x v="0"/>
    <s v="NA"/>
    <s v="Not Done"/>
    <s v="Not Done"/>
    <s v="NA"/>
    <s v="Not Done"/>
    <s v="Not Done"/>
    <s v="NA"/>
    <s v="No"/>
    <s v="No"/>
  </r>
  <r>
    <s v="TBD"/>
    <s v="N"/>
    <x v="12"/>
    <s v="TBAADM"/>
    <s v="WMS SIT"/>
    <s v="BO_CLOSING_PRICE_TBL"/>
    <m/>
    <n v="7.3999999999999996E-2"/>
    <s v="BOND_CODE, PRICE_DATE, SYMBOL, EXCHANGE_CODE"/>
    <s v="BOND_CODE,PRICE_DATE"/>
    <m/>
    <s v="N"/>
    <s v="LCHG_TIME"/>
    <m/>
    <s v="Not Done"/>
    <s v="Not Done"/>
    <s v="Not Done"/>
    <x v="1"/>
    <x v="0"/>
    <s v="NA"/>
    <s v="Not Done"/>
    <s v="Not Done"/>
    <s v="NA"/>
    <s v="Not Done"/>
    <s v="Not Done"/>
    <s v="NA"/>
    <s v="No"/>
    <s v="No"/>
  </r>
  <r>
    <s v="Milestone 1"/>
    <s v="N"/>
    <x v="5"/>
    <s v="dbo"/>
    <s v="RAKCAS"/>
    <s v="RB_EPP_EXTTABLE"/>
    <m/>
    <n v="7.2999999999999995E-2"/>
    <s v="ITEMINDEX,ITEMTYPE"/>
    <s v="ITEMINDEX,ITEMTYPE"/>
    <m/>
    <s v="Y"/>
    <s v="Createddatetime column under Wfinstrumenttable"/>
    <s v="CRM_DEV.ibps.DBO_RB_EPP_EXTTABLE"/>
    <s v="Done"/>
    <s v="Done"/>
    <s v="Done"/>
    <x v="0"/>
    <x v="1"/>
    <s v="NA"/>
    <s v="Not Done"/>
    <s v="Not Done"/>
    <s v="NA"/>
    <s v="Not Done"/>
    <s v="Not Done"/>
    <s v="NA"/>
    <s v="No"/>
    <s v="yes"/>
  </r>
  <r>
    <s v="Milestone 1"/>
    <s v="N"/>
    <x v="5"/>
    <s v="dbo"/>
    <s v="RAKCAS"/>
    <s v="RB_CSR_OCC_EXTTABLE"/>
    <m/>
    <n v="7.1999999999999995E-2"/>
    <s v="ITEMINDEX,ITEMTYPE"/>
    <s v="ITEMINDEX,ITEMTYPE"/>
    <m/>
    <s v="Y"/>
    <s v="Createddatetime column under Wfinstrumenttable"/>
    <s v="CRM_DEV.ibps.DBO_RB_CSR_OCC_EXTTABLE"/>
    <s v="Done"/>
    <s v="Done"/>
    <s v="Done"/>
    <x v="0"/>
    <x v="1"/>
    <s v="NA"/>
    <s v="Not Done"/>
    <s v="Not Done"/>
    <s v="NA"/>
    <s v="Not Done"/>
    <s v="Not Done"/>
    <s v="NA"/>
    <s v="No"/>
    <s v="No"/>
  </r>
  <r>
    <s v="Milestone 1"/>
    <s v="N"/>
    <x v="5"/>
    <s v="dbo"/>
    <s v="RAKCAS"/>
    <s v="RB_iRBL_EXTTABLE"/>
    <m/>
    <n v="7.0000000000000007E-2"/>
    <s v="ITEMINDEX,ITEMTYPE"/>
    <s v="ITEMINDEX,ITEMTYPE"/>
    <m/>
    <s v="Y"/>
    <s v="Createddatetime column under Wfinstrumenttable"/>
    <s v="CRM_DEV.ibps.DBO_RB_IRBL_EXTTABLE"/>
    <s v="Done"/>
    <s v="Done"/>
    <s v="Done"/>
    <x v="0"/>
    <x v="1"/>
    <s v="NA"/>
    <s v="Not Done"/>
    <s v="Not Done"/>
    <s v="NA"/>
    <s v="Not Done"/>
    <s v="Not Done"/>
    <s v="NA"/>
    <s v="No"/>
    <s v="yes"/>
  </r>
  <r>
    <s v="Milestone 3"/>
    <s v="N"/>
    <x v="0"/>
    <s v="CUSTOM"/>
    <s v="FINUAT"/>
    <s v="CUST_CALBK"/>
    <m/>
    <n v="6.9000000000000006E-2"/>
    <s v="FORACID, PYMT_REF_NUM"/>
    <s v="FORACID, PYMT_REF_NUM"/>
    <m/>
    <s v="N"/>
    <s v="LCHG_TIME"/>
    <s v="CRM_DEV.finacle.CUSTOM_CUST_CALBK"/>
    <s v="Done"/>
    <s v="Done"/>
    <s v="Done"/>
    <x v="0"/>
    <x v="0"/>
    <s v="NA"/>
    <s v="Not Done"/>
    <s v="Not Done"/>
    <s v="NA"/>
    <s v="Not Done"/>
    <s v="Not Done"/>
    <s v="NA"/>
    <s v="No"/>
    <s v="No"/>
  </r>
  <r>
    <s v="Milestone 2"/>
    <s v="N"/>
    <x v="0"/>
    <s v="TBAADM"/>
    <s v="FINUAT"/>
    <s v="TD_ACCT_MASTER_TABLE"/>
    <m/>
    <n v="6.3E-2"/>
    <s v="LINK_OPER_ACCOUNT,RELATED_ACID,MASTER_B2K_ID,REPAYMENT_ACID,ACID, BANK_ID,SOL_ID, MATURITY_DATE_x000a_"/>
    <s v="ACID"/>
    <m/>
    <s v="N"/>
    <s v="LCHG_TIME"/>
    <s v="CRM_DEV.finacle.TBAADM_TD_ACCT_MASTER_TABLE"/>
    <s v="Done"/>
    <s v="Done"/>
    <s v="Done"/>
    <x v="0"/>
    <x v="3"/>
    <s v="NA"/>
    <s v="Not Done"/>
    <s v="Not Done"/>
    <s v="NA"/>
    <s v="Not Done"/>
    <s v="Not Done"/>
    <s v="NA"/>
    <s v="No"/>
    <s v="yes"/>
  </r>
  <r>
    <s v="Milestone 1"/>
    <s v="N"/>
    <x v="5"/>
    <s v="dbo"/>
    <s v="RAKCAS"/>
    <s v="RB_CSR_CCC_EXTTABLE"/>
    <m/>
    <n v="6.3E-2"/>
    <s v="NA"/>
    <m/>
    <m/>
    <s v="Y"/>
    <s v="Createddatetime column under Wfinstrumenttable"/>
    <s v="CRM_DEV.ibps._RB_CSR_CCC_EXTTABLE"/>
    <s v="Done"/>
    <s v="Done"/>
    <s v="Done"/>
    <x v="0"/>
    <x v="1"/>
    <s v="NA"/>
    <s v="Not Done"/>
    <s v="Not Done"/>
    <s v="NA"/>
    <s v="Not Done"/>
    <s v="Not Done"/>
    <s v="NA"/>
    <s v="No"/>
    <s v="No"/>
  </r>
  <r>
    <s v="Milestone 4"/>
    <s v="N"/>
    <x v="0"/>
    <s v="TBAADM"/>
    <s v="FINUAT"/>
    <s v="TD_DEFN_TABLE"/>
    <m/>
    <n v="6.3E-2"/>
    <s v="ACID, SRL_NUM, BANK_ID"/>
    <s v="ACID,SRL_NUM"/>
    <m/>
    <s v="N"/>
    <s v="LCHG_TIME"/>
    <s v="CRM_DEV.finacle.TBAADM_TD_DEFN_TABLE"/>
    <s v="Done"/>
    <s v="Done"/>
    <s v="Done"/>
    <x v="0"/>
    <x v="0"/>
    <s v="NA"/>
    <s v="Not Done"/>
    <s v="Not Done"/>
    <s v="NA"/>
    <s v="Not Done"/>
    <s v="Not Done"/>
    <s v="NA"/>
    <s v="No"/>
    <s v="No"/>
  </r>
  <r>
    <s v="TBD"/>
    <s v="N"/>
    <x v="0"/>
    <s v="CUSTOM"/>
    <s v="FINUAT"/>
    <s v="CUST_CBDSME_DOCDET_TABLE"/>
    <m/>
    <n v="6.0999999999999999E-2"/>
    <s v="LIMIT_B2KID,DOC_SRL_NUM,BANK_ID"/>
    <s v="DOC_SRL_NUM"/>
    <m/>
    <s v="N"/>
    <s v="LCHG_TIME"/>
    <m/>
    <s v="Done"/>
    <s v="Done"/>
    <s v="Done"/>
    <x v="0"/>
    <x v="0"/>
    <s v="NA"/>
    <s v="Not Done"/>
    <s v="Not Done"/>
    <s v="NA"/>
    <s v="Not Done"/>
    <s v="Not Done"/>
    <s v="NA"/>
    <s v="No"/>
    <s v="yes"/>
  </r>
  <r>
    <s v="Milestone 3"/>
    <s v="N"/>
    <x v="0"/>
    <s v="TBAADM"/>
    <s v="FINUAT"/>
    <s v="LOGIN_TABLE"/>
    <m/>
    <n v="6.0999999999999999E-2"/>
    <s v="USER_ID, ROLE_ID, SESSION_ID"/>
    <s v="USER_ID, ROLE_ID, SESSION_ID"/>
    <m/>
    <s v="N"/>
    <m/>
    <s v="CRM_DEV.finacle.TBAADM_LOGIN_TABLE"/>
    <s v="Done"/>
    <s v="Done"/>
    <s v="Done"/>
    <x v="0"/>
    <x v="0"/>
    <s v="NA"/>
    <s v="Not Done"/>
    <s v="Not Done"/>
    <s v="NA"/>
    <s v="Not Done"/>
    <s v="Not Done"/>
    <s v="NA"/>
    <s v="No"/>
    <s v="No"/>
  </r>
  <r>
    <s v="TBD"/>
    <s v="N"/>
    <x v="0"/>
    <s v="CUSTOM"/>
    <s v="FINUAT"/>
    <s v="CUST_CASA_PACKAGE_CHRG_HIS"/>
    <m/>
    <n v="5.8999999999999997E-2"/>
    <s v="FORACID, EVENT_ID"/>
    <s v=" "/>
    <m/>
    <s v="N"/>
    <s v="LCHG_TIME"/>
    <m/>
    <s v="Done"/>
    <s v="Done"/>
    <s v="Done"/>
    <x v="0"/>
    <x v="0"/>
    <s v="NA"/>
    <s v="Not Done"/>
    <s v="Not Done"/>
    <s v="NA"/>
    <s v="Not Done"/>
    <s v="Not Done"/>
    <s v="NA"/>
    <s v="No"/>
    <s v="No"/>
  </r>
  <r>
    <s v="TBD"/>
    <s v="N"/>
    <x v="2"/>
    <m/>
    <s v="Dealing"/>
    <s v="Content"/>
    <m/>
    <n v="5.8999999999999997E-2"/>
    <m/>
    <s v="CONTENTID"/>
    <m/>
    <m/>
    <m/>
    <m/>
    <s v="Done"/>
    <s v="Done"/>
    <s v="Done"/>
    <x v="1"/>
    <x v="0"/>
    <s v="NA"/>
    <s v="Not Done"/>
    <s v="Not Done"/>
    <s v="NA"/>
    <s v="Not Done"/>
    <s v="Not Done"/>
    <s v="NA"/>
    <s v="No"/>
    <s v="No"/>
  </r>
  <r>
    <s v="Milestone 2"/>
    <s v="N"/>
    <x v="0"/>
    <s v="TBAADM"/>
    <s v="FINUAT"/>
    <s v="SBCA_MAST_TABLE"/>
    <m/>
    <n v="5.6000000000000001E-2"/>
    <s v="ACID, BANK_ID"/>
    <s v="ACID"/>
    <m/>
    <s v="N"/>
    <s v="LCHG_TIME"/>
    <s v="CRM_DEV.finacle.TBAADM_SBCA_MAST_TABLE"/>
    <s v="Done"/>
    <s v="Done"/>
    <s v="Done"/>
    <x v="0"/>
    <x v="3"/>
    <s v="NA"/>
    <s v="Not Done"/>
    <s v="Not Done"/>
    <s v="NA"/>
    <s v="Not Done"/>
    <s v="Not Done"/>
    <s v="NA"/>
    <s v="No"/>
    <s v="yes"/>
  </r>
  <r>
    <s v="TBD"/>
    <s v="N"/>
    <x v="3"/>
    <s v="dbo"/>
    <s v="npss-customer-mgmt"/>
    <s v="NPSS_MerchantMaster"/>
    <m/>
    <n v="5.6000000000000001E-2"/>
    <s v="CIFNumber"/>
    <s v=" "/>
    <m/>
    <s v="N"/>
    <s v="EnrolledOn"/>
    <m/>
    <s v="Not Done"/>
    <s v="Not Done"/>
    <s v="Not Done"/>
    <x v="1"/>
    <x v="0"/>
    <s v="NA"/>
    <s v="Not Done"/>
    <s v="Not Done"/>
    <s v="NA"/>
    <s v="Not Done"/>
    <s v="Not Done"/>
    <s v="NA"/>
    <s v="No"/>
    <s v="No"/>
  </r>
  <r>
    <s v="Milestone 1"/>
    <s v="N"/>
    <x v="5"/>
    <s v="dbo"/>
    <s v="RAKCAS"/>
    <s v="RB_AO_EXTTABLE"/>
    <m/>
    <n v="5.1999999999999998E-2"/>
    <s v="ITEMINDEX,ITEMTYPE"/>
    <s v="ITEMINDEX,ITEMTYPE"/>
    <m/>
    <s v="Y"/>
    <s v="Createddatetime column under Wfinstrumenttable"/>
    <s v="CRM_DEV.ibps.DBO_RB_AO_EXTTABLE"/>
    <s v="Done"/>
    <s v="Done"/>
    <s v="Done"/>
    <x v="0"/>
    <x v="1"/>
    <s v="NA"/>
    <s v="Not Done"/>
    <s v="Not Done"/>
    <s v="NA"/>
    <s v="Not Done"/>
    <s v="Not Done"/>
    <s v="NA"/>
    <s v="No"/>
    <s v="No"/>
  </r>
  <r>
    <s v="Milestone 1"/>
    <s v="N"/>
    <x v="5"/>
    <s v="dbo"/>
    <s v="RAKCAS"/>
    <s v="NG_TS_EXTTABLE"/>
    <m/>
    <n v="5.0999999999999997E-2"/>
    <s v="ITEMINDEX,ITEMTYPE"/>
    <s v="ITEMINDEX,ITEMTYPE"/>
    <m/>
    <s v="Y"/>
    <s v="Createddatetime column under Wfinstrumenttable"/>
    <s v="CRM_DEV.ibps.DBO_NG_TS_EXTTABLE"/>
    <s v="Done"/>
    <s v="Done"/>
    <s v="Done"/>
    <x v="0"/>
    <x v="1"/>
    <s v="NA"/>
    <s v="Not Done"/>
    <s v="Not Done"/>
    <s v="NA"/>
    <s v="Not Done"/>
    <s v="Not Done"/>
    <s v="NA"/>
    <s v="No"/>
    <s v="No"/>
  </r>
  <r>
    <s v="Milestone 4"/>
    <s v="Y"/>
    <x v="10"/>
    <s v="CPPUSER"/>
    <s v="CPPSUAT"/>
    <s v="SI_DETAILS"/>
    <s v="CPPS has integration issue and it is not itegrated yet"/>
    <n v="4.9804688E-2"/>
    <s v="SI_REFERENCE"/>
    <s v=" "/>
    <m/>
    <m/>
    <m/>
    <m/>
    <s v="NA"/>
    <s v="NA"/>
    <s v="NA"/>
    <x v="2"/>
    <x v="2"/>
    <s v="Not Done"/>
    <s v="NA"/>
    <s v="NA"/>
    <s v="Not Done"/>
    <s v="NA"/>
    <s v="NA"/>
    <s v="Not Done"/>
    <s v="No"/>
    <s v="No"/>
  </r>
  <r>
    <s v="Milestone 3"/>
    <s v="N"/>
    <x v="0"/>
    <s v="CRMUSER"/>
    <s v="FINUAT"/>
    <s v="preferences"/>
    <m/>
    <n v="4.7E-2"/>
    <s v="PREFERENCE_ID, BANK_ID"/>
    <s v="PREFERENCE,BANK_ID"/>
    <m/>
    <s v="N"/>
    <s v="BODATEMODIFIED"/>
    <s v="CRM_DEV.finacle.CRMUSER_PREFERENCES"/>
    <s v="Done"/>
    <s v="Done"/>
    <s v="Done"/>
    <x v="0"/>
    <x v="0"/>
    <s v="NA"/>
    <s v="Not Done"/>
    <s v="Not Done"/>
    <s v="NA"/>
    <s v="Not Done"/>
    <s v="Not Done"/>
    <s v="NA"/>
    <s v="No"/>
    <s v="yes"/>
  </r>
  <r>
    <s v="Milestone 3"/>
    <s v="N"/>
    <x v="0"/>
    <s v="CRMUSER"/>
    <s v="FINUAT"/>
    <s v="entityrelationship"/>
    <m/>
    <n v="4.4999999999999998E-2"/>
    <s v="ENTITYRELATIONSHIPID, BANK_ID"/>
    <s v="ENTITYRELATIONSHIPID,BANK_ID"/>
    <m/>
    <s v="N"/>
    <s v="BODATEMODIFIED"/>
    <s v="CRM_DEV.finacle.CRMUSER_ENTITYRELATIONSHIP"/>
    <s v="Done"/>
    <s v="Done"/>
    <s v="Done"/>
    <x v="0"/>
    <x v="0"/>
    <s v="NA"/>
    <s v="Not Done"/>
    <s v="Not Done"/>
    <s v="NA"/>
    <s v="Not Done"/>
    <s v="Not Done"/>
    <s v="NA"/>
    <s v="No"/>
    <s v="No"/>
  </r>
  <r>
    <s v="TBD"/>
    <s v="N"/>
    <x v="0"/>
    <s v="TBAADM"/>
    <s v="FINUAT"/>
    <s v="LIMIT_LIAB_TABLE"/>
    <m/>
    <n v="4.2999999999999997E-2"/>
    <s v="LIMIT_B2KID, BANK_ID"/>
    <s v="LIMIT_B2KID"/>
    <m/>
    <s v="N"/>
    <s v="LCHG_TIME"/>
    <m/>
    <s v="Done"/>
    <s v="Done"/>
    <s v="Done"/>
    <x v="0"/>
    <x v="0"/>
    <s v="NA"/>
    <s v="Not Done"/>
    <s v="Not Done"/>
    <s v="NA"/>
    <s v="Not Done"/>
    <s v="Not Done"/>
    <s v="NA"/>
    <s v="No"/>
    <s v="No"/>
  </r>
  <r>
    <s v="TBD"/>
    <s v="N"/>
    <x v="0"/>
    <s v="TBAADM"/>
    <s v="FINUAT"/>
    <s v="STANDALONE_COLL_MNT_TABLE"/>
    <m/>
    <n v="3.6999999999999998E-2"/>
    <s v="SECU_LINKAGE_TYPE, ACID, LIMIT_B2KID, SECU_SRL_NUM"/>
    <s v="SECU_SRL_NUM"/>
    <m/>
    <s v="N"/>
    <s v="LCHG_TIME"/>
    <m/>
    <s v="Done"/>
    <s v="Done"/>
    <s v="Done"/>
    <x v="0"/>
    <x v="0"/>
    <s v="NA"/>
    <s v="Not Done"/>
    <s v="Not Done"/>
    <s v="NA"/>
    <s v="Not Done"/>
    <s v="Not Done"/>
    <s v="NA"/>
    <s v="No"/>
    <s v="yes"/>
  </r>
  <r>
    <s v="TBD"/>
    <s v="N"/>
    <x v="0"/>
    <s v="CRMUSER"/>
    <s v="FINUAT"/>
    <s v="FINANCIAL"/>
    <m/>
    <n v="3.5000000000000003E-2"/>
    <s v="FINANCIAL_ID, BANK_ID"/>
    <s v="FINANCIAL_ID,BANK_ID"/>
    <m/>
    <s v="N"/>
    <s v="BODATEMODIFIED"/>
    <m/>
    <s v="Done"/>
    <s v="Done"/>
    <s v="Done"/>
    <x v="0"/>
    <x v="0"/>
    <s v="NA"/>
    <s v="Not Done"/>
    <s v="Not Done"/>
    <s v="NA"/>
    <s v="Not Done"/>
    <s v="Not Done"/>
    <s v="NA"/>
    <s v="No"/>
    <s v="yes"/>
  </r>
  <r>
    <s v="Milestone 3"/>
    <s v="N"/>
    <x v="0"/>
    <s v="CUSTOM"/>
    <s v="FINUAT"/>
    <s v="C_PORDM_DELETE"/>
    <m/>
    <n v="3.4000000000000002E-2"/>
    <s v="PYMT_REF_NUM"/>
    <m/>
    <m/>
    <s v="N"/>
    <s v="Its a custom table and dependent on PROD/PORH table, mapping field pymt_ref_num"/>
    <s v="CRM_DEV.finacle.CUSTOM_C_PORDM_DELETE"/>
    <s v="Done"/>
    <s v="Done"/>
    <s v="Done"/>
    <x v="0"/>
    <x v="0"/>
    <s v="NA"/>
    <s v="Not Done"/>
    <s v="Not Done"/>
    <s v="NA"/>
    <s v="Not Done"/>
    <s v="Not Done"/>
    <s v="NA"/>
    <s v="No"/>
    <s v="No"/>
  </r>
  <r>
    <s v="Milestone 1"/>
    <s v="N"/>
    <x v="5"/>
    <s v="dbo"/>
    <s v="RAKCAS"/>
    <s v="RB_ML_EXTTABLE"/>
    <m/>
    <n v="3.4000000000000002E-2"/>
    <s v="ITEMINDEX,ITEMTYPE"/>
    <s v="ITEMINDEX,ITEMTYPE"/>
    <m/>
    <s v="Y"/>
    <s v="Createddatetime column under Wfinstrumenttable"/>
    <s v="CRM_DEV.ibps.DBO_RB_ML_EXTTABLE"/>
    <s v="Done"/>
    <s v="Done"/>
    <s v="Done"/>
    <x v="0"/>
    <x v="1"/>
    <s v="NA"/>
    <s v="Not Done"/>
    <s v="Not Done"/>
    <s v="NA"/>
    <s v="Not Done"/>
    <s v="Not Done"/>
    <s v="NA"/>
    <s v="No"/>
    <s v="No"/>
  </r>
  <r>
    <s v="TBD"/>
    <s v="N"/>
    <x v="12"/>
    <s v="TBAADM"/>
    <s v="WMS SIT"/>
    <s v="IN_TRAN_PREMIUM_TABLE"/>
    <m/>
    <n v="3.4000000000000002E-2"/>
    <s v="NA"/>
    <s v="TRAN_ID"/>
    <m/>
    <s v="Y"/>
    <s v="LCHG_TIME"/>
    <m/>
    <s v="Not Done"/>
    <s v="Not Done"/>
    <s v="Not Done"/>
    <x v="1"/>
    <x v="0"/>
    <s v="NA"/>
    <s v="Not Done"/>
    <s v="Not Done"/>
    <s v="NA"/>
    <s v="Not Done"/>
    <s v="Not Done"/>
    <s v="NA"/>
    <s v="No"/>
    <s v="No"/>
  </r>
  <r>
    <s v="TBD"/>
    <s v="N"/>
    <x v="0"/>
    <s v="TBAADM"/>
    <s v="FINUAT"/>
    <s v="SECU_DETAIL_RGTR_TABLE"/>
    <m/>
    <n v="3.4000000000000002E-2"/>
    <s v="NA"/>
    <s v="SECU_LINKAGE_TYPE, ACID, LIMIT_B2KID, SECU_SRL_NUM, BANK_ID"/>
    <m/>
    <s v="N"/>
    <s v="LCHG_TIME"/>
    <m/>
    <s v="Done"/>
    <s v="Done"/>
    <s v="Done"/>
    <x v="0"/>
    <x v="0"/>
    <s v="NA"/>
    <s v="Not Done"/>
    <s v="Not Done"/>
    <s v="NA"/>
    <s v="Not Done"/>
    <s v="Not Done"/>
    <s v="NA"/>
    <s v="No"/>
    <s v="yes"/>
  </r>
  <r>
    <s v="TBD"/>
    <s v="Y"/>
    <x v="9"/>
    <s v="FIN_LEAM"/>
    <s v="RLSPROD"/>
    <s v="LEA_ASSET_M"/>
    <m/>
    <n v="3.3000000000000002E-2"/>
    <m/>
    <s v="ASSETID"/>
    <m/>
    <s v="N"/>
    <m/>
    <m/>
    <s v="NA"/>
    <s v="NA"/>
    <s v="NA"/>
    <x v="2"/>
    <x v="2"/>
    <s v="Not Done"/>
    <s v="NA"/>
    <s v="NA"/>
    <s v="Not Done"/>
    <s v="NA"/>
    <s v="NA"/>
    <s v="Not Done"/>
    <s v="No"/>
    <s v="No"/>
  </r>
  <r>
    <s v="TBD"/>
    <s v="Y"/>
    <x v="9"/>
    <s v="FIN_LEAM"/>
    <s v="RLSPROD"/>
    <s v="LEA_TERMINATION_DTL"/>
    <m/>
    <n v="3.2000000000000001E-2"/>
    <m/>
    <s v="AGREEMENTID"/>
    <m/>
    <s v="N"/>
    <m/>
    <m/>
    <s v="NA"/>
    <s v="NA"/>
    <s v="NA"/>
    <x v="2"/>
    <x v="2"/>
    <s v="Not Done"/>
    <s v="NA"/>
    <s v="NA"/>
    <s v="Not Done"/>
    <s v="NA"/>
    <s v="NA"/>
    <s v="Not Done"/>
    <s v="No"/>
    <s v="No"/>
  </r>
  <r>
    <s v="Milestone 4"/>
    <s v="N"/>
    <x v="0"/>
    <s v="TBAADM"/>
    <s v="FINUAT"/>
    <s v="AMT_DRV_METHOD_TBL"/>
    <m/>
    <n v="3.1E-2"/>
    <s v="AMT_DRV_SRL_NUM, BANK_ID"/>
    <s v="AMT_DRV_SRL_NUM"/>
    <m/>
    <s v="N"/>
    <s v="LCHG_TIME"/>
    <s v="CRM_DEV.finacle.TBAADM_AMT_DRV_METHOD_TBL"/>
    <s v="Done"/>
    <s v="Done"/>
    <s v="Done"/>
    <x v="0"/>
    <x v="0"/>
    <s v="NA"/>
    <s v="Not Done"/>
    <s v="Not Done"/>
    <s v="NA"/>
    <s v="Not Done"/>
    <s v="Not Done"/>
    <s v="NA"/>
    <s v="No"/>
    <s v="No"/>
  </r>
  <r>
    <s v="TBD"/>
    <s v="Y"/>
    <x v="9"/>
    <s v="FIN_LEAM"/>
    <s v="RLSPROD"/>
    <s v="CR_DECISION_M"/>
    <m/>
    <n v="3.1E-2"/>
    <m/>
    <s v="BRANCHID,APPID"/>
    <m/>
    <s v="N"/>
    <m/>
    <m/>
    <s v="NA"/>
    <s v="NA"/>
    <s v="NA"/>
    <x v="2"/>
    <x v="2"/>
    <s v="Not Done"/>
    <s v="NA"/>
    <s v="NA"/>
    <s v="Not Done"/>
    <s v="NA"/>
    <s v="NA"/>
    <s v="Not Done"/>
    <s v="No"/>
    <s v="No"/>
  </r>
  <r>
    <s v="TBD"/>
    <s v="Y"/>
    <x v="9"/>
    <s v="RAK_JSITPH3"/>
    <s v="RLSPROD"/>
    <s v="EARLY_SETTLEMENT"/>
    <m/>
    <n v="3.1E-2"/>
    <m/>
    <m/>
    <m/>
    <s v="Y"/>
    <m/>
    <s v="CRM_DEV.rls.RAK_JSITPH3_CS_CASE_INFO"/>
    <s v="NA"/>
    <s v="NA"/>
    <s v="NA"/>
    <x v="2"/>
    <x v="2"/>
    <s v="Not Done"/>
    <s v="NA"/>
    <s v="NA"/>
    <s v="Not Done"/>
    <s v="NA"/>
    <s v="NA"/>
    <s v="Not Done"/>
    <s v="No"/>
    <s v="No"/>
  </r>
  <r>
    <s v="Milestone 1"/>
    <s v="N"/>
    <x v="5"/>
    <s v="dbo"/>
    <s v="RAKCAS"/>
    <s v="RB_DBS_EXTTABLE"/>
    <m/>
    <n v="2.9000000000000001E-2"/>
    <s v="NA"/>
    <m/>
    <m/>
    <s v="Y"/>
    <s v="Createddatetime column under Wfinstrumenttable"/>
    <s v="CRM_DEV.ibps._RB_DBS_EXTTABLE"/>
    <s v="Done"/>
    <s v="Done"/>
    <s v="Done"/>
    <x v="0"/>
    <x v="1"/>
    <s v="NA"/>
    <s v="Not Done"/>
    <s v="Not Done"/>
    <s v="NA"/>
    <s v="Not Done"/>
    <s v="Not Done"/>
    <s v="NA"/>
    <s v="No"/>
    <s v="No"/>
  </r>
  <r>
    <s v="TBD"/>
    <s v="N"/>
    <x v="0"/>
    <s v="TBAADM"/>
    <s v="FINUAT"/>
    <s v="LIMIT_DOC_TABLE"/>
    <m/>
    <n v="2.9000000000000001E-2"/>
    <s v="NA"/>
    <s v="LIMIT_B2KID,DOC_SRL_NUM"/>
    <m/>
    <s v="N"/>
    <s v="LCHG_TIME"/>
    <m/>
    <s v="Done"/>
    <s v="Done"/>
    <s v="Done"/>
    <x v="0"/>
    <x v="0"/>
    <s v="NA"/>
    <s v="Not Done"/>
    <s v="Not Done"/>
    <s v="NA"/>
    <s v="Not Done"/>
    <s v="Not Done"/>
    <s v="NA"/>
    <s v="No"/>
    <s v="yes"/>
  </r>
  <r>
    <s v="Milestone 3"/>
    <s v="N"/>
    <x v="13"/>
    <s v="dbo"/>
    <s v="RAKICCS"/>
    <s v="Inward_Ext_Tab"/>
    <m/>
    <n v="2.5999999999999999E-2"/>
    <s v="ItemIndex, ItemType"/>
    <s v="ItemIndex,ItemType"/>
    <m/>
    <s v="Y"/>
    <s v="ecesettlementdate"/>
    <s v="CRM_DEV.iccs.DBO_INWARD_EXT_TAB"/>
    <s v="Done"/>
    <s v="Done"/>
    <s v="Done"/>
    <x v="0"/>
    <x v="0"/>
    <s v="NA"/>
    <s v="Not Done"/>
    <s v="Not Done"/>
    <s v="NA"/>
    <s v="Not Done"/>
    <s v="Not Done"/>
    <s v="NA"/>
    <s v="No"/>
    <s v="No"/>
  </r>
  <r>
    <s v="Milestone 1"/>
    <s v="N"/>
    <x v="5"/>
    <s v="dbo"/>
    <s v="RAKCAS"/>
    <s v="RB_GSR_LCOL_EXTTABLE"/>
    <m/>
    <n v="2.5999999999999999E-2"/>
    <s v="NA"/>
    <m/>
    <m/>
    <s v="Y"/>
    <s v="Createddatetime column under Wfinstrumenttable"/>
    <s v="CRM_DEV.ibps._RB_GSR_LCOL_EXTTABLE"/>
    <s v="NA"/>
    <s v="NA"/>
    <s v="NA"/>
    <x v="2"/>
    <x v="2"/>
    <s v="NA"/>
    <s v="Not Done"/>
    <s v="Not Done"/>
    <s v="NA"/>
    <s v="Not Done"/>
    <s v="Not Done"/>
    <s v="NA"/>
    <s v="No"/>
    <s v="No"/>
  </r>
  <r>
    <s v="Milestone 1"/>
    <s v="N"/>
    <x v="5"/>
    <s v="dbo"/>
    <s v="RAKCAS"/>
    <s v="RB_TWC_EXTTABLE"/>
    <m/>
    <n v="2.5999999999999999E-2"/>
    <s v="ITEMINDEX,ITEMTYPE"/>
    <s v="ITEMINDEX,ITEMTYPE"/>
    <m/>
    <s v="Y"/>
    <s v="Createddatetime column under Wfinstrumenttable"/>
    <s v="CRM_DEV.ibps.DBO_RB_TWC_EXTTABLE"/>
    <s v="Done"/>
    <s v="Done"/>
    <s v="Done"/>
    <x v="0"/>
    <x v="1"/>
    <s v="NA"/>
    <s v="Not Done"/>
    <s v="Not Done"/>
    <s v="NA"/>
    <s v="Not Done"/>
    <s v="Not Done"/>
    <s v="NA"/>
    <s v="No"/>
    <s v="No"/>
  </r>
  <r>
    <s v="TBD"/>
    <s v="N"/>
    <x v="0"/>
    <s v="TBAADM"/>
    <s v="FINUAT"/>
    <s v="LA_ACCT_MAST_TABLE"/>
    <m/>
    <n v="2.5999999999999999E-2"/>
    <s v="NA"/>
    <s v="ACID"/>
    <m/>
    <s v="N"/>
    <s v="LCHG_TIME"/>
    <m/>
    <s v="Done"/>
    <s v="Done"/>
    <s v="Done"/>
    <x v="0"/>
    <x v="0"/>
    <s v="NA"/>
    <s v="Not Done"/>
    <s v="Not Done"/>
    <s v="NA"/>
    <s v="Not Done"/>
    <s v="Not Done"/>
    <s v="NA"/>
    <s v="No"/>
    <s v="yes"/>
  </r>
  <r>
    <s v="Milestone 1"/>
    <s v="Y"/>
    <x v="4"/>
    <s v="ECECUSER"/>
    <s v="CNVGNIB"/>
    <s v="MULTI_LEVEL_WORKFLOW_TABLE"/>
    <m/>
    <n v="2.4E-2"/>
    <s v="BANK_ID,TXN_KEY"/>
    <m/>
    <m/>
    <s v="N"/>
    <s v=" "/>
    <s v="CRM_DEV.digital_banking_admin.ECECUSER_MULTI_LEVEL_WORKFLOW_TABLE"/>
    <s v="NA"/>
    <s v="NA"/>
    <s v="NA"/>
    <x v="2"/>
    <x v="3"/>
    <s v="Done"/>
    <s v="Not Done"/>
    <s v="NA"/>
    <s v="Not Done"/>
    <s v="Not Done"/>
    <s v="NA"/>
    <s v="Not Done"/>
    <s v="No"/>
    <s v="No"/>
  </r>
  <r>
    <s v="Milestone 1"/>
    <s v="Y"/>
    <x v="9"/>
    <s v="FIN_LEAM"/>
    <s v="RLSPROD"/>
    <s v="LEA_APPL_DTL"/>
    <m/>
    <n v="2.4E-2"/>
    <s v="Agreementid"/>
    <s v="APPLID"/>
    <m/>
    <s v="N"/>
    <s v=" "/>
    <s v="CRM_DEV.rls.FIN_LEAM_LEA_APPL_DTL"/>
    <s v="NA"/>
    <s v="NA"/>
    <s v="NA"/>
    <x v="2"/>
    <x v="2"/>
    <s v="Done"/>
    <s v="Not Done"/>
    <s v="NA"/>
    <s v="Not Done"/>
    <s v="Not Done"/>
    <s v="NA"/>
    <s v="Not Done"/>
    <s v="No"/>
    <s v="No"/>
  </r>
  <r>
    <s v="Milestone 1"/>
    <s v="N"/>
    <x v="5"/>
    <s v="dbo"/>
    <s v="RAKCAS"/>
    <s v="RB_DSR_ODC_EXTTABLE"/>
    <m/>
    <n v="2.1000000000000001E-2"/>
    <s v="NA"/>
    <m/>
    <m/>
    <s v="Y"/>
    <s v="Createddatetime column under Wfinstrumenttable"/>
    <s v="CRM_DEV.ibps._RB_DSR_ODC_EXTTABLE"/>
    <s v="Done"/>
    <s v="Done"/>
    <s v="Done"/>
    <x v="0"/>
    <x v="1"/>
    <s v="NA"/>
    <s v="Not Done"/>
    <s v="Not Done"/>
    <s v="NA"/>
    <s v="Not Done"/>
    <s v="Not Done"/>
    <s v="NA"/>
    <s v="No"/>
    <s v="No"/>
  </r>
  <r>
    <s v="Milestone 1"/>
    <s v="N"/>
    <x v="5"/>
    <s v="dbo"/>
    <s v="RAKCAS"/>
    <s v="NG_DPL_EXTTABLE"/>
    <m/>
    <n v="2.1000000000000001E-2"/>
    <s v="ITEMINDEX,ITEMTYPE"/>
    <s v="ITEMINDEX,ITEMTYPE"/>
    <m/>
    <s v="Y"/>
    <s v="Createddatetime column under Wfinstrumenttable"/>
    <s v="CRM_DEV.ibps.DBO_NG_DPL_EXTTABLE"/>
    <s v="Done"/>
    <s v="Done"/>
    <s v="Done"/>
    <x v="0"/>
    <x v="1"/>
    <s v="NA"/>
    <s v="Not Done"/>
    <s v="Not Done"/>
    <s v="NA"/>
    <s v="Not Done"/>
    <s v="Not Done"/>
    <s v="NA"/>
    <s v="No"/>
    <s v="No"/>
  </r>
  <r>
    <s v="TBD"/>
    <s v="N"/>
    <x v="2"/>
    <m/>
    <s v="Dealing"/>
    <s v="WrmRequest"/>
    <m/>
    <n v="0.02"/>
    <m/>
    <s v=" "/>
    <m/>
    <m/>
    <m/>
    <m/>
    <s v="Done"/>
    <s v="Done"/>
    <s v="Done"/>
    <x v="1"/>
    <x v="0"/>
    <s v="NA"/>
    <s v="Not Done"/>
    <s v="Not Done"/>
    <s v="NA"/>
    <s v="Not Done"/>
    <s v="Not Done"/>
    <s v="NA"/>
    <s v="No"/>
    <s v="No"/>
  </r>
  <r>
    <s v="Milestone 1"/>
    <s v="N"/>
    <x v="5"/>
    <s v="dbo"/>
    <s v="RAKCAS"/>
    <s v="RB_DA_Exttable"/>
    <m/>
    <n v="1.9E-2"/>
    <s v="NA"/>
    <m/>
    <m/>
    <s v="Y"/>
    <s v="Createddatetime column under Wfinstrumenttable"/>
    <s v="CRM_DEV.ibps._RB_DA_EXTTABLE"/>
    <s v="Done"/>
    <s v="Done"/>
    <s v="Done"/>
    <x v="0"/>
    <x v="1"/>
    <s v="NA"/>
    <s v="Not Done"/>
    <s v="Not Done"/>
    <s v="NA"/>
    <s v="Not Done"/>
    <s v="Not Done"/>
    <s v="NA"/>
    <s v="No"/>
    <s v="No"/>
  </r>
  <r>
    <s v="Milestone 4"/>
    <s v="N"/>
    <x v="1"/>
    <s v="TCTDBS"/>
    <s v="PRIMEDB"/>
    <s v="cTrxnRewardGifts"/>
    <m/>
    <n v="1.9E-2"/>
    <s v="NA"/>
    <s v=" "/>
    <m/>
    <s v="N"/>
    <m/>
    <m/>
    <s v="Done"/>
    <s v="Done"/>
    <s v="Done"/>
    <x v="1"/>
    <x v="0"/>
    <s v="NA"/>
    <s v="Not Done"/>
    <s v="Not Done"/>
    <s v="NA"/>
    <s v="Not Done"/>
    <s v="Not Done"/>
    <s v="NA"/>
    <s v="No"/>
    <s v="No"/>
  </r>
  <r>
    <s v="TBD"/>
    <s v="N"/>
    <x v="8"/>
    <s v="DEHUSEROB"/>
    <s v="rakdehsit"/>
    <s v="COMMONCODES"/>
    <m/>
    <n v="1.8433000000000001E-2"/>
    <m/>
    <s v=" "/>
    <m/>
    <m/>
    <m/>
    <m/>
    <s v="Not Done"/>
    <s v="Not Done"/>
    <s v="Not Done"/>
    <x v="1"/>
    <x v="0"/>
    <s v="NA"/>
    <s v="Not Done"/>
    <s v="Not Done"/>
    <s v="NA"/>
    <s v="Not Done"/>
    <s v="Not Done"/>
    <s v="NA"/>
    <s v="No"/>
    <s v="No"/>
  </r>
  <r>
    <s v="Milestone 3"/>
    <s v="N"/>
    <x v="0"/>
    <s v="TBAADM"/>
    <s v="FINUAT"/>
    <s v="ML_MMSG_TBL"/>
    <m/>
    <n v="1.7999999999999999E-2"/>
    <s v="MSG_LITERAL, SOURCE_TYPE, MSG_ID"/>
    <s v="MSG_ID"/>
    <m/>
    <s v="N"/>
    <m/>
    <s v="CRM_DEV.finacle.TBAADM_ML_MMSG_TBL"/>
    <s v="Done"/>
    <s v="Done"/>
    <s v="Done"/>
    <x v="0"/>
    <x v="0"/>
    <s v="NA"/>
    <s v="Not Done"/>
    <s v="Not Done"/>
    <s v="NA"/>
    <s v="Not Done"/>
    <s v="Not Done"/>
    <s v="NA"/>
    <s v="No"/>
    <s v="No"/>
  </r>
  <r>
    <s v="Milestone 1"/>
    <s v="N"/>
    <x v="5"/>
    <s v="dbo"/>
    <s v="RAKCAS"/>
    <s v="RB_CMS_EXTTABLE"/>
    <m/>
    <n v="1.7000000000000001E-2"/>
    <s v="ITEMINDEX,ITEMTYPE"/>
    <s v="ITEMINDEX,ITEMTYPE"/>
    <m/>
    <s v="Y"/>
    <s v="Createddatetime column under Wfinstrumenttable"/>
    <s v="CRM_DEV.ibps.DBO_RB_CMS_EXTTABLE"/>
    <s v="Done"/>
    <s v="Done"/>
    <s v="Done"/>
    <x v="0"/>
    <x v="1"/>
    <s v="NA"/>
    <s v="Not Done"/>
    <s v="Not Done"/>
    <s v="NA"/>
    <s v="Not Done"/>
    <s v="Not Done"/>
    <s v="NA"/>
    <s v="No"/>
    <s v="No"/>
  </r>
  <r>
    <s v="TBD"/>
    <s v="Y"/>
    <x v="4"/>
    <s v="ECECUSER"/>
    <s v="CNVGNIB"/>
    <s v="COMMONCODES"/>
    <m/>
    <n v="1.6448999999999998E-2"/>
    <s v="BANK_ID, CM_CODE, LANG_ID, CODE_TYPE"/>
    <s v=" "/>
    <m/>
    <s v="N"/>
    <m/>
    <m/>
    <s v="NA"/>
    <s v="NA"/>
    <s v="NA"/>
    <x v="2"/>
    <x v="2"/>
    <s v="Not Done"/>
    <s v="NA"/>
    <s v="NA"/>
    <s v="Not Done"/>
    <s v="NA"/>
    <s v="NA"/>
    <s v="Not Done"/>
    <s v="No"/>
    <s v="No"/>
  </r>
  <r>
    <s v="TBD"/>
    <s v="Y"/>
    <x v="9"/>
    <s v="FIN_LEAM"/>
    <s v="RLSPROD"/>
    <s v="LEA_ASSET_DTL"/>
    <m/>
    <n v="1.6E-2"/>
    <m/>
    <s v="ASSETID"/>
    <m/>
    <s v="N"/>
    <m/>
    <m/>
    <s v="NA"/>
    <s v="NA"/>
    <s v="NA"/>
    <x v="2"/>
    <x v="2"/>
    <s v="Not Done"/>
    <s v="NA"/>
    <s v="NA"/>
    <s v="Not Done"/>
    <s v="NA"/>
    <s v="NA"/>
    <s v="Not Done"/>
    <s v="No"/>
    <s v="No"/>
  </r>
  <r>
    <s v="Milestone 4"/>
    <s v="N"/>
    <x v="0"/>
    <s v="TBAADM"/>
    <s v="FINUAT"/>
    <s v="SI_HEADER_TABLE"/>
    <m/>
    <n v="1.4999999999999999E-2"/>
    <s v="SI_SRL_NUM, BANK_ID"/>
    <s v="si_srl_num"/>
    <m/>
    <s v="N"/>
    <s v="LCHG_TIME"/>
    <s v="CRM_DEV.finacle.TBAADM_SI_HEADER_TABLE"/>
    <s v="Done"/>
    <s v="Done"/>
    <s v="Done"/>
    <x v="0"/>
    <x v="0"/>
    <s v="NA"/>
    <s v="Not Done"/>
    <s v="Not Done"/>
    <s v="NA"/>
    <s v="Not Done"/>
    <s v="Not Done"/>
    <s v="NA"/>
    <s v="No"/>
    <s v="No"/>
  </r>
  <r>
    <s v="Milestone 1"/>
    <s v="N"/>
    <x v="12"/>
    <s v="TBAADM"/>
    <s v="WMS SIT"/>
    <s v="WMS_INV_GEN_DTLS_TBL"/>
    <m/>
    <n v="1.4E-2"/>
    <s v="CIF_ID,OPER_ACID,INV_ID"/>
    <s v="INV_ID"/>
    <m/>
    <s v="N"/>
    <s v="LCHG_TIME"/>
    <s v="CRM_DEV.wms.TBAADM_WMS_INV_GEN_DTLS_TBL"/>
    <s v="Done"/>
    <s v="Done"/>
    <s v="Done"/>
    <x v="0"/>
    <x v="3"/>
    <s v="NA"/>
    <s v="Not Done"/>
    <s v="Not Done"/>
    <s v="NA"/>
    <s v="Not Done"/>
    <s v="Not Done"/>
    <s v="NA"/>
    <s v="No"/>
    <s v="No"/>
  </r>
  <r>
    <s v="TBD"/>
    <s v="N"/>
    <x v="0"/>
    <s v="TBAADM"/>
    <s v="FINUAT"/>
    <s v="PNL_INT_TBL_CODE_TABLE"/>
    <m/>
    <n v="1.2999999999999999E-2"/>
    <s v="NA"/>
    <s v="Entity_ID, INT_TBL_CODE_SRL_NUM"/>
    <m/>
    <s v="N"/>
    <s v="LCHG_TIME"/>
    <m/>
    <s v="Done"/>
    <s v="Done"/>
    <s v="Done"/>
    <x v="0"/>
    <x v="0"/>
    <s v="NA"/>
    <s v="Not Done"/>
    <s v="Not Done"/>
    <s v="NA"/>
    <s v="Not Done"/>
    <s v="Not Done"/>
    <s v="NA"/>
    <s v="No"/>
    <s v="No"/>
  </r>
  <r>
    <s v="TBD"/>
    <s v="N"/>
    <x v="0"/>
    <s v="CUSTOM"/>
    <s v="FINUAT"/>
    <s v="CUST_CASA_PACKAGE_CHRG"/>
    <m/>
    <n v="1.0999999999999999E-2"/>
    <s v="NA"/>
    <s v="CIF_ID,Event_ID"/>
    <m/>
    <s v="N"/>
    <s v="LCHG_TIME"/>
    <m/>
    <s v="Done"/>
    <s v="Done"/>
    <s v="Done"/>
    <x v="0"/>
    <x v="0"/>
    <s v="NA"/>
    <s v="Not Done"/>
    <s v="Not Done"/>
    <s v="NA"/>
    <s v="Not Done"/>
    <s v="Not Done"/>
    <s v="NA"/>
    <s v="No"/>
    <s v="No"/>
  </r>
  <r>
    <s v="TBD"/>
    <s v="N"/>
    <x v="12"/>
    <s v="TBAADM"/>
    <s v="WMS SIT"/>
    <s v="INS_POLICY_DTLS_TABLE"/>
    <m/>
    <n v="1.0999999999999999E-2"/>
    <s v="NA"/>
    <s v="POL_B2K_ID,POLICY_NO"/>
    <m/>
    <s v="N"/>
    <s v="LCHG_TIME"/>
    <m/>
    <s v="Not Done"/>
    <s v="Not Done"/>
    <s v="Not Done"/>
    <x v="1"/>
    <x v="0"/>
    <s v="NA"/>
    <s v="Not Done"/>
    <s v="Not Done"/>
    <s v="NA"/>
    <s v="Not Done"/>
    <s v="Not Done"/>
    <s v="NA"/>
    <s v="No"/>
    <s v="No"/>
  </r>
  <r>
    <s v="TBD"/>
    <s v="N"/>
    <x v="0"/>
    <s v="TBAADM"/>
    <s v="FINUAT"/>
    <s v="LA_RESHDL_HDR_TABLE"/>
    <m/>
    <n v="0.01"/>
    <s v="NA"/>
    <s v=" "/>
    <m/>
    <s v="N"/>
    <s v="LCHG_TIME"/>
    <m/>
    <s v="Done"/>
    <s v="Done"/>
    <s v="Done"/>
    <x v="0"/>
    <x v="0"/>
    <s v="NA"/>
    <s v="Not Done"/>
    <s v="Not Done"/>
    <s v="NA"/>
    <s v="Not Done"/>
    <s v="Not Done"/>
    <s v="NA"/>
    <s v="No"/>
    <s v="No"/>
  </r>
  <r>
    <s v="TBD"/>
    <s v="Y"/>
    <x v="9"/>
    <s v="FIN_LEAM"/>
    <s v="RLSPROD"/>
    <s v="LEA_PROPERTY_DTL"/>
    <m/>
    <n v="8.9999999999999993E-3"/>
    <m/>
    <s v="PROPERTYID"/>
    <m/>
    <s v="N"/>
    <m/>
    <m/>
    <s v="NA"/>
    <s v="NA"/>
    <s v="NA"/>
    <x v="2"/>
    <x v="2"/>
    <s v="Not Done"/>
    <s v="NA"/>
    <s v="NA"/>
    <s v="Not Done"/>
    <s v="NA"/>
    <s v="NA"/>
    <s v="Not Done"/>
    <s v="No"/>
    <s v="No"/>
  </r>
  <r>
    <s v="Milestone 4"/>
    <s v="N"/>
    <x v="0"/>
    <s v="TBAADM"/>
    <s v="FINUAT"/>
    <s v="RENEWAL_OPTION_TABLE"/>
    <m/>
    <n v="8.0000000000000002E-3"/>
    <s v="ACID, BANK_ID"/>
    <s v="ACID"/>
    <m/>
    <s v="N"/>
    <s v="LCHG_TIME"/>
    <s v="CRM_DEV.finacle.TBAADM_RENEWAL_OPTION_TABLE"/>
    <s v="Done"/>
    <s v="Done"/>
    <s v="Done"/>
    <x v="0"/>
    <x v="0"/>
    <s v="NA"/>
    <s v="Not Done"/>
    <s v="Not Done"/>
    <s v="NA"/>
    <s v="Not Done"/>
    <s v="Not Done"/>
    <s v="NA"/>
    <s v="No"/>
    <s v="No"/>
  </r>
  <r>
    <s v="TBD"/>
    <s v="N"/>
    <x v="0"/>
    <s v="TBAADM"/>
    <s v="FINUAT"/>
    <s v="INT_CODE_VERSION_TABLE"/>
    <m/>
    <n v="8.0000000000000002E-3"/>
    <s v="NA"/>
    <s v="INT_TBL_CODE, CRNCY_CODE, INT_TBL_VER_NUM, BANK_ID"/>
    <m/>
    <s v="N"/>
    <s v="LCHG_TIME"/>
    <m/>
    <s v="Done"/>
    <s v="Done"/>
    <s v="Done"/>
    <x v="0"/>
    <x v="0"/>
    <s v="NA"/>
    <s v="Not Done"/>
    <s v="Not Done"/>
    <s v="NA"/>
    <s v="Not Done"/>
    <s v="Not Done"/>
    <s v="NA"/>
    <s v="No"/>
    <s v="No"/>
  </r>
  <r>
    <s v="TBD"/>
    <s v="N"/>
    <x v="0"/>
    <s v="TBAADM"/>
    <s v="FINUAT"/>
    <s v="CL_DRAW_DOWN_SCHEDULE_TBL"/>
    <m/>
    <n v="7.0000000000000001E-3"/>
    <s v="NA"/>
    <s v="ACID"/>
    <m/>
    <s v="N"/>
    <s v="LCHG_TIME"/>
    <m/>
    <s v="Done"/>
    <s v="Done"/>
    <s v="Done"/>
    <x v="0"/>
    <x v="0"/>
    <s v="NA"/>
    <s v="Not Done"/>
    <s v="Not Done"/>
    <s v="NA"/>
    <s v="Not Done"/>
    <s v="Not Done"/>
    <s v="NA"/>
    <s v="No"/>
    <s v="yes"/>
  </r>
  <r>
    <s v="TBD"/>
    <s v="Y"/>
    <x v="9"/>
    <s v="FIN_LEAM"/>
    <s v="RLSPROD"/>
    <s v="LEA_COLLATERAL_DTL"/>
    <m/>
    <n v="7.0000000000000001E-3"/>
    <m/>
    <s v="collateralID"/>
    <m/>
    <s v="N"/>
    <m/>
    <m/>
    <s v="NA"/>
    <s v="NA"/>
    <s v="NA"/>
    <x v="2"/>
    <x v="2"/>
    <s v="Not Done"/>
    <s v="NA"/>
    <s v="NA"/>
    <s v="Not Done"/>
    <s v="NA"/>
    <s v="NA"/>
    <s v="Not Done"/>
    <s v="No"/>
    <s v="No"/>
  </r>
  <r>
    <s v="TBD"/>
    <s v="Y"/>
    <x v="9"/>
    <s v="LOS0909"/>
    <s v="RLSPROD"/>
    <s v="LEA_GUARANTOR_HIRER_DTL"/>
    <m/>
    <n v="6.79E-3"/>
    <m/>
    <s v="GUARANTOR_HIRER_ID"/>
    <m/>
    <s v="N"/>
    <m/>
    <m/>
    <s v="NA"/>
    <s v="NA"/>
    <s v="NA"/>
    <x v="2"/>
    <x v="2"/>
    <s v="Not Done"/>
    <s v="NA"/>
    <s v="NA"/>
    <s v="Not Done"/>
    <s v="NA"/>
    <s v="NA"/>
    <s v="Not Done"/>
    <s v="No"/>
    <s v="No"/>
  </r>
  <r>
    <s v="Milestone 3"/>
    <s v="N"/>
    <x v="0"/>
    <s v="TBAADM"/>
    <s v="FINUAT"/>
    <s v="GEN_ACCT_MAST_MOD_TABLE"/>
    <m/>
    <n v="5.0000000000000001E-3"/>
    <s v="ACID, BANK_ID"/>
    <s v="ACID, BANK_ID"/>
    <m/>
    <s v="N"/>
    <s v="LCHG_TIME"/>
    <s v="CRM_DEV.finacle.TBAADM_GEN_ACCT_MAST_MOD_TABLE"/>
    <s v="Done"/>
    <s v="Done"/>
    <s v="Done"/>
    <x v="0"/>
    <x v="0"/>
    <s v="NA"/>
    <s v="Not Done"/>
    <s v="Not Done"/>
    <s v="NA"/>
    <s v="Not Done"/>
    <s v="Not Done"/>
    <s v="NA"/>
    <s v="No"/>
    <s v="No"/>
  </r>
  <r>
    <s v="Milestone 3"/>
    <s v="N"/>
    <x v="1"/>
    <s v="TCTDBS"/>
    <s v="PRIMEDB"/>
    <s v="GLOBALPARAMETERVALUES"/>
    <m/>
    <n v="5.0000000000000001E-3"/>
    <s v="SERNO"/>
    <s v="SERNO"/>
    <m/>
    <s v="N"/>
    <s v=" "/>
    <s v="CRM_DEV.prime4.TCTDBS_GLOBALPARAMETERVALUES"/>
    <s v="Done"/>
    <s v="Done"/>
    <s v="Done"/>
    <x v="1"/>
    <x v="0"/>
    <s v="NA"/>
    <s v="Not Done"/>
    <s v="Not Done"/>
    <s v="NA"/>
    <s v="Not Done"/>
    <s v="Not Done"/>
    <s v="NA"/>
    <s v="No"/>
    <s v="No"/>
  </r>
  <r>
    <s v="Milestone 3"/>
    <s v="N"/>
    <x v="1"/>
    <s v="TCTDBS"/>
    <s v="PRIMEDB"/>
    <s v="GLOBALPARAMETERS"/>
    <m/>
    <n v="5.0000000000000001E-3"/>
    <s v="SERNO"/>
    <s v="SERNO"/>
    <m/>
    <s v="N"/>
    <s v=" "/>
    <s v="CRM_DEV.prime4.TCTDBS_GLOBALPARAMETERS"/>
    <s v="Done"/>
    <s v="Done"/>
    <s v="Done"/>
    <x v="1"/>
    <x v="0"/>
    <s v="NA"/>
    <s v="Not Done"/>
    <s v="Not Done"/>
    <s v="NA"/>
    <s v="Not Done"/>
    <s v="Not Done"/>
    <s v="NA"/>
    <s v="No"/>
    <s v="No"/>
  </r>
  <r>
    <s v="Milestone 1"/>
    <s v="N"/>
    <x v="5"/>
    <s v="dbo"/>
    <s v="RAKCAS"/>
    <s v="RB_DAC_EXTTABLE"/>
    <m/>
    <n v="5.0000000000000001E-3"/>
    <s v="ITEMINDEX,ITEMTYPE"/>
    <s v="ITEMINDEX,ITEMTYPE"/>
    <m/>
    <s v="Y"/>
    <s v="Createddatetime column under Wfinstrumenttable"/>
    <s v="CRM_DEV.ibps.DBO_RB_DAC_EXTTABLE"/>
    <s v="Done"/>
    <s v="Done"/>
    <s v="Done"/>
    <x v="0"/>
    <x v="1"/>
    <s v="NA"/>
    <s v="Not Done"/>
    <s v="Not Done"/>
    <s v="NA"/>
    <s v="Not Done"/>
    <s v="Not Done"/>
    <s v="NA"/>
    <s v="No"/>
    <s v="No"/>
  </r>
  <r>
    <s v="Milestone 3"/>
    <s v="N"/>
    <x v="3"/>
    <s v="dbo"/>
    <s v="npss-epayment"/>
    <s v="NPSS_PmtStatus_ReqHdr"/>
    <s v="Due to AWS issue, End point has changed , Requested to FCR to replace with new end point"/>
    <n v="5.0000000000000001E-3"/>
    <s v="Pmt_SRH_CrtdDt,Pmt_SRH_RefId"/>
    <m/>
    <m/>
    <s v="N"/>
    <s v="Pmt_SRH_CrtdDt"/>
    <s v="CRM_DEV.npss.DBO_NPSS_PMTSTATUS_REQHDR"/>
    <s v="Done"/>
    <s v="Done"/>
    <s v="Done"/>
    <x v="1"/>
    <x v="0"/>
    <s v="NA"/>
    <s v="Not Done"/>
    <s v="Not Done"/>
    <s v="NA"/>
    <s v="Not Done"/>
    <s v="Not Done"/>
    <s v="NA"/>
    <s v="No"/>
    <s v="No"/>
  </r>
  <r>
    <s v="TBD"/>
    <s v="N"/>
    <x v="0"/>
    <s v="CRMUSER"/>
    <s v="FINUAT"/>
    <s v="GROUPHOUSEHOLD"/>
    <m/>
    <n v="4.0000000000000001E-3"/>
    <s v="GROUPHOUSEHOLDID, BANK_ID"/>
    <s v="GROUPHOUSEHOLDID,BANK_ID"/>
    <m/>
    <s v="N"/>
    <s v="TMDATE"/>
    <m/>
    <s v="Done"/>
    <s v="Done"/>
    <s v="Done"/>
    <x v="0"/>
    <x v="0"/>
    <s v="NA"/>
    <s v="Not Done"/>
    <s v="Not Done"/>
    <s v="NA"/>
    <s v="Not Done"/>
    <s v="Not Done"/>
    <s v="NA"/>
    <s v="No"/>
    <s v="yes"/>
  </r>
  <r>
    <s v="Milestone 4"/>
    <s v="N"/>
    <x v="0"/>
    <s v="CUSTOM"/>
    <s v="FINUAT"/>
    <s v="C_CPARAM_VALUE_TABLE"/>
    <s v="Composite key column  MODULE_NAME  has null value which was not allowed to insert/upsert  to CRM Database . So Data has been insert and skipped all those records which has null value.    18 null records skipped"/>
    <n v="4.0000000000000001E-3"/>
    <s v="PARAMETER_ID, LEVELCODE_1, LEVELCODE_2, MODULE_NAME"/>
    <s v="PARAMETER_ID, LEVELCODE_1, LEVELCODE_2, MODULE_NAME, BANK_ID"/>
    <m/>
    <s v="N"/>
    <s v="LCHG_TIME"/>
    <s v="CRM_DEV.finacle.CUSTOM_C_CPARAM_VALUE_TABLE"/>
    <s v="Done"/>
    <s v="Done"/>
    <s v="Done"/>
    <x v="0"/>
    <x v="0"/>
    <s v="NA"/>
    <s v="Not Done"/>
    <s v="Not Done"/>
    <s v="NA"/>
    <s v="Not Done"/>
    <s v="Not Done"/>
    <s v="NA"/>
    <s v="No"/>
    <s v="No"/>
  </r>
  <r>
    <s v="Milestone 1"/>
    <s v="N"/>
    <x v="5"/>
    <s v="dbo"/>
    <s v="RAKCAS"/>
    <s v="RB_SAR_EXTTABLE"/>
    <m/>
    <n v="3.0000000000000001E-3"/>
    <s v="ITEMINDEX,ITEMTYPE"/>
    <s v="ITEMINDEX,ITEMTYPE"/>
    <m/>
    <s v="Y"/>
    <s v="Createddatetime column under Wfinstrumenttable"/>
    <s v="CRM_DEV.ibps.DBO_RB_SAR_EXTTABLE"/>
    <s v="NA"/>
    <s v="NA"/>
    <s v="NA"/>
    <x v="2"/>
    <x v="1"/>
    <s v="NA"/>
    <s v="Not Done"/>
    <s v="Not Done"/>
    <s v="NA"/>
    <s v="Not Done"/>
    <s v="Not Done"/>
    <s v="NA"/>
    <s v="No"/>
    <s v="No"/>
  </r>
  <r>
    <s v="Milestone 4"/>
    <s v="N"/>
    <x v="0"/>
    <s v="TBAADM"/>
    <s v="FINUAT"/>
    <s v="REMIT_THRU_SI_TD_TABLE"/>
    <m/>
    <n v="3.0000000000000001E-3"/>
    <s v="PR_SRL_NUM, SERIAL_NUM, BANK_ID"/>
    <s v="pr_srl_num"/>
    <m/>
    <s v="N"/>
    <s v="LCHG_TIME"/>
    <s v="CRM_DEV.finacle.TBAADM_REMIT_THRU_SI_TD_TABLE"/>
    <s v="Done"/>
    <s v="Done"/>
    <s v="Done"/>
    <x v="0"/>
    <x v="0"/>
    <s v="NA"/>
    <s v="Not Done"/>
    <s v="Not Done"/>
    <s v="NA"/>
    <s v="Not Done"/>
    <s v="Not Done"/>
    <s v="NA"/>
    <s v="No"/>
    <s v="No"/>
  </r>
  <r>
    <s v="TBD"/>
    <s v="N"/>
    <x v="0"/>
    <s v="TBAADM"/>
    <s v="FINUAT"/>
    <s v="CRNCY_SCHM_PARM_TBL"/>
    <m/>
    <n v="3.0000000000000001E-3"/>
    <s v="NA"/>
    <s v="SCHM_CODE,CRNCY_CODE,BANK_ID"/>
    <m/>
    <s v="N"/>
    <s v="LCHG_TIME"/>
    <m/>
    <s v="Done"/>
    <s v="Done"/>
    <s v="Done"/>
    <x v="0"/>
    <x v="0"/>
    <s v="NA"/>
    <s v="Not Done"/>
    <s v="Not Done"/>
    <s v="NA"/>
    <s v="Not Done"/>
    <s v="Not Done"/>
    <s v="NA"/>
    <s v="No"/>
    <s v="yes"/>
  </r>
  <r>
    <s v="TBD"/>
    <s v="N"/>
    <x v="12"/>
    <s v="TBAADM"/>
    <s v="WMS SIT"/>
    <s v="IN_NW_PREM_COLL_MAND_TBL"/>
    <m/>
    <n v="3.0000000000000001E-3"/>
    <s v="NA"/>
    <s v="TRAN_ID"/>
    <m/>
    <s v="Y"/>
    <s v="LCHG_TIME"/>
    <m/>
    <s v="Not Done"/>
    <s v="Not Done"/>
    <s v="Not Done"/>
    <x v="1"/>
    <x v="0"/>
    <s v="NA"/>
    <s v="Not Done"/>
    <s v="Not Done"/>
    <s v="NA"/>
    <s v="Not Done"/>
    <s v="Not Done"/>
    <s v="NA"/>
    <s v="No"/>
    <s v="No"/>
  </r>
  <r>
    <s v="TBD"/>
    <s v="N"/>
    <x v="12"/>
    <s v="TBAADM"/>
    <s v="WMS SIT"/>
    <s v="MF_TRAN_BAL_SUMMARY_TBL"/>
    <m/>
    <n v="3.0000000000000001E-3"/>
    <s v="NA"/>
    <s v="inv_id,fund_cd"/>
    <m/>
    <s v="N"/>
    <s v="LCHG_TIME"/>
    <m/>
    <s v="Not Done"/>
    <s v="Not Done"/>
    <s v="Not Done"/>
    <x v="1"/>
    <x v="0"/>
    <s v="NA"/>
    <s v="Not Done"/>
    <s v="Not Done"/>
    <s v="NA"/>
    <s v="Not Done"/>
    <s v="Not Done"/>
    <s v="NA"/>
    <s v="No"/>
    <s v="No"/>
  </r>
  <r>
    <s v="Milestone 3"/>
    <s v="N"/>
    <x v="0"/>
    <s v="TBAADM"/>
    <s v="FINUAT"/>
    <s v="REFERENCE_CODE_TABLE"/>
    <m/>
    <n v="3.0000000000000001E-3"/>
    <s v="REF_REC_TYPE, REF_CODE, BANK_ID"/>
    <s v="REF_REC_TYPE,REF_CODE"/>
    <m/>
    <s v="N"/>
    <s v="LCHG_TIME"/>
    <m/>
    <s v="Done"/>
    <s v="Done"/>
    <s v="Done"/>
    <x v="0"/>
    <x v="0"/>
    <s v="NA"/>
    <s v="Not Done"/>
    <s v="Not Done"/>
    <s v="NA"/>
    <s v="Not Done"/>
    <s v="Not Done"/>
    <s v="NA"/>
    <s v="No"/>
    <s v="yes"/>
  </r>
  <r>
    <s v="TBD"/>
    <s v="N"/>
    <x v="0"/>
    <s v="CUSTOM"/>
    <s v="FINUAT"/>
    <s v="CUST_CASA_HISTDTL"/>
    <m/>
    <n v="2E-3"/>
    <s v="NA"/>
    <s v="CIF_ID"/>
    <m/>
    <s v="N"/>
    <s v="LCHG_TIME"/>
    <m/>
    <s v="Done"/>
    <s v="Done"/>
    <s v="Done"/>
    <x v="0"/>
    <x v="0"/>
    <s v="NA"/>
    <s v="Not Done"/>
    <s v="Not Done"/>
    <s v="NA"/>
    <s v="Not Done"/>
    <s v="Not Done"/>
    <s v="NA"/>
    <s v="No"/>
    <s v="No"/>
  </r>
  <r>
    <s v="TBD"/>
    <s v="N"/>
    <x v="0"/>
    <s v="CUSTOM"/>
    <s v="FINUAT"/>
    <s v="CUST_CASA_PACKAGE_MAIN"/>
    <m/>
    <n v="2E-3"/>
    <s v="NA"/>
    <s v="CIF_ID"/>
    <m/>
    <s v="N"/>
    <s v="LCHG_TIME"/>
    <m/>
    <s v="Done"/>
    <s v="Done"/>
    <s v="Done"/>
    <x v="0"/>
    <x v="0"/>
    <s v="NA"/>
    <s v="Not Done"/>
    <s v="Not Done"/>
    <s v="NA"/>
    <s v="Not Done"/>
    <s v="Not Done"/>
    <s v="NA"/>
    <s v="No"/>
    <s v="No"/>
  </r>
  <r>
    <s v="Milestone 1"/>
    <s v="N"/>
    <x v="5"/>
    <s v="dbo"/>
    <s v="RAKCAS"/>
    <s v="RB_CSR_BT_EXTTABLE"/>
    <m/>
    <n v="2E-3"/>
    <s v="NA"/>
    <m/>
    <m/>
    <s v="Y"/>
    <s v="Createddatetime column under Wfinstrumenttable"/>
    <s v="CRM_DEV.ibps._RB_CSR_BT_EXTTABLE"/>
    <s v="Done"/>
    <s v="Done"/>
    <s v="Done"/>
    <x v="0"/>
    <x v="1"/>
    <s v="NA"/>
    <s v="Not Done"/>
    <s v="Not Done"/>
    <s v="NA"/>
    <s v="Not Done"/>
    <s v="Not Done"/>
    <s v="NA"/>
    <s v="No"/>
    <s v="No"/>
  </r>
  <r>
    <s v="TBD"/>
    <s v="N"/>
    <x v="12"/>
    <s v="TBAADM"/>
    <s v="WMS SIT"/>
    <s v="BO_BOND_MASTER"/>
    <m/>
    <n v="2E-3"/>
    <s v="NA"/>
    <s v="Bond_code"/>
    <m/>
    <s v="N"/>
    <s v="LCHG_TIME"/>
    <m/>
    <s v="Not Done"/>
    <s v="Not Done"/>
    <s v="Not Done"/>
    <x v="1"/>
    <x v="0"/>
    <s v="NA"/>
    <s v="Not Done"/>
    <s v="Not Done"/>
    <s v="NA"/>
    <s v="Not Done"/>
    <s v="Not Done"/>
    <s v="NA"/>
    <s v="No"/>
    <s v="yes"/>
  </r>
  <r>
    <s v="TBD"/>
    <s v="N"/>
    <x v="12"/>
    <s v="TBAADM"/>
    <s v="WMS SIT"/>
    <s v="BOND_TRAN_BAL_SUMMARY_TBL"/>
    <m/>
    <n v="2E-3"/>
    <s v="NA"/>
    <s v="Bond_code,INV_ID"/>
    <m/>
    <s v="N"/>
    <s v="LCHG_TIME"/>
    <m/>
    <s v="Not Done"/>
    <s v="Not Done"/>
    <s v="Not Done"/>
    <x v="1"/>
    <x v="0"/>
    <s v="NA"/>
    <s v="Not Done"/>
    <s v="Not Done"/>
    <s v="NA"/>
    <s v="Not Done"/>
    <s v="Not Done"/>
    <s v="NA"/>
    <s v="No"/>
    <s v="No"/>
  </r>
  <r>
    <s v="TBD"/>
    <s v="N"/>
    <x v="12"/>
    <s v="TBAADM"/>
    <s v="WMS SIT"/>
    <s v="SP_ORDER_DETAILS_TABLE"/>
    <m/>
    <n v="2E-3"/>
    <s v="NA"/>
    <s v="Order_id"/>
    <m/>
    <s v="Y"/>
    <s v="TRAN_DATE"/>
    <m/>
    <s v="Not Done"/>
    <s v="Not Done"/>
    <s v="Not Done"/>
    <x v="1"/>
    <x v="0"/>
    <s v="NA"/>
    <s v="Not Done"/>
    <s v="Not Done"/>
    <s v="NA"/>
    <s v="Not Done"/>
    <s v="Not Done"/>
    <s v="NA"/>
    <s v="No"/>
    <s v="No"/>
  </r>
  <r>
    <s v="TBD"/>
    <s v="N"/>
    <x v="12"/>
    <s v="TBAADM"/>
    <s v="WMS SIT"/>
    <s v="WMS_INV_CUST_DTLS_TBL"/>
    <m/>
    <n v="2E-3"/>
    <s v="NA"/>
    <s v="INV_ID"/>
    <m/>
    <s v="N"/>
    <s v="LCHG_TIME"/>
    <m/>
    <s v="Not Done"/>
    <s v="Not Done"/>
    <s v="Not Done"/>
    <x v="1"/>
    <x v="0"/>
    <s v="NA"/>
    <s v="Not Done"/>
    <s v="Not Done"/>
    <s v="NA"/>
    <s v="Not Done"/>
    <s v="Not Done"/>
    <s v="NA"/>
    <s v="No"/>
    <s v="No"/>
  </r>
  <r>
    <s v="Milestone 1"/>
    <s v="N"/>
    <x v="0"/>
    <s v="CRMUSER"/>
    <s v="FINUAT"/>
    <s v="Person"/>
    <m/>
    <n v="1E-3"/>
    <s v="PERSONID"/>
    <s v="PERSONID"/>
    <m/>
    <s v="N"/>
    <s v="TMDATE"/>
    <s v="CRM_DEV.finacle.CRMUSER_PERSON"/>
    <s v="Done"/>
    <s v="Done"/>
    <s v="Done"/>
    <x v="0"/>
    <x v="3"/>
    <s v="NA"/>
    <s v="Not Done"/>
    <s v="Not Done"/>
    <s v="NA"/>
    <s v="Not Done"/>
    <s v="Not Done"/>
    <s v="NA"/>
    <s v="No"/>
    <s v="yes"/>
  </r>
  <r>
    <s v="Milestone 3"/>
    <s v="N"/>
    <x v="0"/>
    <s v="CRMUSER"/>
    <s v="FINUAT"/>
    <s v="users"/>
    <m/>
    <n v="1E-3"/>
    <s v="PERSONID"/>
    <s v="PERSONID"/>
    <m/>
    <s v="N"/>
    <s v="TMDATE"/>
    <s v="CRM_DEV.finacle.CRMUSER_USERS"/>
    <s v="Done"/>
    <s v="Done"/>
    <s v="Done"/>
    <x v="0"/>
    <x v="0"/>
    <s v="NA"/>
    <s v="Not Done"/>
    <s v="Not Done"/>
    <s v="NA"/>
    <s v="Not Done"/>
    <s v="Not Done"/>
    <s v="NA"/>
    <s v="No"/>
    <s v="No"/>
  </r>
  <r>
    <s v="TBD"/>
    <s v="N"/>
    <x v="0"/>
    <s v="CRMUSER"/>
    <s v="FINUAT"/>
    <s v="GROUPHOUSEHOLDMASTER"/>
    <m/>
    <n v="1E-3"/>
    <s v="GROUPHOUSEHOLDMASTERID, BANK_ID"/>
    <s v="GROUPHOUSEHOLDMASTERID,BANK_ID"/>
    <m/>
    <s v="N"/>
    <s v="BODATEMODIFIED"/>
    <m/>
    <s v="Done"/>
    <s v="Done"/>
    <s v="Done"/>
    <x v="0"/>
    <x v="0"/>
    <s v="NA"/>
    <s v="Not Done"/>
    <s v="Not Done"/>
    <s v="NA"/>
    <s v="Not Done"/>
    <s v="Not Done"/>
    <s v="NA"/>
    <s v="No"/>
    <s v="No"/>
  </r>
  <r>
    <s v="Milestone 3"/>
    <s v="N"/>
    <x v="0"/>
    <s v="CUSTOM"/>
    <s v="FINUAT"/>
    <s v="CUST_LDFEE"/>
    <m/>
    <n v="1E-3"/>
    <s v="CIF_TYPE, SCHM_CODE, AC_CURRENCY"/>
    <s v="CIF_TYPE, SCHM_CODE, AC_CURRENCY"/>
    <m/>
    <s v="N"/>
    <s v="LCHG_TIME"/>
    <s v="CRM_DEV.finacle.CUSTOM_CUST_LDFEE"/>
    <s v="Done"/>
    <s v="Done"/>
    <s v="Done"/>
    <x v="0"/>
    <x v="0"/>
    <s v="NA"/>
    <s v="Not Done"/>
    <s v="Not Done"/>
    <s v="NA"/>
    <s v="Not Done"/>
    <s v="Not Done"/>
    <s v="NA"/>
    <s v="No"/>
    <s v="No"/>
  </r>
  <r>
    <s v="Milestone 3"/>
    <s v="N"/>
    <x v="0"/>
    <s v="TBAADM"/>
    <s v="FINUAT"/>
    <s v="GEN_SCHM_PARM_TABLE"/>
    <m/>
    <n v="1E-3"/>
    <s v="SCHM_TYPE, SCHM_CODE, BANK_ID"/>
    <s v="SCHM_CODE, BANK_ID"/>
    <m/>
    <s v="N"/>
    <s v="LCHG_TIME"/>
    <s v="CRM_DEV.finacle.TBAADM_GEN_SCHM_PARM_TABLE"/>
    <s v="Done"/>
    <s v="Done"/>
    <s v="Done"/>
    <x v="0"/>
    <x v="0"/>
    <s v="NA"/>
    <s v="Not Done"/>
    <s v="Not Done"/>
    <s v="NA"/>
    <s v="Not Done"/>
    <s v="Not Done"/>
    <s v="NA"/>
    <s v="No"/>
    <s v="yes"/>
  </r>
  <r>
    <s v="Milestone 2"/>
    <s v="N"/>
    <x v="1"/>
    <s v="TCTDBS"/>
    <s v="PRIMEDB"/>
    <s v="PRODUCTS"/>
    <m/>
    <n v="1E-3"/>
    <s v="SERNO"/>
    <s v="PRODUCTID,BANK_ID"/>
    <m/>
    <s v="N"/>
    <s v=" "/>
    <s v="CRM_DEV.prime4.TCTDBS_PRODUCTS"/>
    <s v="Done"/>
    <s v="Done"/>
    <s v="Done"/>
    <x v="0"/>
    <x v="1"/>
    <s v="NA"/>
    <s v="Not Done"/>
    <s v="Not Done"/>
    <s v="NA"/>
    <s v="Not Done"/>
    <s v="Not Done"/>
    <s v="NA"/>
    <s v="No"/>
    <s v="No"/>
  </r>
  <r>
    <s v="Milestone 3"/>
    <s v="N"/>
    <x v="1"/>
    <s v="TCTDBS"/>
    <s v="PRIMEDB"/>
    <s v="INSTALMENTPLANS"/>
    <m/>
    <n v="1E-3"/>
    <s v="SERNO"/>
    <s v="SERNO"/>
    <m/>
    <s v="N"/>
    <s v=" "/>
    <s v="CRM_DEV.prime4.TCTDBS_INSTALMENTPLANS"/>
    <s v="Done"/>
    <s v="Done"/>
    <s v="Done"/>
    <x v="1"/>
    <x v="0"/>
    <s v="NA"/>
    <s v="Not Done"/>
    <s v="Not Done"/>
    <s v="NA"/>
    <s v="Not Done"/>
    <s v="Not Done"/>
    <s v="NA"/>
    <s v="No"/>
    <s v="No"/>
  </r>
  <r>
    <s v="Milestone 3"/>
    <s v="N"/>
    <x v="1"/>
    <s v="TCTDBS"/>
    <s v="PRIMEDB"/>
    <s v="PROFILES"/>
    <m/>
    <n v="1E-3"/>
    <s v="SERNO"/>
    <s v="SERNO"/>
    <m/>
    <s v="N"/>
    <s v=" "/>
    <s v="CRM_DEV.prime4.TCTDBS_PROFILES"/>
    <s v="Done"/>
    <s v="Done"/>
    <s v="Done"/>
    <x v="1"/>
    <x v="0"/>
    <s v="NA"/>
    <s v="Not Done"/>
    <s v="Not Done"/>
    <s v="NA"/>
    <s v="Not Done"/>
    <s v="Not Done"/>
    <s v="NA"/>
    <s v="No"/>
    <s v="No"/>
  </r>
  <r>
    <s v="Milestone 3"/>
    <s v="N"/>
    <x v="1"/>
    <s v="TCTDBS"/>
    <s v="PRIMEDB"/>
    <s v="Trxntypes"/>
    <m/>
    <n v="1E-3"/>
    <s v="SERNO, INSTITUTION_ID"/>
    <s v="SERNO"/>
    <m/>
    <s v="N"/>
    <s v=" "/>
    <s v="CRM_DEV.prime4.TCTDBS_TRXNTYPES"/>
    <s v="Done"/>
    <s v="Done"/>
    <s v="Done"/>
    <x v="1"/>
    <x v="0"/>
    <s v="NA"/>
    <s v="Not Done"/>
    <s v="Not Done"/>
    <s v="NA"/>
    <s v="Not Done"/>
    <s v="Not Done"/>
    <s v="NA"/>
    <s v="No"/>
    <s v="No"/>
  </r>
  <r>
    <s v="Milestone 1"/>
    <s v="N"/>
    <x v="5"/>
    <s v="dbo"/>
    <s v="RAKCAS"/>
    <s v="RB_DSR_MISC_EXTTABLE"/>
    <m/>
    <n v="1E-3"/>
    <s v="NA"/>
    <m/>
    <m/>
    <s v="Y"/>
    <s v="Createddatetime column under Wfinstrumenttable"/>
    <s v="CRM_DEV.ibps._RB_DSR_MISC_EXTTABLE"/>
    <s v="Done"/>
    <s v="Done"/>
    <s v="Done"/>
    <x v="0"/>
    <x v="1"/>
    <s v="NA"/>
    <s v="Not Done"/>
    <s v="Not Done"/>
    <s v="NA"/>
    <s v="Not Done"/>
    <s v="Not Done"/>
    <s v="NA"/>
    <s v="No"/>
    <s v="No"/>
  </r>
  <r>
    <s v="Milestone 1"/>
    <s v="N"/>
    <x v="5"/>
    <s v="dbo"/>
    <s v="RAKCAS"/>
    <s v="RB_OECD_EXTTABLE"/>
    <m/>
    <n v="1E-3"/>
    <s v="NA"/>
    <m/>
    <m/>
    <s v="Y"/>
    <s v="Createddatetime column under Wfinstrumenttable"/>
    <s v="CRM_DEV.ibps._RB_OECD_EXTTABLE"/>
    <s v="Done"/>
    <s v="Done"/>
    <s v="Done"/>
    <x v="0"/>
    <x v="1"/>
    <s v="NA"/>
    <s v="Not Done"/>
    <s v="Not Done"/>
    <s v="NA"/>
    <s v="Not Done"/>
    <s v="Not Done"/>
    <s v="NA"/>
    <s v="No"/>
    <s v="No"/>
  </r>
  <r>
    <s v="Milestone 1"/>
    <s v="N"/>
    <x v="5"/>
    <s v="dbo"/>
    <s v="RAKCAS"/>
    <s v="RB_PL_EXTTABLE"/>
    <m/>
    <n v="1E-3"/>
    <s v="NA"/>
    <m/>
    <m/>
    <s v="Y"/>
    <s v="Createddatetime column under Wfinstrumenttable"/>
    <s v="CRM_DEV.ibps._RB_PL_EXTTABLE"/>
    <s v="Done"/>
    <s v="Done"/>
    <s v="Done"/>
    <x v="0"/>
    <x v="1"/>
    <s v="NA"/>
    <s v="Not Done"/>
    <s v="Not Done"/>
    <s v="NA"/>
    <s v="Not Done"/>
    <s v="Not Done"/>
    <s v="NA"/>
    <s v="No"/>
    <s v="No"/>
  </r>
  <r>
    <s v="TBD"/>
    <s v="N"/>
    <x v="12"/>
    <s v="TBAADM"/>
    <s v="WMS SIT"/>
    <s v="MF_FUND_MASTER_TBL"/>
    <m/>
    <n v="1E-3"/>
    <s v="NA"/>
    <s v="FUND_ID, RULE_EFF_DATE, BANK_ID"/>
    <m/>
    <s v="N"/>
    <s v="LCHG_TIME"/>
    <m/>
    <s v="Not Done"/>
    <s v="Not Done"/>
    <s v="Not Done"/>
    <x v="1"/>
    <x v="0"/>
    <s v="NA"/>
    <s v="Not Done"/>
    <s v="Not Done"/>
    <s v="NA"/>
    <s v="Not Done"/>
    <s v="Not Done"/>
    <s v="NA"/>
    <s v="No"/>
    <s v="yes"/>
  </r>
  <r>
    <s v="TBD"/>
    <s v="N"/>
    <x v="1"/>
    <s v="TCTDBS"/>
    <s v="PRIMEDB"/>
    <s v="SERVICELIST"/>
    <m/>
    <n v="1E-3"/>
    <m/>
    <s v=" "/>
    <m/>
    <s v="N"/>
    <m/>
    <m/>
    <s v="Not Done"/>
    <s v="Not Done"/>
    <s v="Not Done"/>
    <x v="1"/>
    <x v="0"/>
    <s v="NA"/>
    <s v="Not Done"/>
    <s v="Not Done"/>
    <s v="NA"/>
    <s v="Not Done"/>
    <s v="Not Done"/>
    <s v="NA"/>
    <s v="No"/>
    <s v="No"/>
  </r>
  <r>
    <s v="Milestone 4"/>
    <s v="Y"/>
    <x v="9"/>
    <s v="FIN_LEAM"/>
    <s v="RLSPROD"/>
    <s v="LEA_SCHEME_M"/>
    <m/>
    <n v="1.22E-4"/>
    <s v="SCHEMEID"/>
    <s v="SCHEMEID"/>
    <m/>
    <s v="N"/>
    <m/>
    <m/>
    <s v="NA"/>
    <s v="NA"/>
    <s v="NA"/>
    <x v="2"/>
    <x v="2"/>
    <s v="Done"/>
    <s v="NA"/>
    <s v="NA"/>
    <s v="Not Done"/>
    <s v="NA"/>
    <s v="NA"/>
    <s v="Not Done"/>
    <s v="No"/>
    <s v="No"/>
  </r>
  <r>
    <s v="TBD"/>
    <s v="Y"/>
    <x v="9"/>
    <s v="LOS0909"/>
    <s v="RLSPROD"/>
    <s v="NBFC_PARAMETER_M"/>
    <m/>
    <n v="3.1000000000000001E-5"/>
    <m/>
    <s v=" "/>
    <m/>
    <s v="N"/>
    <m/>
    <m/>
    <s v="NA"/>
    <s v="NA"/>
    <s v="NA"/>
    <x v="2"/>
    <x v="2"/>
    <s v="Not Done"/>
    <s v="NA"/>
    <s v="NA"/>
    <s v="Not Done"/>
    <s v="NA"/>
    <s v="NA"/>
    <s v="Not Done"/>
    <s v="No"/>
    <s v="yes"/>
  </r>
  <r>
    <s v="Milestone 2"/>
    <s v="N"/>
    <x v="0"/>
    <s v="CRMUSER"/>
    <s v="FINUAT"/>
    <s v="agent_entity_details"/>
    <m/>
    <n v="0"/>
    <s v="DETAIL_RECORD_ID, PERSONID, BANK_ID"/>
    <s v="DETAIL_RECORD_ID,PERSONID,BANK_ID"/>
    <m/>
    <s v="N"/>
    <s v="TMDATE"/>
    <s v="CRM_DEV.finacle.CRMUSER_AGENT_ENTITY_DETAILS"/>
    <s v="Done"/>
    <s v="Done"/>
    <s v="Done"/>
    <x v="0"/>
    <x v="3"/>
    <s v="NA"/>
    <s v="Not Done"/>
    <s v="Not Done"/>
    <s v="NA"/>
    <s v="Not Done"/>
    <s v="Not Done"/>
    <s v="NA"/>
    <s v="No"/>
    <s v="No"/>
  </r>
  <r>
    <s v="Milestone 2"/>
    <s v="N"/>
    <x v="0"/>
    <s v="CRMUSER"/>
    <s v="FINUAT"/>
    <s v="bizcenter"/>
    <m/>
    <n v="0"/>
    <s v="BCID"/>
    <s v="BCID"/>
    <m/>
    <s v="N"/>
    <s v="BODATEMODIFIED"/>
    <s v="CRM_DEV.finacle.CRMUSER_BIZCENTER"/>
    <s v="Done"/>
    <s v="Done"/>
    <s v="Done"/>
    <x v="0"/>
    <x v="3"/>
    <s v="NA"/>
    <s v="Not Done"/>
    <s v="Not Done"/>
    <s v="NA"/>
    <s v="Not Done"/>
    <s v="Not Done"/>
    <s v="NA"/>
    <s v="No"/>
    <s v="No"/>
  </r>
  <r>
    <s v="TBD"/>
    <s v="N"/>
    <x v="0"/>
    <s v="CUSTOM"/>
    <s v="FINUAT"/>
    <s v="C_LNM_DETAIL_TBL_MOD"/>
    <m/>
    <n v="0"/>
    <s v="NA"/>
    <s v=" "/>
    <m/>
    <s v="N"/>
    <s v="LCHG_TIME"/>
    <s v="CRM_DEV.finacle.CUSTOM_C_LNM_DETAIL_TBL_MOD"/>
    <s v="Done"/>
    <s v="Done"/>
    <s v="Done"/>
    <x v="0"/>
    <x v="0"/>
    <s v="NA"/>
    <s v="Not Done"/>
    <s v="Not Done"/>
    <s v="NA"/>
    <s v="Not Done"/>
    <s v="Not Done"/>
    <s v="NA"/>
    <s v="No"/>
    <s v="No"/>
  </r>
  <r>
    <s v="TBD"/>
    <s v="N"/>
    <x v="0"/>
    <s v="CUSTOM"/>
    <s v="FINUAT"/>
    <s v="CUST_CASA_PACKAGE"/>
    <m/>
    <n v="0"/>
    <s v="NA"/>
    <s v="Event_ID, Package_ID"/>
    <m/>
    <s v="N"/>
    <s v="LCHG_TIME"/>
    <m/>
    <s v="Done"/>
    <s v="Done"/>
    <s v="Done"/>
    <x v="0"/>
    <x v="0"/>
    <s v="NA"/>
    <s v="Not Done"/>
    <s v="Not Done"/>
    <s v="NA"/>
    <s v="Not Done"/>
    <s v="Not Done"/>
    <s v="NA"/>
    <s v="No"/>
    <s v="No"/>
  </r>
  <r>
    <s v="Milestone 3"/>
    <s v="N"/>
    <x v="0"/>
    <s v="TBAADM"/>
    <s v="FINUAT"/>
    <s v="ACH_PAYSYS_REASON_TABLE"/>
    <m/>
    <n v="0"/>
    <s v="PAYSYS_ID, REASON_ID, BANK_ID"/>
    <m/>
    <m/>
    <s v="N"/>
    <s v="LCHG_TIME"/>
    <s v="CRM_DEV.finacle.TBAADM_ACH_PAYSYS_REASON_TABLE"/>
    <s v="NA"/>
    <s v="NA"/>
    <s v="NA"/>
    <x v="2"/>
    <x v="2"/>
    <s v="NA"/>
    <s v="Not Done"/>
    <s v="Not Done"/>
    <s v="NA"/>
    <s v="Not Done"/>
    <s v="Not Done"/>
    <s v="NA"/>
    <s v="No"/>
    <s v="No"/>
  </r>
  <r>
    <s v="Milestone 3"/>
    <s v="N"/>
    <x v="0"/>
    <s v="TBAADM"/>
    <s v="FINUAT"/>
    <s v="CMB_CSIS_GEN_ACCT_TABLE"/>
    <m/>
    <n v="0"/>
    <s v="SOL_ID, CUST_ID, POOL_ID"/>
    <m/>
    <m/>
    <s v="N"/>
    <m/>
    <s v="CRM_DEV.finacle.TBAADM_CMB_CSIS_GEN_ACCT_TABLE"/>
    <s v="NA"/>
    <s v="NA"/>
    <s v="NA"/>
    <x v="2"/>
    <x v="2"/>
    <s v="NA"/>
    <s v="Not Done"/>
    <s v="Not Done"/>
    <s v="NA"/>
    <s v="Not Done"/>
    <s v="Not Done"/>
    <s v="NA"/>
    <s v="No"/>
    <s v="No"/>
  </r>
  <r>
    <s v="Milestone 3"/>
    <s v="N"/>
    <x v="0"/>
    <s v="TBAADM"/>
    <s v="FINUAT"/>
    <s v="SOL_GROUP_CONTROL_TABLE"/>
    <m/>
    <n v="0"/>
    <s v="SOL_GROUP_ID, BANK_ID"/>
    <m/>
    <m/>
    <s v="N"/>
    <s v="LCHG_TIME"/>
    <s v="CRM_DEV.finacle.TBAADM_SOL_GROUP_CONTROL_TABLE"/>
    <s v="Done"/>
    <s v="Done"/>
    <s v="Done"/>
    <x v="0"/>
    <x v="0"/>
    <s v="NA"/>
    <s v="Not Done"/>
    <s v="Not Done"/>
    <s v="NA"/>
    <s v="Not Done"/>
    <s v="Not Done"/>
    <s v="NA"/>
    <s v="No"/>
    <s v="yes"/>
  </r>
  <r>
    <s v="Milestone 2"/>
    <s v="N"/>
    <x v="1"/>
    <s v="TCTDBS"/>
    <s v="PRIMEDB"/>
    <s v="CURRENCIES"/>
    <m/>
    <n v="0"/>
    <s v="SERNO"/>
    <m/>
    <m/>
    <s v="N"/>
    <s v=" "/>
    <s v="CRM_DEV.prime4.TCTDBS_CURRENCIES"/>
    <s v="Done"/>
    <s v="Done"/>
    <s v="Done"/>
    <x v="0"/>
    <x v="1"/>
    <s v="NA"/>
    <s v="Not Done"/>
    <s v="Not Done"/>
    <s v="NA"/>
    <s v="Not Done"/>
    <s v="Not Done"/>
    <s v="NA"/>
    <s v="No"/>
    <s v="No"/>
  </r>
  <r>
    <s v="Milestone 3"/>
    <s v="N"/>
    <x v="1"/>
    <s v="TCTDBS"/>
    <s v="PRIMEDB"/>
    <s v="ACPROFILES"/>
    <m/>
    <n v="0"/>
    <s v="SERNO"/>
    <s v="SERNO"/>
    <m/>
    <s v="N"/>
    <s v=" "/>
    <s v="CRM_DEV.prime4.TCTDBS_ACPROFILES"/>
    <s v="Done"/>
    <s v="Done"/>
    <s v="Done"/>
    <x v="1"/>
    <x v="0"/>
    <s v="NA"/>
    <s v="Not Done"/>
    <s v="Not Done"/>
    <s v="NA"/>
    <s v="Not Done"/>
    <s v="Not Done"/>
    <s v="NA"/>
    <s v="No"/>
    <s v="No"/>
  </r>
  <r>
    <s v="Milestone 3"/>
    <s v="N"/>
    <x v="1"/>
    <s v="TCTDBS"/>
    <s v="PRIMEDB"/>
    <s v="TRXNSTATUS"/>
    <m/>
    <n v="0"/>
    <s v="PSERNO"/>
    <s v="PSERNO"/>
    <m/>
    <s v="N"/>
    <s v=" "/>
    <s v="CRM_DEV.prime4.TCTDBS_TRXNSTATUS"/>
    <s v="Done"/>
    <s v="Done"/>
    <s v="Done"/>
    <x v="1"/>
    <x v="0"/>
    <s v="NA"/>
    <s v="Not Done"/>
    <s v="Not Done"/>
    <s v="NA"/>
    <s v="Not Done"/>
    <s v="Not Done"/>
    <s v="NA"/>
    <s v="No"/>
    <s v="No"/>
  </r>
  <r>
    <s v="Milestone 3"/>
    <s v="N"/>
    <x v="1"/>
    <s v="TCTDBS"/>
    <s v="PRIMEDB"/>
    <s v="MEMOTYPES"/>
    <m/>
    <n v="0"/>
    <s v="SERNO"/>
    <s v="SERNO"/>
    <m/>
    <s v="N"/>
    <s v=" "/>
    <s v="CRM_DEV.prime4.TCTDBS_MEMOTYPES"/>
    <s v="Done"/>
    <s v="Done"/>
    <s v="Done"/>
    <x v="1"/>
    <x v="0"/>
    <s v="NA"/>
    <s v="Not Done"/>
    <s v="Not Done"/>
    <s v="NA"/>
    <s v="Not Done"/>
    <s v="Not Done"/>
    <s v="NA"/>
    <s v="No"/>
    <s v="No"/>
  </r>
  <r>
    <s v="Milestone 3"/>
    <s v="N"/>
    <x v="13"/>
    <s v="dbo"/>
    <s v="RAKICCS"/>
    <s v="ICCS_TAB_RoutingNumbers"/>
    <m/>
    <n v="0"/>
    <s v="NA"/>
    <s v="Sl No"/>
    <m/>
    <s v="N"/>
    <s v=" "/>
    <s v="CRM_DEV.iccs.DBO_ICCS_TAB_ROUTINGNUMBERS"/>
    <s v="Done"/>
    <s v="Done"/>
    <s v="Done"/>
    <x v="0"/>
    <x v="0"/>
    <s v="NA"/>
    <s v="Not Done"/>
    <s v="Not Done"/>
    <s v="NA"/>
    <s v="Not Done"/>
    <s v="Not Done"/>
    <s v="NA"/>
    <s v="No"/>
    <s v="No"/>
  </r>
  <r>
    <s v="Milestone 1"/>
    <s v="N"/>
    <x v="5"/>
    <s v="dbo"/>
    <s v="RAKCAS"/>
    <s v="RB_CSR_CCB_EXTTABLE"/>
    <m/>
    <n v="0"/>
    <s v="NA"/>
    <m/>
    <m/>
    <s v="Y"/>
    <s v="Createddatetime column under Wfinstrumenttable"/>
    <s v="CRM_DEV.ibps._RB_CSR_CCB_EXTTABLE"/>
    <s v="NA"/>
    <s v="NA"/>
    <s v="NA"/>
    <x v="2"/>
    <x v="2"/>
    <s v="NA"/>
    <s v="Not Done"/>
    <s v="Not Done"/>
    <s v="NA"/>
    <s v="Not Done"/>
    <s v="Not Done"/>
    <s v="NA"/>
    <s v="No"/>
    <s v="No"/>
  </r>
  <r>
    <s v="Milestone 1"/>
    <s v="N"/>
    <x v="5"/>
    <s v="dbo"/>
    <s v="RAKCAS"/>
    <s v="RB_DSR_DCB_EXTTABLE"/>
    <m/>
    <n v="0"/>
    <s v="NA"/>
    <m/>
    <m/>
    <s v="Y"/>
    <s v="Createddatetime column under Wfinstrumenttable"/>
    <s v="CRM_DEV.ibps._RB_DSR_DCB_EXTTABLE"/>
    <s v="Done"/>
    <s v="Done"/>
    <s v="Done"/>
    <x v="0"/>
    <x v="1"/>
    <s v="NA"/>
    <s v="Not Done"/>
    <s v="Not Done"/>
    <s v="NA"/>
    <s v="Not Done"/>
    <s v="Not Done"/>
    <s v="NA"/>
    <s v="No"/>
    <s v="No"/>
  </r>
  <r>
    <s v="Milestone 1"/>
    <s v="N"/>
    <x v="5"/>
    <s v="dbo"/>
    <s v="RAKCAS"/>
    <s v="RB_ODDD_EXTTABLE"/>
    <m/>
    <n v="0"/>
    <s v="NA"/>
    <m/>
    <m/>
    <s v="Y"/>
    <s v="Createddatetime column under Wfinstrumenttable"/>
    <m/>
    <s v="Not Done"/>
    <s v="Not Done"/>
    <s v="Not Done"/>
    <x v="1"/>
    <x v="0"/>
    <s v="NA"/>
    <s v="Not Done"/>
    <s v="Not Done"/>
    <s v="NA"/>
    <s v="Not Done"/>
    <s v="Not Done"/>
    <s v="NA"/>
    <s v="No"/>
    <s v="No"/>
  </r>
  <r>
    <s v="Milestone 1"/>
    <s v="N"/>
    <x v="5"/>
    <s v="dbo"/>
    <s v="RAKCAS"/>
    <s v="NG_EIBOR_EXTTABLE"/>
    <m/>
    <n v="0"/>
    <s v="NA"/>
    <m/>
    <m/>
    <s v="Y"/>
    <s v="Createddatetime column under Wfinstrumenttable"/>
    <s v="CRM_DEV.ibps._NG_EIBOR_EXTTABLE"/>
    <s v="NA"/>
    <s v="NA"/>
    <s v="NA"/>
    <x v="2"/>
    <x v="2"/>
    <s v="NA"/>
    <s v="Not Done"/>
    <s v="Not Done"/>
    <s v="NA"/>
    <s v="Not Done"/>
    <s v="Not Done"/>
    <s v="NA"/>
    <s v="No"/>
    <s v="No"/>
  </r>
  <r>
    <s v="Milestone 1"/>
    <s v="N"/>
    <x v="5"/>
    <s v="dbo"/>
    <s v="RAKCAS"/>
    <s v="ng_CourtOrder_exttable"/>
    <m/>
    <n v="0"/>
    <s v="ITEMINDEX,ITEMTYPE"/>
    <s v="ITEMINDEX,ITEMTYPE"/>
    <m/>
    <s v="Y"/>
    <s v="Createddatetime column under Wfinstrumenttable"/>
    <s v="CRM_DEV.ibps.DBO_NG_COURTORDER_EXTTABLE"/>
    <s v="Done"/>
    <s v="Done"/>
    <s v="Done"/>
    <x v="0"/>
    <x v="1"/>
    <s v="NA"/>
    <s v="Not Done"/>
    <s v="Not Done"/>
    <s v="NA"/>
    <s v="Not Done"/>
    <s v="Not Done"/>
    <s v="NA"/>
    <s v="No"/>
    <s v="No"/>
  </r>
  <r>
    <s v="Milestone 3"/>
    <s v="N"/>
    <x v="3"/>
    <s v="dbo"/>
    <s v="npss-epayment"/>
    <s v="NPSS_PaymentsStatusConfig"/>
    <s v="Due to AWS issue, End point has changed , Requested to FCR to replace with new end point"/>
    <n v="0"/>
    <s v="Id"/>
    <m/>
    <m/>
    <s v="N"/>
    <s v="NA"/>
    <s v="CRM_DEV.npss.DBO_NPSS_PAYMENTSSTATUSCONFIG"/>
    <s v="Done"/>
    <s v="Done"/>
    <s v="Done"/>
    <x v="1"/>
    <x v="0"/>
    <s v="NA"/>
    <s v="Not Done"/>
    <s v="Not Done"/>
    <s v="NA"/>
    <s v="Not Done"/>
    <s v="Not Done"/>
    <s v="NA"/>
    <s v="No"/>
    <s v="No"/>
  </r>
  <r>
    <s v="Milestone 2"/>
    <s v="N"/>
    <x v="11"/>
    <s v="dbo"/>
    <s v="cpf_platform_dev"/>
    <s v="consent_configs"/>
    <m/>
    <n v="0"/>
    <s v="id"/>
    <s v="id"/>
    <s v="id"/>
    <s v="N"/>
    <s v=" "/>
    <s v="CRM_DEV.cpf.DBO_CONSENT_CONFIGS"/>
    <s v="Done"/>
    <s v="Done"/>
    <s v="Done"/>
    <x v="0"/>
    <x v="3"/>
    <s v="NA"/>
    <s v="Not Done"/>
    <s v="Not Done"/>
    <s v="NA"/>
    <s v="Not Done"/>
    <s v="Not Done"/>
    <s v="NA"/>
    <s v="No"/>
    <s v="yes"/>
  </r>
  <r>
    <s v="Milestone 3"/>
    <s v="N"/>
    <x v="0"/>
    <s v="TBAADM"/>
    <s v="FINUAT"/>
    <s v="SERVICE_OUTLET_TABLE"/>
    <m/>
    <n v="0"/>
    <s v="SOL_ID, BR_CODE, BANK_CODE"/>
    <s v="SOL_ID"/>
    <m/>
    <s v="N"/>
    <s v="LCHG_TIME"/>
    <s v="CRM_DEV.finacle.TBAADM_SERVICE_OUTLET_TABLE"/>
    <s v="Done"/>
    <s v="Done"/>
    <s v="Done"/>
    <x v="0"/>
    <x v="0"/>
    <s v="NA"/>
    <s v="Not Done"/>
    <s v="Not Done"/>
    <s v="NA"/>
    <s v="Not Done"/>
    <s v="Not Done"/>
    <s v="NA"/>
    <s v="No"/>
    <s v="No"/>
  </r>
  <r>
    <s v="Milestone 4"/>
    <s v="N"/>
    <x v="0"/>
    <s v="TBAADM"/>
    <s v="FINUAT"/>
    <s v="CNTRY_CURR_CRNCY_TABLE"/>
    <m/>
    <n v="0"/>
    <s v="CRNCY_CODE, BANK_ID"/>
    <s v="CRNCY_CODE"/>
    <m/>
    <s v="N"/>
    <s v="LCHG_TIME"/>
    <s v="CRM_DEV.finacle.TBAADM_CNTRY_CURR_CRNCY_TABLE"/>
    <s v="Done"/>
    <s v="Done"/>
    <s v="Done"/>
    <x v="0"/>
    <x v="0"/>
    <s v="NA"/>
    <s v="Not Done"/>
    <s v="Not Done"/>
    <s v="NA"/>
    <s v="Not Done"/>
    <s v="Not Done"/>
    <s v="NA"/>
    <s v="No"/>
    <s v="yes"/>
  </r>
  <r>
    <s v="Milestone 4"/>
    <s v="N"/>
    <x v="0"/>
    <s v="TBAADM"/>
    <s v="FINUAT"/>
    <s v="POOL_OF_FUNDS_TABLE"/>
    <m/>
    <n v="0"/>
    <s v="POOL_ID, BANK_ID"/>
    <s v="POOL_ID, BANK_ID"/>
    <m/>
    <s v="N"/>
    <s v="LCHG_TIME"/>
    <s v="CRM_DEV.finacle.TBAADM_POOL_OF_FUNDS_TABLE"/>
    <s v="Done"/>
    <s v="Done"/>
    <s v="Done"/>
    <x v="0"/>
    <x v="0"/>
    <s v="NA"/>
    <s v="Not Done"/>
    <s v="Not Done"/>
    <s v="NA"/>
    <s v="Not Done"/>
    <s v="Not Done"/>
    <s v="NA"/>
    <s v="No"/>
    <s v="No"/>
  </r>
  <r>
    <s v="Milestone 4"/>
    <s v="N"/>
    <x v="0"/>
    <s v="TBAADM"/>
    <s v="FINUAT"/>
    <s v="TD_SCHM_DEFN_TABLE"/>
    <m/>
    <n v="0"/>
    <s v="SCHM_CODE, SRL_NUM, BANK_ID"/>
    <m/>
    <m/>
    <s v="N"/>
    <s v="LCHG_TIME"/>
    <s v="CRM_DEV.finacle.TBAADM_TD_SCHM_DEFN_TABLE"/>
    <s v="Done"/>
    <s v="Done"/>
    <s v="Done"/>
    <x v="0"/>
    <x v="0"/>
    <s v="NA"/>
    <s v="Not Done"/>
    <s v="Not Done"/>
    <s v="NA"/>
    <s v="Not Done"/>
    <s v="Not Done"/>
    <s v="NA"/>
    <s v="No"/>
    <s v="No"/>
  </r>
  <r>
    <s v="TBD"/>
    <s v="N"/>
    <x v="0"/>
    <s v="TBAADM"/>
    <s v="FINUAT"/>
    <s v="EQ_security_master_tbl"/>
    <m/>
    <n v="0"/>
    <s v="NA"/>
    <s v=" "/>
    <m/>
    <s v="N"/>
    <s v="LCHG_TIME"/>
    <m/>
    <s v="Done"/>
    <s v="Done"/>
    <s v="Done"/>
    <x v="0"/>
    <x v="0"/>
    <s v="NA"/>
    <s v="Not Done"/>
    <s v="Not Done"/>
    <s v="NA"/>
    <s v="Not Done"/>
    <s v="Not Done"/>
    <s v="NA"/>
    <s v="No"/>
    <s v="No"/>
  </r>
  <r>
    <s v="TBD"/>
    <s v="N"/>
    <x v="0"/>
    <s v="TBAADM"/>
    <s v="FINUAT"/>
    <s v="LA_FLOW_MNT_TABLE"/>
    <m/>
    <n v="0"/>
    <s v="NA"/>
    <s v="Flow_ID"/>
    <m/>
    <s v="N"/>
    <s v="LCHG_TIME"/>
    <m/>
    <s v="Done"/>
    <s v="Done"/>
    <s v="Done"/>
    <x v="0"/>
    <x v="0"/>
    <s v="NA"/>
    <s v="Not Done"/>
    <s v="Not Done"/>
    <s v="NA"/>
    <s v="Not Done"/>
    <s v="Not Done"/>
    <s v="NA"/>
    <s v="No"/>
    <s v="No"/>
  </r>
  <r>
    <s v="TBD"/>
    <s v="N"/>
    <x v="12"/>
    <s v="TBAADM"/>
    <s v="WMS SIT"/>
    <s v="AI_PROD_CODE_DTLS_TBL"/>
    <m/>
    <n v="0"/>
    <s v="NA"/>
    <s v="Product_code"/>
    <m/>
    <s v="N"/>
    <s v="LCHG_TIME"/>
    <m/>
    <s v="Not Done"/>
    <s v="Not Done"/>
    <s v="Not Done"/>
    <x v="1"/>
    <x v="0"/>
    <s v="NA"/>
    <s v="Not Done"/>
    <s v="Not Done"/>
    <s v="NA"/>
    <s v="Not Done"/>
    <s v="Not Done"/>
    <s v="NA"/>
    <s v="No"/>
    <s v="No"/>
  </r>
  <r>
    <s v="TBD"/>
    <s v="N"/>
    <x v="12"/>
    <s v="TBAADM"/>
    <s v="WMS SIT"/>
    <s v="EQ_INV_BALANCE_SUMMARY_TBL"/>
    <m/>
    <n v="0"/>
    <s v="NA"/>
    <s v=" "/>
    <m/>
    <s v="N"/>
    <s v="LCHG_TIME"/>
    <m/>
    <s v="Not Done"/>
    <s v="Not Done"/>
    <s v="Not Done"/>
    <x v="1"/>
    <x v="0"/>
    <s v="NA"/>
    <s v="Not Done"/>
    <s v="Not Done"/>
    <s v="NA"/>
    <s v="Not Done"/>
    <s v="Not Done"/>
    <s v="NA"/>
    <s v="No"/>
    <s v="No"/>
  </r>
  <r>
    <s v="TBD"/>
    <s v="N"/>
    <x v="12"/>
    <s v="TBAADM"/>
    <s v="WMS SIT"/>
    <s v="EQ_SECURITY_MASTER_TBL"/>
    <m/>
    <n v="0"/>
    <s v="NA"/>
    <s v=" "/>
    <m/>
    <s v="N"/>
    <s v="LCHG_TIME"/>
    <m/>
    <s v="Not Done"/>
    <s v="Not Done"/>
    <s v="Not Done"/>
    <x v="1"/>
    <x v="0"/>
    <s v="NA"/>
    <s v="Not Done"/>
    <s v="Not Done"/>
    <s v="NA"/>
    <s v="Not Done"/>
    <s v="Not Done"/>
    <s v="NA"/>
    <s v="No"/>
    <s v="No"/>
  </r>
  <r>
    <s v="TBD"/>
    <s v="N"/>
    <x v="12"/>
    <s v="TBAADM"/>
    <s v="WMS SIT"/>
    <s v="HA_INV_DTLS_TBL"/>
    <m/>
    <n v="0"/>
    <s v="NA"/>
    <s v=" "/>
    <m/>
    <s v=" "/>
    <s v="This is held away asset and not using in RAK"/>
    <m/>
    <s v="Not Done"/>
    <s v="Not Done"/>
    <s v="Not Done"/>
    <x v="1"/>
    <x v="0"/>
    <s v="NA"/>
    <s v="Not Done"/>
    <s v="Not Done"/>
    <s v="NA"/>
    <s v="Not Done"/>
    <s v="Not Done"/>
    <s v="NA"/>
    <s v="No"/>
    <s v="No"/>
  </r>
  <r>
    <s v="TBD"/>
    <s v="N"/>
    <x v="12"/>
    <s v="TBAADM"/>
    <s v="WMS SIT"/>
    <s v="IN_PRODUCT_MASTER_DTLS_TBL"/>
    <m/>
    <n v="0"/>
    <s v="NA"/>
    <s v="prod_code"/>
    <m/>
    <s v="N"/>
    <s v="LCHG_TIME"/>
    <m/>
    <s v="Not Done"/>
    <s v="Not Done"/>
    <s v="Not Done"/>
    <x v="1"/>
    <x v="0"/>
    <s v="NA"/>
    <s v="Not Done"/>
    <s v="Not Done"/>
    <s v="NA"/>
    <s v="Not Done"/>
    <s v="Not Done"/>
    <s v="NA"/>
    <s v="No"/>
    <s v="No"/>
  </r>
  <r>
    <s v="TBD"/>
    <s v="N"/>
    <x v="12"/>
    <s v="TBAADM"/>
    <s v="WMS SIT"/>
    <s v="IN_TRAN_PROP_INSUR_TABLE"/>
    <m/>
    <n v="0"/>
    <s v="NA"/>
    <s v="tran_id,Serial_num"/>
    <m/>
    <s v="Y"/>
    <s v="LCHG_TIME"/>
    <m/>
    <s v="Not Done"/>
    <s v="Not Done"/>
    <s v="Not Done"/>
    <x v="1"/>
    <x v="0"/>
    <s v="NA"/>
    <s v="Not Done"/>
    <s v="Not Done"/>
    <s v="NA"/>
    <s v="Not Done"/>
    <s v="Not Done"/>
    <s v="NA"/>
    <s v="No"/>
    <s v="No"/>
  </r>
  <r>
    <s v="TBD"/>
    <s v="N"/>
    <x v="12"/>
    <s v="TBAADM"/>
    <s v="WMS SIT"/>
    <s v="MF_FUND_LATEST_DTLS_TBL"/>
    <m/>
    <n v="0"/>
    <s v="NA"/>
    <s v="Fund_ID"/>
    <m/>
    <s v="N"/>
    <s v="LCHG_TIME"/>
    <m/>
    <s v="Not Done"/>
    <s v="Not Done"/>
    <s v="Not Done"/>
    <x v="1"/>
    <x v="0"/>
    <s v="NA"/>
    <s v="Not Done"/>
    <s v="Not Done"/>
    <s v="NA"/>
    <s v="Not Done"/>
    <s v="Not Done"/>
    <s v="NA"/>
    <s v="No"/>
    <s v="No"/>
  </r>
  <r>
    <s v="TBD"/>
    <s v="N"/>
    <x v="12"/>
    <s v="TBAADM"/>
    <s v="WMS SIT"/>
    <s v="AI_PEID_BAL_SUMMARY_TBL"/>
    <m/>
    <n v="0"/>
    <s v="NA"/>
    <s v=" "/>
    <m/>
    <s v="N"/>
    <s v="LCHG_TIME"/>
    <m/>
    <s v="Not Done"/>
    <s v="Not Done"/>
    <s v="Not Done"/>
    <x v="1"/>
    <x v="0"/>
    <s v="NA"/>
    <s v="Not Done"/>
    <s v="Not Done"/>
    <s v="NA"/>
    <s v="Not Done"/>
    <s v="Not Done"/>
    <s v="NA"/>
    <s v="No"/>
    <s v="No"/>
  </r>
  <r>
    <s v="TBD"/>
    <s v="N"/>
    <x v="12"/>
    <s v="TBAADM"/>
    <s v="WMS SIT"/>
    <s v="SP_ACCRUAL_INFO_TABLE"/>
    <m/>
    <n v="0"/>
    <s v="NA"/>
    <s v="Prod_code"/>
    <m/>
    <s v="N"/>
    <s v="LCHG_TIME"/>
    <m/>
    <s v="Not Done"/>
    <s v="Not Done"/>
    <s v="Not Done"/>
    <x v="1"/>
    <x v="0"/>
    <s v="NA"/>
    <s v="Not Done"/>
    <s v="Not Done"/>
    <s v="NA"/>
    <s v="Not Done"/>
    <s v="Not Done"/>
    <s v="NA"/>
    <s v="No"/>
    <s v="No"/>
  </r>
  <r>
    <s v="TBD"/>
    <s v="N"/>
    <x v="12"/>
    <s v="TBAADM"/>
    <s v="WMS SIT"/>
    <s v="SP_GEN_DESCRIPTION_TABLE"/>
    <m/>
    <n v="0"/>
    <s v="NA"/>
    <s v="Prod_code"/>
    <m/>
    <s v="N"/>
    <s v="LCHG_TIME"/>
    <m/>
    <s v="Not Done"/>
    <s v="Not Done"/>
    <s v="Not Done"/>
    <x v="1"/>
    <x v="0"/>
    <s v="NA"/>
    <s v="Not Done"/>
    <s v="Not Done"/>
    <s v="NA"/>
    <s v="Not Done"/>
    <s v="Not Done"/>
    <s v="NA"/>
    <s v="No"/>
    <s v="yes"/>
  </r>
  <r>
    <s v="TBD"/>
    <s v="Y"/>
    <x v="9"/>
    <s v="LOS0909"/>
    <s v="RLSPROD"/>
    <s v="NBFC_CONST_M"/>
    <m/>
    <n v="0"/>
    <m/>
    <s v="CONSTID"/>
    <m/>
    <s v="N"/>
    <m/>
    <m/>
    <s v="NA"/>
    <s v="NA"/>
    <s v="NA"/>
    <x v="2"/>
    <x v="2"/>
    <s v="Not Done"/>
    <s v="NA"/>
    <s v="NA"/>
    <s v="Not Done"/>
    <s v="NA"/>
    <s v="NA"/>
    <s v="Not Done"/>
    <s v="No"/>
    <s v="No"/>
  </r>
  <r>
    <s v="TBD"/>
    <s v="Y"/>
    <x v="9"/>
    <s v="LOS0909"/>
    <s v="RLSPROD"/>
    <s v="NBFC_INDUSTRY_M"/>
    <m/>
    <n v="0"/>
    <m/>
    <s v="INDUSTRYID"/>
    <m/>
    <s v="N"/>
    <m/>
    <m/>
    <s v="NA"/>
    <s v="NA"/>
    <s v="NA"/>
    <x v="2"/>
    <x v="2"/>
    <s v="Not Done"/>
    <s v="NA"/>
    <s v="NA"/>
    <s v="Not Done"/>
    <s v="NA"/>
    <s v="NA"/>
    <s v="Not Done"/>
    <s v="No"/>
    <s v="No"/>
  </r>
  <r>
    <s v="TBD"/>
    <s v="Y"/>
    <x v="9"/>
    <s v="FIN_LEAM"/>
    <s v="RLSPROD"/>
    <s v="LEA_CATG_M"/>
    <m/>
    <n v="0"/>
    <m/>
    <s v="CATGID"/>
    <m/>
    <s v="N"/>
    <m/>
    <m/>
    <s v="NA"/>
    <s v="NA"/>
    <s v="NA"/>
    <x v="2"/>
    <x v="2"/>
    <s v="Not Done"/>
    <s v="NA"/>
    <s v="NA"/>
    <s v="Not Done"/>
    <s v="NA"/>
    <s v="NA"/>
    <s v="Not Done"/>
    <s v="No"/>
    <s v="No"/>
  </r>
  <r>
    <s v="Milestone 3"/>
    <s v="N"/>
    <x v="0"/>
    <s v="TBAADM"/>
    <s v="FINUAT"/>
    <s v="FLEXI_FIXED_PARM_TABLE"/>
    <m/>
    <n v="0"/>
    <s v="ACID, BANK_ID"/>
    <s v="ACID"/>
    <m/>
    <s v="N"/>
    <s v="LCHG_TIME"/>
    <m/>
    <s v="Done"/>
    <s v="Done"/>
    <s v="Done"/>
    <x v="0"/>
    <x v="0"/>
    <s v="NA"/>
    <s v="Not Done"/>
    <s v="Not Done"/>
    <s v="NA"/>
    <s v="Not Done"/>
    <s v="Not Done"/>
    <s v="NA"/>
    <s v="No"/>
    <s v="No"/>
  </r>
  <r>
    <s v="TBD"/>
    <s v="N"/>
    <x v="0"/>
    <s v="TBAADM"/>
    <s v="FINUAT"/>
    <s v="LA_SCHM_PARM_TABLE"/>
    <m/>
    <n v="0"/>
    <s v="NA"/>
    <s v=" "/>
    <m/>
    <s v="N"/>
    <s v="LCHG_TIME"/>
    <m/>
    <s v="Done"/>
    <s v="Done"/>
    <s v="Done"/>
    <x v="0"/>
    <x v="0"/>
    <s v="NA"/>
    <s v="Not Done"/>
    <s v="Not Done"/>
    <s v="NA"/>
    <s v="Not Done"/>
    <s v="Not Done"/>
    <s v="NA"/>
    <s v="No"/>
    <s v="No"/>
  </r>
  <r>
    <s v="TBD"/>
    <s v="N"/>
    <x v="2"/>
    <m/>
    <s v="Dealing"/>
    <s v="Campaign"/>
    <m/>
    <n v="0"/>
    <m/>
    <s v="CampaignID"/>
    <m/>
    <m/>
    <m/>
    <m/>
    <s v="Done"/>
    <s v="Done"/>
    <s v="Done"/>
    <x v="1"/>
    <x v="0"/>
    <s v="NA"/>
    <s v="Not Done"/>
    <s v="Not Done"/>
    <s v="NA"/>
    <s v="Not Done"/>
    <s v="Not Done"/>
    <s v="NA"/>
    <s v="No"/>
    <s v="No"/>
  </r>
  <r>
    <s v="TBD"/>
    <s v="N"/>
    <x v="1"/>
    <s v="TCTDBS"/>
    <s v="PRIMEDB"/>
    <s v="EXTENSIONFIELDS"/>
    <m/>
    <n v="0"/>
    <m/>
    <s v=" "/>
    <m/>
    <s v="N"/>
    <m/>
    <m/>
    <s v="Not Done"/>
    <s v="Not Done"/>
    <s v="Not Done"/>
    <x v="1"/>
    <x v="0"/>
    <s v="NA"/>
    <s v="Not Done"/>
    <s v="Not Done"/>
    <s v="NA"/>
    <s v="Not Done"/>
    <s v="Not Done"/>
    <s v="NA"/>
    <s v="No"/>
    <s v="No"/>
  </r>
  <r>
    <s v="Milestone 4"/>
    <s v="N"/>
    <x v="14"/>
    <s v="TCTDBS"/>
    <s v="OnlineDB"/>
    <s v="INTERNALTYPEDESCRIPTIONS"/>
    <m/>
    <n v="0"/>
    <s v="NA"/>
    <s v=" "/>
    <m/>
    <s v="N"/>
    <m/>
    <m/>
    <s v="Done"/>
    <s v="Done"/>
    <s v="Done"/>
    <x v="1"/>
    <x v="0"/>
    <s v="NA"/>
    <s v="Not Done"/>
    <s v="Not Done"/>
    <s v="NA"/>
    <s v="Not Done"/>
    <s v="Not Done"/>
    <s v="NA"/>
    <s v="No"/>
    <s v="No"/>
  </r>
  <r>
    <s v="TBD"/>
    <s v="Y"/>
    <x v="9"/>
    <s v="RAK_JSITPH3"/>
    <s v="RLSPROD"/>
    <s v="CREDIT_CARD_TRAN_V"/>
    <m/>
    <n v="0"/>
    <m/>
    <m/>
    <m/>
    <s v="Y"/>
    <m/>
    <s v="CRM_DEV.prime.TCTDBS_CARDSTATUSX"/>
    <s v="NA"/>
    <s v="NA"/>
    <s v="NA"/>
    <x v="2"/>
    <x v="2"/>
    <s v="Not Done"/>
    <s v="NA"/>
    <s v="NA"/>
    <s v="Not Done"/>
    <s v="NA"/>
    <s v="NA"/>
    <s v="Not Done"/>
    <s v="No"/>
    <s v="No"/>
  </r>
  <r>
    <s v="TBD"/>
    <s v="Y"/>
    <x v="9"/>
    <s v="RAK_JSITPH3"/>
    <s v="RLSPROD"/>
    <s v="CHEQUE_DETAILS"/>
    <m/>
    <n v="0"/>
    <m/>
    <m/>
    <m/>
    <s v="Y"/>
    <m/>
    <m/>
    <s v="NA"/>
    <s v="NA"/>
    <s v="NA"/>
    <x v="2"/>
    <x v="2"/>
    <s v="Not Done"/>
    <s v="NA"/>
    <s v="NA"/>
    <s v="Not Done"/>
    <s v="NA"/>
    <s v="NA"/>
    <s v="Not Done"/>
    <s v="No"/>
    <s v="No"/>
  </r>
  <r>
    <s v="Milestone 2"/>
    <s v="N"/>
    <x v="15"/>
    <m/>
    <m/>
    <m/>
    <s v="Received CSV files  have be uploaded to ADLS  by Mon 30th April"/>
    <n v="0"/>
    <s v="MessageId "/>
    <m/>
    <m/>
    <m/>
    <m/>
    <m/>
    <m/>
    <m/>
    <m/>
    <x v="1"/>
    <x v="0"/>
    <s v="NA"/>
    <s v="Not Done"/>
    <s v="Not Done"/>
    <s v="NA"/>
    <s v="Not Done"/>
    <s v="Not Done"/>
    <s v="NA"/>
    <s v="No"/>
    <s v="No"/>
  </r>
  <r>
    <s v="Milestone 2"/>
    <s v="N"/>
    <x v="0"/>
    <s v="CRMUSER"/>
    <s v="FINUAT"/>
    <s v="EXTN_BODATA "/>
    <m/>
    <m/>
    <s v="EXTENSIONID, BANK_ID"/>
    <s v="extensionid"/>
    <m/>
    <s v="N"/>
    <s v="TMDATE"/>
    <s v="CRM_DEV.finacle.CRMUSER_EXTN_BODATA "/>
    <s v="Done"/>
    <s v="Done"/>
    <s v="Done"/>
    <x v="0"/>
    <x v="3"/>
    <s v="NA"/>
    <s v="Not Done"/>
    <s v="Not Done"/>
    <s v="NA"/>
    <s v="Not Done"/>
    <s v="Not Done"/>
    <s v="NA"/>
    <s v="No"/>
    <s v="No"/>
  </r>
  <r>
    <s v="Milestone 3"/>
    <s v="N"/>
    <x v="0"/>
    <s v="CUSTOM"/>
    <s v="FINUAT"/>
    <s v="CUST_REJECT"/>
    <m/>
    <m/>
    <s v="PYMT_REF_NUM"/>
    <s v="PYMT_REF_NUM"/>
    <m/>
    <s v="N"/>
    <s v="VALUE_DATE"/>
    <s v="CRM_DEV.finacle.CUSTOM_CUST_REJECT"/>
    <s v="Done"/>
    <s v="Done"/>
    <s v="Done"/>
    <x v="0"/>
    <x v="0"/>
    <s v="NA"/>
    <s v="Not Done"/>
    <s v="Not Done"/>
    <s v="NA"/>
    <s v="Not Done"/>
    <s v="Not Done"/>
    <s v="NA"/>
    <s v="No"/>
    <s v="No"/>
  </r>
  <r>
    <s v="TBD"/>
    <s v="N"/>
    <x v="0"/>
    <s v="CUSTOM"/>
    <s v="FINUAT"/>
    <s v="TBA_COLTRL_GURNT_DTL_TBL"/>
    <m/>
    <m/>
    <s v="NA"/>
    <s v=" "/>
    <m/>
    <s v="N"/>
    <s v="LCHG_TIME"/>
    <m/>
    <s v="Done"/>
    <s v="Done"/>
    <s v="Done"/>
    <x v="0"/>
    <x v="0"/>
    <s v="NA"/>
    <s v="Not Done"/>
    <s v="Not Done"/>
    <s v="NA"/>
    <s v="Not Done"/>
    <s v="Not Done"/>
    <s v="NA"/>
    <s v="No"/>
    <s v="No"/>
  </r>
  <r>
    <s v="TBD"/>
    <s v="N"/>
    <x v="0"/>
    <s v="SVSUSER"/>
    <s v="FINUAT"/>
    <s v="SIGNMAINTANENCE"/>
    <m/>
    <m/>
    <s v="SIGNID"/>
    <s v=" "/>
    <m/>
    <s v="N"/>
    <s v="Valid table name - SIGNMAINTENANCE, CREATEDDATE(Newly created record) or MODIFIEDDATE(Last Modified record)"/>
    <m/>
    <s v="Done"/>
    <s v="Done"/>
    <s v="Done"/>
    <x v="0"/>
    <x v="0"/>
    <s v="NA"/>
    <s v="Not Done"/>
    <s v="Not Done"/>
    <s v="NA"/>
    <s v="Not Done"/>
    <s v="Not Done"/>
    <s v="NA"/>
    <s v="No"/>
    <s v="No"/>
  </r>
  <r>
    <s v="Milestone 2"/>
    <s v="N"/>
    <x v="14"/>
    <s v="TCTDBS"/>
    <s v="OnlineDB"/>
    <s v="CARDSTATUS"/>
    <m/>
    <m/>
    <s v="INSTITUTION_ID, CODE, MCCODE, RUPAYCOD"/>
    <m/>
    <m/>
    <s v="N"/>
    <s v=" "/>
    <s v="CRM_DEV.online.TCTDBS_CARDSTATUS"/>
    <s v="Reingestion in progress"/>
    <s v="Done"/>
    <s v="Done"/>
    <x v="0"/>
    <x v="0"/>
    <s v="NA"/>
    <s v="Not Done"/>
    <s v="Not Done"/>
    <s v="NA"/>
    <s v="Not Done"/>
    <s v="Not Done"/>
    <s v="NA"/>
    <s v="No"/>
    <s v="No"/>
  </r>
  <r>
    <s v="Milestone 2"/>
    <s v="N"/>
    <x v="14"/>
    <s v="TCTDBS"/>
    <s v="OnlineDB"/>
    <s v="AUTHORIZATIONS"/>
    <m/>
    <m/>
    <s v="SERNO"/>
    <s v="SERNO"/>
    <m/>
    <s v="Y"/>
    <s v="LTIMESTAMP"/>
    <s v="CRM_DEV.online.TCTDBS_AUTHORIZATIONS"/>
    <s v="Reingestion in progress"/>
    <s v="Done"/>
    <s v="Done"/>
    <x v="0"/>
    <x v="0"/>
    <s v="NA"/>
    <s v="Not Done"/>
    <s v="Not Done"/>
    <s v="NA"/>
    <s v="Not Done"/>
    <s v="Not Done"/>
    <s v="NA"/>
    <s v="No"/>
    <s v="No"/>
  </r>
  <r>
    <s v="Milestone 3"/>
    <s v="N"/>
    <x v="14"/>
    <s v="TCTDBS"/>
    <s v="OnlineDB"/>
    <s v="CARDS"/>
    <m/>
    <m/>
    <s v="CARDNUMBER"/>
    <s v="CRNNO"/>
    <m/>
    <s v="N"/>
    <s v=" "/>
    <s v="CRM_DEV.online.TCTDBS_CARDS"/>
    <s v="Done"/>
    <s v="Done"/>
    <s v="Done"/>
    <x v="1"/>
    <x v="0"/>
    <s v="NA"/>
    <s v="Not Done"/>
    <s v="Not Done"/>
    <s v="NA"/>
    <s v="Not Done"/>
    <s v="Not Done"/>
    <s v="NA"/>
    <s v="No"/>
    <s v="No"/>
  </r>
  <r>
    <s v="Milestone 3"/>
    <s v="N"/>
    <x v="14"/>
    <s v="TCTDBS"/>
    <s v="OnlineDB"/>
    <s v="GROUPS"/>
    <m/>
    <m/>
    <s v="SERNO"/>
    <m/>
    <m/>
    <s v="N"/>
    <s v=" "/>
    <s v="CRM_DEV.online.TCTDBS_GROUPS"/>
    <s v="Done"/>
    <s v="Done"/>
    <s v="Done"/>
    <x v="1"/>
    <x v="0"/>
    <s v="NA"/>
    <s v="Not Done"/>
    <s v="Not Done"/>
    <s v="NA"/>
    <s v="Not Done"/>
    <s v="Not Done"/>
    <s v="NA"/>
    <s v="No"/>
    <s v="No"/>
  </r>
  <r>
    <s v="TBD"/>
    <s v="N"/>
    <x v="12"/>
    <s v="TBAADM"/>
    <s v="WMS SIT"/>
    <s v="INCTD"/>
    <m/>
    <m/>
    <s v="TBAADM.INTDT &amp; TBAADM.INTHT table View"/>
    <s v="tran_id"/>
    <m/>
    <s v="Y"/>
    <s v="TRAN_DATE"/>
    <m/>
    <s v="Not Done"/>
    <s v="Not Done"/>
    <s v="Not Done"/>
    <x v="1"/>
    <x v="0"/>
    <s v="NA"/>
    <s v="Not Done"/>
    <s v="Not Done"/>
    <s v="NA"/>
    <s v="Not Done"/>
    <s v="Not Done"/>
    <s v="NA"/>
    <s v="No"/>
    <s v="No"/>
  </r>
  <r>
    <s v="TBD"/>
    <s v="N"/>
    <x v="0"/>
    <s v="TBAADM"/>
    <s v="FINUAT"/>
    <s v="PAID_CHQ_RETURN_TABLE"/>
    <m/>
    <m/>
    <s v="NA"/>
    <s v=" "/>
    <m/>
    <s v="N"/>
    <s v="LCHG_TIME"/>
    <m/>
    <s v="Done"/>
    <s v="Done"/>
    <s v="Done"/>
    <x v="0"/>
    <x v="0"/>
    <s v="NA"/>
    <s v="Not Done"/>
    <s v="Not Done"/>
    <s v="NA"/>
    <s v="Not Done"/>
    <s v="Not Done"/>
    <s v="NA"/>
    <s v="No"/>
    <s v="No"/>
  </r>
  <r>
    <s v="TBD"/>
    <s v="N"/>
    <x v="14"/>
    <s v="TCTDBS"/>
    <s v="OnlineDB"/>
    <s v="RESPCODES"/>
    <m/>
    <m/>
    <m/>
    <s v=" "/>
    <m/>
    <s v="N"/>
    <m/>
    <m/>
    <s v="Not Done"/>
    <s v="Not Done"/>
    <s v="Not Done"/>
    <x v="1"/>
    <x v="0"/>
    <s v="NA"/>
    <s v="Not Done"/>
    <s v="Not Done"/>
    <s v="NA"/>
    <s v="Not Done"/>
    <s v="Not Done"/>
    <s v="NA"/>
    <s v="No"/>
    <s v="No"/>
  </r>
  <r>
    <s v="Milestone 2"/>
    <s v="N"/>
    <x v="1"/>
    <s v="TCTDBS"/>
    <s v="PRIMEDB"/>
    <s v="CARDSTATUSX"/>
    <m/>
    <m/>
    <s v="PSERNO"/>
    <m/>
    <m/>
    <s v="N"/>
    <s v=" "/>
    <s v="CRM_DEV.prime.TCTDBS_CARDSTATUSX"/>
    <s v="Done"/>
    <s v="Done"/>
    <s v="Done"/>
    <x v="0"/>
    <x v="1"/>
    <s v="NA"/>
    <s v="Not Done"/>
    <s v="Not Done"/>
    <s v="NA"/>
    <s v="Not Done"/>
    <s v="Not Done"/>
    <s v="NA"/>
    <s v="No"/>
    <s v="No"/>
  </r>
  <r>
    <s v="Milestone 3"/>
    <s v="N"/>
    <x v="1"/>
    <s v="TCTDBS"/>
    <s v="PRIMEDB"/>
    <s v="archctransactions"/>
    <m/>
    <m/>
    <s v="NA"/>
    <m/>
    <m/>
    <s v="Y"/>
    <m/>
    <m/>
    <s v="Done"/>
    <s v="Done"/>
    <s v="Done"/>
    <x v="1"/>
    <x v="0"/>
    <s v="NA"/>
    <s v="Not Done"/>
    <s v="Not Done"/>
    <s v="NA"/>
    <s v="Not Done"/>
    <s v="Not Done"/>
    <s v="NA"/>
    <s v="No"/>
    <s v="No"/>
  </r>
  <r>
    <s v="Milestone 3"/>
    <s v="N"/>
    <x v="0"/>
    <s v="TBAADM"/>
    <s v="FINUAT"/>
    <s v="DAILY_TRAN_HEADER_TABLE"/>
    <m/>
    <m/>
    <s v="TRAN_ID, TRAN_DATE, BANK_ID"/>
    <s v="TRAN_ID, TRAN_DATE, BANK_ID"/>
    <m/>
    <s v="Y"/>
    <s v="TRAN_DATE"/>
    <m/>
    <s v="Done"/>
    <s v="Done"/>
    <s v="Done"/>
    <x v="0"/>
    <x v="0"/>
    <s v="NA"/>
    <s v="Not Done"/>
    <s v="Not Done"/>
    <s v="NA"/>
    <s v="Not Done"/>
    <s v="Not Done"/>
    <s v="NA"/>
    <s v="No"/>
    <s v="No"/>
  </r>
  <r>
    <s v="Milestone 3"/>
    <s v="N"/>
    <x v="0"/>
    <s v="TBAADM"/>
    <s v="FINUAT"/>
    <s v="HIST_TRAN_HEADER_TABLE"/>
    <m/>
    <m/>
    <s v="TRAN_DATE, TRAN_ID, BANK_ID"/>
    <s v="HIST_TRAN_HEADER_TABLE"/>
    <m/>
    <s v="Y"/>
    <s v="TRAN_DATE"/>
    <m/>
    <s v="Done"/>
    <s v="Done"/>
    <s v="Done"/>
    <x v="0"/>
    <x v="0"/>
    <s v="NA"/>
    <s v="Not Done"/>
    <s v="Not Done"/>
    <s v="NA"/>
    <s v="Not Done"/>
    <s v="Not Done"/>
    <s v="NA"/>
    <s v="No"/>
    <s v="No"/>
  </r>
  <r>
    <s v="Milestone 3"/>
    <s v="N"/>
    <x v="0"/>
    <s v="TBAADM"/>
    <s v="FINUAT"/>
    <s v="EOD_ACCT_BAL_TABLE"/>
    <m/>
    <m/>
    <s v="ACID, EOD_DATE, END_EOD_DATE, BANK_ID"/>
    <m/>
    <m/>
    <s v="N"/>
    <m/>
    <m/>
    <s v="Done"/>
    <s v="Done"/>
    <s v="Done"/>
    <x v="0"/>
    <x v="0"/>
    <s v="NA"/>
    <s v="Not Done"/>
    <s v="Not Done"/>
    <s v="NA"/>
    <s v="Not Done"/>
    <s v="Not Done"/>
    <s v="NA"/>
    <s v="No"/>
    <s v="yes"/>
  </r>
  <r>
    <s v="Milestone 2"/>
    <s v="N"/>
    <x v="5"/>
    <s v="dbo"/>
    <s v="IBPS"/>
    <s v="processdeftable"/>
    <m/>
    <m/>
    <s v="NA"/>
    <m/>
    <m/>
    <s v="Y"/>
    <s v="Createddatetime column under Wfinstrumenttable"/>
    <s v="CRM_DEV.ibps.dbo_processdeftable"/>
    <s v="Done"/>
    <s v="Done"/>
    <s v="Done"/>
    <x v="0"/>
    <x v="1"/>
    <s v="NA"/>
    <s v="Not Done"/>
    <s v="Not Done"/>
    <s v="NA"/>
    <s v="Not Done"/>
    <s v="Not Done"/>
    <s v="NA"/>
    <s v="No"/>
    <s v="No"/>
  </r>
  <r>
    <s v="Milestone 3"/>
    <s v="N"/>
    <x v="0"/>
    <s v="TBAADM"/>
    <s v="FINUAT"/>
    <s v="CCOD_ACCT_MAST_TABLE"/>
    <m/>
    <m/>
    <s v="ACID, BANK_ID"/>
    <m/>
    <m/>
    <s v="N"/>
    <m/>
    <m/>
    <s v="Done"/>
    <s v="Done"/>
    <s v="Done"/>
    <x v="0"/>
    <x v="0"/>
    <s v="NA"/>
    <s v="Not Done"/>
    <s v="Not Done"/>
    <s v="NA"/>
    <s v="Not Done"/>
    <s v="Not Done"/>
    <s v="NA"/>
    <s v="No"/>
    <s v="yes"/>
  </r>
  <r>
    <s v="Milestone 3"/>
    <s v="N"/>
    <x v="0"/>
    <s v="CRMUSER"/>
    <s v="FINUAT"/>
    <s v="Agents"/>
    <m/>
    <m/>
    <s v="PERSONID"/>
    <m/>
    <m/>
    <s v="N"/>
    <s v="BODATEMODIFIED"/>
    <m/>
    <s v="Done"/>
    <s v="Done"/>
    <s v="Done"/>
    <x v="0"/>
    <x v="0"/>
    <s v="NA"/>
    <s v="Not Done"/>
    <s v="Not Done"/>
    <s v="NA"/>
    <s v="Not Done"/>
    <s v="Not Done"/>
    <s v="NA"/>
    <s v="No"/>
    <s v="yes"/>
  </r>
  <r>
    <s v="Milestone 3"/>
    <s v="N"/>
    <x v="6"/>
    <s v="REMIT_SL"/>
    <s v="REMITTDB"/>
    <s v="dx_trns_cashier_pay_details "/>
    <m/>
    <m/>
    <s v="NA"/>
    <m/>
    <m/>
    <s v="Y"/>
    <s v="Trandate"/>
    <m/>
    <s v="Done"/>
    <s v="Done"/>
    <m/>
    <x v="1"/>
    <x v="0"/>
    <s v="NA"/>
    <s v="Not Done"/>
    <s v="Not Done"/>
    <s v="NA"/>
    <s v="Not Done"/>
    <s v="Not Done"/>
    <s v="NA"/>
    <s v="No"/>
    <s v="No"/>
  </r>
  <r>
    <s v="Milestone 3"/>
    <s v="N"/>
    <x v="6"/>
    <s v="REMIT_SL"/>
    <s v="REMITTDB"/>
    <s v="DX_MST_ORG_BRANCH_LANG"/>
    <m/>
    <m/>
    <s v="BRANCHCODE, ORGCODE, LANGCODE"/>
    <m/>
    <m/>
    <s v="N"/>
    <m/>
    <m/>
    <s v="Done"/>
    <s v="Done"/>
    <m/>
    <x v="1"/>
    <x v="0"/>
    <s v="NA"/>
    <s v="Not Done"/>
    <s v="Not Done"/>
    <s v="NA"/>
    <s v="Not Done"/>
    <s v="Not Done"/>
    <s v="NA"/>
    <s v="No"/>
    <s v="No"/>
  </r>
  <r>
    <s v="Milestone 3"/>
    <s v="N"/>
    <x v="6"/>
    <s v="REMIT_SL"/>
    <s v="REMITTDB"/>
    <s v="DX_MST_PURPOSE"/>
    <m/>
    <m/>
    <s v="PURPCODE, ORGCODE, CORRORGCODE"/>
    <m/>
    <m/>
    <s v="N"/>
    <m/>
    <m/>
    <s v="Done"/>
    <s v="Done"/>
    <m/>
    <x v="1"/>
    <x v="0"/>
    <s v="NA"/>
    <s v="Not Done"/>
    <s v="Not Done"/>
    <s v="NA"/>
    <s v="Not Done"/>
    <s v="Not Done"/>
    <s v="NA"/>
    <s v="No"/>
    <s v="No"/>
  </r>
  <r>
    <s v="Milestone 3"/>
    <s v="N"/>
    <x v="6"/>
    <s v="REMIT_SL"/>
    <s v="REMITTDB"/>
    <s v="DX_MST_CUSSEGMENTATION"/>
    <m/>
    <m/>
    <s v="ORGCODE, CSID"/>
    <m/>
    <m/>
    <s v="N"/>
    <m/>
    <m/>
    <s v="Done"/>
    <s v="Done"/>
    <m/>
    <x v="1"/>
    <x v="0"/>
    <s v="NA"/>
    <s v="Not Done"/>
    <s v="Not Done"/>
    <s v="NA"/>
    <s v="Not Done"/>
    <s v="Not Done"/>
    <s v="NA"/>
    <s v="No"/>
    <s v="No"/>
  </r>
  <r>
    <s v="Milestone 3"/>
    <s v="N"/>
    <x v="6"/>
    <s v="REMIT_SL"/>
    <s v="REMITTDB"/>
    <s v="DX_REF_COUNTRY"/>
    <m/>
    <m/>
    <s v="CONTCODE, LANGCODE"/>
    <m/>
    <m/>
    <s v="N"/>
    <m/>
    <m/>
    <s v="Done"/>
    <s v="Done"/>
    <m/>
    <x v="1"/>
    <x v="0"/>
    <s v="NA"/>
    <s v="Not Done"/>
    <s v="Not Done"/>
    <s v="NA"/>
    <s v="Not Done"/>
    <s v="Not Done"/>
    <s v="NA"/>
    <s v="No"/>
    <s v="No"/>
  </r>
  <r>
    <s v="Milestone 3"/>
    <s v="N"/>
    <x v="6"/>
    <s v="REMIT_SL"/>
    <s v="REMITTDB"/>
    <s v="DX_MST_SERVICE"/>
    <m/>
    <m/>
    <s v="_x000a_SERVCODE,LANGCODE"/>
    <m/>
    <m/>
    <s v="N"/>
    <m/>
    <m/>
    <s v="Done"/>
    <s v="Done"/>
    <m/>
    <x v="1"/>
    <x v="0"/>
    <s v="NA"/>
    <s v="Not Done"/>
    <s v="Not Done"/>
    <s v="NA"/>
    <s v="Not Done"/>
    <s v="Not Done"/>
    <s v="NA"/>
    <s v="No"/>
    <s v="No"/>
  </r>
  <r>
    <s v="Milestone 3"/>
    <s v="N"/>
    <x v="13"/>
    <s v="dbo"/>
    <s v="RAKICCS"/>
    <s v="ICCS_ErrorMaster"/>
    <m/>
    <m/>
    <s v="ID"/>
    <m/>
    <m/>
    <s v="N"/>
    <m/>
    <m/>
    <s v="Done"/>
    <s v="Done"/>
    <s v="Done"/>
    <x v="0"/>
    <x v="0"/>
    <s v="NA"/>
    <s v="Not Done"/>
    <s v="Not Done"/>
    <s v="NA"/>
    <s v="Not Done"/>
    <s v="Not Done"/>
    <s v="NA"/>
    <s v="No"/>
    <s v="No"/>
  </r>
  <r>
    <s v="Milestone 4"/>
    <s v="N"/>
    <x v="0"/>
    <s v="TBAADM"/>
    <s v="FINUAT"/>
    <s v="TBA_RENEWAL_OPTION_TBL"/>
    <s v="Did  not   receive data from source  table.  "/>
    <m/>
    <s v="ACID, BANK_ID"/>
    <m/>
    <m/>
    <s v="N"/>
    <m/>
    <m/>
    <s v="Not Done"/>
    <s v="Not Done"/>
    <s v="Not Done"/>
    <x v="1"/>
    <x v="0"/>
    <s v="NA"/>
    <s v="Not Done"/>
    <s v="Not Done"/>
    <s v="NA"/>
    <s v="Not Done"/>
    <s v="Not Done"/>
    <s v="NA"/>
    <s v="No"/>
    <s v="No"/>
  </r>
  <r>
    <s v="Milestone 3"/>
    <s v="N"/>
    <x v="1"/>
    <s v="TCTDBS"/>
    <s v="PRIMEDB"/>
    <s v="caccountrelations"/>
    <m/>
    <m/>
    <s v="NA"/>
    <m/>
    <m/>
    <s v="N"/>
    <m/>
    <m/>
    <s v="Done"/>
    <s v="Done"/>
    <s v="Done"/>
    <x v="1"/>
    <x v="0"/>
    <s v="NA"/>
    <s v="Not Done"/>
    <s v="Not Done"/>
    <s v="NA"/>
    <s v="Not Done"/>
    <s v="Not Done"/>
    <s v="NA"/>
    <s v="No"/>
    <s v="No"/>
  </r>
  <r>
    <s v="Milestone 3"/>
    <s v="N"/>
    <x v="1"/>
    <s v="TCTDBS"/>
    <s v="PRIMEDB"/>
    <s v="cstatementlinks"/>
    <m/>
    <m/>
    <s v="NA"/>
    <m/>
    <m/>
    <s v="N"/>
    <m/>
    <m/>
    <s v="Done"/>
    <s v="Done"/>
    <s v="Done"/>
    <x v="1"/>
    <x v="0"/>
    <s v="NA"/>
    <s v="Not Done"/>
    <s v="Not Done"/>
    <s v="NA"/>
    <s v="Not Done"/>
    <s v="Not Done"/>
    <s v="NA"/>
    <s v="No"/>
    <s v="No"/>
  </r>
  <r>
    <s v="Milestone 4"/>
    <s v="N"/>
    <x v="0"/>
    <s v="CUSTOM"/>
    <s v="FINUAT"/>
    <s v="C_CHQ_REJ_CNT"/>
    <m/>
    <m/>
    <s v="CIF_ID"/>
    <s v="CIF_ID"/>
    <m/>
    <s v="N"/>
    <s v="LCHG_TIME"/>
    <m/>
    <s v="Done"/>
    <s v="Done"/>
    <s v="Done"/>
    <x v="0"/>
    <x v="0"/>
    <s v="NA"/>
    <s v="Not Done"/>
    <s v="Not Done"/>
    <s v="NA"/>
    <s v="Not Done"/>
    <s v="Not Done"/>
    <s v="NA"/>
    <s v="No"/>
    <s v="No"/>
  </r>
  <r>
    <s v="Milestone 3"/>
    <s v="N"/>
    <x v="1"/>
    <s v="TCTDBS"/>
    <s v="PRIMEDB"/>
    <s v="caddresslinks  "/>
    <m/>
    <m/>
    <s v="NA"/>
    <m/>
    <m/>
    <s v="N"/>
    <m/>
    <m/>
    <s v="Done"/>
    <s v="Done"/>
    <s v="Done"/>
    <x v="1"/>
    <x v="0"/>
    <s v="NA"/>
    <s v="Not Done"/>
    <s v="Not Done"/>
    <s v="NA"/>
    <s v="Not Done"/>
    <s v="Not Done"/>
    <s v="NA"/>
    <s v="No"/>
    <s v="No"/>
  </r>
  <r>
    <s v="Milestone 4"/>
    <s v="Y"/>
    <x v="7"/>
    <s v="CAPSADMIN"/>
    <s v="CAPS"/>
    <s v="PERSONS"/>
    <m/>
    <m/>
    <s v="PERSONNO"/>
    <m/>
    <m/>
    <m/>
    <m/>
    <s v="CRM_DEV.[caps].[CAPSADMIN_PERSONS]"/>
    <s v="NA"/>
    <s v="NA"/>
    <s v="NA"/>
    <x v="2"/>
    <x v="2"/>
    <s v="Done"/>
    <s v="Not Done"/>
    <s v="Not Done"/>
    <s v="NA"/>
    <s v="Not Done"/>
    <s v="Not Done"/>
    <s v="NA"/>
    <s v="No"/>
    <s v="No"/>
  </r>
  <r>
    <s v="Milestone 1"/>
    <s v="N"/>
    <x v="16"/>
    <m/>
    <s v="INSURANCE_DIRECT_DEBIT"/>
    <s v="IDD_INSURANCE_POLICY_DTL_T"/>
    <m/>
    <m/>
    <m/>
    <m/>
    <m/>
    <s v="N"/>
    <m/>
    <m/>
    <s v="Done"/>
    <s v="Done"/>
    <s v="Done"/>
    <x v="0"/>
    <x v="0"/>
    <s v="NA"/>
    <s v="Not Done"/>
    <s v="Not Done"/>
    <s v="NA"/>
    <s v="Not Done"/>
    <s v="Not Done"/>
    <s v="NA"/>
    <s v="No"/>
    <s v="No"/>
  </r>
  <r>
    <s v="Milestone 1"/>
    <s v="N"/>
    <x v="17"/>
    <m/>
    <s v="ProspectsDB"/>
    <s v="PROSPECT_CALLS"/>
    <m/>
    <m/>
    <m/>
    <m/>
    <m/>
    <s v="N"/>
    <m/>
    <m/>
    <s v="Done"/>
    <s v="Done"/>
    <s v="Done"/>
    <x v="0"/>
    <x v="0"/>
    <s v="NA"/>
    <s v="Not Done"/>
    <s v="Not Done"/>
    <s v="NA"/>
    <s v="Not Done"/>
    <s v="Not Done"/>
    <s v="NA"/>
    <s v="No"/>
    <s v="No"/>
  </r>
  <r>
    <s v="Milestone 1"/>
    <s v="Y"/>
    <x v="4"/>
    <s v="ECECUSER"/>
    <s v="CNVGNIB"/>
    <s v="CUSTOMER_MASTER"/>
    <m/>
    <m/>
    <m/>
    <s v="BANK_ID,BAY_USER_ID"/>
    <m/>
    <s v="N"/>
    <m/>
    <s v="CRM_DEV.digital_banking_admin.ECECUSER_CUSTOMER_MASTER"/>
    <s v="NA"/>
    <s v="NA"/>
    <s v="NA"/>
    <x v="2"/>
    <x v="3"/>
    <s v="Done"/>
    <m/>
    <m/>
    <m/>
    <m/>
    <m/>
    <m/>
    <m/>
    <m/>
  </r>
  <r>
    <s v="Milestone 4"/>
    <s v="N"/>
    <x v="5"/>
    <s v="dbo"/>
    <s v="IBPS"/>
    <s v="USR_0_EPP_WIHISTORY"/>
    <s v="As these are newly added tables and we well start  working on these tables after rest all done."/>
    <m/>
    <m/>
    <s v="ID"/>
    <m/>
    <s v="Y"/>
    <m/>
    <m/>
    <m/>
    <m/>
    <m/>
    <x v="3"/>
    <x v="4"/>
    <m/>
    <m/>
    <m/>
    <m/>
    <m/>
    <m/>
    <m/>
    <m/>
    <m/>
  </r>
  <r>
    <s v="Milestone 4"/>
    <s v="N"/>
    <x v="5"/>
    <s v="dbo"/>
    <s v="IBPS"/>
    <s v="USR_0_FPU_WIHISTORY"/>
    <s v="As these are newly added tables and we well start  working on these tables after rest all done."/>
    <m/>
    <m/>
    <s v="insertOrderid"/>
    <m/>
    <s v="Y"/>
    <m/>
    <m/>
    <m/>
    <m/>
    <m/>
    <x v="3"/>
    <x v="4"/>
    <m/>
    <m/>
    <m/>
    <m/>
    <m/>
    <m/>
    <m/>
    <m/>
    <m/>
  </r>
  <r>
    <s v="Milestone 4"/>
    <s v="N"/>
    <x v="5"/>
    <s v="dbo"/>
    <s v="IBPS"/>
    <s v="USR_0_HROB_WIHISTORY"/>
    <s v="As these are newly added tables and we well start  working on these tables after rest all done."/>
    <m/>
    <m/>
    <s v="insertOrderid"/>
    <m/>
    <s v="Y"/>
    <m/>
    <m/>
    <m/>
    <m/>
    <m/>
    <x v="3"/>
    <x v="4"/>
    <m/>
    <m/>
    <m/>
    <m/>
    <m/>
    <m/>
    <m/>
    <m/>
    <m/>
  </r>
  <r>
    <s v="Milestone 4"/>
    <s v="N"/>
    <x v="5"/>
    <s v="dbo"/>
    <s v="IBPS"/>
    <s v="USR_0_IRBL_WIHISTORY"/>
    <s v="As these are newly added tables and we well start  working on these tables after rest all done."/>
    <m/>
    <m/>
    <s v="insertOrderid"/>
    <m/>
    <s v="Y"/>
    <m/>
    <m/>
    <m/>
    <m/>
    <m/>
    <x v="3"/>
    <x v="4"/>
    <m/>
    <m/>
    <m/>
    <m/>
    <m/>
    <m/>
    <m/>
    <m/>
    <m/>
  </r>
  <r>
    <s v="Milestone 4"/>
    <s v="N"/>
    <x v="5"/>
    <s v="dbo"/>
    <s v="IBPS"/>
    <s v="USR_0_MEROB_WIHISTORY"/>
    <s v="As these are newly added tables and we well start  working on these tables after rest all done."/>
    <m/>
    <m/>
    <s v="insertOrderid"/>
    <m/>
    <s v="Y"/>
    <m/>
    <m/>
    <m/>
    <m/>
    <m/>
    <x v="3"/>
    <x v="4"/>
    <m/>
    <m/>
    <m/>
    <m/>
    <m/>
    <m/>
    <m/>
    <m/>
    <m/>
  </r>
  <r>
    <s v="Milestone 4"/>
    <s v="N"/>
    <x v="5"/>
    <s v="dbo"/>
    <s v="IBPS"/>
    <s v="USR_0_ML_WIHISTORY"/>
    <s v="As these are newly added tables and we well start  working on these tables after rest all done."/>
    <m/>
    <m/>
    <s v="insertOrderid"/>
    <m/>
    <s v="Y"/>
    <m/>
    <m/>
    <m/>
    <m/>
    <m/>
    <x v="3"/>
    <x v="4"/>
    <m/>
    <m/>
    <m/>
    <m/>
    <m/>
    <m/>
    <m/>
    <m/>
    <m/>
  </r>
  <r>
    <s v="Milestone 4"/>
    <s v="N"/>
    <x v="5"/>
    <s v="dbo"/>
    <s v="IBPS"/>
    <s v="USR_0_NBTL_WIHISTORY"/>
    <s v="As these are newly added tables and we well start  working on these tables after rest all done."/>
    <m/>
    <m/>
    <s v="insertOrderid"/>
    <m/>
    <s v="Y"/>
    <m/>
    <m/>
    <m/>
    <m/>
    <m/>
    <x v="3"/>
    <x v="4"/>
    <m/>
    <m/>
    <m/>
    <m/>
    <m/>
    <m/>
    <m/>
    <m/>
    <m/>
  </r>
  <r>
    <s v="Milestone 4"/>
    <s v="N"/>
    <x v="5"/>
    <s v="dbo"/>
    <s v="IBPS"/>
    <s v="USR_0_ODDD_WIHISTORY"/>
    <s v="As these are newly added tables and we well start  working on these tables after rest all done."/>
    <m/>
    <m/>
    <s v="insertOrderid"/>
    <m/>
    <s v="Y"/>
    <m/>
    <m/>
    <m/>
    <m/>
    <m/>
    <x v="3"/>
    <x v="4"/>
    <m/>
    <m/>
    <m/>
    <m/>
    <m/>
    <m/>
    <m/>
    <m/>
    <m/>
  </r>
  <r>
    <s v="Milestone 4"/>
    <s v="N"/>
    <x v="5"/>
    <s v="dbo"/>
    <s v="IBPS"/>
    <s v="USR_0_OECD_WIHISTORY"/>
    <s v="As these are newly added tables and we well start  working on these tables after rest all done."/>
    <m/>
    <m/>
    <s v="id"/>
    <m/>
    <s v="Y"/>
    <m/>
    <m/>
    <m/>
    <m/>
    <m/>
    <x v="3"/>
    <x v="4"/>
    <m/>
    <m/>
    <m/>
    <m/>
    <m/>
    <m/>
    <m/>
    <m/>
    <m/>
  </r>
  <r>
    <s v="Milestone 4"/>
    <s v="N"/>
    <x v="5"/>
    <s v="dbo"/>
    <s v="IBPS"/>
    <s v="USR_0_PC_WIHISTORY"/>
    <s v="As these are newly added tables and we well start  working on these tables after rest all done."/>
    <m/>
    <m/>
    <s v="insertOrderid"/>
    <m/>
    <s v="Y"/>
    <m/>
    <m/>
    <m/>
    <m/>
    <m/>
    <x v="3"/>
    <x v="4"/>
    <m/>
    <m/>
    <m/>
    <m/>
    <m/>
    <m/>
    <m/>
    <m/>
    <m/>
  </r>
  <r>
    <s v="Milestone 4"/>
    <s v="N"/>
    <x v="5"/>
    <s v="dbo"/>
    <s v="IBPS"/>
    <s v="USR_0_RAKSIGN_WIHISTORY"/>
    <s v="As these are newly added tables and we well start  working on these tables after rest all done."/>
    <m/>
    <m/>
    <s v="insertOrderid"/>
    <m/>
    <s v="Y"/>
    <m/>
    <m/>
    <m/>
    <m/>
    <m/>
    <x v="3"/>
    <x v="4"/>
    <m/>
    <m/>
    <m/>
    <m/>
    <m/>
    <m/>
    <m/>
    <m/>
    <m/>
  </r>
  <r>
    <s v="Milestone 4"/>
    <s v="N"/>
    <x v="5"/>
    <s v="dbo"/>
    <s v="IBPS"/>
    <s v="USR_0_RAO_WIHISTORY"/>
    <s v="As these are newly added tables and we well start  working on these tables after rest all done."/>
    <m/>
    <m/>
    <s v="id"/>
    <m/>
    <s v="Y"/>
    <m/>
    <m/>
    <m/>
    <m/>
    <m/>
    <x v="3"/>
    <x v="4"/>
    <m/>
    <m/>
    <m/>
    <m/>
    <m/>
    <m/>
    <m/>
    <m/>
    <m/>
  </r>
  <r>
    <s v="Milestone 4"/>
    <s v="N"/>
    <x v="5"/>
    <s v="dbo"/>
    <s v="IBPS"/>
    <s v="USR_0_RAOP_WIHISTORY"/>
    <s v="As these are newly added tables and we well start  working on these tables after rest all done."/>
    <m/>
    <m/>
    <s v="insertOrderid"/>
    <m/>
    <s v="Y"/>
    <m/>
    <m/>
    <m/>
    <m/>
    <m/>
    <x v="3"/>
    <x v="4"/>
    <m/>
    <m/>
    <m/>
    <m/>
    <m/>
    <m/>
    <m/>
    <m/>
    <m/>
  </r>
  <r>
    <s v="Milestone 4"/>
    <s v="N"/>
    <x v="5"/>
    <s v="dbo"/>
    <s v="IBPS"/>
    <s v="USR_0_RBL_WIHISTORY"/>
    <s v="As these are newly added tables and we well start  working on these tables after rest all done."/>
    <m/>
    <m/>
    <s v="id"/>
    <m/>
    <s v="Y"/>
    <m/>
    <m/>
    <m/>
    <m/>
    <m/>
    <x v="3"/>
    <x v="4"/>
    <m/>
    <m/>
    <m/>
    <m/>
    <m/>
    <m/>
    <m/>
    <m/>
    <m/>
  </r>
  <r>
    <s v="Milestone 4"/>
    <s v="N"/>
    <x v="5"/>
    <s v="dbo"/>
    <s v="IBPS"/>
    <s v="USR_0_RMT_WIHISTORY"/>
    <s v="As these are newly added tables and we well start  working on these tables after rest all done."/>
    <m/>
    <m/>
    <s v="id"/>
    <m/>
    <s v="Y"/>
    <m/>
    <m/>
    <m/>
    <m/>
    <m/>
    <x v="3"/>
    <x v="4"/>
    <m/>
    <m/>
    <m/>
    <m/>
    <m/>
    <m/>
    <m/>
    <m/>
    <m/>
  </r>
  <r>
    <s v="Milestone 4"/>
    <s v="N"/>
    <x v="5"/>
    <s v="dbo"/>
    <s v="IBPS"/>
    <s v="USR_0_SAR_WIHISTORY"/>
    <s v="As these are newly added tables and we well start  working on these tables after rest all done."/>
    <m/>
    <m/>
    <s v="insertOrderid"/>
    <m/>
    <s v="Y"/>
    <m/>
    <m/>
    <m/>
    <m/>
    <m/>
    <x v="3"/>
    <x v="4"/>
    <m/>
    <m/>
    <m/>
    <m/>
    <m/>
    <m/>
    <m/>
    <m/>
    <m/>
  </r>
  <r>
    <s v="Milestone 4"/>
    <s v="N"/>
    <x v="5"/>
    <s v="dbo"/>
    <s v="IBPS"/>
    <s v="usr_0_srb_wihistory"/>
    <s v="As these are newly added tables and we well start  working on these tables after rest all done."/>
    <m/>
    <m/>
    <s v="id"/>
    <m/>
    <s v="Y"/>
    <m/>
    <m/>
    <m/>
    <m/>
    <m/>
    <x v="3"/>
    <x v="4"/>
    <m/>
    <m/>
    <m/>
    <m/>
    <m/>
    <m/>
    <m/>
    <m/>
    <m/>
  </r>
  <r>
    <s v="Milestone 4"/>
    <s v="N"/>
    <x v="5"/>
    <s v="dbo"/>
    <s v="IBPS"/>
    <s v="usr_0_srm_wihistory"/>
    <s v="As these are newly added tables and we well start  working on these tables after rest all done."/>
    <m/>
    <m/>
    <s v="id"/>
    <m/>
    <s v="Y"/>
    <m/>
    <m/>
    <m/>
    <m/>
    <m/>
    <x v="3"/>
    <x v="4"/>
    <m/>
    <m/>
    <m/>
    <m/>
    <m/>
    <m/>
    <m/>
    <m/>
    <m/>
  </r>
  <r>
    <s v="Milestone 4"/>
    <s v="N"/>
    <x v="5"/>
    <s v="dbo"/>
    <s v="IBPS"/>
    <s v="USR_0_SRO_WIHISTORY"/>
    <s v="As these are newly added tables and we well start  working on these tables after rest all done."/>
    <m/>
    <m/>
    <s v="id"/>
    <m/>
    <s v="Y"/>
    <m/>
    <m/>
    <m/>
    <m/>
    <m/>
    <x v="3"/>
    <x v="4"/>
    <m/>
    <m/>
    <m/>
    <m/>
    <m/>
    <m/>
    <m/>
    <m/>
    <m/>
  </r>
  <r>
    <s v="Milestone 4"/>
    <s v="N"/>
    <x v="5"/>
    <s v="dbo"/>
    <s v="IBPS"/>
    <s v="USR_0_TAO_WIHISTORY"/>
    <s v="As these are newly added tables and we well start  working on these tables after rest all done."/>
    <m/>
    <m/>
    <s v="insertionorderid"/>
    <m/>
    <s v="Y"/>
    <m/>
    <m/>
    <m/>
    <m/>
    <m/>
    <x v="3"/>
    <x v="4"/>
    <m/>
    <m/>
    <m/>
    <m/>
    <m/>
    <m/>
    <m/>
    <m/>
    <m/>
  </r>
  <r>
    <s v="Milestone 4"/>
    <s v="N"/>
    <x v="5"/>
    <s v="dbo"/>
    <s v="IBPS"/>
    <s v="usr_0_tf_wihistory"/>
    <s v="As these are newly added tables and we well start  working on these tables after rest all done."/>
    <m/>
    <m/>
    <s v="ID"/>
    <m/>
    <s v="Y"/>
    <m/>
    <m/>
    <m/>
    <m/>
    <m/>
    <x v="3"/>
    <x v="4"/>
    <m/>
    <m/>
    <m/>
    <m/>
    <m/>
    <m/>
    <m/>
    <m/>
    <m/>
  </r>
  <r>
    <s v="Milestone 4"/>
    <s v="N"/>
    <x v="5"/>
    <s v="dbo"/>
    <s v="IBPS"/>
    <s v="USR_0_TL_WIHISTORY"/>
    <s v="As these are newly added tables and we well start  working on these tables after rest all done."/>
    <m/>
    <m/>
    <s v="ID"/>
    <m/>
    <s v="Y"/>
    <m/>
    <m/>
    <m/>
    <m/>
    <m/>
    <x v="3"/>
    <x v="4"/>
    <m/>
    <m/>
    <m/>
    <m/>
    <m/>
    <m/>
    <m/>
    <m/>
    <m/>
  </r>
  <r>
    <s v="Milestone 4"/>
    <s v="N"/>
    <x v="5"/>
    <s v="dbo"/>
    <s v="IBPS"/>
    <s v="usr_0_tt_wihistory"/>
    <s v="As these are newly added tables and we well start  working on these tables after rest all done."/>
    <m/>
    <m/>
    <s v="ID"/>
    <m/>
    <s v="Y"/>
    <m/>
    <m/>
    <m/>
    <m/>
    <m/>
    <x v="3"/>
    <x v="4"/>
    <m/>
    <m/>
    <m/>
    <m/>
    <m/>
    <m/>
    <m/>
    <m/>
    <m/>
  </r>
  <r>
    <s v="Milestone 4"/>
    <s v="N"/>
    <x v="5"/>
    <s v="dbo"/>
    <s v="IBPS"/>
    <s v="USR_0_TWC_WIHISTORY"/>
    <s v="As these are newly added tables and we well start  working on these tables after rest all done."/>
    <m/>
    <m/>
    <s v="ID"/>
    <m/>
    <s v="Y"/>
    <m/>
    <m/>
    <m/>
    <m/>
    <m/>
    <x v="3"/>
    <x v="4"/>
    <m/>
    <m/>
    <m/>
    <m/>
    <m/>
    <m/>
    <m/>
    <m/>
    <m/>
  </r>
  <r>
    <s v="Milestone 4"/>
    <s v="N"/>
    <x v="5"/>
    <s v="dbo"/>
    <s v="IBPS"/>
    <s v="KYC_Remediation_DECISION_HISTORY"/>
    <s v="As these are newly added tables and we well start  working on these tables after rest all done."/>
    <m/>
    <m/>
    <s v="Blank"/>
    <m/>
    <s v="Y"/>
    <m/>
    <m/>
    <m/>
    <m/>
    <m/>
    <x v="3"/>
    <x v="4"/>
    <m/>
    <m/>
    <m/>
    <m/>
    <m/>
    <m/>
    <m/>
    <m/>
    <m/>
  </r>
  <r>
    <s v="Milestone 4"/>
    <s v="N"/>
    <x v="5"/>
    <s v="dbo"/>
    <s v="IBPS"/>
    <s v="NG_AF_Decision_History"/>
    <s v="As these are newly added tables and we well start  working on these tables after rest all done."/>
    <m/>
    <m/>
    <s v="insertionorderid"/>
    <m/>
    <s v="Y"/>
    <m/>
    <m/>
    <m/>
    <m/>
    <m/>
    <x v="3"/>
    <x v="4"/>
    <m/>
    <m/>
    <m/>
    <m/>
    <m/>
    <m/>
    <m/>
    <m/>
    <m/>
  </r>
  <r>
    <s v="Milestone 4"/>
    <s v="N"/>
    <x v="5"/>
    <s v="dbo"/>
    <s v="IBPS"/>
    <s v="NG_CC_RemarksHistory"/>
    <s v="As these are newly added tables and we well start  working on these tables after rest all done."/>
    <m/>
    <m/>
    <s v="insertionorderid"/>
    <m/>
    <s v="Y"/>
    <m/>
    <m/>
    <m/>
    <m/>
    <m/>
    <x v="3"/>
    <x v="4"/>
    <m/>
    <m/>
    <m/>
    <m/>
    <m/>
    <m/>
    <m/>
    <m/>
    <m/>
  </r>
  <r>
    <s v="Milestone 4"/>
    <s v="N"/>
    <x v="5"/>
    <s v="dbo"/>
    <s v="IBPS"/>
    <s v="NG_CC_SalaryAlStHistory"/>
    <s v="As these are newly added tables and we well start  working on these tables after rest all done."/>
    <m/>
    <m/>
    <s v="insertionorderid"/>
    <m/>
    <s v="Y"/>
    <m/>
    <m/>
    <m/>
    <m/>
    <m/>
    <x v="3"/>
    <x v="4"/>
    <m/>
    <m/>
    <m/>
    <m/>
    <m/>
    <m/>
    <m/>
    <m/>
    <m/>
  </r>
  <r>
    <s v="Milestone 4"/>
    <s v="N"/>
    <x v="5"/>
    <s v="dbo"/>
    <s v="IBPS"/>
    <s v="NG_CCA_DecisionHistory"/>
    <s v="As these are newly added tables and we well start  working on these tables after rest all done."/>
    <m/>
    <m/>
    <s v="insertionorderid"/>
    <m/>
    <s v="Y"/>
    <m/>
    <m/>
    <m/>
    <m/>
    <m/>
    <x v="3"/>
    <x v="4"/>
    <m/>
    <m/>
    <m/>
    <m/>
    <m/>
    <m/>
    <m/>
    <m/>
    <m/>
  </r>
  <r>
    <s v="Milestone 4"/>
    <s v="N"/>
    <x v="5"/>
    <s v="dbo"/>
    <s v="IBPS"/>
    <s v="NG_CCA_JSON_LOG_HISTORY"/>
    <s v="As these are newly added tables and we well start  working on these tables after rest all done."/>
    <m/>
    <m/>
    <s v="ACT_DATE_TIME, MESSAGE_ID "/>
    <m/>
    <s v="Y"/>
    <m/>
    <m/>
    <m/>
    <m/>
    <m/>
    <x v="3"/>
    <x v="4"/>
    <m/>
    <m/>
    <m/>
    <m/>
    <m/>
    <m/>
    <m/>
    <m/>
    <m/>
  </r>
  <r>
    <s v="Milestone 4"/>
    <s v="N"/>
    <x v="5"/>
    <s v="dbo"/>
    <s v="IBPS"/>
    <s v="NG_COURTORDER_GR_DECISION_HISTORY"/>
    <s v="As these are newly added tables and we well start  working on these tables after rest all done."/>
    <m/>
    <m/>
    <s v="insertionorderid"/>
    <m/>
    <s v="Y"/>
    <m/>
    <m/>
    <m/>
    <m/>
    <m/>
    <x v="3"/>
    <x v="4"/>
    <m/>
    <m/>
    <m/>
    <m/>
    <m/>
    <m/>
    <m/>
    <m/>
    <m/>
  </r>
  <r>
    <s v="Milestone 4"/>
    <s v="N"/>
    <x v="5"/>
    <s v="dbo"/>
    <s v="IBPS"/>
    <s v="NG_CPMS_GR_DECISIONHISTORY"/>
    <s v="As these are newly added tables and we well start  working on these tables after rest all done."/>
    <m/>
    <m/>
    <s v="insertionorderid"/>
    <m/>
    <s v="Y"/>
    <m/>
    <m/>
    <m/>
    <m/>
    <m/>
    <x v="3"/>
    <x v="4"/>
    <m/>
    <m/>
    <m/>
    <m/>
    <m/>
    <m/>
    <m/>
    <m/>
    <m/>
  </r>
  <r>
    <s v="Milestone 4"/>
    <s v="N"/>
    <x v="5"/>
    <s v="dbo"/>
    <s v="IBPS"/>
    <s v="NG_DAO_GR_DECISION_HISTORY"/>
    <s v="As these are newly added tables and we well start  working on these tables after rest all done."/>
    <m/>
    <m/>
    <s v="insertionorderid"/>
    <m/>
    <s v="Y"/>
    <m/>
    <m/>
    <m/>
    <m/>
    <m/>
    <x v="3"/>
    <x v="4"/>
    <m/>
    <m/>
    <m/>
    <m/>
    <m/>
    <m/>
    <m/>
    <m/>
    <m/>
  </r>
  <r>
    <s v="Milestone 4"/>
    <s v="N"/>
    <x v="5"/>
    <s v="dbo"/>
    <s v="IBPS"/>
    <s v="NG_DCC_GR_DECISION_HISTORY"/>
    <s v="As these are newly added tables and we well start  working on these tables after rest all done."/>
    <m/>
    <m/>
    <s v="insertionorderid"/>
    <m/>
    <s v="Y"/>
    <m/>
    <m/>
    <m/>
    <m/>
    <m/>
    <x v="3"/>
    <x v="4"/>
    <m/>
    <m/>
    <m/>
    <m/>
    <m/>
    <m/>
    <m/>
    <m/>
    <m/>
  </r>
  <r>
    <s v="Milestone 4"/>
    <s v="N"/>
    <x v="5"/>
    <s v="dbo"/>
    <s v="IBPS"/>
    <s v="NG_DPL_GR_DECISION_HISTORY"/>
    <s v="As these are newly added tables and we well start  working on these tables after rest all done."/>
    <m/>
    <m/>
    <s v="insertionorderid"/>
    <m/>
    <s v="Y"/>
    <m/>
    <m/>
    <m/>
    <m/>
    <m/>
    <x v="3"/>
    <x v="4"/>
    <m/>
    <m/>
    <m/>
    <m/>
    <m/>
    <m/>
    <m/>
    <m/>
    <m/>
  </r>
  <r>
    <s v="Milestone 4"/>
    <s v="N"/>
    <x v="5"/>
    <s v="dbo"/>
    <s v="IBPS"/>
    <s v="NG_EIBOR_GRID_DECISION_HISTORY"/>
    <s v="As these are newly added tables and we well start  working on these tables after rest all done."/>
    <m/>
    <m/>
    <s v="insertionorderid"/>
    <m/>
    <s v="Y"/>
    <m/>
    <m/>
    <m/>
    <m/>
    <m/>
    <x v="3"/>
    <x v="4"/>
    <m/>
    <m/>
    <m/>
    <m/>
    <m/>
    <m/>
    <m/>
    <m/>
    <m/>
  </r>
  <r>
    <s v="Milestone 4"/>
    <s v="N"/>
    <x v="5"/>
    <s v="dbo"/>
    <s v="IBPS"/>
    <s v="NG_PL_Decision_History"/>
    <s v="As these are newly added tables and we well start  working on these tables after rest all done."/>
    <m/>
    <m/>
    <s v="insertionorderid"/>
    <m/>
    <s v="Y"/>
    <m/>
    <m/>
    <m/>
    <m/>
    <m/>
    <x v="3"/>
    <x v="4"/>
    <m/>
    <m/>
    <m/>
    <m/>
    <m/>
    <m/>
    <m/>
    <m/>
    <m/>
  </r>
  <r>
    <s v="Milestone 4"/>
    <s v="N"/>
    <x v="5"/>
    <s v="dbo"/>
    <s v="IBPS"/>
    <s v="ng_pl_deviationHistory1"/>
    <s v="As these are newly added tables and we well start  working on these tables after rest all done."/>
    <m/>
    <m/>
    <s v="insertionorderid"/>
    <m/>
    <s v="Y"/>
    <m/>
    <m/>
    <m/>
    <m/>
    <m/>
    <x v="3"/>
    <x v="4"/>
    <m/>
    <m/>
    <m/>
    <m/>
    <m/>
    <m/>
    <m/>
    <m/>
    <m/>
  </r>
  <r>
    <s v="Milestone 4"/>
    <s v="N"/>
    <x v="5"/>
    <s v="dbo"/>
    <s v="IBPS"/>
    <s v="NG_RF_Decision_History"/>
    <s v="As these are newly added tables and we well start  working on these tables after rest all done."/>
    <m/>
    <m/>
    <s v="insertionorderid"/>
    <m/>
    <s v="Y"/>
    <m/>
    <m/>
    <m/>
    <m/>
    <m/>
    <x v="3"/>
    <x v="4"/>
    <m/>
    <m/>
    <m/>
    <m/>
    <m/>
    <m/>
    <m/>
    <m/>
    <m/>
  </r>
  <r>
    <s v="Milestone 4"/>
    <s v="N"/>
    <x v="5"/>
    <s v="dbo"/>
    <s v="IBPS"/>
    <s v="NG_RI_DecisionHistory"/>
    <s v="As these are newly added tables and we well start  working on these tables after rest all done."/>
    <m/>
    <m/>
    <s v="insertionorderid"/>
    <m/>
    <s v="Y"/>
    <m/>
    <m/>
    <m/>
    <m/>
    <m/>
    <x v="3"/>
    <x v="4"/>
    <m/>
    <m/>
    <m/>
    <m/>
    <m/>
    <m/>
    <m/>
    <m/>
    <m/>
  </r>
  <r>
    <s v="Milestone 4"/>
    <s v="N"/>
    <x v="5"/>
    <s v="dbo"/>
    <s v="IBPS"/>
    <s v="ng_rlos_decisionHistory"/>
    <s v="As these are newly added tables and we well start  working on these tables after rest all done."/>
    <m/>
    <m/>
    <s v="insertionorderid"/>
    <m/>
    <s v="Y"/>
    <m/>
    <m/>
    <m/>
    <m/>
    <m/>
    <x v="3"/>
    <x v="4"/>
    <m/>
    <m/>
    <m/>
    <m/>
    <m/>
    <m/>
    <m/>
    <m/>
    <m/>
  </r>
  <r>
    <s v="Milestone 4"/>
    <s v="N"/>
    <x v="5"/>
    <s v="dbo"/>
    <s v="IBPS"/>
    <s v="NG_ROD_Decision_History"/>
    <s v="As these are newly added tables and we well start  working on these tables after rest all done."/>
    <m/>
    <m/>
    <s v="insertionorderid"/>
    <m/>
    <s v="Y"/>
    <m/>
    <m/>
    <m/>
    <m/>
    <m/>
    <x v="3"/>
    <x v="4"/>
    <m/>
    <m/>
    <m/>
    <m/>
    <m/>
    <m/>
    <m/>
    <m/>
    <m/>
  </r>
  <r>
    <s v="Milestone 4"/>
    <s v="N"/>
    <x v="5"/>
    <s v="dbo"/>
    <s v="IBPS"/>
    <s v="NG_TS_WIHISTORY"/>
    <s v="As these are newly added tables and we well start  working on these tables after rest all done."/>
    <m/>
    <m/>
    <s v="insertionorderid"/>
    <m/>
    <s v="Y"/>
    <m/>
    <m/>
    <m/>
    <m/>
    <m/>
    <x v="3"/>
    <x v="4"/>
    <m/>
    <m/>
    <m/>
    <m/>
    <m/>
    <m/>
    <m/>
    <m/>
    <m/>
  </r>
  <r>
    <s v="Milestone 4"/>
    <s v="N"/>
    <x v="5"/>
    <s v="dbo"/>
    <s v="IBPS"/>
    <s v="RAK_V_BSR_Assignment_History"/>
    <s v="As these are newly added tables and we well start  working on these tables after rest all done."/>
    <m/>
    <m/>
    <s v="insertionorderid"/>
    <m/>
    <s v="Y"/>
    <m/>
    <m/>
    <m/>
    <m/>
    <m/>
    <x v="3"/>
    <x v="4"/>
    <m/>
    <m/>
    <m/>
    <m/>
    <m/>
    <m/>
    <m/>
    <m/>
    <m/>
  </r>
  <r>
    <s v="Milestone 4"/>
    <s v="N"/>
    <x v="5"/>
    <s v="dbo"/>
    <s v="IBPS"/>
    <s v="usr_0_ao_wihistory"/>
    <s v="As these are newly added tables and we well start  working on these tables after rest all done."/>
    <m/>
    <m/>
    <s v="id"/>
    <m/>
    <s v="Y"/>
    <m/>
    <m/>
    <m/>
    <m/>
    <m/>
    <x v="3"/>
    <x v="4"/>
    <m/>
    <m/>
    <m/>
    <m/>
    <m/>
    <m/>
    <m/>
    <m/>
    <m/>
  </r>
  <r>
    <s v="Milestone 4"/>
    <s v="N"/>
    <x v="5"/>
    <s v="dbo"/>
    <s v="IBPS"/>
    <s v="USR_0_BAIS_WIHISTORY"/>
    <s v="As these are newly added tables and we well start  working on these tables after rest all done."/>
    <m/>
    <m/>
    <s v="id"/>
    <m/>
    <s v="Y"/>
    <m/>
    <m/>
    <m/>
    <m/>
    <m/>
    <x v="3"/>
    <x v="4"/>
    <m/>
    <m/>
    <m/>
    <m/>
    <m/>
    <m/>
    <m/>
    <m/>
    <m/>
  </r>
  <r>
    <s v="Milestone 4"/>
    <s v="N"/>
    <x v="5"/>
    <s v="dbo"/>
    <s v="IBPS"/>
    <s v="USR_0_BSR_WIHISTORY"/>
    <s v="As these are newly added tables and we well start  working on these tables after rest all done."/>
    <m/>
    <m/>
    <s v="insertionorderid"/>
    <m/>
    <s v="Y"/>
    <m/>
    <m/>
    <m/>
    <m/>
    <m/>
    <x v="3"/>
    <x v="4"/>
    <m/>
    <m/>
    <m/>
    <m/>
    <m/>
    <m/>
    <m/>
    <m/>
    <m/>
  </r>
  <r>
    <s v="Milestone 4"/>
    <s v="N"/>
    <x v="5"/>
    <s v="dbo"/>
    <s v="IBPS"/>
    <s v="usr_0_bsr_wihistory_pl"/>
    <s v="As these are newly added tables and we well start  working on these tables after rest all done."/>
    <m/>
    <m/>
    <s v="insertionorderid"/>
    <m/>
    <s v="Y"/>
    <m/>
    <m/>
    <m/>
    <m/>
    <m/>
    <x v="3"/>
    <x v="4"/>
    <m/>
    <m/>
    <m/>
    <m/>
    <m/>
    <m/>
    <m/>
    <m/>
    <m/>
  </r>
  <r>
    <s v="Milestone 4"/>
    <s v="N"/>
    <x v="5"/>
    <s v="dbo"/>
    <s v="IBPS"/>
    <s v="USR_0_CAC_WIHISTORY"/>
    <s v="As these are newly added tables and we well start  working on these tables after rest all done."/>
    <m/>
    <m/>
    <s v="id"/>
    <m/>
    <s v="Y"/>
    <m/>
    <m/>
    <m/>
    <m/>
    <m/>
    <x v="3"/>
    <x v="4"/>
    <m/>
    <m/>
    <m/>
    <m/>
    <m/>
    <m/>
    <m/>
    <m/>
    <m/>
  </r>
  <r>
    <s v="Milestone 4"/>
    <s v="N"/>
    <x v="5"/>
    <s v="dbo"/>
    <s v="IBPS"/>
    <s v="USR_0_CBP_WIHISTORY"/>
    <s v="As these are newly added tables and we well start  working on these tables after rest all done."/>
    <m/>
    <m/>
    <s v="insertionorderid"/>
    <m/>
    <s v="Y"/>
    <m/>
    <m/>
    <m/>
    <m/>
    <m/>
    <x v="3"/>
    <x v="4"/>
    <m/>
    <m/>
    <m/>
    <m/>
    <m/>
    <m/>
    <m/>
    <m/>
    <m/>
  </r>
  <r>
    <s v="Milestone 4"/>
    <s v="N"/>
    <x v="5"/>
    <s v="dbo"/>
    <s v="IBPS"/>
    <s v="USR_0_CMP_WIHISTORY"/>
    <s v="As these are newly added tables and we well start  working on these tables after rest all done."/>
    <m/>
    <m/>
    <s v="insertionorderid"/>
    <m/>
    <s v="Y"/>
    <m/>
    <m/>
    <m/>
    <m/>
    <m/>
    <x v="3"/>
    <x v="4"/>
    <m/>
    <m/>
    <m/>
    <m/>
    <m/>
    <m/>
    <m/>
    <m/>
    <m/>
  </r>
  <r>
    <s v="Milestone 4"/>
    <s v="N"/>
    <x v="5"/>
    <s v="dbo"/>
    <s v="IBPS"/>
    <s v="USR_0_CMS_WIHISTORY"/>
    <s v="As these are newly added tables and we well start  working on these tables after rest all done."/>
    <m/>
    <m/>
    <s v="insertionorderid"/>
    <m/>
    <s v="Y"/>
    <m/>
    <m/>
    <m/>
    <m/>
    <m/>
    <x v="3"/>
    <x v="4"/>
    <m/>
    <m/>
    <m/>
    <m/>
    <m/>
    <m/>
    <m/>
    <m/>
    <m/>
  </r>
  <r>
    <s v="Milestone 4"/>
    <s v="N"/>
    <x v="5"/>
    <s v="dbo"/>
    <s v="IBPS"/>
    <s v="usr_0_cu_wihistory"/>
    <s v="As these are newly added tables and we well start  working on these tables after rest all done."/>
    <m/>
    <m/>
    <s v="id"/>
    <m/>
    <s v="Y"/>
    <m/>
    <m/>
    <m/>
    <m/>
    <m/>
    <x v="3"/>
    <x v="4"/>
    <m/>
    <m/>
    <m/>
    <m/>
    <m/>
    <m/>
    <m/>
    <m/>
    <m/>
  </r>
  <r>
    <s v="Milestone 4"/>
    <s v="N"/>
    <x v="5"/>
    <s v="dbo"/>
    <s v="IBPS"/>
    <s v="usr_0_da_wihistory"/>
    <s v="As these are newly added tables and we well start  working on these tables after rest all done."/>
    <m/>
    <m/>
    <s v="id"/>
    <m/>
    <s v="Y"/>
    <m/>
    <m/>
    <m/>
    <m/>
    <m/>
    <x v="3"/>
    <x v="4"/>
    <m/>
    <m/>
    <m/>
    <m/>
    <m/>
    <m/>
    <m/>
    <m/>
    <m/>
  </r>
  <r>
    <s v="Milestone 4"/>
    <s v="N"/>
    <x v="5"/>
    <s v="dbo"/>
    <s v="IBPS"/>
    <s v="USR_0_DAC_WIHISTORY"/>
    <s v="As these are newly added tables and we well start  working on these tables after rest all done."/>
    <m/>
    <m/>
    <s v="insertionorderid"/>
    <m/>
    <s v="Y"/>
    <m/>
    <m/>
    <m/>
    <m/>
    <m/>
    <x v="3"/>
    <x v="4"/>
    <m/>
    <m/>
    <m/>
    <m/>
    <m/>
    <m/>
    <m/>
    <m/>
    <m/>
  </r>
  <r>
    <s v="Milestone 4"/>
    <s v="N"/>
    <x v="5"/>
    <s v="dbo"/>
    <s v="IBPS"/>
    <s v="USR_0_DBO_WIHISTORY"/>
    <s v="As these are newly added tables and we well start  working on these tables after rest all done."/>
    <m/>
    <m/>
    <s v="insertionorderid"/>
    <m/>
    <s v="Y"/>
    <m/>
    <m/>
    <m/>
    <m/>
    <m/>
    <x v="3"/>
    <x v="4"/>
    <m/>
    <m/>
    <m/>
    <m/>
    <m/>
    <m/>
    <m/>
    <m/>
    <m/>
  </r>
  <r>
    <s v="Milestone 4"/>
    <s v="N"/>
    <x v="5"/>
    <s v="dbo"/>
    <s v="IBPS"/>
    <s v="USR_0_DBS_WIHISTORY"/>
    <s v="As these are newly added tables and we well start  working on these tables after rest all done."/>
    <m/>
    <m/>
    <s v="insertionorderid"/>
    <m/>
    <s v="Y"/>
    <m/>
    <m/>
    <m/>
    <m/>
    <m/>
    <x v="3"/>
    <x v="4"/>
    <m/>
    <m/>
    <m/>
    <m/>
    <m/>
    <m/>
    <m/>
    <m/>
    <m/>
  </r>
  <r>
    <s v="Milestone 3"/>
    <s v="N"/>
    <x v="3"/>
    <s v="dbo"/>
    <s v="NPSS_Database_ePayment"/>
    <s v="Module_Config"/>
    <m/>
    <m/>
    <s v="ID, MODULE, TYPE"/>
    <m/>
    <m/>
    <s v="N"/>
    <m/>
    <m/>
    <m/>
    <m/>
    <m/>
    <x v="3"/>
    <x v="4"/>
    <m/>
    <m/>
    <m/>
    <m/>
    <m/>
    <m/>
    <m/>
    <m/>
    <m/>
  </r>
  <r>
    <s v="Milestone 3"/>
    <s v="N"/>
    <x v="3"/>
    <s v="dbo"/>
    <s v="NPSS_Database_ePayment"/>
    <s v="NPSS_EntityMaster"/>
    <m/>
    <m/>
    <s v="ENT_BICCode"/>
    <m/>
    <m/>
    <s v="N"/>
    <m/>
    <m/>
    <m/>
    <m/>
    <m/>
    <x v="3"/>
    <x v="4"/>
    <m/>
    <m/>
    <m/>
    <m/>
    <m/>
    <m/>
    <m/>
    <m/>
    <m/>
  </r>
  <r>
    <s v="Milestone 3"/>
    <s v="N"/>
    <x v="3"/>
    <s v="dbo"/>
    <s v="NPSS_Database_ePayment"/>
    <s v="NPSS_RTS_PmtStatusDtl_Cdtr"/>
    <m/>
    <m/>
    <s v="RT_STD_MsgGenDt,RT_STD_RefId"/>
    <m/>
    <m/>
    <m/>
    <s v="RT_STD_MsgGenDt"/>
    <m/>
    <m/>
    <m/>
    <m/>
    <x v="3"/>
    <x v="4"/>
    <m/>
    <m/>
    <m/>
    <m/>
    <m/>
    <m/>
    <m/>
    <m/>
    <m/>
  </r>
  <r>
    <s v="Milestone 3"/>
    <s v="N"/>
    <x v="1"/>
    <s v="TCTDBS"/>
    <s v="PRIMEDB"/>
    <s v="mccs"/>
    <m/>
    <m/>
    <s v="CODE"/>
    <m/>
    <m/>
    <s v="N"/>
    <m/>
    <m/>
    <m/>
    <m/>
    <m/>
    <x v="3"/>
    <x v="4"/>
    <m/>
    <m/>
    <m/>
    <m/>
    <m/>
    <m/>
    <m/>
    <m/>
    <m/>
  </r>
  <r>
    <s v="Milestone 4"/>
    <s v="N"/>
    <x v="14"/>
    <s v="TCTDBS"/>
    <s v="OnlineDB"/>
    <s v="APPLOG"/>
    <m/>
    <n v="177.80500000000001"/>
    <s v="NA"/>
    <s v="INSTITUTION_ID, TABNAME, COLNAME, LTIMESTAMP"/>
    <m/>
    <s v="Y"/>
    <s v="LTIMESTAMP"/>
    <m/>
    <m/>
    <m/>
    <m/>
    <x v="3"/>
    <x v="4"/>
    <m/>
    <m/>
    <m/>
    <m/>
    <m/>
    <m/>
    <m/>
    <m/>
    <m/>
  </r>
  <r>
    <m/>
    <m/>
    <x v="18"/>
    <m/>
    <m/>
    <m/>
    <m/>
    <m/>
    <m/>
    <m/>
    <m/>
    <m/>
    <m/>
    <m/>
    <m/>
    <m/>
    <m/>
    <x v="3"/>
    <x v="4"/>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3">
  <r>
    <x v="0"/>
    <s v="N"/>
    <x v="0"/>
    <s v="TBAADM"/>
    <s v="FINUAT"/>
    <s v="HIST_TRAN_DTL_TABLE"/>
  </r>
  <r>
    <x v="1"/>
    <s v="N"/>
    <x v="1"/>
    <s v="TCTDBS"/>
    <s v="PRIMEDB"/>
    <s v="APPLOG"/>
  </r>
  <r>
    <x v="2"/>
    <s v="N"/>
    <x v="0"/>
    <s v="TBAADM"/>
    <s v="FINUAT"/>
    <s v="CHRG_TRAN_LOG_TBL"/>
  </r>
  <r>
    <x v="0"/>
    <s v="N"/>
    <x v="2"/>
    <m/>
    <s v="Dealing"/>
    <s v="EmailDetail"/>
  </r>
  <r>
    <x v="1"/>
    <s v="N"/>
    <x v="1"/>
    <s v="TCTDBS"/>
    <s v="PRIMEDB"/>
    <s v="CTRANSACTIONS"/>
  </r>
  <r>
    <x v="3"/>
    <s v="N"/>
    <x v="1"/>
    <s v="TCTDBS"/>
    <s v="PRIMEDB"/>
    <s v="tbalances"/>
  </r>
  <r>
    <x v="1"/>
    <s v="N"/>
    <x v="0"/>
    <s v="TBAADM"/>
    <s v="FINUAT"/>
    <s v="SWIFT_MSG_HISTORY_TABLE"/>
  </r>
  <r>
    <x v="0"/>
    <s v="N"/>
    <x v="2"/>
    <m/>
    <s v="Dealing"/>
    <s v="Email"/>
  </r>
  <r>
    <x v="1"/>
    <s v="N"/>
    <x v="1"/>
    <s v="TCTDBS"/>
    <s v="PRIMEDB"/>
    <s v="CISOTRXNS"/>
  </r>
  <r>
    <x v="2"/>
    <s v="N"/>
    <x v="0"/>
    <s v="TBAADM"/>
    <s v="FINUAT"/>
    <s v="ACCOUNT_LIEN_HISTORY_TABLE"/>
  </r>
  <r>
    <x v="1"/>
    <s v="N"/>
    <x v="0"/>
    <s v="TBAADM"/>
    <s v="FINUAT"/>
    <s v="PAYMENT_ORDER_DETAIL_TABLE"/>
  </r>
  <r>
    <x v="1"/>
    <s v="N"/>
    <x v="0"/>
    <s v="TBAADM"/>
    <s v="FINUAT"/>
    <s v="PAYMENT_ORDER_HEADER_TABLE"/>
  </r>
  <r>
    <x v="1"/>
    <s v="N"/>
    <x v="3"/>
    <s v="dbo"/>
    <s v="npss-epayment"/>
    <s v="NPSS_RTPaymentsHdr_Inw"/>
  </r>
  <r>
    <x v="0"/>
    <s v="Y"/>
    <x v="4"/>
    <s v="ECECUSER"/>
    <s v="CNVGNIB"/>
    <s v="RQSTHISTORYTABLE"/>
  </r>
  <r>
    <x v="4"/>
    <s v="N"/>
    <x v="5"/>
    <s v="dbo"/>
    <s v="RAKCAS"/>
    <s v="wfinstrumenttable"/>
  </r>
  <r>
    <x v="1"/>
    <s v="N"/>
    <x v="6"/>
    <s v="REMIT_SL"/>
    <s v="REMITPRD"/>
    <s v="DX_TRNS_REMITTANCE"/>
  </r>
  <r>
    <x v="1"/>
    <s v="N"/>
    <x v="1"/>
    <s v="TCTDBS"/>
    <s v="PRIMEDB"/>
    <s v="CEXTENSION"/>
  </r>
  <r>
    <x v="0"/>
    <s v="Y"/>
    <x v="7"/>
    <s v="CAPSADMIN"/>
    <s v="CAPS"/>
    <s v="DELINQUENCYCALENDAR"/>
  </r>
  <r>
    <x v="3"/>
    <s v="N"/>
    <x v="1"/>
    <s v="TCTDBS"/>
    <s v="PRIMEDB"/>
    <s v="CSTATEMENTS"/>
  </r>
  <r>
    <x v="1"/>
    <s v="N"/>
    <x v="6"/>
    <s v="REMIT_SL"/>
    <s v="REMITPRD"/>
    <s v="DX_REF_ACTIVITY_LOG"/>
  </r>
  <r>
    <x v="1"/>
    <s v="N"/>
    <x v="3"/>
    <s v="dbo"/>
    <s v="npss-epayment"/>
    <s v="NPSS_RTPaymentsDtl_Inw"/>
  </r>
  <r>
    <x v="1"/>
    <s v="N"/>
    <x v="1"/>
    <s v="TCTDBS"/>
    <s v="PRIMEDB"/>
    <s v="Cinstalmentamortization"/>
  </r>
  <r>
    <x v="1"/>
    <s v="N"/>
    <x v="3"/>
    <s v="dbo"/>
    <s v="npss-epayment"/>
    <s v="NPSS_RTPaymentsDtl_Out"/>
  </r>
  <r>
    <x v="1"/>
    <s v="N"/>
    <x v="1"/>
    <s v="TCTDBS"/>
    <s v="PRIMEDB"/>
    <s v="archtBalances"/>
  </r>
  <r>
    <x v="1"/>
    <s v="N"/>
    <x v="1"/>
    <s v="TCTDBS"/>
    <s v="PRIMEDB"/>
    <s v="BATCHES"/>
  </r>
  <r>
    <x v="4"/>
    <s v="N"/>
    <x v="5"/>
    <s v="dbo"/>
    <s v="RAKCAS"/>
    <s v="NG_TT_EXT_TABLE"/>
  </r>
  <r>
    <x v="0"/>
    <s v="N"/>
    <x v="8"/>
    <s v="DEHUSEROB"/>
    <s v="rakdehsit"/>
    <s v="CREDIT_CARDS_REQUEST_DET"/>
  </r>
  <r>
    <x v="4"/>
    <s v="N"/>
    <x v="0"/>
    <s v="CRMUSER"/>
    <s v="FINUAT"/>
    <s v="Incidents"/>
  </r>
  <r>
    <x v="1"/>
    <s v="N"/>
    <x v="3"/>
    <s v="dbo"/>
    <s v="npss-epayment"/>
    <s v="NPSS_RTPaymentsDtl_OutExn"/>
  </r>
  <r>
    <x v="0"/>
    <s v="N"/>
    <x v="1"/>
    <s v="TCTDBS"/>
    <s v="PRIMEDB"/>
    <s v="SERVICES"/>
  </r>
  <r>
    <x v="0"/>
    <s v="N"/>
    <x v="1"/>
    <s v="TCTDBS"/>
    <s v="PRIMEDB"/>
    <s v="ctrxncampaignlinks"/>
  </r>
  <r>
    <x v="3"/>
    <s v="Y"/>
    <x v="9"/>
    <s v="RAK_JSITPH3"/>
    <s v="RLSPROD"/>
    <s v="CS_CASE_INFO"/>
  </r>
  <r>
    <x v="3"/>
    <s v="N"/>
    <x v="1"/>
    <s v="TCTDBS"/>
    <s v="PRIMEDB"/>
    <s v="CACCOUNTS"/>
  </r>
  <r>
    <x v="0"/>
    <s v="Y"/>
    <x v="9"/>
    <s v="FIN_LEAM"/>
    <s v="RLSPROD"/>
    <s v="NBFC_CHEQUE_DTL"/>
  </r>
  <r>
    <x v="2"/>
    <s v="Y"/>
    <x v="10"/>
    <s v="CPPUSER"/>
    <s v="CPPSUAT"/>
    <s v="PAYMENT_TRANS_ONLINE_NOTIFY_T"/>
  </r>
  <r>
    <x v="3"/>
    <s v="N"/>
    <x v="0"/>
    <s v="TBAADM"/>
    <s v="FINUAT"/>
    <s v="GENERAL_ACCT_MAST_TABLE"/>
  </r>
  <r>
    <x v="3"/>
    <s v="Y"/>
    <x v="9"/>
    <s v="LOS0909"/>
    <s v="RLSPROD"/>
    <s v="LEA_REPAYSCH_DTL"/>
  </r>
  <r>
    <x v="1"/>
    <s v="N"/>
    <x v="0"/>
    <s v="CRMUSER"/>
    <s v="FINUAT"/>
    <s v="Address"/>
  </r>
  <r>
    <x v="0"/>
    <s v="Y"/>
    <x v="9"/>
    <s v="RAK_JSITPH3"/>
    <s v="RLSPROD"/>
    <s v="PAYMENT_DETAILS_V"/>
  </r>
  <r>
    <x v="1"/>
    <s v="N"/>
    <x v="3"/>
    <s v="dbo"/>
    <s v="npss-epayment"/>
    <s v="NPSS_RTPaymentsHdr_Out"/>
  </r>
  <r>
    <x v="0"/>
    <s v="N"/>
    <x v="8"/>
    <s v="DEHUSEROB"/>
    <s v="rakdehsit"/>
    <s v="RETAIL_ACCOUNTS_REQUEST_DET"/>
  </r>
  <r>
    <x v="1"/>
    <s v="N"/>
    <x v="1"/>
    <s v="TCTDBS"/>
    <s v="PRIMEDB"/>
    <s v="MEMOS"/>
  </r>
  <r>
    <x v="4"/>
    <s v="N"/>
    <x v="5"/>
    <s v="dbo"/>
    <s v="RAKCAS"/>
    <s v="RB_KYC_REM_EXTTABLE"/>
  </r>
  <r>
    <x v="4"/>
    <s v="N"/>
    <x v="1"/>
    <s v="TCTDBS"/>
    <s v="PRIMEDB"/>
    <s v="CARDX"/>
  </r>
  <r>
    <x v="4"/>
    <s v="N"/>
    <x v="0"/>
    <s v="CRMUSER"/>
    <s v="FINUAT"/>
    <s v="accounts"/>
  </r>
  <r>
    <x v="1"/>
    <s v="N"/>
    <x v="0"/>
    <s v="CUSTOM"/>
    <s v="FINUAT"/>
    <s v="CUST_PAYGEN_ORD_TABLE"/>
  </r>
  <r>
    <x v="0"/>
    <s v="N"/>
    <x v="8"/>
    <s v="DEHUSEROB"/>
    <s v="rakdehsit"/>
    <s v="CARDS_ACCOUNTS_MASTER"/>
  </r>
  <r>
    <x v="1"/>
    <s v="N"/>
    <x v="1"/>
    <s v="TCTDBS"/>
    <s v="PRIMEDB"/>
    <s v="CADDRESSES"/>
  </r>
  <r>
    <x v="2"/>
    <s v="N"/>
    <x v="0"/>
    <s v="CRMUSER"/>
    <s v="FINUAT"/>
    <s v="Request"/>
  </r>
  <r>
    <x v="3"/>
    <s v="N"/>
    <x v="0"/>
    <s v="CRMUSER"/>
    <s v="FINUAT"/>
    <s v="MiscellaneousInfo"/>
  </r>
  <r>
    <x v="1"/>
    <s v="N"/>
    <x v="0"/>
    <s v="TBAADM"/>
    <s v="FINUAT"/>
    <s v="DAILY_TRAN_DETAIL_TABLE"/>
  </r>
  <r>
    <x v="4"/>
    <s v="Y"/>
    <x v="4"/>
    <s v="ECECUSER"/>
    <s v="CNVGNIB"/>
    <s v="CORPORATE_USER"/>
  </r>
  <r>
    <x v="4"/>
    <s v="N"/>
    <x v="1"/>
    <s v="TCTDBS"/>
    <s v="PRIMEDB"/>
    <s v="PEOPLE"/>
  </r>
  <r>
    <x v="2"/>
    <s v="N"/>
    <x v="0"/>
    <s v="TBAADM"/>
    <s v="FINUAT"/>
    <s v="INT_TBL_CODE_TABLE"/>
  </r>
  <r>
    <x v="4"/>
    <s v="N"/>
    <x v="5"/>
    <s v="dbo"/>
    <s v="RAKCAS"/>
    <s v="RB_TF_EXTTABLE"/>
  </r>
  <r>
    <x v="3"/>
    <s v="N"/>
    <x v="0"/>
    <s v="TBAADM"/>
    <s v="FINUAT"/>
    <s v="ENTITY_INTEREST_TABLE"/>
  </r>
  <r>
    <x v="3"/>
    <s v="Y"/>
    <x v="4"/>
    <s v="ECECUSER"/>
    <s v="CNVGNIB"/>
    <s v="REQUEST_DETAILS"/>
  </r>
  <r>
    <x v="0"/>
    <s v="N"/>
    <x v="1"/>
    <s v="TCTDBS"/>
    <s v="PRIMEDB"/>
    <s v="CARDTOKENS"/>
  </r>
  <r>
    <x v="4"/>
    <s v="N"/>
    <x v="0"/>
    <s v="CRMUSER"/>
    <s v="FINUAT"/>
    <s v="ENTITYDOCUMENT"/>
  </r>
  <r>
    <x v="0"/>
    <s v="N"/>
    <x v="8"/>
    <s v="DEHUSEROB"/>
    <s v="rakdehsit"/>
    <s v="RETAIL_ACCOUNTS_MASTER"/>
  </r>
  <r>
    <x v="1"/>
    <s v="N"/>
    <x v="3"/>
    <s v="dbo"/>
    <s v="npss-epayment"/>
    <s v="NPSS_RTPaymentsDtl_InwExn"/>
  </r>
  <r>
    <x v="4"/>
    <s v="N"/>
    <x v="5"/>
    <s v="dbo"/>
    <s v="RAKCAS"/>
    <s v="RB_SRO_EXTTABLE"/>
  </r>
  <r>
    <x v="4"/>
    <s v="N"/>
    <x v="0"/>
    <s v="CRMUSER"/>
    <s v="FINUAT"/>
    <s v="PhoneEmail"/>
  </r>
  <r>
    <x v="1"/>
    <s v="N"/>
    <x v="1"/>
    <s v="TCTDBS"/>
    <s v="PRIMEDB"/>
    <s v="CINSTALMENTS"/>
  </r>
  <r>
    <x v="0"/>
    <s v="Y"/>
    <x v="4"/>
    <s v="ECECUSER"/>
    <s v="CNVGNIB"/>
    <s v="RAK_USER_ENDI_TABLE"/>
  </r>
  <r>
    <x v="1"/>
    <s v="N"/>
    <x v="1"/>
    <s v="TCTDBS"/>
    <s v="PRIMEDB"/>
    <s v="CACCOUNTSTMT"/>
  </r>
  <r>
    <x v="4"/>
    <s v="N"/>
    <x v="5"/>
    <s v="dbo"/>
    <s v="RAKCAS"/>
    <s v="RB_SRB_EXTTABLE"/>
  </r>
  <r>
    <x v="3"/>
    <s v="N"/>
    <x v="1"/>
    <s v="TCTDBS"/>
    <s v="PRIMEDB"/>
    <s v="CARDEMBOSSING"/>
  </r>
  <r>
    <x v="4"/>
    <s v="N"/>
    <x v="5"/>
    <s v="dbo"/>
    <s v="RAKCAS"/>
    <s v="RB_SRM_EXTTABLE"/>
  </r>
  <r>
    <x v="1"/>
    <s v="N"/>
    <x v="0"/>
    <s v="TBAADM"/>
    <s v="FINUAT"/>
    <s v="ACCT_AUTH_SIGN_TABLE"/>
  </r>
  <r>
    <x v="4"/>
    <s v="N"/>
    <x v="5"/>
    <s v="dbo"/>
    <s v="RAKCAS"/>
    <s v="RB_BSR_EXTTABLE"/>
  </r>
  <r>
    <x v="4"/>
    <s v="N"/>
    <x v="5"/>
    <s v="dbo"/>
    <s v="RAKCAS"/>
    <s v="NG_DCC_EXTTABLE"/>
  </r>
  <r>
    <x v="4"/>
    <s v="N"/>
    <x v="5"/>
    <s v="dbo"/>
    <s v="RAKCAS"/>
    <s v="NG_DAO_EXTTABLE"/>
  </r>
  <r>
    <x v="1"/>
    <s v="N"/>
    <x v="3"/>
    <s v="dbo"/>
    <s v="npss-epayment"/>
    <s v="NPSS_RTS_PmtStatusDtl_Dbtr"/>
  </r>
  <r>
    <x v="3"/>
    <s v="N"/>
    <x v="0"/>
    <s v="CRMUSER"/>
    <s v="FINUAT"/>
    <s v="DEMOGRAPHIC"/>
  </r>
  <r>
    <x v="0"/>
    <s v="N"/>
    <x v="8"/>
    <s v="DEHUSEROB"/>
    <s v="rakdehsit"/>
    <s v="RETAIL_ONBOARDING_MASTER"/>
  </r>
  <r>
    <x v="0"/>
    <s v="N"/>
    <x v="0"/>
    <s v="TBAADM"/>
    <s v="FINUAT"/>
    <s v="GL_SUB_HEAD_TABLE"/>
  </r>
  <r>
    <x v="4"/>
    <s v="N"/>
    <x v="5"/>
    <s v="dbo"/>
    <s v="RAKCAS"/>
    <s v="RB_CU_EXTTABLE"/>
  </r>
  <r>
    <x v="1"/>
    <s v="N"/>
    <x v="1"/>
    <s v="TCTDBS"/>
    <s v="PRIMEDB"/>
    <s v="CCUSTOMERS"/>
  </r>
  <r>
    <x v="1"/>
    <s v="N"/>
    <x v="11"/>
    <s v="dbo"/>
    <s v="cpf_platform_dev"/>
    <s v="customer_consent_audit"/>
  </r>
  <r>
    <x v="3"/>
    <s v="N"/>
    <x v="2"/>
    <s v="WRM"/>
    <s v="WRM"/>
    <s v="DeliveryRegistration"/>
  </r>
  <r>
    <x v="1"/>
    <s v="N"/>
    <x v="0"/>
    <s v="TBAADM"/>
    <s v="FINUAT"/>
    <s v="GEN_ACCT_CLASS_TABLE"/>
  </r>
  <r>
    <x v="3"/>
    <s v="N"/>
    <x v="11"/>
    <s v="dbo"/>
    <s v="cpf_platform_dev"/>
    <s v="customer_consent"/>
  </r>
  <r>
    <x v="4"/>
    <s v="N"/>
    <x v="5"/>
    <s v="dbo"/>
    <s v="RAKCAS"/>
    <s v="RB_TL_EXTTABLE"/>
  </r>
  <r>
    <x v="0"/>
    <s v="Y"/>
    <x v="7"/>
    <s v="CAPSADMIN"/>
    <s v="CAPS"/>
    <s v="ACCOUNTS"/>
  </r>
  <r>
    <x v="1"/>
    <s v="Y"/>
    <x v="7"/>
    <s v="CAPSADMIN"/>
    <s v="Dealing"/>
    <s v="CARDS"/>
  </r>
  <r>
    <x v="1"/>
    <s v="N"/>
    <x v="0"/>
    <s v="DEDUPADM"/>
    <s v="FINUAT"/>
    <s v="OPERATIONSREASONCODES_DEDUP"/>
  </r>
  <r>
    <x v="0"/>
    <s v="N"/>
    <x v="8"/>
    <s v="DEHUSEROB"/>
    <s v="rakdehsit"/>
    <s v="PERSONAL_LOAN_REQUEST_DET"/>
  </r>
  <r>
    <x v="1"/>
    <s v="N"/>
    <x v="0"/>
    <s v="CRMUSER"/>
    <s v="FINUAT"/>
    <s v="psychographic"/>
  </r>
  <r>
    <x v="2"/>
    <s v="N"/>
    <x v="0"/>
    <s v="TBAADM"/>
    <s v="FINUAT"/>
    <s v="CHQ_BOOK_TABLE"/>
  </r>
  <r>
    <x v="0"/>
    <s v="N"/>
    <x v="0"/>
    <s v="TBAADM"/>
    <s v="FINUAT"/>
    <s v="LIM_HISTORY_TABLE"/>
  </r>
  <r>
    <x v="1"/>
    <s v="N"/>
    <x v="0"/>
    <s v="CUSTOM"/>
    <s v="FINUAT"/>
    <s v="C_PORD_REMIT_INR"/>
  </r>
  <r>
    <x v="0"/>
    <s v="Y"/>
    <x v="4"/>
    <s v="ECECUSER"/>
    <s v="CNVGNIB"/>
    <s v="SECUREIDTABLE"/>
  </r>
  <r>
    <x v="1"/>
    <s v="Y"/>
    <x v="7"/>
    <s v="CAPSADMIN"/>
    <s v="Dealing"/>
    <s v="CARD_GENERAL"/>
  </r>
  <r>
    <x v="4"/>
    <s v="Y"/>
    <x v="9"/>
    <s v="FIN_LEAM"/>
    <s v="RLSPROD"/>
    <s v="NBFC_CUSTOMER_M"/>
  </r>
  <r>
    <x v="1"/>
    <s v="N"/>
    <x v="0"/>
    <s v="TBAADM"/>
    <s v="FINUAT"/>
    <s v="MEMO_PAD_TABLE"/>
  </r>
  <r>
    <x v="0"/>
    <s v="N"/>
    <x v="0"/>
    <s v="CRMUSER"/>
    <s v="FINUAT"/>
    <s v="CorpMiscellaneousInfo"/>
  </r>
  <r>
    <x v="4"/>
    <s v="Y"/>
    <x v="9"/>
    <s v="FIN_LEAM"/>
    <s v="RLSPROD"/>
    <s v="LEA_AGREEMENT_DTL"/>
  </r>
  <r>
    <x v="4"/>
    <s v="N"/>
    <x v="0"/>
    <s v="CRMUSER"/>
    <s v="FINUAT"/>
    <s v="corporate"/>
  </r>
  <r>
    <x v="0"/>
    <s v="Y"/>
    <x v="9"/>
    <s v="LOS0909"/>
    <s v="RLSPROD"/>
    <s v="NBFC_ADDRESS_M"/>
  </r>
  <r>
    <x v="0"/>
    <s v="N"/>
    <x v="0"/>
    <s v="TBAADM"/>
    <s v="FINUAT"/>
    <s v="LA_DMD_HISTORY_TABLE"/>
  </r>
  <r>
    <x v="4"/>
    <s v="N"/>
    <x v="0"/>
    <s v="CRMUSER"/>
    <s v="FINUAT"/>
    <s v="categories"/>
  </r>
  <r>
    <x v="3"/>
    <s v="N"/>
    <x v="11"/>
    <s v="dbo"/>
    <s v="cpf_platform_dev"/>
    <s v="customer_info"/>
  </r>
  <r>
    <x v="4"/>
    <s v="N"/>
    <x v="5"/>
    <s v="dbo"/>
    <s v="RAKCAS"/>
    <s v="RB_BAIS_EXTTABLE"/>
  </r>
  <r>
    <x v="1"/>
    <s v="N"/>
    <x v="0"/>
    <s v="TBAADM"/>
    <s v="FINUAT"/>
    <s v="ACCT_STATEMENT_TABLE"/>
  </r>
  <r>
    <x v="2"/>
    <s v="N"/>
    <x v="0"/>
    <s v="CUSTOM"/>
    <s v="FINUAT"/>
    <s v="C_CHQ_REJ_DET"/>
  </r>
  <r>
    <x v="0"/>
    <s v="N"/>
    <x v="0"/>
    <s v="TBAADM"/>
    <s v="FINUAT"/>
    <s v="LA_REP_SHDL_TABLE"/>
  </r>
  <r>
    <x v="2"/>
    <s v="N"/>
    <x v="0"/>
    <s v="CRMUSER"/>
    <s v="FINUAT"/>
    <s v="FinancialDetails"/>
  </r>
  <r>
    <x v="4"/>
    <s v="N"/>
    <x v="0"/>
    <s v="CRMUSER"/>
    <s v="FINUAT"/>
    <s v="category_lang"/>
  </r>
  <r>
    <x v="4"/>
    <s v="N"/>
    <x v="5"/>
    <s v="dbo"/>
    <s v="RAKCAS"/>
    <s v="RB_NBTL_EXTTABLE"/>
  </r>
  <r>
    <x v="1"/>
    <s v="N"/>
    <x v="1"/>
    <s v="TCTDBS"/>
    <s v="PRIMEDB"/>
    <s v="ACPLINKS"/>
  </r>
  <r>
    <x v="0"/>
    <s v="N"/>
    <x v="12"/>
    <s v="TBAADM"/>
    <s v="WMS SIT"/>
    <s v="PORTFOLIO_SUMMARY_TABLE"/>
  </r>
  <r>
    <x v="0"/>
    <s v="N"/>
    <x v="8"/>
    <s v="DEHUSEROB"/>
    <s v="rakdehsit"/>
    <s v="PERSONAL_LOAN_MASTER"/>
  </r>
  <r>
    <x v="4"/>
    <s v="N"/>
    <x v="5"/>
    <s v="dbo"/>
    <s v="RAKCAS"/>
    <s v="RB_PC_EXTTABLE"/>
  </r>
  <r>
    <x v="1"/>
    <s v="N"/>
    <x v="0"/>
    <s v="TBAADM"/>
    <s v="FINUAT"/>
    <s v="POST_DATED_CHQ_TABLE"/>
  </r>
  <r>
    <x v="4"/>
    <s v="N"/>
    <x v="5"/>
    <s v="dbo"/>
    <s v="RAKCAS"/>
    <s v="RB_CSR_RR_EXTTABLE"/>
  </r>
  <r>
    <x v="1"/>
    <s v="N"/>
    <x v="0"/>
    <s v="CRMUSER"/>
    <s v="FINUAT"/>
    <s v="memberships"/>
  </r>
  <r>
    <x v="0"/>
    <s v="N"/>
    <x v="0"/>
    <s v="TBAADM"/>
    <s v="FINUAT"/>
    <s v="LA_DMD_TABLE"/>
  </r>
  <r>
    <x v="2"/>
    <s v="N"/>
    <x v="0"/>
    <s v="TBAADM"/>
    <s v="FINUAT"/>
    <s v="ACCOUNT_LIEN_TABLE"/>
  </r>
  <r>
    <x v="2"/>
    <s v="Y"/>
    <x v="10"/>
    <s v="CPPUSER"/>
    <s v="CPPSUAT"/>
    <s v="PAYMENT_TRANS"/>
  </r>
  <r>
    <x v="4"/>
    <s v="N"/>
    <x v="5"/>
    <s v="dbo"/>
    <s v="RAKCAS"/>
    <s v="RB_CSR_MISC_EXTTABLE"/>
  </r>
  <r>
    <x v="4"/>
    <s v="N"/>
    <x v="5"/>
    <s v="dbo"/>
    <s v="RAKCAS"/>
    <s v="RB_DBO_EXTTABLE"/>
  </r>
  <r>
    <x v="1"/>
    <s v="N"/>
    <x v="0"/>
    <s v="TBAADM"/>
    <s v="FINUAT"/>
    <s v="NAME_AND_ADD_TABLE"/>
  </r>
  <r>
    <x v="1"/>
    <s v="N"/>
    <x v="13"/>
    <s v="dbo"/>
    <s v="RAKICCS"/>
    <s v="Outward_ICCS"/>
  </r>
  <r>
    <x v="0"/>
    <s v="N"/>
    <x v="12"/>
    <s v="TBAADM"/>
    <s v="WMS SIT"/>
    <s v="BO_CLOSING_PRICE_TBL"/>
  </r>
  <r>
    <x v="4"/>
    <s v="N"/>
    <x v="5"/>
    <s v="dbo"/>
    <s v="RAKCAS"/>
    <s v="RB_EPP_EXTTABLE"/>
  </r>
  <r>
    <x v="4"/>
    <s v="N"/>
    <x v="5"/>
    <s v="dbo"/>
    <s v="RAKCAS"/>
    <s v="RB_CSR_OCC_EXTTABLE"/>
  </r>
  <r>
    <x v="4"/>
    <s v="N"/>
    <x v="5"/>
    <s v="dbo"/>
    <s v="RAKCAS"/>
    <s v="RB_iRBL_EXTTABLE"/>
  </r>
  <r>
    <x v="1"/>
    <s v="N"/>
    <x v="0"/>
    <s v="CUSTOM"/>
    <s v="FINUAT"/>
    <s v="CUST_CALBK"/>
  </r>
  <r>
    <x v="3"/>
    <s v="N"/>
    <x v="0"/>
    <s v="TBAADM"/>
    <s v="FINUAT"/>
    <s v="TD_ACCT_MASTER_TABLE"/>
  </r>
  <r>
    <x v="4"/>
    <s v="N"/>
    <x v="5"/>
    <s v="dbo"/>
    <s v="RAKCAS"/>
    <s v="RB_CSR_CCC_EXTTABLE"/>
  </r>
  <r>
    <x v="2"/>
    <s v="N"/>
    <x v="0"/>
    <s v="TBAADM"/>
    <s v="FINUAT"/>
    <s v="TD_DEFN_TABLE"/>
  </r>
  <r>
    <x v="0"/>
    <s v="N"/>
    <x v="0"/>
    <s v="CUSTOM"/>
    <s v="FINUAT"/>
    <s v="CUST_CBDSME_DOCDET_TABLE"/>
  </r>
  <r>
    <x v="1"/>
    <s v="N"/>
    <x v="0"/>
    <s v="TBAADM"/>
    <s v="FINUAT"/>
    <s v="LOGIN_TABLE"/>
  </r>
  <r>
    <x v="0"/>
    <s v="N"/>
    <x v="0"/>
    <s v="CUSTOM"/>
    <s v="FINUAT"/>
    <s v="CUST_CASA_PACKAGE_CHRG_HIS"/>
  </r>
  <r>
    <x v="0"/>
    <s v="N"/>
    <x v="2"/>
    <m/>
    <s v="Dealing"/>
    <s v="Content"/>
  </r>
  <r>
    <x v="3"/>
    <s v="N"/>
    <x v="0"/>
    <s v="TBAADM"/>
    <s v="FINUAT"/>
    <s v="SBCA_MAST_TABLE"/>
  </r>
  <r>
    <x v="0"/>
    <s v="N"/>
    <x v="3"/>
    <s v="dbo"/>
    <s v="npss-customer-mgmt"/>
    <s v="NPSS_MerchantMaster"/>
  </r>
  <r>
    <x v="4"/>
    <s v="N"/>
    <x v="5"/>
    <s v="dbo"/>
    <s v="RAKCAS"/>
    <s v="RB_AO_EXTTABLE"/>
  </r>
  <r>
    <x v="4"/>
    <s v="N"/>
    <x v="5"/>
    <s v="dbo"/>
    <s v="RAKCAS"/>
    <s v="NG_TS_EXTTABLE"/>
  </r>
  <r>
    <x v="2"/>
    <s v="Y"/>
    <x v="10"/>
    <s v="CPPUSER"/>
    <s v="CPPSUAT"/>
    <s v="SI_DETAILS"/>
  </r>
  <r>
    <x v="1"/>
    <s v="N"/>
    <x v="0"/>
    <s v="CRMUSER"/>
    <s v="FINUAT"/>
    <s v="preferences"/>
  </r>
  <r>
    <x v="1"/>
    <s v="N"/>
    <x v="0"/>
    <s v="CRMUSER"/>
    <s v="FINUAT"/>
    <s v="entityrelationship"/>
  </r>
  <r>
    <x v="0"/>
    <s v="N"/>
    <x v="0"/>
    <s v="TBAADM"/>
    <s v="FINUAT"/>
    <s v="LIMIT_LIAB_TABLE"/>
  </r>
  <r>
    <x v="0"/>
    <s v="N"/>
    <x v="0"/>
    <s v="TBAADM"/>
    <s v="FINUAT"/>
    <s v="STANDALONE_COLL_MNT_TABLE"/>
  </r>
  <r>
    <x v="0"/>
    <s v="N"/>
    <x v="0"/>
    <s v="CRMUSER"/>
    <s v="FINUAT"/>
    <s v="FINANCIAL"/>
  </r>
  <r>
    <x v="1"/>
    <s v="N"/>
    <x v="0"/>
    <s v="CUSTOM"/>
    <s v="FINUAT"/>
    <s v="C_PORDM_DELETE"/>
  </r>
  <r>
    <x v="4"/>
    <s v="N"/>
    <x v="5"/>
    <s v="dbo"/>
    <s v="RAKCAS"/>
    <s v="RB_ML_EXTTABLE"/>
  </r>
  <r>
    <x v="0"/>
    <s v="N"/>
    <x v="12"/>
    <s v="TBAADM"/>
    <s v="WMS SIT"/>
    <s v="IN_TRAN_PREMIUM_TABLE"/>
  </r>
  <r>
    <x v="0"/>
    <s v="N"/>
    <x v="0"/>
    <s v="TBAADM"/>
    <s v="FINUAT"/>
    <s v="SECU_DETAIL_RGTR_TABLE"/>
  </r>
  <r>
    <x v="0"/>
    <s v="Y"/>
    <x v="9"/>
    <s v="FIN_LEAM"/>
    <s v="RLSPROD"/>
    <s v="LEA_ASSET_M"/>
  </r>
  <r>
    <x v="0"/>
    <s v="Y"/>
    <x v="9"/>
    <s v="FIN_LEAM"/>
    <s v="RLSPROD"/>
    <s v="LEA_TERMINATION_DTL"/>
  </r>
  <r>
    <x v="2"/>
    <s v="N"/>
    <x v="0"/>
    <s v="TBAADM"/>
    <s v="FINUAT"/>
    <s v="AMT_DRV_METHOD_TBL"/>
  </r>
  <r>
    <x v="0"/>
    <s v="Y"/>
    <x v="9"/>
    <s v="FIN_LEAM"/>
    <s v="RLSPROD"/>
    <s v="CR_DECISION_M"/>
  </r>
  <r>
    <x v="0"/>
    <s v="Y"/>
    <x v="9"/>
    <s v="RAK_JSITPH3"/>
    <s v="RLSPROD"/>
    <s v="EARLY_SETTLEMENT"/>
  </r>
  <r>
    <x v="4"/>
    <s v="N"/>
    <x v="5"/>
    <s v="dbo"/>
    <s v="RAKCAS"/>
    <s v="RB_DBS_EXTTABLE"/>
  </r>
  <r>
    <x v="0"/>
    <s v="N"/>
    <x v="0"/>
    <s v="TBAADM"/>
    <s v="FINUAT"/>
    <s v="LIMIT_DOC_TABLE"/>
  </r>
  <r>
    <x v="1"/>
    <s v="N"/>
    <x v="13"/>
    <s v="dbo"/>
    <s v="RAKICCS"/>
    <s v="Inward_Ext_Tab"/>
  </r>
  <r>
    <x v="4"/>
    <s v="N"/>
    <x v="5"/>
    <s v="dbo"/>
    <s v="RAKCAS"/>
    <s v="RB_TWC_EXTTABLE"/>
  </r>
  <r>
    <x v="0"/>
    <s v="N"/>
    <x v="0"/>
    <s v="TBAADM"/>
    <s v="FINUAT"/>
    <s v="LA_ACCT_MAST_TABLE"/>
  </r>
  <r>
    <x v="4"/>
    <s v="Y"/>
    <x v="4"/>
    <s v="ECECUSER"/>
    <s v="CNVGNIB"/>
    <s v="MULTI_LEVEL_WORKFLOW_TABLE"/>
  </r>
  <r>
    <x v="4"/>
    <s v="Y"/>
    <x v="9"/>
    <s v="FIN_LEAM"/>
    <s v="RLSPROD"/>
    <s v="LEA_APPL_DTL"/>
  </r>
  <r>
    <x v="4"/>
    <s v="N"/>
    <x v="5"/>
    <s v="dbo"/>
    <s v="RAKCAS"/>
    <s v="RB_DSR_ODC_EXTTABLE"/>
  </r>
  <r>
    <x v="4"/>
    <s v="N"/>
    <x v="5"/>
    <s v="dbo"/>
    <s v="RAKCAS"/>
    <s v="NG_DPL_EXTTABLE"/>
  </r>
  <r>
    <x v="0"/>
    <s v="N"/>
    <x v="2"/>
    <m/>
    <s v="Dealing"/>
    <s v="WrmRequest"/>
  </r>
  <r>
    <x v="4"/>
    <s v="N"/>
    <x v="5"/>
    <s v="dbo"/>
    <s v="RAKCAS"/>
    <s v="RB_DA_Exttable"/>
  </r>
  <r>
    <x v="2"/>
    <s v="N"/>
    <x v="1"/>
    <s v="TCTDBS"/>
    <s v="PRIMEDB"/>
    <s v="cTrxnRewardGifts"/>
  </r>
  <r>
    <x v="0"/>
    <s v="N"/>
    <x v="8"/>
    <s v="DEHUSEROB"/>
    <s v="rakdehsit"/>
    <s v="COMMONCODES"/>
  </r>
  <r>
    <x v="1"/>
    <s v="N"/>
    <x v="0"/>
    <s v="TBAADM"/>
    <s v="FINUAT"/>
    <s v="ML_MMSG_TBL"/>
  </r>
  <r>
    <x v="4"/>
    <s v="N"/>
    <x v="5"/>
    <s v="dbo"/>
    <s v="RAKCAS"/>
    <s v="RB_CMS_EXTTABLE"/>
  </r>
  <r>
    <x v="3"/>
    <s v="Y"/>
    <x v="4"/>
    <s v="ECECUSER"/>
    <s v="CNVGNIB"/>
    <s v="COMMONCODES"/>
  </r>
  <r>
    <x v="0"/>
    <s v="Y"/>
    <x v="9"/>
    <s v="FIN_LEAM"/>
    <s v="RLSPROD"/>
    <s v="LEA_ASSET_DTL"/>
  </r>
  <r>
    <x v="2"/>
    <s v="N"/>
    <x v="0"/>
    <s v="TBAADM"/>
    <s v="FINUAT"/>
    <s v="SI_HEADER_TABLE"/>
  </r>
  <r>
    <x v="4"/>
    <s v="N"/>
    <x v="12"/>
    <s v="TBAADM"/>
    <s v="WMS SIT"/>
    <s v="WMS_INV_GEN_DTLS_TBL"/>
  </r>
  <r>
    <x v="0"/>
    <s v="N"/>
    <x v="0"/>
    <s v="TBAADM"/>
    <s v="FINUAT"/>
    <s v="PNL_INT_TBL_CODE_TABLE"/>
  </r>
  <r>
    <x v="0"/>
    <s v="N"/>
    <x v="0"/>
    <s v="CUSTOM"/>
    <s v="FINUAT"/>
    <s v="CUST_CASA_PACKAGE_CHRG"/>
  </r>
  <r>
    <x v="0"/>
    <s v="N"/>
    <x v="12"/>
    <s v="TBAADM"/>
    <s v="WMS SIT"/>
    <s v="INS_POLICY_DTLS_TABLE"/>
  </r>
  <r>
    <x v="0"/>
    <s v="N"/>
    <x v="0"/>
    <s v="TBAADM"/>
    <s v="FINUAT"/>
    <s v="LA_RESHDL_HDR_TABLE"/>
  </r>
  <r>
    <x v="0"/>
    <s v="Y"/>
    <x v="9"/>
    <s v="FIN_LEAM"/>
    <s v="RLSPROD"/>
    <s v="LEA_PROPERTY_DTL"/>
  </r>
  <r>
    <x v="2"/>
    <s v="N"/>
    <x v="0"/>
    <s v="TBAADM"/>
    <s v="FINUAT"/>
    <s v="RENEWAL_OPTION_TABLE"/>
  </r>
  <r>
    <x v="0"/>
    <s v="N"/>
    <x v="0"/>
    <s v="TBAADM"/>
    <s v="FINUAT"/>
    <s v="INT_CODE_VERSION_TABLE"/>
  </r>
  <r>
    <x v="0"/>
    <s v="N"/>
    <x v="0"/>
    <s v="TBAADM"/>
    <s v="FINUAT"/>
    <s v="CL_DRAW_DOWN_SCHEDULE_TBL"/>
  </r>
  <r>
    <x v="0"/>
    <s v="Y"/>
    <x v="9"/>
    <s v="FIN_LEAM"/>
    <s v="RLSPROD"/>
    <s v="LEA_COLLATERAL_DTL"/>
  </r>
  <r>
    <x v="0"/>
    <s v="Y"/>
    <x v="9"/>
    <s v="LOS0909"/>
    <s v="RLSPROD"/>
    <s v="LEA_GUARANTOR_HIRER_DTL"/>
  </r>
  <r>
    <x v="1"/>
    <s v="N"/>
    <x v="0"/>
    <s v="TBAADM"/>
    <s v="FINUAT"/>
    <s v="GEN_ACCT_MAST_MOD_TABLE"/>
  </r>
  <r>
    <x v="1"/>
    <s v="N"/>
    <x v="1"/>
    <s v="TCTDBS"/>
    <s v="PRIMEDB"/>
    <s v="GLOBALPARAMETERVALUES"/>
  </r>
  <r>
    <x v="1"/>
    <s v="N"/>
    <x v="1"/>
    <s v="TCTDBS"/>
    <s v="PRIMEDB"/>
    <s v="GLOBALPARAMETERS"/>
  </r>
  <r>
    <x v="4"/>
    <s v="N"/>
    <x v="5"/>
    <s v="dbo"/>
    <s v="RAKCAS"/>
    <s v="RB_DAC_EXTTABLE"/>
  </r>
  <r>
    <x v="1"/>
    <s v="N"/>
    <x v="3"/>
    <s v="dbo"/>
    <s v="npss-epayment"/>
    <s v="NPSS_PmtStatus_ReqHdr"/>
  </r>
  <r>
    <x v="0"/>
    <s v="N"/>
    <x v="0"/>
    <s v="CRMUSER"/>
    <s v="FINUAT"/>
    <s v="GROUPHOUSEHOLD"/>
  </r>
  <r>
    <x v="2"/>
    <s v="N"/>
    <x v="0"/>
    <s v="CUSTOM"/>
    <s v="FINUAT"/>
    <s v="C_CPARAM_VALUE_TABLE"/>
  </r>
  <r>
    <x v="2"/>
    <s v="N"/>
    <x v="0"/>
    <s v="TBAADM"/>
    <s v="FINUAT"/>
    <s v="REMIT_THRU_SI_TD_TABLE"/>
  </r>
  <r>
    <x v="0"/>
    <s v="N"/>
    <x v="0"/>
    <s v="TBAADM"/>
    <s v="FINUAT"/>
    <s v="CRNCY_SCHM_PARM_TBL"/>
  </r>
  <r>
    <x v="0"/>
    <s v="N"/>
    <x v="12"/>
    <s v="TBAADM"/>
    <s v="WMS SIT"/>
    <s v="IN_NW_PREM_COLL_MAND_TBL"/>
  </r>
  <r>
    <x v="0"/>
    <s v="N"/>
    <x v="12"/>
    <s v="TBAADM"/>
    <s v="WMS SIT"/>
    <s v="MF_TRAN_BAL_SUMMARY_TBL"/>
  </r>
  <r>
    <x v="1"/>
    <s v="N"/>
    <x v="0"/>
    <s v="TBAADM"/>
    <s v="FINUAT"/>
    <s v="REFERENCE_CODE_TABLE"/>
  </r>
  <r>
    <x v="0"/>
    <s v="N"/>
    <x v="0"/>
    <s v="CUSTOM"/>
    <s v="FINUAT"/>
    <s v="CUST_CASA_HISTDTL"/>
  </r>
  <r>
    <x v="0"/>
    <s v="N"/>
    <x v="0"/>
    <s v="CUSTOM"/>
    <s v="FINUAT"/>
    <s v="CUST_CASA_PACKAGE_MAIN"/>
  </r>
  <r>
    <x v="4"/>
    <s v="N"/>
    <x v="5"/>
    <s v="dbo"/>
    <s v="RAKCAS"/>
    <s v="RB_CSR_BT_EXTTABLE"/>
  </r>
  <r>
    <x v="0"/>
    <s v="N"/>
    <x v="12"/>
    <s v="TBAADM"/>
    <s v="WMS SIT"/>
    <s v="BO_BOND_MASTER"/>
  </r>
  <r>
    <x v="0"/>
    <s v="N"/>
    <x v="12"/>
    <s v="TBAADM"/>
    <s v="WMS SIT"/>
    <s v="BOND_TRAN_BAL_SUMMARY_TBL"/>
  </r>
  <r>
    <x v="0"/>
    <s v="N"/>
    <x v="12"/>
    <s v="TBAADM"/>
    <s v="WMS SIT"/>
    <s v="SP_ORDER_DETAILS_TABLE"/>
  </r>
  <r>
    <x v="0"/>
    <s v="N"/>
    <x v="12"/>
    <s v="TBAADM"/>
    <s v="WMS SIT"/>
    <s v="WMS_INV_CUST_DTLS_TBL"/>
  </r>
  <r>
    <x v="4"/>
    <s v="N"/>
    <x v="0"/>
    <s v="CRMUSER"/>
    <s v="FINUAT"/>
    <s v="Person"/>
  </r>
  <r>
    <x v="1"/>
    <s v="N"/>
    <x v="0"/>
    <s v="CRMUSER"/>
    <s v="FINUAT"/>
    <s v="users"/>
  </r>
  <r>
    <x v="0"/>
    <s v="N"/>
    <x v="0"/>
    <s v="CRMUSER"/>
    <s v="FINUAT"/>
    <s v="GROUPHOUSEHOLDMASTER"/>
  </r>
  <r>
    <x v="1"/>
    <s v="N"/>
    <x v="0"/>
    <s v="CUSTOM"/>
    <s v="FINUAT"/>
    <s v="CUST_LDFEE"/>
  </r>
  <r>
    <x v="1"/>
    <s v="N"/>
    <x v="0"/>
    <s v="TBAADM"/>
    <s v="FINUAT"/>
    <s v="GEN_SCHM_PARM_TABLE"/>
  </r>
  <r>
    <x v="3"/>
    <s v="N"/>
    <x v="1"/>
    <s v="TCTDBS"/>
    <s v="PRIMEDB"/>
    <s v="PRODUCTS"/>
  </r>
  <r>
    <x v="1"/>
    <s v="N"/>
    <x v="1"/>
    <s v="TCTDBS"/>
    <s v="PRIMEDB"/>
    <s v="INSTALMENTPLANS"/>
  </r>
  <r>
    <x v="1"/>
    <s v="N"/>
    <x v="1"/>
    <s v="TCTDBS"/>
    <s v="PRIMEDB"/>
    <s v="PROFILES"/>
  </r>
  <r>
    <x v="1"/>
    <s v="N"/>
    <x v="1"/>
    <s v="TCTDBS"/>
    <s v="PRIMEDB"/>
    <s v="Trxntypes"/>
  </r>
  <r>
    <x v="4"/>
    <s v="N"/>
    <x v="5"/>
    <s v="dbo"/>
    <s v="RAKCAS"/>
    <s v="RB_DSR_MISC_EXTTABLE"/>
  </r>
  <r>
    <x v="4"/>
    <s v="N"/>
    <x v="5"/>
    <s v="dbo"/>
    <s v="RAKCAS"/>
    <s v="RB_OECD_EXTTABLE"/>
  </r>
  <r>
    <x v="4"/>
    <s v="N"/>
    <x v="5"/>
    <s v="dbo"/>
    <s v="RAKCAS"/>
    <s v="RB_PL_EXTTABLE"/>
  </r>
  <r>
    <x v="0"/>
    <s v="N"/>
    <x v="12"/>
    <s v="TBAADM"/>
    <s v="WMS SIT"/>
    <s v="MF_FUND_MASTER_TBL"/>
  </r>
  <r>
    <x v="0"/>
    <s v="N"/>
    <x v="1"/>
    <s v="TCTDBS"/>
    <s v="PRIMEDB"/>
    <s v="SERVICELIST"/>
  </r>
  <r>
    <x v="2"/>
    <s v="Y"/>
    <x v="9"/>
    <s v="FIN_LEAM"/>
    <s v="RLSPROD"/>
    <s v="LEA_SCHEME_M"/>
  </r>
  <r>
    <x v="0"/>
    <s v="Y"/>
    <x v="9"/>
    <s v="LOS0909"/>
    <s v="RLSPROD"/>
    <s v="NBFC_PARAMETER_M"/>
  </r>
  <r>
    <x v="3"/>
    <s v="N"/>
    <x v="0"/>
    <s v="CRMUSER"/>
    <s v="FINUAT"/>
    <s v="agent_entity_details"/>
  </r>
  <r>
    <x v="3"/>
    <s v="N"/>
    <x v="0"/>
    <s v="CRMUSER"/>
    <s v="FINUAT"/>
    <s v="bizcenter"/>
  </r>
  <r>
    <x v="0"/>
    <s v="N"/>
    <x v="0"/>
    <s v="CUSTOM"/>
    <s v="FINUAT"/>
    <s v="C_LNM_DETAIL_TBL_MOD"/>
  </r>
  <r>
    <x v="0"/>
    <s v="N"/>
    <x v="0"/>
    <s v="CUSTOM"/>
    <s v="FINUAT"/>
    <s v="CUST_CASA_PACKAGE"/>
  </r>
  <r>
    <x v="1"/>
    <s v="N"/>
    <x v="0"/>
    <s v="TBAADM"/>
    <s v="FINUAT"/>
    <s v="ACH_PAYSYS_REASON_TABLE"/>
  </r>
  <r>
    <x v="1"/>
    <s v="N"/>
    <x v="0"/>
    <s v="TBAADM"/>
    <s v="FINUAT"/>
    <s v="CMB_CSIS_GEN_ACCT_TABLE"/>
  </r>
  <r>
    <x v="1"/>
    <s v="N"/>
    <x v="0"/>
    <s v="TBAADM"/>
    <s v="FINUAT"/>
    <s v="SOL_GROUP_CONTROL_TABLE"/>
  </r>
  <r>
    <x v="3"/>
    <s v="N"/>
    <x v="1"/>
    <s v="TCTDBS"/>
    <s v="PRIMEDB"/>
    <s v="CURRENCIES"/>
  </r>
  <r>
    <x v="1"/>
    <s v="N"/>
    <x v="1"/>
    <s v="TCTDBS"/>
    <s v="PRIMEDB"/>
    <s v="ACPROFILES"/>
  </r>
  <r>
    <x v="1"/>
    <s v="N"/>
    <x v="1"/>
    <s v="TCTDBS"/>
    <s v="PRIMEDB"/>
    <s v="TRXNSTATUS"/>
  </r>
  <r>
    <x v="1"/>
    <s v="N"/>
    <x v="1"/>
    <s v="TCTDBS"/>
    <s v="PRIMEDB"/>
    <s v="MEMOTYPES"/>
  </r>
  <r>
    <x v="1"/>
    <s v="N"/>
    <x v="13"/>
    <s v="dbo"/>
    <s v="RAKICCS"/>
    <s v="ICCS_TAB_RoutingNumbers"/>
  </r>
  <r>
    <x v="4"/>
    <s v="N"/>
    <x v="5"/>
    <s v="dbo"/>
    <s v="RAKCAS"/>
    <s v="RB_DSR_DCB_EXTTABLE"/>
  </r>
  <r>
    <x v="4"/>
    <s v="N"/>
    <x v="5"/>
    <s v="dbo"/>
    <s v="RAKCAS"/>
    <s v="ng_CourtOrder_exttable"/>
  </r>
  <r>
    <x v="1"/>
    <s v="N"/>
    <x v="3"/>
    <s v="dbo"/>
    <s v="npss-epayment"/>
    <s v="NPSS_PaymentsStatusConfig"/>
  </r>
  <r>
    <x v="3"/>
    <s v="N"/>
    <x v="11"/>
    <s v="dbo"/>
    <s v="cpf_platform_dev"/>
    <s v="consent_configs"/>
  </r>
  <r>
    <x v="1"/>
    <s v="N"/>
    <x v="0"/>
    <s v="TBAADM"/>
    <s v="FINUAT"/>
    <s v="SERVICE_OUTLET_TABLE"/>
  </r>
  <r>
    <x v="2"/>
    <s v="N"/>
    <x v="0"/>
    <s v="TBAADM"/>
    <s v="FINUAT"/>
    <s v="CNTRY_CURR_CRNCY_TABLE"/>
  </r>
  <r>
    <x v="2"/>
    <s v="N"/>
    <x v="0"/>
    <s v="TBAADM"/>
    <s v="FINUAT"/>
    <s v="POOL_OF_FUNDS_TABLE"/>
  </r>
  <r>
    <x v="2"/>
    <s v="N"/>
    <x v="0"/>
    <s v="TBAADM"/>
    <s v="FINUAT"/>
    <s v="TD_SCHM_DEFN_TABLE"/>
  </r>
  <r>
    <x v="0"/>
    <s v="N"/>
    <x v="0"/>
    <s v="TBAADM"/>
    <s v="FINUAT"/>
    <s v="EQ_security_master_tbl"/>
  </r>
  <r>
    <x v="0"/>
    <s v="N"/>
    <x v="0"/>
    <s v="TBAADM"/>
    <s v="FINUAT"/>
    <s v="LA_FLOW_MNT_TABLE"/>
  </r>
  <r>
    <x v="0"/>
    <s v="N"/>
    <x v="12"/>
    <s v="TBAADM"/>
    <s v="WMS SIT"/>
    <s v="AI_PROD_CODE_DTLS_TBL"/>
  </r>
  <r>
    <x v="0"/>
    <s v="N"/>
    <x v="12"/>
    <s v="TBAADM"/>
    <s v="WMS SIT"/>
    <s v="EQ_INV_BALANCE_SUMMARY_TBL"/>
  </r>
  <r>
    <x v="0"/>
    <s v="N"/>
    <x v="12"/>
    <s v="TBAADM"/>
    <s v="WMS SIT"/>
    <s v="EQ_SECURITY_MASTER_TBL"/>
  </r>
  <r>
    <x v="0"/>
    <s v="N"/>
    <x v="12"/>
    <s v="TBAADM"/>
    <s v="WMS SIT"/>
    <s v="HA_INV_DTLS_TBL"/>
  </r>
  <r>
    <x v="0"/>
    <s v="N"/>
    <x v="12"/>
    <s v="TBAADM"/>
    <s v="WMS SIT"/>
    <s v="IN_PRODUCT_MASTER_DTLS_TBL"/>
  </r>
  <r>
    <x v="0"/>
    <s v="N"/>
    <x v="12"/>
    <s v="TBAADM"/>
    <s v="WMS SIT"/>
    <s v="IN_TRAN_PROP_INSUR_TABLE"/>
  </r>
  <r>
    <x v="0"/>
    <s v="N"/>
    <x v="12"/>
    <s v="TBAADM"/>
    <s v="WMS SIT"/>
    <s v="MF_FUND_LATEST_DTLS_TBL"/>
  </r>
  <r>
    <x v="0"/>
    <s v="N"/>
    <x v="12"/>
    <s v="TBAADM"/>
    <s v="WMS SIT"/>
    <s v="AI_PEID_BAL_SUMMARY_TBL"/>
  </r>
  <r>
    <x v="0"/>
    <s v="N"/>
    <x v="12"/>
    <s v="TBAADM"/>
    <s v="WMS SIT"/>
    <s v="SP_ACCRUAL_INFO_TABLE"/>
  </r>
  <r>
    <x v="0"/>
    <s v="N"/>
    <x v="12"/>
    <s v="TBAADM"/>
    <s v="WMS SIT"/>
    <s v="SP_GEN_DESCRIPTION_TABLE"/>
  </r>
  <r>
    <x v="0"/>
    <s v="Y"/>
    <x v="9"/>
    <s v="LOS0909"/>
    <s v="RLSPROD"/>
    <s v="NBFC_CONST_M"/>
  </r>
  <r>
    <x v="0"/>
    <s v="Y"/>
    <x v="9"/>
    <s v="LOS0909"/>
    <s v="RLSPROD"/>
    <s v="NBFC_INDUSTRY_M"/>
  </r>
  <r>
    <x v="0"/>
    <s v="Y"/>
    <x v="9"/>
    <s v="FIN_LEAM"/>
    <s v="RLSPROD"/>
    <s v="LEA_CATG_M"/>
  </r>
  <r>
    <x v="1"/>
    <s v="N"/>
    <x v="0"/>
    <s v="TBAADM"/>
    <s v="FINUAT"/>
    <s v="FLEXI_FIXED_PARM_TABLE"/>
  </r>
  <r>
    <x v="0"/>
    <s v="N"/>
    <x v="0"/>
    <s v="TBAADM"/>
    <s v="FINUAT"/>
    <s v="LA_SCHM_PARM_TABLE"/>
  </r>
  <r>
    <x v="0"/>
    <s v="N"/>
    <x v="2"/>
    <m/>
    <s v="Dealing"/>
    <s v="Campaign"/>
  </r>
  <r>
    <x v="0"/>
    <s v="N"/>
    <x v="1"/>
    <s v="TCTDBS"/>
    <s v="PRIMEDB"/>
    <s v="EXTENSIONFIELDS"/>
  </r>
  <r>
    <x v="2"/>
    <s v="N"/>
    <x v="14"/>
    <s v="TCTDBS"/>
    <s v="OnlineDB"/>
    <s v="INTERNALTYPEDESCRIPTIONS"/>
  </r>
  <r>
    <x v="0"/>
    <s v="Y"/>
    <x v="9"/>
    <s v="RAK_JSITPH3"/>
    <s v="RLSPROD"/>
    <s v="CREDIT_CARD_TRAN_V"/>
  </r>
  <r>
    <x v="0"/>
    <s v="Y"/>
    <x v="9"/>
    <s v="RAK_JSITPH3"/>
    <s v="RLSPROD"/>
    <s v="CHEQUE_DETAILS"/>
  </r>
  <r>
    <x v="3"/>
    <s v="N"/>
    <x v="15"/>
    <s v="infobip"/>
    <m/>
    <s v="CSV files"/>
  </r>
  <r>
    <x v="3"/>
    <s v="N"/>
    <x v="0"/>
    <s v="CRMUSER"/>
    <s v="FINUAT"/>
    <s v="EXTN_BODATA "/>
  </r>
  <r>
    <x v="1"/>
    <s v="N"/>
    <x v="0"/>
    <s v="CUSTOM"/>
    <s v="FINUAT"/>
    <s v="CUST_REJECT"/>
  </r>
  <r>
    <x v="0"/>
    <s v="N"/>
    <x v="0"/>
    <s v="CUSTOM"/>
    <s v="FINUAT"/>
    <s v="TBA_COLTRL_GURNT_DTL_TBL"/>
  </r>
  <r>
    <x v="0"/>
    <s v="N"/>
    <x v="0"/>
    <s v="SVSUSER"/>
    <s v="FINUAT"/>
    <s v="SIGNMAINTANENCE"/>
  </r>
  <r>
    <x v="3"/>
    <s v="N"/>
    <x v="14"/>
    <s v="TCTDBS"/>
    <s v="OnlineDB"/>
    <s v="CARDSTATUS"/>
  </r>
  <r>
    <x v="3"/>
    <s v="N"/>
    <x v="14"/>
    <s v="TCTDBS"/>
    <s v="OnlineDB"/>
    <s v="AUTHORIZATIONS"/>
  </r>
  <r>
    <x v="1"/>
    <s v="N"/>
    <x v="14"/>
    <s v="TCTDBS"/>
    <s v="OnlineDB"/>
    <s v="CARDS"/>
  </r>
  <r>
    <x v="1"/>
    <s v="N"/>
    <x v="14"/>
    <s v="TCTDBS"/>
    <s v="OnlineDB"/>
    <s v="GROUPS"/>
  </r>
  <r>
    <x v="0"/>
    <s v="N"/>
    <x v="12"/>
    <s v="TBAADM"/>
    <s v="WMS SIT"/>
    <s v="INCTD"/>
  </r>
  <r>
    <x v="0"/>
    <s v="N"/>
    <x v="0"/>
    <s v="TBAADM"/>
    <s v="FINUAT"/>
    <s v="PAID_CHQ_RETURN_TABLE"/>
  </r>
  <r>
    <x v="0"/>
    <s v="N"/>
    <x v="14"/>
    <s v="TCTDBS"/>
    <s v="OnlineDB"/>
    <s v="RESPCODES"/>
  </r>
  <r>
    <x v="3"/>
    <s v="N"/>
    <x v="1"/>
    <s v="TCTDBS"/>
    <s v="PRIMEDB"/>
    <s v="CARDSTATUSX"/>
  </r>
  <r>
    <x v="1"/>
    <s v="N"/>
    <x v="1"/>
    <s v="TCTDBS"/>
    <s v="PRIMEDB"/>
    <s v="archctransactions"/>
  </r>
  <r>
    <x v="1"/>
    <s v="N"/>
    <x v="0"/>
    <s v="TBAADM"/>
    <s v="FINUAT"/>
    <s v="DAILY_TRAN_HEADER_TABLE"/>
  </r>
  <r>
    <x v="1"/>
    <s v="N"/>
    <x v="0"/>
    <s v="TBAADM"/>
    <s v="FINUAT"/>
    <s v="HIST_TRAN_HEADER_TABLE"/>
  </r>
  <r>
    <x v="1"/>
    <s v="N"/>
    <x v="0"/>
    <s v="TBAADM"/>
    <s v="FINUAT"/>
    <s v="EOD_ACCT_BAL_TABLE"/>
  </r>
  <r>
    <x v="3"/>
    <s v="N"/>
    <x v="5"/>
    <s v="dbo"/>
    <s v="IBPS"/>
    <s v="processdeftable"/>
  </r>
  <r>
    <x v="1"/>
    <s v="N"/>
    <x v="0"/>
    <s v="TBAADM"/>
    <s v="FINUAT"/>
    <s v="CCOD_ACCT_MAST_TABLE"/>
  </r>
  <r>
    <x v="1"/>
    <s v="N"/>
    <x v="0"/>
    <s v="CRMUSER"/>
    <s v="FINUAT"/>
    <s v="Agents"/>
  </r>
  <r>
    <x v="1"/>
    <s v="N"/>
    <x v="6"/>
    <s v="REMIT_SL"/>
    <s v="REMITTDB"/>
    <s v="dx_trns_cashier_pay_details "/>
  </r>
  <r>
    <x v="1"/>
    <s v="N"/>
    <x v="6"/>
    <s v="REMIT_SL"/>
    <s v="REMITTDB"/>
    <s v="DX_MST_ORG_BRANCH_LANG"/>
  </r>
  <r>
    <x v="1"/>
    <s v="N"/>
    <x v="6"/>
    <s v="REMIT_SL"/>
    <s v="REMITTDB"/>
    <s v="DX_MST_PURPOSE"/>
  </r>
  <r>
    <x v="1"/>
    <s v="N"/>
    <x v="6"/>
    <s v="REMIT_SL"/>
    <s v="REMITTDB"/>
    <s v="DX_MST_CUSSEGMENTATION"/>
  </r>
  <r>
    <x v="1"/>
    <s v="N"/>
    <x v="6"/>
    <s v="REMIT_SL"/>
    <s v="REMITTDB"/>
    <s v="DX_REF_COUNTRY"/>
  </r>
  <r>
    <x v="1"/>
    <s v="N"/>
    <x v="6"/>
    <s v="REMIT_SL"/>
    <s v="REMITTDB"/>
    <s v="DX_MST_SERVICE"/>
  </r>
  <r>
    <x v="1"/>
    <s v="N"/>
    <x v="13"/>
    <s v="dbo"/>
    <s v="RAKICCS"/>
    <s v="ICCS_ErrorMaster"/>
  </r>
  <r>
    <x v="2"/>
    <s v="N"/>
    <x v="0"/>
    <s v="TBAADM"/>
    <s v="FINUAT"/>
    <s v="TBA_RENEWAL_OPTION_TBL"/>
  </r>
  <r>
    <x v="1"/>
    <s v="N"/>
    <x v="1"/>
    <s v="TCTDBS"/>
    <s v="PRIMEDB"/>
    <s v="caccountrelations"/>
  </r>
  <r>
    <x v="1"/>
    <s v="N"/>
    <x v="1"/>
    <s v="TCTDBS"/>
    <s v="PRIMEDB"/>
    <s v="cstatementlinks"/>
  </r>
  <r>
    <x v="2"/>
    <s v="N"/>
    <x v="0"/>
    <s v="CUSTOM"/>
    <s v="FINUAT"/>
    <s v="C_CHQ_REJ_CNT"/>
  </r>
  <r>
    <x v="1"/>
    <s v="N"/>
    <x v="1"/>
    <s v="TCTDBS"/>
    <s v="PRIMEDB"/>
    <s v="caddresslinks  "/>
  </r>
  <r>
    <x v="2"/>
    <s v="Y"/>
    <x v="7"/>
    <s v="CAPSADMIN"/>
    <s v="CAPS"/>
    <s v="PERSONS"/>
  </r>
  <r>
    <x v="4"/>
    <s v="N"/>
    <x v="16"/>
    <m/>
    <s v="INSURANCE_DIRECT_DEBIT"/>
    <s v="IDD_INSURANCE_POLICY_DTL_T"/>
  </r>
  <r>
    <x v="4"/>
    <s v="N"/>
    <x v="17"/>
    <m/>
    <s v="ProspectsDB"/>
    <s v="PROSPECT_CALLS"/>
  </r>
  <r>
    <x v="4"/>
    <s v="Y"/>
    <x v="4"/>
    <s v="ECECUSER"/>
    <s v="CNVGNIB"/>
    <s v="CUSTOMER_MASTER"/>
  </r>
  <r>
    <x v="2"/>
    <s v="N"/>
    <x v="5"/>
    <s v="dbo"/>
    <s v="IBPS"/>
    <s v="USR_0_EPP_WIHISTORY"/>
  </r>
  <r>
    <x v="2"/>
    <s v="N"/>
    <x v="5"/>
    <s v="dbo"/>
    <s v="IBPS"/>
    <s v="USR_0_IRBL_WIHISTORY"/>
  </r>
  <r>
    <x v="2"/>
    <s v="N"/>
    <x v="5"/>
    <s v="dbo"/>
    <s v="IBPS"/>
    <s v="USR_0_MEROB_WIHISTORY"/>
  </r>
  <r>
    <x v="2"/>
    <s v="N"/>
    <x v="5"/>
    <s v="dbo"/>
    <s v="IBPS"/>
    <s v="USR_0_ML_WIHISTORY"/>
  </r>
  <r>
    <x v="2"/>
    <s v="N"/>
    <x v="5"/>
    <s v="dbo"/>
    <s v="IBPS"/>
    <s v="USR_0_NBTL_WIHISTORY"/>
  </r>
  <r>
    <x v="2"/>
    <s v="N"/>
    <x v="5"/>
    <s v="dbo"/>
    <s v="IBPS"/>
    <s v="USR_0_ODDD_WIHISTORY"/>
  </r>
  <r>
    <x v="2"/>
    <s v="N"/>
    <x v="5"/>
    <s v="dbo"/>
    <s v="IBPS"/>
    <s v="USR_0_OECD_WIHISTORY"/>
  </r>
  <r>
    <x v="2"/>
    <s v="N"/>
    <x v="5"/>
    <s v="dbo"/>
    <s v="IBPS"/>
    <s v="USR_0_PC_WIHISTORY"/>
  </r>
  <r>
    <x v="2"/>
    <s v="N"/>
    <x v="5"/>
    <s v="dbo"/>
    <s v="IBPS"/>
    <s v="USR_0_RBL_WIHISTORY"/>
  </r>
  <r>
    <x v="2"/>
    <s v="N"/>
    <x v="5"/>
    <s v="dbo"/>
    <s v="IBPS"/>
    <s v="USR_0_SAR_WIHISTORY"/>
  </r>
  <r>
    <x v="2"/>
    <s v="N"/>
    <x v="5"/>
    <s v="dbo"/>
    <s v="IBPS"/>
    <s v="usr_0_srb_wihistory"/>
  </r>
  <r>
    <x v="2"/>
    <s v="N"/>
    <x v="5"/>
    <s v="dbo"/>
    <s v="IBPS"/>
    <s v="usr_0_srm_wihistory"/>
  </r>
  <r>
    <x v="2"/>
    <s v="N"/>
    <x v="5"/>
    <s v="dbo"/>
    <s v="IBPS"/>
    <s v="USR_0_SRO_WIHISTORY"/>
  </r>
  <r>
    <x v="2"/>
    <s v="N"/>
    <x v="5"/>
    <s v="dbo"/>
    <s v="IBPS"/>
    <s v="USR_0_TAO_WIHISTORY"/>
  </r>
  <r>
    <x v="2"/>
    <s v="N"/>
    <x v="5"/>
    <s v="dbo"/>
    <s v="IBPS"/>
    <s v="usr_0_tf_wihistory"/>
  </r>
  <r>
    <x v="2"/>
    <s v="N"/>
    <x v="5"/>
    <s v="dbo"/>
    <s v="IBPS"/>
    <s v="USR_0_TL_WIHISTORY"/>
  </r>
  <r>
    <x v="2"/>
    <s v="N"/>
    <x v="5"/>
    <s v="dbo"/>
    <s v="IBPS"/>
    <s v="usr_0_tt_wihistory"/>
  </r>
  <r>
    <x v="2"/>
    <s v="N"/>
    <x v="5"/>
    <s v="dbo"/>
    <s v="IBPS"/>
    <s v="USR_0_TWC_WIHISTORY"/>
  </r>
  <r>
    <x v="2"/>
    <s v="N"/>
    <x v="5"/>
    <s v="dbo"/>
    <s v="IBPS"/>
    <s v="NG_CCA_DecisionHistory"/>
  </r>
  <r>
    <x v="2"/>
    <s v="N"/>
    <x v="5"/>
    <s v="dbo"/>
    <s v="IBPS"/>
    <s v="NG_COURTORDER_GR_DECISION_HISTORY"/>
  </r>
  <r>
    <x v="2"/>
    <s v="N"/>
    <x v="5"/>
    <s v="dbo"/>
    <s v="IBPS"/>
    <s v="NG_CPMS_GR_DECISIONHISTORY"/>
  </r>
  <r>
    <x v="2"/>
    <s v="N"/>
    <x v="5"/>
    <s v="dbo"/>
    <s v="IBPS"/>
    <s v="NG_DAO_GR_DECISION_HISTORY"/>
  </r>
  <r>
    <x v="2"/>
    <s v="N"/>
    <x v="5"/>
    <s v="dbo"/>
    <s v="IBPS"/>
    <s v="NG_DCC_GR_DECISION_HISTORY"/>
  </r>
  <r>
    <x v="2"/>
    <s v="N"/>
    <x v="5"/>
    <s v="dbo"/>
    <s v="IBPS"/>
    <s v="NG_DPL_GR_DECISION_HISTORY"/>
  </r>
  <r>
    <x v="2"/>
    <s v="N"/>
    <x v="5"/>
    <s v="dbo"/>
    <s v="IBPS"/>
    <s v="NG_EIBOR_GRID_DECISION_HISTORY"/>
  </r>
  <r>
    <x v="2"/>
    <s v="N"/>
    <x v="5"/>
    <s v="dbo"/>
    <s v="IBPS"/>
    <s v="NG_RF_Decision_History"/>
  </r>
  <r>
    <x v="2"/>
    <s v="N"/>
    <x v="5"/>
    <s v="dbo"/>
    <s v="IBPS"/>
    <s v="NG_RI_DecisionHistory"/>
  </r>
  <r>
    <x v="2"/>
    <s v="N"/>
    <x v="5"/>
    <s v="dbo"/>
    <s v="IBPS"/>
    <s v="NG_ROD_Decision_History"/>
  </r>
  <r>
    <x v="2"/>
    <s v="N"/>
    <x v="5"/>
    <s v="dbo"/>
    <s v="IBPS"/>
    <s v="NG_TS_WIHISTORY"/>
  </r>
  <r>
    <x v="2"/>
    <s v="N"/>
    <x v="5"/>
    <s v="dbo"/>
    <s v="IBPS"/>
    <s v="usr_0_ao_wihistory"/>
  </r>
  <r>
    <x v="2"/>
    <s v="N"/>
    <x v="5"/>
    <s v="dbo"/>
    <s v="IBPS"/>
    <s v="USR_0_BAIS_WIHISTORY"/>
  </r>
  <r>
    <x v="2"/>
    <s v="N"/>
    <x v="5"/>
    <s v="dbo"/>
    <s v="IBPS"/>
    <s v="USR_0_BSR_WIHISTORY"/>
  </r>
  <r>
    <x v="2"/>
    <s v="N"/>
    <x v="5"/>
    <s v="dbo"/>
    <s v="IBPS"/>
    <s v="USR_0_CMS_WIHISTORY"/>
  </r>
  <r>
    <x v="2"/>
    <s v="N"/>
    <x v="5"/>
    <s v="dbo"/>
    <s v="IBPS"/>
    <s v="usr_0_cu_wihistory"/>
  </r>
  <r>
    <x v="2"/>
    <s v="N"/>
    <x v="5"/>
    <s v="dbo"/>
    <s v="IBPS"/>
    <s v="usr_0_da_wihistory"/>
  </r>
  <r>
    <x v="2"/>
    <s v="N"/>
    <x v="5"/>
    <s v="dbo"/>
    <s v="IBPS"/>
    <s v="USR_0_DAC_WIHISTORY"/>
  </r>
  <r>
    <x v="2"/>
    <s v="N"/>
    <x v="5"/>
    <s v="dbo"/>
    <s v="IBPS"/>
    <s v="USR_0_DBO_WIHISTORY"/>
  </r>
  <r>
    <x v="2"/>
    <s v="N"/>
    <x v="5"/>
    <s v="dbo"/>
    <s v="IBPS"/>
    <s v="USR_0_DBS_WIHISTORY"/>
  </r>
  <r>
    <x v="1"/>
    <s v="N"/>
    <x v="3"/>
    <s v="dbo"/>
    <s v="npss-epayment"/>
    <s v="Module_Config"/>
  </r>
  <r>
    <x v="1"/>
    <s v="N"/>
    <x v="3"/>
    <s v="dbo"/>
    <s v="npss-epayment"/>
    <s v="NPSS_EntityMaster"/>
  </r>
  <r>
    <x v="1"/>
    <s v="N"/>
    <x v="3"/>
    <s v="dbo"/>
    <s v="npss-epayment"/>
    <s v="NPSS_RTS_PmtStatusDtl_Cdtr"/>
  </r>
  <r>
    <x v="1"/>
    <s v="N"/>
    <x v="1"/>
    <s v="TCTDBS"/>
    <s v="PRIMEDB"/>
    <s v="mccs"/>
  </r>
  <r>
    <x v="2"/>
    <s v="N"/>
    <x v="14"/>
    <s v="TCTDBS"/>
    <s v="OnlineDB"/>
    <s v="APPLOG"/>
  </r>
  <r>
    <x v="0"/>
    <s v="N"/>
    <x v="0"/>
    <s v="CRM User"/>
    <s v="FINUAT"/>
    <s v="OPERATIONSREASONCODES"/>
  </r>
  <r>
    <x v="0"/>
    <s v="N"/>
    <x v="0"/>
    <s v="TBAADM"/>
    <s v="FINUAT"/>
    <s v="TBA_FLEXI_FIXED_PARM_TBL"/>
  </r>
  <r>
    <x v="0"/>
    <s v="N"/>
    <x v="0"/>
    <s v="TBAADM"/>
    <s v="FINUAT"/>
    <s v="MASTER_ACCT_MAINT_TABLE"/>
  </r>
  <r>
    <x v="0"/>
    <s v="N"/>
    <x v="0"/>
    <s v="TBAADM"/>
    <s v="FINUAT"/>
    <s v="INT_TBL_CODE_MASTER_TABLE"/>
  </r>
  <r>
    <x v="0"/>
    <s v="N"/>
    <x v="0"/>
    <s v="TBAADM"/>
    <s v="FINUAT"/>
    <s v="LA_TRAN_DETAIL_TABLE"/>
  </r>
  <r>
    <x v="0"/>
    <s v="N"/>
    <x v="0"/>
    <s v="CUSTOM"/>
    <s v="FINUAT"/>
    <s v="CUSTOM_TBL_TBLSPC"/>
  </r>
  <r>
    <x v="0"/>
    <s v="N"/>
    <x v="0"/>
    <s v="CUSTOM"/>
    <s v="FINUAT"/>
    <s v="CUST_CBDSME_DET_TABLE"/>
  </r>
  <r>
    <x v="0"/>
    <s v="N"/>
    <x v="0"/>
    <s v="TBAADM"/>
    <s v="FINUAT"/>
    <s v="APPR_SECU_MAST_TABLE"/>
  </r>
  <r>
    <x v="0"/>
    <s v="N"/>
    <x v="0"/>
    <s v="TBAADM"/>
    <s v="FINUAT"/>
    <s v="COLTRL_GURNT_DTL_TABLE"/>
  </r>
  <r>
    <x v="0"/>
    <s v="N"/>
    <x v="5"/>
    <s v="dbo"/>
    <s v="IBPS"/>
    <s v="USR_0_SRB_TR_SRB023"/>
  </r>
  <r>
    <x v="0"/>
    <s v="N"/>
    <x v="5"/>
    <s v="dbo"/>
    <s v="IBPS"/>
    <s v="USR_0_SRB_TR_SRB024"/>
  </r>
  <r>
    <x v="0"/>
    <s v="N"/>
    <x v="5"/>
    <s v="dbo"/>
    <s v="IBPS"/>
    <s v="USR_0_SRB_TR_SRB025"/>
  </r>
  <r>
    <x v="0"/>
    <s v="N"/>
    <x v="5"/>
    <s v="dbo"/>
    <s v="IBPS"/>
    <s v="USR_0_SRB_TR_SRB026"/>
  </r>
  <r>
    <x v="0"/>
    <s v="N"/>
    <x v="5"/>
    <s v="dbo"/>
    <s v="IBPS"/>
    <s v="USR_0_SRB_TR_SRB027"/>
  </r>
  <r>
    <x v="0"/>
    <s v="N"/>
    <x v="5"/>
    <s v="dbo"/>
    <s v="IBPS"/>
    <s v="USR_0_SRB_TR_SRB028"/>
  </r>
  <r>
    <x v="0"/>
    <s v="N"/>
    <x v="5"/>
    <s v="dbo"/>
    <s v="IBPS"/>
    <s v="USR_0_SRB_TR_SRB029"/>
  </r>
  <r>
    <x v="0"/>
    <s v="N"/>
    <x v="5"/>
    <s v="dbo"/>
    <s v="IBPS"/>
    <s v="USR_0_SRB_TR_SRB030"/>
  </r>
  <r>
    <x v="0"/>
    <s v="N"/>
    <x v="5"/>
    <s v="dbo"/>
    <s v="IBPS"/>
    <s v="USR_0_SRB_TR_SRB031"/>
  </r>
  <r>
    <x v="0"/>
    <s v="N"/>
    <x v="5"/>
    <s v="dbo"/>
    <s v="IBPS"/>
    <s v="USR_0_SRB_TR_SRB032"/>
  </r>
  <r>
    <x v="0"/>
    <s v="N"/>
    <x v="5"/>
    <s v="dbo"/>
    <s v="IBPS"/>
    <s v="USR_0_SRB_TR_SRB033"/>
  </r>
  <r>
    <x v="0"/>
    <s v="N"/>
    <x v="5"/>
    <s v="dbo"/>
    <s v="IBPS"/>
    <s v="USR_0_SRB_TR_SRB034"/>
  </r>
  <r>
    <x v="0"/>
    <s v="N"/>
    <x v="5"/>
    <s v="dbo"/>
    <s v="IBPS"/>
    <s v="USR_0_SRB_TR_SRB035"/>
  </r>
  <r>
    <x v="0"/>
    <s v="N"/>
    <x v="5"/>
    <s v="dbo"/>
    <s v="IBPS"/>
    <s v="USR_0_SRB_TR_SRB036"/>
  </r>
  <r>
    <x v="0"/>
    <s v="N"/>
    <x v="5"/>
    <s v="dbo"/>
    <s v="IBPS"/>
    <s v="USR_0_SRB_TR_SRB037"/>
  </r>
  <r>
    <x v="0"/>
    <s v="N"/>
    <x v="5"/>
    <s v="dbo"/>
    <s v="IBPS"/>
    <s v="USR_0_SRB_TR_SRB040"/>
  </r>
  <r>
    <x v="0"/>
    <s v="N"/>
    <x v="5"/>
    <s v="dbo"/>
    <s v="IBPS"/>
    <s v="USR_0_SRB_TR_SRB041"/>
  </r>
  <r>
    <x v="0"/>
    <s v="N"/>
    <x v="5"/>
    <s v="dbo"/>
    <s v="IBPS"/>
    <s v="USR_0_SRB_TR_SRB042"/>
  </r>
  <r>
    <x v="0"/>
    <s v="N"/>
    <x v="5"/>
    <s v="dbo"/>
    <s v="IBPS"/>
    <s v="USR_0_SRB_TR_SRB043"/>
  </r>
  <r>
    <x v="0"/>
    <s v="N"/>
    <x v="5"/>
    <s v="dbo"/>
    <s v="IBPS"/>
    <s v="USR_0_SRB_TR_SRB044"/>
  </r>
  <r>
    <x v="0"/>
    <s v="N"/>
    <x v="5"/>
    <s v="dbo"/>
    <s v="IBPS"/>
    <s v="USR_0_SRB_TR_SRB046"/>
  </r>
  <r>
    <x v="0"/>
    <s v="N"/>
    <x v="5"/>
    <s v="dbo"/>
    <s v="IBPS"/>
    <s v="USR_0_SRB_TR_SRB047"/>
  </r>
  <r>
    <x v="0"/>
    <s v="N"/>
    <x v="5"/>
    <s v="dbo"/>
    <s v="IBPS"/>
    <s v="USR_0_SRB_TR_SRB048"/>
  </r>
  <r>
    <x v="0"/>
    <s v="N"/>
    <x v="5"/>
    <s v="dbo"/>
    <s v="IBPS"/>
    <s v="USR_0_SRB_TR_SRB051"/>
  </r>
  <r>
    <x v="0"/>
    <s v="N"/>
    <x v="5"/>
    <s v="dbo"/>
    <s v="IBPS"/>
    <s v="USR_0_SRB_TR_SRB064"/>
  </r>
  <r>
    <x v="0"/>
    <s v="N"/>
    <x v="5"/>
    <s v="dbo"/>
    <s v="IBPS"/>
    <s v="USR_0_SRB_TR_SRB088"/>
  </r>
  <r>
    <x v="0"/>
    <s v="N"/>
    <x v="5"/>
    <s v="dbo"/>
    <s v="IBPS"/>
    <s v="USR_0_SRB_TR_SRB089"/>
  </r>
  <r>
    <x v="0"/>
    <s v="N"/>
    <x v="5"/>
    <s v="dbo"/>
    <s v="IBPS"/>
    <s v="USR_0_SRB_TR_SRB090"/>
  </r>
  <r>
    <x v="0"/>
    <s v="N"/>
    <x v="5"/>
    <s v="dbo"/>
    <s v="IBPS"/>
    <s v="USR_0_SRB_TR_SRB177"/>
  </r>
  <r>
    <x v="0"/>
    <s v="N"/>
    <x v="5"/>
    <s v="dbo"/>
    <s v="IBPS"/>
    <s v="USR_0_SRB_TR_SRB178"/>
  </r>
  <r>
    <x v="0"/>
    <s v="N"/>
    <x v="5"/>
    <s v="dbo"/>
    <s v="IBPS"/>
    <s v="USR_0_SRB_TR_SRB179"/>
  </r>
  <r>
    <x v="0"/>
    <s v="N"/>
    <x v="5"/>
    <s v="dbo"/>
    <s v="IBPS"/>
    <s v="USR_0_SRB_TR_SRB001"/>
  </r>
  <r>
    <x v="0"/>
    <s v="N"/>
    <x v="5"/>
    <s v="dbo"/>
    <s v="IBPS"/>
    <s v="USR_0_SRB_TR_SRB002"/>
  </r>
  <r>
    <x v="0"/>
    <s v="N"/>
    <x v="5"/>
    <s v="dbo"/>
    <s v="IBPS"/>
    <s v="USR_0_SRB_TR_SRB004"/>
  </r>
  <r>
    <x v="0"/>
    <s v="N"/>
    <x v="5"/>
    <s v="dbo"/>
    <s v="IBPS"/>
    <s v="USR_0_SRB_TR_SRB005"/>
  </r>
  <r>
    <x v="0"/>
    <s v="N"/>
    <x v="5"/>
    <s v="dbo"/>
    <s v="IBPS"/>
    <s v="USR_0_SRB_TR_SRB006"/>
  </r>
  <r>
    <x v="0"/>
    <s v="N"/>
    <x v="5"/>
    <s v="dbo"/>
    <s v="IBPS"/>
    <s v="USR_0_SRB_TR_SRB007"/>
  </r>
  <r>
    <x v="0"/>
    <s v="N"/>
    <x v="5"/>
    <s v="dbo"/>
    <s v="IBPS"/>
    <s v="USR_0_SRB_TR_SRB011"/>
  </r>
  <r>
    <x v="0"/>
    <s v="N"/>
    <x v="5"/>
    <s v="dbo"/>
    <s v="IBPS"/>
    <s v="USR_0_SRB_TR_SRB012"/>
  </r>
  <r>
    <x v="0"/>
    <s v="N"/>
    <x v="5"/>
    <s v="dbo"/>
    <s v="IBPS"/>
    <s v="USR_0_SRB_TR_SRB013"/>
  </r>
  <r>
    <x v="0"/>
    <s v="N"/>
    <x v="5"/>
    <s v="dbo"/>
    <s v="IBPS"/>
    <s v="USR_0_SRB_TR_SRB014"/>
  </r>
  <r>
    <x v="0"/>
    <s v="N"/>
    <x v="5"/>
    <s v="dbo"/>
    <s v="IBPS"/>
    <s v="USR_0_SRB_TR_SRB016"/>
  </r>
  <r>
    <x v="0"/>
    <s v="N"/>
    <x v="5"/>
    <s v="dbo"/>
    <s v="IBPS"/>
    <s v="USR_0_SRB_TR_SRB017"/>
  </r>
  <r>
    <x v="0"/>
    <s v="N"/>
    <x v="5"/>
    <s v="dbo"/>
    <s v="IBPS"/>
    <s v="USR_0_SRB_TR_SRB018"/>
  </r>
  <r>
    <x v="0"/>
    <s v="N"/>
    <x v="5"/>
    <s v="dbo"/>
    <s v="IBPS"/>
    <s v="USR_0_SRB_TR_SRB020"/>
  </r>
  <r>
    <x v="0"/>
    <s v="N"/>
    <x v="5"/>
    <s v="dbo"/>
    <s v="IBPS"/>
    <s v="USR_0_SRB_TR_SRB021"/>
  </r>
  <r>
    <x v="0"/>
    <s v="N"/>
    <x v="5"/>
    <s v="dbo"/>
    <s v="IBPS"/>
    <s v="USR_0_SRB_TR_SRB022"/>
  </r>
  <r>
    <x v="0"/>
    <s v="N"/>
    <x v="5"/>
    <s v="dbo"/>
    <s v="IBPS"/>
    <s v="USR_0_SRB_TR_SRB050"/>
  </r>
  <r>
    <x v="0"/>
    <s v="N"/>
    <x v="5"/>
    <s v="dbo"/>
    <s v="IBPS"/>
    <s v="USR_0_SRB_TR_SRB053"/>
  </r>
  <r>
    <x v="0"/>
    <s v="N"/>
    <x v="5"/>
    <s v="dbo"/>
    <s v="IBPS"/>
    <s v="USR_0_SRB_TR_SRB055"/>
  </r>
  <r>
    <x v="0"/>
    <s v="N"/>
    <x v="5"/>
    <s v="dbo"/>
    <s v="IBPS"/>
    <s v="USR_0_SRB_TR_SRB056"/>
  </r>
  <r>
    <x v="0"/>
    <s v="N"/>
    <x v="5"/>
    <s v="dbo"/>
    <s v="IBPS"/>
    <s v="USR_0_SRB_TR_SRB057"/>
  </r>
  <r>
    <x v="0"/>
    <s v="N"/>
    <x v="5"/>
    <s v="dbo"/>
    <s v="IBPS"/>
    <s v="USR_0_SRB_TR_SRB058"/>
  </r>
  <r>
    <x v="0"/>
    <s v="N"/>
    <x v="5"/>
    <s v="dbo"/>
    <s v="IBPS"/>
    <s v="USR_0_SRB_TR_SRB059"/>
  </r>
  <r>
    <x v="0"/>
    <s v="N"/>
    <x v="5"/>
    <s v="dbo"/>
    <s v="IBPS"/>
    <s v="USR_0_SRB_TR_SRB060"/>
  </r>
  <r>
    <x v="0"/>
    <s v="N"/>
    <x v="5"/>
    <s v="dbo"/>
    <s v="IBPS"/>
    <s v="USR_0_SRB_TR_SRB062"/>
  </r>
  <r>
    <x v="0"/>
    <s v="N"/>
    <x v="5"/>
    <s v="dbo"/>
    <s v="IBPS"/>
    <s v="USR_0_SRB_TR_SRB063"/>
  </r>
  <r>
    <x v="0"/>
    <s v="N"/>
    <x v="5"/>
    <s v="dbo"/>
    <s v="IBPS"/>
    <s v="USR_0_SRB_TR_SRB086"/>
  </r>
  <r>
    <x v="0"/>
    <s v="N"/>
    <x v="5"/>
    <s v="dbo"/>
    <s v="IBPS"/>
    <s v="USR_0_SRB_TR_SRB087"/>
  </r>
  <r>
    <x v="0"/>
    <s v="N"/>
    <x v="5"/>
    <s v="dbo"/>
    <s v="IBPS"/>
    <s v="USR_0_SRB_TR_SRB138"/>
  </r>
  <r>
    <x v="0"/>
    <s v="N"/>
    <x v="5"/>
    <s v="dbo"/>
    <s v="IBPS"/>
    <s v="USR_0_SRB_TR_SRB146"/>
  </r>
  <r>
    <x v="0"/>
    <s v="N"/>
    <x v="5"/>
    <s v="dbo"/>
    <s v="IBPS"/>
    <s v="USR_0_SRB_TR_SRB147"/>
  </r>
  <r>
    <x v="0"/>
    <s v="N"/>
    <x v="5"/>
    <s v="dbo"/>
    <s v="IBPS"/>
    <s v="USR_0_SRB_TR_SRB152"/>
  </r>
  <r>
    <x v="0"/>
    <s v="N"/>
    <x v="5"/>
    <s v="dbo"/>
    <s v="IBPS"/>
    <s v="USR_0_SRB_TR_SRB153"/>
  </r>
  <r>
    <x v="0"/>
    <s v="N"/>
    <x v="5"/>
    <s v="dbo"/>
    <s v="IBPS"/>
    <s v="USR_0_SRB_TR_SRB154"/>
  </r>
  <r>
    <x v="0"/>
    <s v="N"/>
    <x v="5"/>
    <s v="dbo"/>
    <s v="IBPS"/>
    <s v="USR_0_SRB_TR_SRB156"/>
  </r>
  <r>
    <x v="0"/>
    <s v="N"/>
    <x v="5"/>
    <s v="dbo"/>
    <s v="IBPS"/>
    <s v="USR_0_SRB_TR_SRB165"/>
  </r>
  <r>
    <x v="0"/>
    <s v="N"/>
    <x v="5"/>
    <s v="dbo"/>
    <s v="IBPS"/>
    <s v="USR_0_SRB_TR_SRB166"/>
  </r>
  <r>
    <x v="0"/>
    <s v="N"/>
    <x v="5"/>
    <s v="dbo"/>
    <s v="IBPS"/>
    <s v="USR_0_SRB_TR_SRB167"/>
  </r>
  <r>
    <x v="0"/>
    <s v="N"/>
    <x v="5"/>
    <s v="dbo"/>
    <s v="IBPS"/>
    <s v="USR_0_SRB_TR_SRB171"/>
  </r>
  <r>
    <x v="0"/>
    <s v="N"/>
    <x v="5"/>
    <s v="dbo"/>
    <s v="IBPS"/>
    <s v="USR_0_SRB_TR_SRB172"/>
  </r>
  <r>
    <x v="0"/>
    <s v="N"/>
    <x v="5"/>
    <s v="dbo"/>
    <s v="IBPS"/>
    <s v="USR_0_SRB_TR_SRB173"/>
  </r>
  <r>
    <x v="0"/>
    <s v="N"/>
    <x v="5"/>
    <s v="dbo"/>
    <s v="IBPS"/>
    <s v="USR_0_SRB_TR_SRB174"/>
  </r>
  <r>
    <x v="0"/>
    <s v="N"/>
    <x v="5"/>
    <s v="dbo"/>
    <s v="IBPS"/>
    <s v="USR_0_SRB_TR_SRB175"/>
  </r>
  <r>
    <x v="0"/>
    <s v="N"/>
    <x v="5"/>
    <s v="dbo"/>
    <s v="IBPS"/>
    <s v="USR_0_SRB_TR_SRB074"/>
  </r>
  <r>
    <x v="0"/>
    <s v="N"/>
    <x v="5"/>
    <s v="dbo"/>
    <s v="IBPS"/>
    <s v="USR_0_SRB_TR_SRB075"/>
  </r>
  <r>
    <x v="0"/>
    <s v="N"/>
    <x v="5"/>
    <s v="dbo"/>
    <s v="IBPS"/>
    <s v="USR_0_SRB_TR_SRB076"/>
  </r>
  <r>
    <x v="0"/>
    <s v="N"/>
    <x v="5"/>
    <s v="dbo"/>
    <s v="IBPS"/>
    <s v="USR_0_SRB_TR_SRB077"/>
  </r>
  <r>
    <x v="0"/>
    <s v="N"/>
    <x v="5"/>
    <s v="dbo"/>
    <s v="IBPS"/>
    <s v="USR_0_SRB_TR_SRB078"/>
  </r>
  <r>
    <x v="0"/>
    <s v="N"/>
    <x v="5"/>
    <s v="dbo"/>
    <s v="IBPS"/>
    <s v="USR_0_SRB_TR_SRB079"/>
  </r>
  <r>
    <x v="0"/>
    <s v="N"/>
    <x v="5"/>
    <s v="dbo"/>
    <s v="IBPS"/>
    <s v="USR_0_SRB_TR_SRB080"/>
  </r>
  <r>
    <x v="0"/>
    <s v="N"/>
    <x v="5"/>
    <s v="dbo"/>
    <s v="IBPS"/>
    <s v="USR_0_SRB_TR_SRB081"/>
  </r>
  <r>
    <x v="0"/>
    <s v="N"/>
    <x v="5"/>
    <s v="dbo"/>
    <s v="IBPS"/>
    <s v="USR_0_SRB_TR_SRB082"/>
  </r>
  <r>
    <x v="0"/>
    <s v="N"/>
    <x v="5"/>
    <s v="dbo"/>
    <s v="IBPS"/>
    <s v="USR_0_SRB_TR_SRB065"/>
  </r>
  <r>
    <x v="0"/>
    <s v="N"/>
    <x v="5"/>
    <s v="dbo"/>
    <s v="IBPS"/>
    <s v="USR_0_SRB_TR_SRB066"/>
  </r>
  <r>
    <x v="0"/>
    <s v="N"/>
    <x v="5"/>
    <s v="dbo"/>
    <s v="IBPS"/>
    <s v="USR_0_SRB_TR_SRB067"/>
  </r>
  <r>
    <x v="0"/>
    <s v="N"/>
    <x v="5"/>
    <s v="dbo"/>
    <s v="IBPS"/>
    <s v="USR_0_SRB_TR_SRB068"/>
  </r>
  <r>
    <x v="0"/>
    <s v="N"/>
    <x v="5"/>
    <s v="dbo"/>
    <s v="IBPS"/>
    <s v="USR_0_SRB_TR_SRB069"/>
  </r>
  <r>
    <x v="0"/>
    <s v="N"/>
    <x v="5"/>
    <s v="dbo"/>
    <s v="IBPS"/>
    <s v="USR_0_SRB_TR_SRB070"/>
  </r>
  <r>
    <x v="0"/>
    <s v="N"/>
    <x v="5"/>
    <s v="dbo"/>
    <s v="IBPS"/>
    <s v="USR_0_SRB_TR_SRB071"/>
  </r>
  <r>
    <x v="0"/>
    <s v="N"/>
    <x v="5"/>
    <s v="dbo"/>
    <s v="IBPS"/>
    <s v="USR_0_SRB_TR_SRB072"/>
  </r>
  <r>
    <x v="0"/>
    <s v="N"/>
    <x v="5"/>
    <s v="dbo"/>
    <s v="IBPS"/>
    <s v="USR_0_SRB_TR_SRB168"/>
  </r>
  <r>
    <x v="0"/>
    <s v="N"/>
    <x v="5"/>
    <s v="dbo"/>
    <s v="IBPS"/>
    <s v="USR_0_SRB_TR_SRB169"/>
  </r>
  <r>
    <x v="0"/>
    <s v="N"/>
    <x v="5"/>
    <s v="dbo"/>
    <s v="IBPS"/>
    <s v="USR_0_SRB_TR_SRB083"/>
  </r>
  <r>
    <x v="0"/>
    <s v="N"/>
    <x v="5"/>
    <s v="dbo"/>
    <s v="IBPS"/>
    <s v="USR_0_SRB_TR_SRB084"/>
  </r>
  <r>
    <x v="0"/>
    <s v="N"/>
    <x v="5"/>
    <s v="dbo"/>
    <s v="IBPS"/>
    <s v="USR_0_SRB_TR_SRB085"/>
  </r>
  <r>
    <x v="0"/>
    <s v="N"/>
    <x v="5"/>
    <s v="dbo"/>
    <s v="IBPS"/>
    <s v="USR_0_SRB_TR_SRB091"/>
  </r>
  <r>
    <x v="0"/>
    <s v="N"/>
    <x v="5"/>
    <s v="dbo"/>
    <s v="IBPS"/>
    <s v="USR_0_SRB_TR_SRB092"/>
  </r>
  <r>
    <x v="0"/>
    <s v="N"/>
    <x v="5"/>
    <s v="dbo"/>
    <s v="IBPS"/>
    <s v="USR_0_SRB_TR_SRB093"/>
  </r>
  <r>
    <x v="0"/>
    <s v="N"/>
    <x v="5"/>
    <s v="dbo"/>
    <s v="IBPS"/>
    <s v="USR_0_SRB_TR_SRB094"/>
  </r>
  <r>
    <x v="0"/>
    <s v="N"/>
    <x v="5"/>
    <s v="dbo"/>
    <s v="IBPS"/>
    <s v="USR_0_SRB_TR_SRB095"/>
  </r>
  <r>
    <x v="0"/>
    <s v="N"/>
    <x v="5"/>
    <s v="dbo"/>
    <s v="IBPS"/>
    <s v="USR_0_SRB_TR_SRB096"/>
  </r>
  <r>
    <x v="0"/>
    <s v="N"/>
    <x v="5"/>
    <s v="dbo"/>
    <s v="IBPS"/>
    <s v="USR_0_SRB_TR_SRB097"/>
  </r>
  <r>
    <x v="0"/>
    <s v="N"/>
    <x v="5"/>
    <s v="dbo"/>
    <s v="IBPS"/>
    <s v="USR_0_SRB_TR_SRB098"/>
  </r>
  <r>
    <x v="0"/>
    <s v="N"/>
    <x v="5"/>
    <s v="dbo"/>
    <s v="IBPS"/>
    <s v="USR_0_SRB_TR_SRB099"/>
  </r>
  <r>
    <x v="0"/>
    <s v="N"/>
    <x v="5"/>
    <s v="dbo"/>
    <s v="IBPS"/>
    <s v="USR_0_SRB_TR_SRB100"/>
  </r>
  <r>
    <x v="0"/>
    <s v="N"/>
    <x v="5"/>
    <s v="dbo"/>
    <s v="IBPS"/>
    <s v="USR_0_SRB_TR_SRB101"/>
  </r>
  <r>
    <x v="0"/>
    <s v="N"/>
    <x v="5"/>
    <s v="dbo"/>
    <s v="IBPS"/>
    <s v="USR_0_SRB_TR_SRB102"/>
  </r>
  <r>
    <x v="0"/>
    <s v="N"/>
    <x v="5"/>
    <s v="dbo"/>
    <s v="IBPS"/>
    <s v="USR_0_SRB_TR_SRB103"/>
  </r>
  <r>
    <x v="0"/>
    <s v="N"/>
    <x v="5"/>
    <s v="dbo"/>
    <s v="IBPS"/>
    <s v="USR_0_SRB_TR_SRB104"/>
  </r>
  <r>
    <x v="0"/>
    <s v="N"/>
    <x v="5"/>
    <s v="dbo"/>
    <s v="IBPS"/>
    <s v="USR_0_SRB_TR_SRB105"/>
  </r>
  <r>
    <x v="0"/>
    <s v="N"/>
    <x v="5"/>
    <s v="dbo"/>
    <s v="IBPS"/>
    <s v="USR_0_SRB_TR_SRB106"/>
  </r>
  <r>
    <x v="0"/>
    <s v="N"/>
    <x v="5"/>
    <s v="dbo"/>
    <s v="IBPS"/>
    <s v="USR_0_SRB_TR_SRB107"/>
  </r>
  <r>
    <x v="0"/>
    <s v="N"/>
    <x v="5"/>
    <s v="dbo"/>
    <s v="IBPS"/>
    <s v="USR_0_SRB_TR_SRB108"/>
  </r>
  <r>
    <x v="0"/>
    <s v="N"/>
    <x v="5"/>
    <s v="dbo"/>
    <s v="IBPS"/>
    <s v="USR_0_SRB_TR_SRB109"/>
  </r>
  <r>
    <x v="0"/>
    <s v="N"/>
    <x v="5"/>
    <s v="dbo"/>
    <s v="IBPS"/>
    <s v="USR_0_SRB_TR_SRB110"/>
  </r>
  <r>
    <x v="0"/>
    <s v="N"/>
    <x v="5"/>
    <s v="dbo"/>
    <s v="IBPS"/>
    <s v="USR_0_SRB_TR_SRB111"/>
  </r>
  <r>
    <x v="0"/>
    <s v="N"/>
    <x v="5"/>
    <s v="dbo"/>
    <s v="IBPS"/>
    <s v="USR_0_SRB_TR_SRB112"/>
  </r>
  <r>
    <x v="0"/>
    <s v="N"/>
    <x v="5"/>
    <s v="dbo"/>
    <s v="IBPS"/>
    <s v="USR_0_SRB_TR_SRB113"/>
  </r>
  <r>
    <x v="0"/>
    <s v="N"/>
    <x v="5"/>
    <s v="dbo"/>
    <s v="IBPS"/>
    <s v="USR_0_SRB_TR_SRB114"/>
  </r>
  <r>
    <x v="0"/>
    <s v="N"/>
    <x v="5"/>
    <s v="dbo"/>
    <s v="IBPS"/>
    <s v="USR_0_SRB_TR_SRB115"/>
  </r>
  <r>
    <x v="0"/>
    <s v="N"/>
    <x v="5"/>
    <s v="dbo"/>
    <s v="IBPS"/>
    <s v="USR_0_SRB_TR_SRB116"/>
  </r>
  <r>
    <x v="0"/>
    <s v="N"/>
    <x v="5"/>
    <s v="dbo"/>
    <s v="IBPS"/>
    <s v="USR_0_SRB_TR_SRB117"/>
  </r>
  <r>
    <x v="0"/>
    <s v="N"/>
    <x v="5"/>
    <s v="dbo"/>
    <s v="IBPS"/>
    <s v="USR_0_SRB_TR_SRB118"/>
  </r>
  <r>
    <x v="0"/>
    <s v="N"/>
    <x v="5"/>
    <s v="dbo"/>
    <s v="IBPS"/>
    <s v="USR_0_SRB_TR_SRB119"/>
  </r>
  <r>
    <x v="0"/>
    <s v="N"/>
    <x v="5"/>
    <s v="dbo"/>
    <s v="IBPS"/>
    <s v="USR_0_SRB_TR_SRB120"/>
  </r>
  <r>
    <x v="0"/>
    <s v="N"/>
    <x v="5"/>
    <s v="dbo"/>
    <s v="IBPS"/>
    <s v="USR_0_SRB_TR_SRB121"/>
  </r>
  <r>
    <x v="0"/>
    <s v="N"/>
    <x v="5"/>
    <s v="dbo"/>
    <s v="IBPS"/>
    <s v="USR_0_SRB_TR_SRB122"/>
  </r>
  <r>
    <x v="0"/>
    <s v="N"/>
    <x v="5"/>
    <s v="dbo"/>
    <s v="IBPS"/>
    <s v="USR_0_SRB_TR_SRB123"/>
  </r>
  <r>
    <x v="0"/>
    <s v="N"/>
    <x v="5"/>
    <s v="dbo"/>
    <s v="IBPS"/>
    <s v="USR_0_SRB_TR_SRB124"/>
  </r>
  <r>
    <x v="0"/>
    <s v="N"/>
    <x v="5"/>
    <s v="dbo"/>
    <s v="IBPS"/>
    <s v="USR_0_SRB_TR_SRB125"/>
  </r>
  <r>
    <x v="0"/>
    <s v="N"/>
    <x v="5"/>
    <s v="dbo"/>
    <s v="IBPS"/>
    <s v="USR_0_SRB_TR_SRB126"/>
  </r>
  <r>
    <x v="0"/>
    <s v="N"/>
    <x v="5"/>
    <s v="dbo"/>
    <s v="IBPS"/>
    <s v="USR_0_SRB_TR_SRB127"/>
  </r>
  <r>
    <x v="0"/>
    <s v="N"/>
    <x v="5"/>
    <s v="dbo"/>
    <s v="IBPS"/>
    <s v="USR_0_SRB_TR_SRB128"/>
  </r>
  <r>
    <x v="0"/>
    <s v="N"/>
    <x v="5"/>
    <s v="dbo"/>
    <s v="IBPS"/>
    <s v="USR_0_SRB_TR_SRB129"/>
  </r>
  <r>
    <x v="0"/>
    <s v="N"/>
    <x v="5"/>
    <s v="dbo"/>
    <s v="IBPS"/>
    <s v="USR_0_SRB_TR_SRB130"/>
  </r>
  <r>
    <x v="0"/>
    <s v="N"/>
    <x v="5"/>
    <s v="dbo"/>
    <s v="IBPS"/>
    <s v="USR_0_SRB_TR_SRB131"/>
  </r>
  <r>
    <x v="0"/>
    <s v="N"/>
    <x v="5"/>
    <s v="dbo"/>
    <s v="IBPS"/>
    <s v="USR_0_SRB_TR_SRB132"/>
  </r>
  <r>
    <x v="0"/>
    <s v="N"/>
    <x v="5"/>
    <s v="dbo"/>
    <s v="IBPS"/>
    <s v="USR_0_SRB_TR_SRB133"/>
  </r>
  <r>
    <x v="0"/>
    <s v="N"/>
    <x v="5"/>
    <s v="dbo"/>
    <s v="IBPS"/>
    <s v="USR_0_SRB_TR_SRB134"/>
  </r>
  <r>
    <x v="0"/>
    <s v="N"/>
    <x v="5"/>
    <s v="dbo"/>
    <s v="IBPS"/>
    <s v="USR_0_SRB_TR_SRB164"/>
  </r>
  <r>
    <x v="0"/>
    <s v="N"/>
    <x v="5"/>
    <s v="dbo"/>
    <s v="IBPS"/>
    <s v="USR_0_SRB_TR_SRB170"/>
  </r>
  <r>
    <x v="5"/>
    <m/>
    <x v="18"/>
    <m/>
    <m/>
    <m/>
  </r>
  <r>
    <x v="5"/>
    <m/>
    <x v="18"/>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7D85E1-A456-4E4B-A71B-073C99B32B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3" firstHeaderRow="1" firstDataRow="2" firstDataCol="1"/>
  <pivotFields count="28">
    <pivotField showAll="0"/>
    <pivotField showAll="0"/>
    <pivotField axis="axisRow" showAll="0">
      <items count="19">
        <item x="7"/>
        <item x="6"/>
        <item x="2"/>
        <item x="11"/>
        <item x="10"/>
        <item x="4"/>
        <item x="8"/>
        <item x="0"/>
        <item x="5"/>
        <item x="13"/>
        <item x="16"/>
        <item x="15"/>
        <item x="14"/>
        <item x="3"/>
        <item x="1"/>
        <item x="17"/>
        <item x="9"/>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1"/>
        <item x="0"/>
        <item t="default"/>
      </items>
    </pivotField>
    <pivotField showAll="0"/>
  </pivotFields>
  <rowFields count="1">
    <field x="2"/>
  </rowFields>
  <rowItems count="19">
    <i>
      <x/>
    </i>
    <i>
      <x v="1"/>
    </i>
    <i>
      <x v="2"/>
    </i>
    <i>
      <x v="3"/>
    </i>
    <i>
      <x v="4"/>
    </i>
    <i>
      <x v="5"/>
    </i>
    <i>
      <x v="6"/>
    </i>
    <i>
      <x v="7"/>
    </i>
    <i>
      <x v="8"/>
    </i>
    <i>
      <x v="9"/>
    </i>
    <i>
      <x v="10"/>
    </i>
    <i>
      <x v="11"/>
    </i>
    <i>
      <x v="12"/>
    </i>
    <i>
      <x v="13"/>
    </i>
    <i>
      <x v="14"/>
    </i>
    <i>
      <x v="15"/>
    </i>
    <i>
      <x v="16"/>
    </i>
    <i>
      <x v="17"/>
    </i>
    <i t="grand">
      <x/>
    </i>
  </rowItems>
  <colFields count="1">
    <field x="26"/>
  </colFields>
  <colItems count="3">
    <i>
      <x/>
    </i>
    <i>
      <x v="1"/>
    </i>
    <i t="grand">
      <x/>
    </i>
  </colItems>
  <dataFields count="1">
    <dataField name="Count of table available in Databricks Bronze DEV/TEST instances " fld="2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3ADCF7-BAB6-44DF-A432-BAC0C0B1EE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I23" firstHeaderRow="1" firstDataRow="2" firstDataCol="1"/>
  <pivotFields count="28">
    <pivotField showAll="0"/>
    <pivotField showAll="0"/>
    <pivotField axis="axisRow" showAll="0">
      <items count="19">
        <item x="7"/>
        <item x="6"/>
        <item x="2"/>
        <item x="11"/>
        <item x="10"/>
        <item x="4"/>
        <item x="8"/>
        <item x="0"/>
        <item x="5"/>
        <item x="13"/>
        <item x="16"/>
        <item x="15"/>
        <item x="14"/>
        <item x="3"/>
        <item x="1"/>
        <item x="17"/>
        <item x="9"/>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1"/>
        <item x="0"/>
        <item t="default"/>
      </items>
    </pivotField>
  </pivotFields>
  <rowFields count="1">
    <field x="2"/>
  </rowFields>
  <rowItems count="19">
    <i>
      <x/>
    </i>
    <i>
      <x v="1"/>
    </i>
    <i>
      <x v="2"/>
    </i>
    <i>
      <x v="3"/>
    </i>
    <i>
      <x v="4"/>
    </i>
    <i>
      <x v="5"/>
    </i>
    <i>
      <x v="6"/>
    </i>
    <i>
      <x v="7"/>
    </i>
    <i>
      <x v="8"/>
    </i>
    <i>
      <x v="9"/>
    </i>
    <i>
      <x v="10"/>
    </i>
    <i>
      <x v="11"/>
    </i>
    <i>
      <x v="12"/>
    </i>
    <i>
      <x v="13"/>
    </i>
    <i>
      <x v="14"/>
    </i>
    <i>
      <x v="15"/>
    </i>
    <i>
      <x v="16"/>
    </i>
    <i>
      <x v="17"/>
    </i>
    <i t="grand">
      <x/>
    </i>
  </rowItems>
  <colFields count="1">
    <field x="27"/>
  </colFields>
  <colItems count="3">
    <i>
      <x/>
    </i>
    <i>
      <x v="1"/>
    </i>
    <i t="grand">
      <x/>
    </i>
  </colItems>
  <dataFields count="1">
    <dataField name="Count of table Available in Databricks Bronze PROD instances " fld="2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5C8A05-B607-4C5C-BEBE-6E235CD08E6E}"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24" firstHeaderRow="1" firstDataRow="2" firstDataCol="1"/>
  <pivotFields count="6">
    <pivotField axis="axisCol" showAll="0">
      <items count="8">
        <item x="4"/>
        <item x="3"/>
        <item x="1"/>
        <item x="2"/>
        <item x="0"/>
        <item x="5"/>
        <item m="1" x="6"/>
        <item t="default"/>
      </items>
    </pivotField>
    <pivotField showAll="0"/>
    <pivotField axis="axisRow" showAll="0">
      <items count="20">
        <item x="7"/>
        <item x="6"/>
        <item x="2"/>
        <item x="11"/>
        <item x="10"/>
        <item x="4"/>
        <item x="8"/>
        <item x="0"/>
        <item x="5"/>
        <item x="13"/>
        <item x="16"/>
        <item x="15"/>
        <item x="14"/>
        <item x="3"/>
        <item x="1"/>
        <item x="17"/>
        <item x="9"/>
        <item x="12"/>
        <item x="18"/>
        <item t="default"/>
      </items>
    </pivotField>
    <pivotField showAll="0"/>
    <pivotField showAll="0"/>
    <pivotField dataField="1" showAll="0"/>
  </pivotFields>
  <rowFields count="1">
    <field x="2"/>
  </rowFields>
  <rowItems count="20">
    <i>
      <x/>
    </i>
    <i>
      <x v="1"/>
    </i>
    <i>
      <x v="2"/>
    </i>
    <i>
      <x v="3"/>
    </i>
    <i>
      <x v="4"/>
    </i>
    <i>
      <x v="5"/>
    </i>
    <i>
      <x v="6"/>
    </i>
    <i>
      <x v="7"/>
    </i>
    <i>
      <x v="8"/>
    </i>
    <i>
      <x v="9"/>
    </i>
    <i>
      <x v="10"/>
    </i>
    <i>
      <x v="11"/>
    </i>
    <i>
      <x v="12"/>
    </i>
    <i>
      <x v="13"/>
    </i>
    <i>
      <x v="14"/>
    </i>
    <i>
      <x v="15"/>
    </i>
    <i>
      <x v="16"/>
    </i>
    <i>
      <x v="17"/>
    </i>
    <i>
      <x v="18"/>
    </i>
    <i t="grand">
      <x/>
    </i>
  </rowItems>
  <colFields count="1">
    <field x="0"/>
  </colFields>
  <colItems count="7">
    <i>
      <x/>
    </i>
    <i>
      <x v="1"/>
    </i>
    <i>
      <x v="2"/>
    </i>
    <i>
      <x v="3"/>
    </i>
    <i>
      <x v="4"/>
    </i>
    <i>
      <x v="5"/>
    </i>
    <i t="grand">
      <x/>
    </i>
  </colItems>
  <dataFields count="1">
    <dataField name="Count of Source table nam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C5C9B4-C8AC-473C-B304-957A51695801}"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7:G48" firstHeaderRow="1" firstDataRow="2" firstDataCol="1"/>
  <pivotFields count="28">
    <pivotField compact="0" outline="0" showAll="0"/>
    <pivotField compact="0" outline="0" showAll="0"/>
    <pivotField axis="axisRow" compact="0" outline="0" showAll="0">
      <items count="20">
        <item x="7"/>
        <item x="6"/>
        <item x="2"/>
        <item x="11"/>
        <item x="10"/>
        <item x="4"/>
        <item x="8"/>
        <item x="0"/>
        <item x="5"/>
        <item x="13"/>
        <item x="16"/>
        <item x="15"/>
        <item x="14"/>
        <item x="3"/>
        <item x="1"/>
        <item x="17"/>
        <item x="9"/>
        <item x="12"/>
        <item x="1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6">
        <item x="3"/>
        <item x="2"/>
        <item x="0"/>
        <item x="4"/>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20">
    <i>
      <x/>
    </i>
    <i>
      <x v="1"/>
    </i>
    <i>
      <x v="2"/>
    </i>
    <i>
      <x v="3"/>
    </i>
    <i>
      <x v="4"/>
    </i>
    <i>
      <x v="5"/>
    </i>
    <i>
      <x v="6"/>
    </i>
    <i>
      <x v="7"/>
    </i>
    <i>
      <x v="8"/>
    </i>
    <i>
      <x v="9"/>
    </i>
    <i>
      <x v="10"/>
    </i>
    <i>
      <x v="11"/>
    </i>
    <i>
      <x v="12"/>
    </i>
    <i>
      <x v="13"/>
    </i>
    <i>
      <x v="14"/>
    </i>
    <i>
      <x v="15"/>
    </i>
    <i>
      <x v="16"/>
    </i>
    <i>
      <x v="17"/>
    </i>
    <i>
      <x v="18"/>
    </i>
    <i t="grand">
      <x/>
    </i>
  </rowItems>
  <colFields count="1">
    <field x="18"/>
  </colFields>
  <colItems count="6">
    <i>
      <x/>
    </i>
    <i>
      <x v="1"/>
    </i>
    <i>
      <x v="2"/>
    </i>
    <i>
      <x v="3"/>
    </i>
    <i>
      <x v="4"/>
    </i>
    <i t="grand">
      <x/>
    </i>
  </colItems>
  <dataFields count="1">
    <dataField name="Count of Continuous load in SQL DB_x000a_DB : DEV_x000a_Source : UAT 2_x000a_Approach : Confluent RTS _x000a_(SQL Sink)" fld="18" subtotal="count" baseField="0" baseItem="0"/>
  </dataFields>
  <formats count="10">
    <format dxfId="13">
      <pivotArea type="all" dataOnly="0" outline="0" fieldPosition="0"/>
    </format>
    <format dxfId="12">
      <pivotArea outline="0" collapsedLevelsAreSubtotals="1" fieldPosition="0"/>
    </format>
    <format dxfId="11">
      <pivotArea type="origin" dataOnly="0" labelOnly="1" outline="0" fieldPosition="0"/>
    </format>
    <format dxfId="10">
      <pivotArea field="18" type="button" dataOnly="0" labelOnly="1" outline="0" axis="axisCol" fieldPosition="0"/>
    </format>
    <format dxfId="9">
      <pivotArea type="topRight" dataOnly="0" labelOnly="1" outline="0" fieldPosition="0"/>
    </format>
    <format dxfId="8">
      <pivotArea field="2" type="button" dataOnly="0" labelOnly="1" outline="0" axis="axisRow" fieldPosition="0"/>
    </format>
    <format dxfId="7">
      <pivotArea dataOnly="0" labelOnly="1" outline="0" fieldPosition="0">
        <references count="1">
          <reference field="2" count="0"/>
        </references>
      </pivotArea>
    </format>
    <format dxfId="6">
      <pivotArea dataOnly="0" labelOnly="1" grandRow="1" outline="0" fieldPosition="0"/>
    </format>
    <format dxfId="5">
      <pivotArea dataOnly="0" labelOnly="1" outline="0" fieldPosition="0">
        <references count="1">
          <reference field="18" count="0"/>
        </references>
      </pivotArea>
    </format>
    <format dxfId="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A6FCEE-D6FB-473B-B433-1641D7520190}"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F23" firstHeaderRow="1" firstDataRow="2" firstDataCol="1"/>
  <pivotFields count="28">
    <pivotField compact="0" outline="0" showAll="0"/>
    <pivotField compact="0" outline="0" showAll="0"/>
    <pivotField axis="axisRow" compact="0" outline="0" showAll="0">
      <items count="20">
        <item x="7"/>
        <item x="6"/>
        <item x="2"/>
        <item x="11"/>
        <item x="10"/>
        <item x="4"/>
        <item x="8"/>
        <item x="0"/>
        <item x="5"/>
        <item x="13"/>
        <item x="16"/>
        <item x="15"/>
        <item x="14"/>
        <item x="3"/>
        <item x="1"/>
        <item x="17"/>
        <item x="9"/>
        <item x="12"/>
        <item x="1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5">
        <item x="0"/>
        <item x="2"/>
        <item x="1"/>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20">
    <i>
      <x/>
    </i>
    <i>
      <x v="1"/>
    </i>
    <i>
      <x v="2"/>
    </i>
    <i>
      <x v="3"/>
    </i>
    <i>
      <x v="4"/>
    </i>
    <i>
      <x v="5"/>
    </i>
    <i>
      <x v="6"/>
    </i>
    <i>
      <x v="7"/>
    </i>
    <i>
      <x v="8"/>
    </i>
    <i>
      <x v="9"/>
    </i>
    <i>
      <x v="10"/>
    </i>
    <i>
      <x v="11"/>
    </i>
    <i>
      <x v="12"/>
    </i>
    <i>
      <x v="13"/>
    </i>
    <i>
      <x v="14"/>
    </i>
    <i>
      <x v="15"/>
    </i>
    <i>
      <x v="16"/>
    </i>
    <i>
      <x v="17"/>
    </i>
    <i>
      <x v="18"/>
    </i>
    <i t="grand">
      <x/>
    </i>
  </rowItems>
  <colFields count="1">
    <field x="17"/>
  </colFields>
  <colItems count="5">
    <i>
      <x/>
    </i>
    <i>
      <x v="1"/>
    </i>
    <i>
      <x v="2"/>
    </i>
    <i>
      <x v="3"/>
    </i>
    <i t="grand">
      <x/>
    </i>
  </colItems>
  <dataFields count="1">
    <dataField name="Count of Day-0 load in SQL DB _x000a_DB : DEV_x000a_Source : UAT 2_x000a_Approach : ADF approach" fld="17" subtotal="count" baseField="0" baseItem="0"/>
  </dataFields>
  <formats count="10">
    <format dxfId="23">
      <pivotArea type="all" dataOnly="0" outline="0" fieldPosition="0"/>
    </format>
    <format dxfId="22">
      <pivotArea outline="0" collapsedLevelsAreSubtotals="1" fieldPosition="0"/>
    </format>
    <format dxfId="21">
      <pivotArea type="origin" dataOnly="0" labelOnly="1" outline="0" fieldPosition="0"/>
    </format>
    <format dxfId="20">
      <pivotArea field="17" type="button" dataOnly="0" labelOnly="1" outline="0" axis="axisCol" fieldPosition="0"/>
    </format>
    <format dxfId="19">
      <pivotArea type="topRight" dataOnly="0" labelOnly="1" outline="0" fieldPosition="0"/>
    </format>
    <format dxfId="18">
      <pivotArea field="2" type="button" dataOnly="0" labelOnly="1" outline="0" axis="axisRow" fieldPosition="0"/>
    </format>
    <format dxfId="17">
      <pivotArea dataOnly="0" labelOnly="1" outline="0" fieldPosition="0">
        <references count="1">
          <reference field="2" count="0"/>
        </references>
      </pivotArea>
    </format>
    <format dxfId="16">
      <pivotArea dataOnly="0" labelOnly="1" grandRow="1" outline="0" fieldPosition="0"/>
    </format>
    <format dxfId="15">
      <pivotArea dataOnly="0" labelOnly="1" outline="0" fieldPosition="0">
        <references count="1">
          <reference field="17" count="0"/>
        </references>
      </pivotArea>
    </format>
    <format dxfId="1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6" dT="2025-10-21T12:35:39.43" personId="{7A086728-25C6-4951-BD5B-510670E97718}" id="{AAC13DF4-6BF8-4337-B71F-8C2B44299593}">
    <text>No DB, table and field details shared</text>
  </threadedComment>
  <threadedComment ref="F16" dT="2025-10-21T12:35:39.43" personId="{7A086728-25C6-4951-BD5B-510670E97718}" id="{0978AEDB-6EF5-46AB-BC1C-9BD02798CEA0}">
    <text>No DB, table and field details shared</text>
  </threadedComment>
  <threadedComment ref="E25" dT="2025-10-21T12:36:50.08" personId="{7A086728-25C6-4951-BD5B-510670E97718}" id="{8B6B779A-D1B6-41B9-B641-5A376472FBB9}">
    <text>All fields fetched through API</text>
  </threadedComment>
  <threadedComment ref="F25" dT="2025-10-21T12:36:50.08" personId="{7A086728-25C6-4951-BD5B-510670E97718}" id="{E327A659-3F50-462B-AE8C-F388012995E8}">
    <text>All fields fetched through API</text>
  </threadedComment>
</ThreadedComments>
</file>

<file path=xl/threadedComments/threadedComment2.xml><?xml version="1.0" encoding="utf-8"?>
<ThreadedComments xmlns="http://schemas.microsoft.com/office/spreadsheetml/2018/threadedcomments" xmlns:x="http://schemas.openxmlformats.org/spreadsheetml/2006/main">
  <threadedComment ref="F270" dT="2026-01-17T12:04:54.08" personId="{7A086728-25C6-4951-BD5B-510670E97718}" id="{5F70D4F1-15D3-4F86-A263-496AE3227BF5}">
    <text>Seems incorrect. Alok to check</text>
  </threadedComment>
</ThreadedComments>
</file>

<file path=xl/threadedComments/threadedComment3.xml><?xml version="1.0" encoding="utf-8"?>
<ThreadedComments xmlns="http://schemas.microsoft.com/office/spreadsheetml/2018/threadedcomments" xmlns:x="http://schemas.openxmlformats.org/spreadsheetml/2006/main">
  <threadedComment ref="F83" dT="2026-01-17T12:04:54.08" personId="{7A086728-25C6-4951-BD5B-510670E97718}" id="{E8EC9E1E-87A9-4BD8-A357-7EB5A79F258C}">
    <text>Seems incorrect. Alok to check</text>
  </threadedComment>
</ThreadedComments>
</file>

<file path=xl/threadedComments/threadedComment4.xml><?xml version="1.0" encoding="utf-8"?>
<ThreadedComments xmlns="http://schemas.microsoft.com/office/spreadsheetml/2018/threadedcomments" xmlns:x="http://schemas.openxmlformats.org/spreadsheetml/2006/main">
  <threadedComment ref="F10" dT="2026-04-16T16:51:13.34" personId="{1FF9A895-8BE3-4994-B400-1C0B8DA81347}" id="{9085E5CC-ED7D-4D2B-BC26-859B5429307B}" done="1">
    <text>This is incorrect as well. Who will perform analysis</text>
  </threadedComment>
  <threadedComment ref="E14" dT="2026-04-16T17:02:31.27" personId="{1FF9A895-8BE3-4994-B400-1C0B8DA81347}" id="{807F094B-B40E-489E-8C2D-1F23774C093E}" done="1">
    <text>This is incorrect</text>
  </threadedComment>
  <threadedComment ref="E14" dT="2026-04-17T07:38:56.25" personId="{DB01AD63-6472-4146-9367-0E7B8A512606}" id="{AF6E343F-DEC5-46C1-B550-4E80264F0789}" parentId="{807F094B-B40E-489E-8C2D-1F23774C093E}">
    <text>@Keerthana Rajasekaran checked backlog and found that all fields are part of M3.</text>
    <mentions>
      <mention mentionpersonId="{47BDE3F4-034C-426E-9F61-EF1FD7B2DA0D}" mentionId="{DA35B9DC-7155-4979-92D7-40F8872FC1C0}" startIndex="0" length="22"/>
    </mentions>
  </threadedComment>
  <threadedComment ref="E15" dT="2026-04-16T17:03:20.63" personId="{1FF9A895-8BE3-4994-B400-1C0B8DA81347}" id="{5FF75797-BDE3-4C4E-955C-1E6058C6B4FC}" done="1">
    <text>This is incorrect</text>
  </threadedComment>
  <threadedComment ref="E15" dT="2026-04-17T07:44:07.28" personId="{DB01AD63-6472-4146-9367-0E7B8A512606}" id="{015CBAAE-5A52-4932-ADB5-6510675A5EC5}" parentId="{5FF75797-BDE3-4C4E-955C-1E6058C6B4FC}">
    <text>@Keerthana Rajasekaran not able to find prev backlog so should be part of drop 2</text>
    <mentions>
      <mention mentionpersonId="{47BDE3F4-034C-426E-9F61-EF1FD7B2DA0D}" mentionId="{41DA0D11-0A50-4722-B50B-8D7EC0FE033D}" startIndex="0" length="22"/>
    </mentions>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Ayesha.Iqbal@rakbank.ae" TargetMode="External"/><Relationship Id="rId3" Type="http://schemas.openxmlformats.org/officeDocument/2006/relationships/hyperlink" Target="mailto:Veena.Kochattil@rakbank.ae" TargetMode="External"/><Relationship Id="rId7" Type="http://schemas.openxmlformats.org/officeDocument/2006/relationships/hyperlink" Target="mailto:Saranya.Sankarappan@rakbank.ae" TargetMode="External"/><Relationship Id="rId2" Type="http://schemas.openxmlformats.org/officeDocument/2006/relationships/hyperlink" Target="mailto:Aditya.Kulkarni@rakbank.ae" TargetMode="External"/><Relationship Id="rId1" Type="http://schemas.openxmlformats.org/officeDocument/2006/relationships/hyperlink" Target="mailto:Amruta.Wadke@rakbank.ae" TargetMode="External"/><Relationship Id="rId6" Type="http://schemas.openxmlformats.org/officeDocument/2006/relationships/hyperlink" Target="mailto:abhilasha@iccfze.com" TargetMode="External"/><Relationship Id="rId5" Type="http://schemas.openxmlformats.org/officeDocument/2006/relationships/hyperlink" Target="mailto:abhilasha@iccfze.com" TargetMode="External"/><Relationship Id="rId4" Type="http://schemas.openxmlformats.org/officeDocument/2006/relationships/hyperlink" Target="mailto:shailesh.tiwari@gamechangesns.com"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mailto:shailesh.tiwari@gamechangesns.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mailto:rahul.mehta@isgdigitalfirst.com" TargetMode="External"/><Relationship Id="rId3" Type="http://schemas.openxmlformats.org/officeDocument/2006/relationships/hyperlink" Target="mailto:majmal@tsys.com" TargetMode="External"/><Relationship Id="rId7" Type="http://schemas.openxmlformats.org/officeDocument/2006/relationships/hyperlink" Target="mailto:rahul.mehta@isgdigitalfirst.com" TargetMode="External"/><Relationship Id="rId12" Type="http://schemas.openxmlformats.org/officeDocument/2006/relationships/printerSettings" Target="../printerSettings/printerSettings9.bin"/><Relationship Id="rId2" Type="http://schemas.openxmlformats.org/officeDocument/2006/relationships/hyperlink" Target="mailto:majmal@tsys.com" TargetMode="External"/><Relationship Id="rId1" Type="http://schemas.openxmlformats.org/officeDocument/2006/relationships/hyperlink" Target="mailto:Kaushal.misra@nucleussoftware.com" TargetMode="External"/><Relationship Id="rId6" Type="http://schemas.openxmlformats.org/officeDocument/2006/relationships/hyperlink" Target="mailto:Thushara-%20email:%20Thushara@chinasystems-me.com" TargetMode="External"/><Relationship Id="rId11" Type="http://schemas.openxmlformats.org/officeDocument/2006/relationships/hyperlink" Target="mailto:balpreet.rihal@kiplot.com" TargetMode="External"/><Relationship Id="rId5" Type="http://schemas.openxmlformats.org/officeDocument/2006/relationships/hyperlink" Target="mailto:Thushara-%20email:%20Thushara@chinasystems-me.com" TargetMode="External"/><Relationship Id="rId10" Type="http://schemas.openxmlformats.org/officeDocument/2006/relationships/hyperlink" Target="mailto:KamakuraAspacTeam@sas.com" TargetMode="External"/><Relationship Id="rId4" Type="http://schemas.openxmlformats.org/officeDocument/2006/relationships/hyperlink" Target="mailto:Sree.Sasikumaran@rakbank.ae" TargetMode="External"/><Relationship Id="rId9" Type="http://schemas.openxmlformats.org/officeDocument/2006/relationships/hyperlink" Target="mailto:KamakuraAspacTeam@sas.com"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hyperlink" Target="https://crm-preprod.crm15.dynamics.com/" TargetMode="External"/><Relationship Id="rId7" Type="http://schemas.openxmlformats.org/officeDocument/2006/relationships/printerSettings" Target="../printerSettings/printerSettings11.bin"/><Relationship Id="rId2" Type="http://schemas.openxmlformats.org/officeDocument/2006/relationships/hyperlink" Target="https://crm-uat.crm15.dynamics.com/" TargetMode="External"/><Relationship Id="rId1" Type="http://schemas.openxmlformats.org/officeDocument/2006/relationships/hyperlink" Target="https://crm-sit.crm15.dynamics.com/" TargetMode="External"/><Relationship Id="rId6" Type="http://schemas.openxmlformats.org/officeDocument/2006/relationships/hyperlink" Target="https://crm-pt.crm15.dynamics.com/" TargetMode="External"/><Relationship Id="rId5" Type="http://schemas.openxmlformats.org/officeDocument/2006/relationships/hyperlink" Target="https://crm.crm15.dynamics.com/" TargetMode="External"/><Relationship Id="rId4" Type="http://schemas.openxmlformats.org/officeDocument/2006/relationships/hyperlink" Target="https://crm-dev.crm15.dynamics.com/"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2.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3.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61.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5.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6.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7.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8.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9.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0.bin"/></Relationships>
</file>

<file path=xl/worksheets/_rels/sheet68.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5DB8C-6738-4CC3-83C2-D8EAE901CDF0}">
  <dimension ref="A1:P43"/>
  <sheetViews>
    <sheetView zoomScale="110" zoomScaleNormal="110" workbookViewId="0">
      <pane xSplit="2" topLeftCell="C1" activePane="topRight" state="frozen"/>
      <selection activeCell="F10" sqref="F10"/>
      <selection pane="topRight" activeCell="F10" sqref="F10"/>
    </sheetView>
  </sheetViews>
  <sheetFormatPr defaultRowHeight="15"/>
  <cols>
    <col min="1" max="1" width="6.5703125" customWidth="1"/>
    <col min="2" max="2" width="22" style="12" bestFit="1" customWidth="1"/>
    <col min="3" max="3" width="20.42578125" customWidth="1"/>
    <col min="4" max="4" width="22.42578125" customWidth="1"/>
    <col min="5" max="5" width="17" bestFit="1" customWidth="1"/>
    <col min="6" max="6" width="28.85546875" bestFit="1" customWidth="1"/>
    <col min="7" max="7" width="29.5703125" bestFit="1" customWidth="1"/>
    <col min="8" max="8" width="15.42578125" bestFit="1" customWidth="1"/>
    <col min="9" max="10" width="23" customWidth="1"/>
    <col min="11" max="12" width="23" hidden="1" customWidth="1"/>
    <col min="13" max="13" width="23.5703125" hidden="1" customWidth="1"/>
    <col min="14" max="14" width="20.85546875" bestFit="1" customWidth="1"/>
    <col min="15" max="15" width="30" customWidth="1"/>
    <col min="16" max="16" width="18.5703125" bestFit="1" customWidth="1"/>
    <col min="18" max="18" width="19.5703125" bestFit="1" customWidth="1"/>
  </cols>
  <sheetData>
    <row r="1" spans="1:16" ht="27">
      <c r="A1" s="16"/>
      <c r="B1" s="33" t="s">
        <v>0</v>
      </c>
      <c r="C1" s="16"/>
      <c r="D1" s="16"/>
      <c r="E1" s="16"/>
      <c r="F1" s="16"/>
      <c r="G1" s="16"/>
      <c r="H1" s="16"/>
      <c r="I1" s="16"/>
      <c r="J1" s="16"/>
      <c r="K1" s="16"/>
      <c r="L1" s="16"/>
      <c r="M1" s="16"/>
      <c r="N1" s="16"/>
      <c r="O1" s="16"/>
      <c r="P1" s="16"/>
    </row>
    <row r="2" spans="1:16" ht="54">
      <c r="A2" s="32" t="s">
        <v>1</v>
      </c>
      <c r="B2" s="34" t="s">
        <v>2</v>
      </c>
      <c r="C2" s="27" t="s">
        <v>3</v>
      </c>
      <c r="D2" s="38" t="s">
        <v>4</v>
      </c>
      <c r="E2" s="18" t="s">
        <v>5</v>
      </c>
      <c r="F2" s="18" t="s">
        <v>6</v>
      </c>
      <c r="G2" s="19" t="s">
        <v>7</v>
      </c>
      <c r="H2" s="19" t="s">
        <v>8</v>
      </c>
      <c r="I2" s="18" t="s">
        <v>9</v>
      </c>
      <c r="J2" s="19" t="s">
        <v>10</v>
      </c>
      <c r="K2" s="19" t="s">
        <v>11</v>
      </c>
      <c r="L2" s="19" t="s">
        <v>12</v>
      </c>
      <c r="M2" s="19" t="s">
        <v>13</v>
      </c>
      <c r="N2" s="17" t="s">
        <v>14</v>
      </c>
      <c r="O2" s="46" t="s">
        <v>15</v>
      </c>
      <c r="P2" s="46" t="s">
        <v>16</v>
      </c>
    </row>
    <row r="3" spans="1:16" ht="14.45" customHeight="1">
      <c r="A3" s="20">
        <v>1184</v>
      </c>
      <c r="B3" s="51" t="s">
        <v>17</v>
      </c>
      <c r="C3" s="28" t="s">
        <v>18</v>
      </c>
      <c r="D3" s="21" t="s">
        <v>19</v>
      </c>
      <c r="E3" s="20" t="s">
        <v>20</v>
      </c>
      <c r="F3" s="20" t="s">
        <v>21</v>
      </c>
      <c r="G3" s="50" t="s">
        <v>22</v>
      </c>
      <c r="H3" s="50"/>
      <c r="I3" s="20" t="s">
        <v>23</v>
      </c>
      <c r="J3" s="28" t="s">
        <v>24</v>
      </c>
      <c r="K3" s="28"/>
      <c r="L3" s="28"/>
      <c r="M3" s="28"/>
      <c r="N3" s="20" t="s">
        <v>25</v>
      </c>
      <c r="O3" s="16"/>
      <c r="P3" s="16"/>
    </row>
    <row r="4" spans="1:16" ht="27">
      <c r="A4" s="20">
        <v>335</v>
      </c>
      <c r="B4" s="54" t="s">
        <v>26</v>
      </c>
      <c r="C4" s="28" t="s">
        <v>18</v>
      </c>
      <c r="D4" s="21" t="s">
        <v>19</v>
      </c>
      <c r="E4" s="20" t="s">
        <v>27</v>
      </c>
      <c r="F4" s="24" t="s">
        <v>28</v>
      </c>
      <c r="G4" s="24" t="s">
        <v>29</v>
      </c>
      <c r="H4" t="s">
        <v>30</v>
      </c>
      <c r="I4" s="24" t="s">
        <v>31</v>
      </c>
      <c r="J4" s="42" t="s">
        <v>32</v>
      </c>
      <c r="K4" s="42"/>
      <c r="L4" s="42" t="s">
        <v>33</v>
      </c>
      <c r="M4" s="28" t="s">
        <v>34</v>
      </c>
      <c r="N4" s="24" t="s">
        <v>35</v>
      </c>
      <c r="O4" s="16"/>
      <c r="P4" s="16"/>
    </row>
    <row r="5" spans="1:16">
      <c r="A5" s="20">
        <v>197</v>
      </c>
      <c r="B5" s="51" t="s">
        <v>36</v>
      </c>
      <c r="C5" s="28" t="s">
        <v>18</v>
      </c>
      <c r="D5" s="21" t="s">
        <v>19</v>
      </c>
      <c r="E5" s="20" t="s">
        <v>20</v>
      </c>
      <c r="F5" s="20" t="s">
        <v>37</v>
      </c>
      <c r="G5" s="50" t="s">
        <v>38</v>
      </c>
      <c r="H5" s="50"/>
      <c r="I5" s="20" t="s">
        <v>23</v>
      </c>
      <c r="J5" s="28" t="s">
        <v>24</v>
      </c>
      <c r="K5" s="28"/>
      <c r="L5" s="28"/>
      <c r="M5" s="28"/>
      <c r="N5" s="21" t="s">
        <v>25</v>
      </c>
      <c r="O5" s="16"/>
      <c r="P5" s="16"/>
    </row>
    <row r="6" spans="1:16">
      <c r="A6" s="20">
        <v>190</v>
      </c>
      <c r="B6" s="51" t="s">
        <v>39</v>
      </c>
      <c r="C6" s="28" t="s">
        <v>18</v>
      </c>
      <c r="D6" s="21" t="s">
        <v>19</v>
      </c>
      <c r="E6" s="22" t="s">
        <v>40</v>
      </c>
      <c r="F6" s="22" t="s">
        <v>41</v>
      </c>
      <c r="G6" s="22" t="s">
        <v>41</v>
      </c>
      <c r="H6" t="s">
        <v>42</v>
      </c>
      <c r="I6" s="20" t="s">
        <v>23</v>
      </c>
      <c r="J6" s="28" t="s">
        <v>24</v>
      </c>
      <c r="K6" s="28"/>
      <c r="L6" s="28"/>
      <c r="M6" s="28"/>
      <c r="N6" s="21" t="s">
        <v>25</v>
      </c>
      <c r="O6" s="16"/>
      <c r="P6" s="16"/>
    </row>
    <row r="7" spans="1:16" ht="40.5">
      <c r="A7" s="20">
        <v>74</v>
      </c>
      <c r="B7" s="51" t="s">
        <v>43</v>
      </c>
      <c r="C7" s="28" t="s">
        <v>18</v>
      </c>
      <c r="D7" s="21" t="s">
        <v>19</v>
      </c>
      <c r="E7" s="22" t="s">
        <v>44</v>
      </c>
      <c r="F7" s="26" t="s">
        <v>45</v>
      </c>
      <c r="G7" s="26" t="s">
        <v>45</v>
      </c>
      <c r="H7" s="26"/>
      <c r="I7" s="20" t="s">
        <v>46</v>
      </c>
      <c r="J7" s="28" t="s">
        <v>24</v>
      </c>
      <c r="K7" s="28"/>
      <c r="L7" s="28"/>
      <c r="M7" s="28"/>
      <c r="N7" s="25" t="s">
        <v>25</v>
      </c>
      <c r="O7" s="16"/>
      <c r="P7" s="16"/>
    </row>
    <row r="8" spans="1:16">
      <c r="A8" s="20">
        <v>73</v>
      </c>
      <c r="B8" s="51" t="s">
        <v>47</v>
      </c>
      <c r="C8" s="28"/>
      <c r="D8" s="21" t="s">
        <v>48</v>
      </c>
      <c r="E8" s="20" t="s">
        <v>49</v>
      </c>
      <c r="F8" s="5" t="s">
        <v>49</v>
      </c>
      <c r="G8" s="20" t="s">
        <v>49</v>
      </c>
      <c r="H8" s="20"/>
      <c r="I8" s="20" t="s">
        <v>50</v>
      </c>
      <c r="J8" s="28" t="s">
        <v>24</v>
      </c>
      <c r="K8" s="28"/>
      <c r="L8" s="28"/>
      <c r="M8" s="39"/>
      <c r="N8" s="20" t="s">
        <v>25</v>
      </c>
      <c r="O8" s="30"/>
    </row>
    <row r="9" spans="1:16">
      <c r="A9" s="20">
        <v>64</v>
      </c>
      <c r="B9" s="51" t="s">
        <v>51</v>
      </c>
      <c r="C9" s="28" t="s">
        <v>18</v>
      </c>
      <c r="D9" s="21" t="s">
        <v>19</v>
      </c>
      <c r="E9" s="47" t="s">
        <v>52</v>
      </c>
      <c r="F9" s="47" t="s">
        <v>53</v>
      </c>
      <c r="G9" s="47" t="s">
        <v>54</v>
      </c>
      <c r="H9" t="s">
        <v>55</v>
      </c>
      <c r="I9" s="20" t="s">
        <v>46</v>
      </c>
      <c r="J9" s="28" t="s">
        <v>24</v>
      </c>
      <c r="K9" s="28"/>
      <c r="L9" s="28"/>
      <c r="M9" s="28"/>
      <c r="N9" s="20" t="s">
        <v>25</v>
      </c>
      <c r="O9" s="30"/>
      <c r="P9" s="16"/>
    </row>
    <row r="10" spans="1:16" ht="27">
      <c r="A10" s="20">
        <v>48</v>
      </c>
      <c r="B10" s="51" t="s">
        <v>56</v>
      </c>
      <c r="C10" s="28"/>
      <c r="D10" s="21" t="s">
        <v>48</v>
      </c>
      <c r="E10" s="20" t="s">
        <v>49</v>
      </c>
      <c r="F10" s="5" t="s">
        <v>49</v>
      </c>
      <c r="G10" s="20" t="s">
        <v>49</v>
      </c>
      <c r="H10" s="20"/>
      <c r="I10" s="20" t="s">
        <v>50</v>
      </c>
      <c r="J10" s="28" t="s">
        <v>24</v>
      </c>
      <c r="K10" s="28"/>
      <c r="L10" s="28"/>
      <c r="M10" s="39"/>
      <c r="N10" s="20" t="s">
        <v>25</v>
      </c>
      <c r="O10" s="30"/>
    </row>
    <row r="11" spans="1:16">
      <c r="A11" s="20">
        <v>48</v>
      </c>
      <c r="B11" s="51" t="s">
        <v>57</v>
      </c>
      <c r="C11" s="28" t="s">
        <v>18</v>
      </c>
      <c r="D11" s="21" t="s">
        <v>19</v>
      </c>
      <c r="E11" s="20" t="s">
        <v>20</v>
      </c>
      <c r="F11" s="20" t="s">
        <v>58</v>
      </c>
      <c r="G11" s="82" t="s">
        <v>59</v>
      </c>
      <c r="H11" s="50"/>
      <c r="I11" s="20" t="s">
        <v>60</v>
      </c>
      <c r="J11" s="28" t="s">
        <v>24</v>
      </c>
      <c r="K11" s="28"/>
      <c r="L11" s="28"/>
      <c r="M11" s="28"/>
      <c r="N11" s="20" t="s">
        <v>61</v>
      </c>
      <c r="O11" s="30"/>
      <c r="P11" s="16"/>
    </row>
    <row r="12" spans="1:16" ht="27">
      <c r="A12" s="20">
        <v>41</v>
      </c>
      <c r="B12" s="51" t="s">
        <v>62</v>
      </c>
      <c r="C12" s="28"/>
      <c r="D12" s="21" t="s">
        <v>19</v>
      </c>
      <c r="E12" s="20" t="s">
        <v>63</v>
      </c>
      <c r="F12" s="20" t="s">
        <v>64</v>
      </c>
      <c r="G12" s="52" t="s">
        <v>65</v>
      </c>
      <c r="H12" s="52"/>
      <c r="I12" s="20" t="s">
        <v>46</v>
      </c>
      <c r="J12" s="28" t="s">
        <v>24</v>
      </c>
      <c r="K12" s="28"/>
      <c r="L12" s="28"/>
      <c r="M12" s="28"/>
      <c r="N12" s="20" t="s">
        <v>25</v>
      </c>
      <c r="O12" s="30"/>
      <c r="P12" s="16"/>
    </row>
    <row r="13" spans="1:16">
      <c r="A13" s="20">
        <v>33</v>
      </c>
      <c r="B13" s="51" t="s">
        <v>66</v>
      </c>
      <c r="C13" s="28"/>
      <c r="D13" s="21" t="s">
        <v>19</v>
      </c>
      <c r="E13" s="47" t="s">
        <v>67</v>
      </c>
      <c r="F13" s="47" t="s">
        <v>68</v>
      </c>
      <c r="G13" s="47" t="s">
        <v>69</v>
      </c>
      <c r="H13" t="s">
        <v>70</v>
      </c>
      <c r="I13" s="20" t="s">
        <v>23</v>
      </c>
      <c r="J13" s="28" t="s">
        <v>24</v>
      </c>
      <c r="K13" s="28"/>
      <c r="L13" s="28"/>
      <c r="M13" s="28"/>
      <c r="N13" s="20" t="s">
        <v>25</v>
      </c>
      <c r="O13" s="30"/>
      <c r="P13" s="16"/>
    </row>
    <row r="14" spans="1:16">
      <c r="A14" s="20">
        <v>32</v>
      </c>
      <c r="B14" s="51" t="s">
        <v>71</v>
      </c>
      <c r="C14" s="28" t="s">
        <v>18</v>
      </c>
      <c r="D14" s="21" t="s">
        <v>48</v>
      </c>
      <c r="E14" s="20" t="s">
        <v>49</v>
      </c>
      <c r="F14" s="5" t="s">
        <v>49</v>
      </c>
      <c r="G14" s="20" t="s">
        <v>49</v>
      </c>
      <c r="H14" s="20"/>
      <c r="I14" s="20" t="s">
        <v>23</v>
      </c>
      <c r="J14" s="28" t="s">
        <v>24</v>
      </c>
      <c r="K14" s="28"/>
      <c r="L14" s="28"/>
      <c r="M14" s="39"/>
      <c r="N14" s="20" t="s">
        <v>25</v>
      </c>
      <c r="O14" s="30"/>
    </row>
    <row r="15" spans="1:16" ht="30">
      <c r="A15" s="20">
        <v>31</v>
      </c>
      <c r="B15" s="51" t="s">
        <v>72</v>
      </c>
      <c r="C15" s="28"/>
      <c r="D15" s="21" t="s">
        <v>19</v>
      </c>
      <c r="E15" s="20" t="s">
        <v>73</v>
      </c>
      <c r="F15" s="73" t="s">
        <v>74</v>
      </c>
      <c r="G15" s="71" t="s">
        <v>74</v>
      </c>
      <c r="H15" s="72" t="s">
        <v>75</v>
      </c>
      <c r="I15" s="24" t="s">
        <v>50</v>
      </c>
      <c r="J15" s="28" t="s">
        <v>24</v>
      </c>
      <c r="K15" s="28"/>
      <c r="L15" s="28" t="s">
        <v>33</v>
      </c>
      <c r="M15" s="39" t="s">
        <v>34</v>
      </c>
      <c r="N15" s="20" t="s">
        <v>25</v>
      </c>
      <c r="O15" s="30"/>
    </row>
    <row r="16" spans="1:16" ht="27">
      <c r="A16" s="20">
        <v>29</v>
      </c>
      <c r="B16" s="51" t="s">
        <v>76</v>
      </c>
      <c r="C16" s="29"/>
      <c r="D16" s="21" t="s">
        <v>48</v>
      </c>
      <c r="E16" s="20" t="s">
        <v>49</v>
      </c>
      <c r="F16" s="20" t="s">
        <v>49</v>
      </c>
      <c r="G16" s="20" t="s">
        <v>49</v>
      </c>
      <c r="H16" s="20"/>
      <c r="I16" s="21" t="s">
        <v>50</v>
      </c>
      <c r="J16" s="29" t="s">
        <v>24</v>
      </c>
      <c r="K16" s="29"/>
      <c r="L16" s="29"/>
      <c r="M16" s="39"/>
      <c r="N16" s="21" t="s">
        <v>25</v>
      </c>
      <c r="O16" s="31" t="s">
        <v>77</v>
      </c>
    </row>
    <row r="17" spans="1:16">
      <c r="A17" s="43">
        <v>27</v>
      </c>
      <c r="B17" s="44" t="s">
        <v>78</v>
      </c>
      <c r="C17" s="29"/>
      <c r="D17" s="45" t="s">
        <v>19</v>
      </c>
      <c r="E17" s="20" t="s">
        <v>79</v>
      </c>
      <c r="F17" s="20"/>
      <c r="G17" s="20"/>
      <c r="H17" s="20"/>
      <c r="I17" s="25"/>
      <c r="J17" s="29"/>
      <c r="K17" s="29"/>
      <c r="L17" s="29"/>
      <c r="M17" s="39"/>
      <c r="N17" s="21"/>
      <c r="O17" s="31"/>
    </row>
    <row r="18" spans="1:16">
      <c r="A18" s="20">
        <v>25</v>
      </c>
      <c r="B18" s="35" t="s">
        <v>80</v>
      </c>
      <c r="C18" s="28"/>
      <c r="D18" s="21" t="s">
        <v>48</v>
      </c>
      <c r="E18" s="20" t="s">
        <v>49</v>
      </c>
      <c r="F18" s="5" t="s">
        <v>49</v>
      </c>
      <c r="G18" s="20" t="s">
        <v>49</v>
      </c>
      <c r="H18" s="20"/>
      <c r="I18" s="20" t="s">
        <v>50</v>
      </c>
      <c r="J18" s="28" t="s">
        <v>24</v>
      </c>
      <c r="K18" s="28"/>
      <c r="L18" s="28"/>
      <c r="M18" s="39"/>
      <c r="N18" s="20" t="s">
        <v>25</v>
      </c>
      <c r="O18" s="30"/>
    </row>
    <row r="19" spans="1:16" ht="54">
      <c r="A19" s="20">
        <v>25</v>
      </c>
      <c r="B19" s="35" t="s">
        <v>81</v>
      </c>
      <c r="C19" s="28"/>
      <c r="D19" s="21" t="s">
        <v>19</v>
      </c>
      <c r="E19" t="s">
        <v>82</v>
      </c>
      <c r="F19" s="76" t="s">
        <v>83</v>
      </c>
      <c r="G19" s="76" t="s">
        <v>83</v>
      </c>
      <c r="H19" s="24" t="s">
        <v>84</v>
      </c>
      <c r="I19" s="20" t="s">
        <v>85</v>
      </c>
      <c r="J19" s="28" t="s">
        <v>86</v>
      </c>
      <c r="K19" s="28"/>
      <c r="L19" s="28"/>
      <c r="M19" s="39"/>
      <c r="N19" s="20" t="s">
        <v>25</v>
      </c>
      <c r="O19" s="30"/>
    </row>
    <row r="20" spans="1:16" ht="40.5">
      <c r="A20" s="20">
        <v>24</v>
      </c>
      <c r="B20" t="s">
        <v>87</v>
      </c>
      <c r="C20" s="28" t="s">
        <v>18</v>
      </c>
      <c r="D20" s="40" t="s">
        <v>19</v>
      </c>
      <c r="E20" s="20" t="s">
        <v>88</v>
      </c>
      <c r="F20" s="24" t="s">
        <v>89</v>
      </c>
      <c r="G20" s="24" t="s">
        <v>89</v>
      </c>
      <c r="H20" s="20">
        <f>91-8939838656</f>
        <v>-8939838565</v>
      </c>
      <c r="I20" s="20" t="s">
        <v>23</v>
      </c>
      <c r="J20" s="28" t="s">
        <v>24</v>
      </c>
      <c r="K20" s="28"/>
      <c r="L20" s="28"/>
      <c r="M20" s="28"/>
      <c r="N20" s="41" t="s">
        <v>25</v>
      </c>
      <c r="O20" s="30"/>
      <c r="P20" s="16"/>
    </row>
    <row r="21" spans="1:16" ht="27">
      <c r="A21" s="20">
        <v>22</v>
      </c>
      <c r="B21" s="51" t="s">
        <v>90</v>
      </c>
      <c r="C21" s="28" t="s">
        <v>18</v>
      </c>
      <c r="D21" s="21" t="s">
        <v>19</v>
      </c>
      <c r="E21" s="47" t="s">
        <v>20</v>
      </c>
      <c r="F21" s="47" t="s">
        <v>91</v>
      </c>
      <c r="G21" s="82" t="s">
        <v>92</v>
      </c>
      <c r="H21" s="47"/>
      <c r="I21" s="20" t="s">
        <v>60</v>
      </c>
      <c r="J21" s="28" t="s">
        <v>24</v>
      </c>
      <c r="K21" s="28"/>
      <c r="L21" s="28"/>
      <c r="M21" s="28"/>
      <c r="N21" s="20" t="s">
        <v>61</v>
      </c>
      <c r="O21" s="30"/>
      <c r="P21" s="16"/>
    </row>
    <row r="22" spans="1:16" ht="27">
      <c r="A22" s="20">
        <v>20</v>
      </c>
      <c r="B22" s="51" t="s">
        <v>93</v>
      </c>
      <c r="C22" s="28" t="s">
        <v>18</v>
      </c>
      <c r="D22" s="21" t="s">
        <v>48</v>
      </c>
      <c r="E22" s="20" t="s">
        <v>49</v>
      </c>
      <c r="F22" s="20" t="s">
        <v>49</v>
      </c>
      <c r="G22" s="20" t="s">
        <v>49</v>
      </c>
      <c r="H22" s="20"/>
      <c r="I22" s="24" t="s">
        <v>31</v>
      </c>
      <c r="J22" s="28" t="s">
        <v>32</v>
      </c>
      <c r="K22" s="28"/>
      <c r="L22" s="28" t="s">
        <v>33</v>
      </c>
      <c r="M22" s="39" t="s">
        <v>34</v>
      </c>
      <c r="N22" s="20" t="s">
        <v>35</v>
      </c>
      <c r="O22" s="30"/>
    </row>
    <row r="23" spans="1:16">
      <c r="A23" s="43">
        <v>16</v>
      </c>
      <c r="B23" s="44" t="s">
        <v>94</v>
      </c>
      <c r="C23" s="28"/>
      <c r="D23" s="45" t="s">
        <v>19</v>
      </c>
      <c r="E23" s="20" t="s">
        <v>79</v>
      </c>
      <c r="F23" s="20"/>
      <c r="G23" s="20"/>
      <c r="H23" s="20"/>
      <c r="I23" s="24"/>
      <c r="J23" s="28"/>
      <c r="K23" s="28"/>
      <c r="L23" s="28"/>
      <c r="M23" s="39"/>
      <c r="N23" s="21"/>
      <c r="O23" s="30"/>
    </row>
    <row r="24" spans="1:16">
      <c r="A24" s="20">
        <v>16</v>
      </c>
      <c r="B24" s="35" t="s">
        <v>95</v>
      </c>
      <c r="C24" s="28"/>
      <c r="D24" s="21" t="s">
        <v>19</v>
      </c>
      <c r="E24" s="20" t="s">
        <v>96</v>
      </c>
      <c r="F24" s="16" t="s">
        <v>97</v>
      </c>
      <c r="G24" s="53" t="s">
        <v>98</v>
      </c>
      <c r="H24" t="s">
        <v>99</v>
      </c>
      <c r="I24" s="20" t="s">
        <v>23</v>
      </c>
      <c r="J24" s="28" t="s">
        <v>24</v>
      </c>
      <c r="K24" s="28"/>
      <c r="L24" s="28"/>
      <c r="M24" s="28"/>
      <c r="N24" s="21" t="s">
        <v>25</v>
      </c>
      <c r="O24" s="30"/>
      <c r="P24" s="16"/>
    </row>
    <row r="25" spans="1:16">
      <c r="A25" s="20">
        <v>14</v>
      </c>
      <c r="B25" s="35" t="s">
        <v>100</v>
      </c>
      <c r="C25" s="28"/>
      <c r="D25" s="21" t="s">
        <v>101</v>
      </c>
      <c r="E25" s="47" t="s">
        <v>102</v>
      </c>
      <c r="F25" s="47" t="s">
        <v>103</v>
      </c>
      <c r="G25" s="47" t="s">
        <v>104</v>
      </c>
      <c r="H25" s="47"/>
      <c r="I25" s="20" t="s">
        <v>46</v>
      </c>
      <c r="J25" s="28" t="s">
        <v>24</v>
      </c>
      <c r="K25" s="28"/>
      <c r="L25" s="28"/>
      <c r="M25" s="28"/>
      <c r="N25" s="21" t="s">
        <v>25</v>
      </c>
      <c r="O25" s="30"/>
      <c r="P25" s="16"/>
    </row>
    <row r="26" spans="1:16" ht="54">
      <c r="A26" s="20">
        <v>13</v>
      </c>
      <c r="B26" s="51" t="s">
        <v>105</v>
      </c>
      <c r="C26" s="75" t="s">
        <v>106</v>
      </c>
      <c r="D26" s="21" t="s">
        <v>19</v>
      </c>
      <c r="E26" s="20" t="s">
        <v>107</v>
      </c>
      <c r="F26" s="20"/>
      <c r="G26" s="20"/>
      <c r="H26" s="20"/>
      <c r="I26" s="20" t="s">
        <v>108</v>
      </c>
      <c r="J26" s="28" t="s">
        <v>108</v>
      </c>
      <c r="K26" s="28"/>
      <c r="L26" s="28"/>
      <c r="M26" s="39"/>
      <c r="N26" s="21" t="s">
        <v>109</v>
      </c>
      <c r="O26" s="30"/>
    </row>
    <row r="27" spans="1:16" ht="81">
      <c r="A27" s="20">
        <v>11</v>
      </c>
      <c r="B27" s="35" t="s">
        <v>110</v>
      </c>
      <c r="C27" s="75" t="s">
        <v>106</v>
      </c>
      <c r="D27" s="21" t="s">
        <v>19</v>
      </c>
      <c r="E27" s="49" t="s">
        <v>110</v>
      </c>
      <c r="F27" s="48" t="s">
        <v>111</v>
      </c>
      <c r="G27" s="48" t="s">
        <v>111</v>
      </c>
      <c r="H27" s="48"/>
      <c r="I27" s="20" t="s">
        <v>23</v>
      </c>
      <c r="J27" s="28" t="s">
        <v>24</v>
      </c>
      <c r="K27" s="28"/>
      <c r="L27" s="28"/>
      <c r="M27" s="28"/>
      <c r="N27" s="21" t="s">
        <v>25</v>
      </c>
      <c r="O27" s="30"/>
      <c r="P27" s="16"/>
    </row>
    <row r="28" spans="1:16">
      <c r="A28" s="20">
        <v>10</v>
      </c>
      <c r="B28" s="51" t="s">
        <v>112</v>
      </c>
      <c r="C28" s="28" t="s">
        <v>18</v>
      </c>
      <c r="D28" s="21" t="s">
        <v>19</v>
      </c>
      <c r="E28" s="47" t="s">
        <v>52</v>
      </c>
      <c r="F28" s="47" t="s">
        <v>53</v>
      </c>
      <c r="G28" s="47" t="s">
        <v>54</v>
      </c>
      <c r="H28" t="s">
        <v>55</v>
      </c>
      <c r="I28" s="20" t="s">
        <v>50</v>
      </c>
      <c r="J28" s="28" t="s">
        <v>24</v>
      </c>
      <c r="K28" s="28"/>
      <c r="L28" s="28"/>
      <c r="M28" s="28"/>
      <c r="N28" s="20" t="s">
        <v>25</v>
      </c>
      <c r="O28" s="30"/>
      <c r="P28" s="16"/>
    </row>
    <row r="29" spans="1:16">
      <c r="A29" s="20">
        <v>10</v>
      </c>
      <c r="B29" s="35" t="s">
        <v>113</v>
      </c>
      <c r="C29" s="28"/>
      <c r="D29" s="21" t="s">
        <v>114</v>
      </c>
      <c r="E29" s="20" t="s">
        <v>49</v>
      </c>
      <c r="F29" s="20" t="s">
        <v>49</v>
      </c>
      <c r="G29" s="20" t="s">
        <v>49</v>
      </c>
      <c r="H29" s="20"/>
      <c r="I29" s="20" t="s">
        <v>50</v>
      </c>
      <c r="J29" s="28" t="s">
        <v>24</v>
      </c>
      <c r="K29" s="28"/>
      <c r="L29" s="28"/>
      <c r="M29" s="39"/>
      <c r="N29" s="21" t="s">
        <v>25</v>
      </c>
      <c r="O29" s="30"/>
    </row>
    <row r="30" spans="1:16" ht="27">
      <c r="A30" s="20">
        <v>9</v>
      </c>
      <c r="B30" s="35" t="s">
        <v>115</v>
      </c>
      <c r="C30" s="28"/>
      <c r="D30" s="21" t="s">
        <v>114</v>
      </c>
      <c r="E30" s="20" t="s">
        <v>49</v>
      </c>
      <c r="F30" s="20" t="s">
        <v>49</v>
      </c>
      <c r="G30" s="20" t="s">
        <v>49</v>
      </c>
      <c r="H30" s="20"/>
      <c r="I30" s="24" t="s">
        <v>31</v>
      </c>
      <c r="J30" s="28" t="s">
        <v>32</v>
      </c>
      <c r="K30" s="28"/>
      <c r="L30" s="28"/>
      <c r="M30" s="39"/>
      <c r="N30" s="20" t="s">
        <v>25</v>
      </c>
      <c r="O30" s="30"/>
    </row>
    <row r="31" spans="1:16">
      <c r="A31" s="20">
        <v>8</v>
      </c>
      <c r="B31" s="35" t="s">
        <v>116</v>
      </c>
      <c r="C31" s="28"/>
      <c r="D31" s="21" t="s">
        <v>48</v>
      </c>
      <c r="E31" s="20" t="s">
        <v>49</v>
      </c>
      <c r="F31" s="20" t="s">
        <v>49</v>
      </c>
      <c r="G31" s="20" t="s">
        <v>49</v>
      </c>
      <c r="H31" s="20"/>
      <c r="I31" s="20" t="s">
        <v>50</v>
      </c>
      <c r="J31" s="28" t="s">
        <v>24</v>
      </c>
      <c r="K31" s="28"/>
      <c r="L31" s="28"/>
      <c r="M31" s="39"/>
      <c r="N31" s="21" t="s">
        <v>25</v>
      </c>
      <c r="O31" s="30"/>
    </row>
    <row r="32" spans="1:16" ht="27">
      <c r="A32" s="20">
        <v>7</v>
      </c>
      <c r="B32" s="51" t="s">
        <v>117</v>
      </c>
      <c r="C32" s="28" t="s">
        <v>18</v>
      </c>
      <c r="D32" s="21" t="s">
        <v>48</v>
      </c>
      <c r="E32" s="20" t="s">
        <v>49</v>
      </c>
      <c r="F32" s="20" t="s">
        <v>49</v>
      </c>
      <c r="G32" s="20" t="s">
        <v>49</v>
      </c>
      <c r="H32" s="20"/>
      <c r="I32" s="24" t="s">
        <v>31</v>
      </c>
      <c r="J32" s="28" t="s">
        <v>24</v>
      </c>
      <c r="K32" s="28"/>
      <c r="L32" s="28" t="s">
        <v>33</v>
      </c>
      <c r="M32" s="39" t="s">
        <v>34</v>
      </c>
      <c r="N32" s="20" t="s">
        <v>35</v>
      </c>
      <c r="O32" s="30"/>
    </row>
    <row r="33" spans="1:16">
      <c r="A33" s="20">
        <v>5</v>
      </c>
      <c r="B33" s="51" t="s">
        <v>118</v>
      </c>
      <c r="C33" s="28"/>
      <c r="D33" s="21" t="s">
        <v>48</v>
      </c>
      <c r="E33" s="20" t="s">
        <v>49</v>
      </c>
      <c r="F33" s="20" t="s">
        <v>49</v>
      </c>
      <c r="G33" s="20" t="s">
        <v>49</v>
      </c>
      <c r="H33" s="20"/>
      <c r="I33" s="20" t="s">
        <v>85</v>
      </c>
      <c r="J33" s="28" t="s">
        <v>24</v>
      </c>
      <c r="K33" s="28"/>
      <c r="L33" s="28"/>
      <c r="M33" s="39"/>
      <c r="N33" s="21"/>
      <c r="O33" s="30"/>
    </row>
    <row r="34" spans="1:16">
      <c r="A34" s="20">
        <v>5</v>
      </c>
      <c r="B34" s="51" t="s">
        <v>119</v>
      </c>
      <c r="C34" s="28" t="s">
        <v>18</v>
      </c>
      <c r="D34" s="21" t="s">
        <v>48</v>
      </c>
      <c r="E34" s="20" t="s">
        <v>49</v>
      </c>
      <c r="F34" s="24" t="s">
        <v>49</v>
      </c>
      <c r="G34" s="20" t="s">
        <v>49</v>
      </c>
      <c r="H34" s="20"/>
      <c r="I34" s="20" t="s">
        <v>50</v>
      </c>
      <c r="J34" s="28" t="s">
        <v>24</v>
      </c>
      <c r="K34" s="28"/>
      <c r="L34" s="28"/>
      <c r="M34" s="39"/>
      <c r="N34" s="40" t="s">
        <v>25</v>
      </c>
      <c r="O34" s="30"/>
    </row>
    <row r="35" spans="1:16">
      <c r="A35" s="20">
        <v>2</v>
      </c>
      <c r="B35" s="35" t="s">
        <v>120</v>
      </c>
      <c r="C35" s="28"/>
      <c r="D35" s="21" t="s">
        <v>48</v>
      </c>
      <c r="E35" s="20"/>
      <c r="F35" s="20"/>
      <c r="G35" s="20"/>
      <c r="H35" s="20"/>
      <c r="I35" s="20" t="s">
        <v>121</v>
      </c>
      <c r="J35" s="28" t="s">
        <v>86</v>
      </c>
      <c r="K35" s="28"/>
      <c r="L35" s="28"/>
      <c r="M35" s="39"/>
      <c r="N35" s="21"/>
      <c r="O35" s="30"/>
    </row>
    <row r="36" spans="1:16" ht="27">
      <c r="A36" s="20">
        <v>3</v>
      </c>
      <c r="B36" s="35" t="s">
        <v>122</v>
      </c>
      <c r="C36" s="28"/>
      <c r="D36" s="21" t="s">
        <v>114</v>
      </c>
      <c r="E36" s="20" t="s">
        <v>49</v>
      </c>
      <c r="F36" s="20" t="s">
        <v>49</v>
      </c>
      <c r="G36" s="20" t="s">
        <v>49</v>
      </c>
      <c r="H36" s="20"/>
      <c r="I36" s="24" t="s">
        <v>31</v>
      </c>
      <c r="J36" s="28" t="s">
        <v>24</v>
      </c>
      <c r="K36" s="28"/>
      <c r="L36" s="28" t="s">
        <v>33</v>
      </c>
      <c r="M36" s="39" t="s">
        <v>34</v>
      </c>
      <c r="N36" s="20" t="s">
        <v>35</v>
      </c>
      <c r="O36" s="30"/>
    </row>
    <row r="37" spans="1:16" ht="40.5">
      <c r="A37" s="20">
        <v>2</v>
      </c>
      <c r="B37" s="35" t="s">
        <v>123</v>
      </c>
      <c r="C37" s="42" t="s">
        <v>124</v>
      </c>
      <c r="D37" s="21" t="s">
        <v>19</v>
      </c>
      <c r="E37" s="20" t="s">
        <v>125</v>
      </c>
      <c r="F37" s="20" t="s">
        <v>126</v>
      </c>
      <c r="G37" s="20" t="s">
        <v>127</v>
      </c>
      <c r="H37" s="20"/>
      <c r="I37" s="24" t="s">
        <v>128</v>
      </c>
      <c r="J37" s="28" t="s">
        <v>24</v>
      </c>
      <c r="K37" s="28"/>
      <c r="L37" s="28"/>
      <c r="M37" s="28"/>
      <c r="N37" s="21" t="s">
        <v>25</v>
      </c>
      <c r="O37" s="30"/>
      <c r="P37" s="16"/>
    </row>
    <row r="38" spans="1:16">
      <c r="B38" s="36"/>
      <c r="D38" s="1"/>
      <c r="N38" s="1"/>
    </row>
    <row r="42" spans="1:16">
      <c r="B42" s="37"/>
      <c r="D42" s="3"/>
      <c r="N42" s="3"/>
    </row>
    <row r="43" spans="1:16">
      <c r="B43" s="36"/>
      <c r="D43" s="1"/>
      <c r="N43" s="1"/>
    </row>
  </sheetData>
  <sortState xmlns:xlrd2="http://schemas.microsoft.com/office/spreadsheetml/2017/richdata2" ref="A3:F37">
    <sortCondition descending="1" ref="A3:A37"/>
  </sortState>
  <hyperlinks>
    <hyperlink ref="B3" location="Finacle!A1" display="Finacle" xr:uid="{584C82F8-1573-4D68-8660-D9D7EA9DD288}"/>
    <hyperlink ref="B14" location="CPF!A1" display="CPF" xr:uid="{B401304C-B075-437E-A51F-D4E824569EC4}"/>
    <hyperlink ref="B37" location="GenesysEIDUAEPASS!A1" display="Genesys/ EID/ UAEPASS" xr:uid="{3DB75742-42FB-44E3-89D1-EB1EA12BE039}"/>
    <hyperlink ref="B11" location="DigitalBankingAdmin!A1" display="Digital Banking Admin" xr:uid="{3E1A7557-B125-48C7-A53D-E0C980782103}"/>
    <hyperlink ref="B13" location="CCM!A1" display="CCM" xr:uid="{14BBFFE6-76C4-4870-B776-7A0553DD447E}"/>
    <hyperlink ref="B12" location="PayHubPlus!A1" display="Pay Hub Plus" xr:uid="{128FE4CF-C364-44AF-9E9D-74B35F983B8F}"/>
    <hyperlink ref="B16" location="BankAuthRepresentative!A1" display="Bank Auth Representative" xr:uid="{C91A3760-BB8A-4B81-943E-9D7AAC012B85}"/>
    <hyperlink ref="B27" location="Infobip!A1" display="Infobip" xr:uid="{D731E9B6-E27A-4815-9CAE-A9689A7FA872}"/>
    <hyperlink ref="B33" location="RAKFLUX!A1" display="RAKFLUX" xr:uid="{4275C79B-5AEE-401F-99A6-D789BFED1887}"/>
    <hyperlink ref="B30" location="CARDNET!A1" display="CardNet" xr:uid="{F3330C8A-5260-4B10-96DD-60E1F7E4491C}"/>
    <hyperlink ref="B10" location="PrevRAKNET!A1" display="Previous RAKNet Version" xr:uid="{4ABC6AE8-DC0B-499A-8079-D1EF7DB71E88}"/>
    <hyperlink ref="B21" location="DigitalOnboardingTracking!A1" display="Digital ON-Boarding Tracking" xr:uid="{BD93E673-9F45-4848-8A1E-DA53B1BAFB50}"/>
    <hyperlink ref="B31" location="VAT!A1" display="VAT" xr:uid="{D89719BC-A4FA-44BF-8B24-9F1D1DF471A4}"/>
    <hyperlink ref="B35" location="FXRATECalc!A1" display="FX Rate Calculator" xr:uid="{CB86FA23-B39D-4C04-9008-4A23ED14A0C2}"/>
    <hyperlink ref="B26" location="TeamExpressPortal!A1" display="Team Express Portal" xr:uid="{B3048D5E-AD83-4269-B647-BDC2F8BB2117}"/>
    <hyperlink ref="B34" location="SalaryAppl!A1" display="Salary Application" xr:uid="{3D347160-5471-4513-9CC1-BCAF607B1953}"/>
    <hyperlink ref="B18" location="ChequeBookSys!A1" display="Cheque Book System" xr:uid="{96FE53EC-2AB5-44EA-9114-3305DE2C4A65}"/>
    <hyperlink ref="B9" location="ICCS!A1" display="ICCS - Cheque Flow System" xr:uid="{73CBBB32-9324-44EC-ABA8-A9CFFF79A1C9}"/>
    <hyperlink ref="B7" location="CASMEX!A1" display="CASMEX" xr:uid="{9194AD02-B4AD-48C4-9FB2-5D356BEE797D}"/>
    <hyperlink ref="B4" location="Prime!A1" display="Prime" xr:uid="{33BC1838-2F63-457C-8FE5-7571CA264D60}"/>
    <hyperlink ref="B36" location="DCR!A1" display="DCR" xr:uid="{430478C4-2753-4D2A-A031-A66A24987A41}"/>
    <hyperlink ref="B25" location="'3D secure'!A1" display="3D Secure" xr:uid="{4F3F67C4-6E7B-40EB-BB2E-E3A1386B0FFD}"/>
    <hyperlink ref="B32" location="CAPS!A1" display="CAPS" xr:uid="{E022CBAE-EBD6-46F1-A921-5F6C7EC0EC05}"/>
    <hyperlink ref="B15" location="RAKRewards!A1" display="RAKRewards Admin" xr:uid="{CF41F234-1B92-4761-B7DD-FD79A7B4EEFF}"/>
    <hyperlink ref="B17" location="MDES!A1" display="MDES" xr:uid="{838EB1D5-5DE9-467D-AFFD-7A0E1B47DD01}"/>
    <hyperlink ref="B23" location="VISAOnline!A1" display="VISA Online" xr:uid="{970A1509-1CCF-44F1-8D12-FAE57B60B164}"/>
    <hyperlink ref="B22" location="CPPS!A1" display="CPPS" xr:uid="{F0EB82E8-F65B-4BDE-8399-67336D912F99}"/>
    <hyperlink ref="B6" location="RLS!A1" display="RLS" xr:uid="{87B1AC5E-A8CF-49AB-930C-24243BF82FDF}"/>
    <hyperlink ref="B5" location="WMS!A1" display="WMS" xr:uid="{37D7B3B8-C1EF-43FC-ACF6-6E0753DADDA7}"/>
    <hyperlink ref="B8" location="IDD!A1" display="IDD" xr:uid="{5A512C20-245A-47E3-A02E-E7ADA9F6F8A3}"/>
    <hyperlink ref="B28" location="IBPS!A1" display="IBPS" xr:uid="{1051BE6D-71C4-438A-A923-2278BF1CE3C4}"/>
    <hyperlink ref="B29" location="Prospect!A1" display="Prospect" xr:uid="{1A63D159-E8D6-4ECD-BA0E-7E5530641646}"/>
    <hyperlink ref="B19" location="CrossSell!A1" display="Cross Sell" xr:uid="{6B93C0A9-4BF8-46C7-A097-40044225415B}"/>
    <hyperlink ref="B24" location="RAKTrack!A1" display="RAKTRACK" xr:uid="{3637BEEE-B564-400A-814C-57B1A22C2E75}"/>
    <hyperlink ref="G3" r:id="rId1" xr:uid="{F7FA4497-33EB-47F2-BBA5-F96D6BCF2A60}"/>
    <hyperlink ref="G5" r:id="rId2" xr:uid="{AFDF59D3-EF3C-4351-A54D-4DE71AFC4E1D}"/>
    <hyperlink ref="G12" r:id="rId3" xr:uid="{73EE0FF1-0964-426D-94BC-3B6DDEE60E37}"/>
    <hyperlink ref="G24" r:id="rId4" xr:uid="{15F913BD-8E85-43B9-8DC3-B7FBD8A8362F}"/>
    <hyperlink ref="F15" r:id="rId5" display="mailto:abhilasha@iccfze.com" xr:uid="{05C375DD-E2C6-4D5E-9C8D-B3E1F4775EEE}"/>
    <hyperlink ref="G15" r:id="rId6" display="mailto:abhilasha@iccfze.com" xr:uid="{C57C3EF9-0A60-4056-B371-45764221CDE5}"/>
    <hyperlink ref="G11" r:id="rId7" display="mailto:Saranya.Sankarappan@rakbank.ae" xr:uid="{3DFDC307-662A-4C6A-8048-36788F0029C0}"/>
    <hyperlink ref="G21" r:id="rId8" display="mailto:Ayesha.Iqbal@rakbank.ae" xr:uid="{5CC97CB9-E7E2-4B82-AEB2-8F268640A173}"/>
  </hyperlinks>
  <pageMargins left="0.7" right="0.7" top="0.75" bottom="0.75" header="0.3" footer="0.3"/>
  <pageSetup orientation="portrait" r:id="rId9"/>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6288D-B9FB-4A8E-A5E7-56D4F2154413}">
  <dimension ref="E5:J23"/>
  <sheetViews>
    <sheetView topLeftCell="A4" workbookViewId="0">
      <selection activeCell="F6" sqref="F6:F23"/>
    </sheetView>
  </sheetViews>
  <sheetFormatPr defaultRowHeight="15"/>
  <cols>
    <col min="5" max="5" width="9.5703125" bestFit="1" customWidth="1"/>
    <col min="6" max="6" width="29.5703125" bestFit="1" customWidth="1"/>
    <col min="7" max="7" width="17" bestFit="1" customWidth="1"/>
  </cols>
  <sheetData>
    <row r="5" spans="5:7" ht="27">
      <c r="E5" s="32" t="s">
        <v>1</v>
      </c>
      <c r="F5" s="34" t="s">
        <v>129</v>
      </c>
      <c r="G5" s="34" t="s">
        <v>5</v>
      </c>
    </row>
    <row r="6" spans="5:7">
      <c r="E6" s="20">
        <v>1184</v>
      </c>
      <c r="F6" s="20" t="s">
        <v>17</v>
      </c>
      <c r="G6" s="20" t="s">
        <v>20</v>
      </c>
    </row>
    <row r="7" spans="5:7">
      <c r="E7" s="20">
        <v>335</v>
      </c>
      <c r="F7" s="20" t="s">
        <v>26</v>
      </c>
      <c r="G7" s="20" t="s">
        <v>27</v>
      </c>
    </row>
    <row r="8" spans="5:7">
      <c r="E8" s="20">
        <v>197</v>
      </c>
      <c r="F8" s="20" t="s">
        <v>36</v>
      </c>
      <c r="G8" s="20" t="s">
        <v>20</v>
      </c>
    </row>
    <row r="9" spans="5:7">
      <c r="E9" s="20">
        <v>190</v>
      </c>
      <c r="F9" s="20" t="s">
        <v>39</v>
      </c>
      <c r="G9" s="22" t="s">
        <v>40</v>
      </c>
    </row>
    <row r="10" spans="5:7">
      <c r="E10" s="20">
        <v>74</v>
      </c>
      <c r="F10" s="20" t="s">
        <v>43</v>
      </c>
      <c r="G10" s="22" t="s">
        <v>44</v>
      </c>
    </row>
    <row r="11" spans="5:7">
      <c r="E11" s="20">
        <v>64</v>
      </c>
      <c r="F11" s="20" t="s">
        <v>51</v>
      </c>
      <c r="G11" s="47" t="s">
        <v>52</v>
      </c>
    </row>
    <row r="12" spans="5:7">
      <c r="E12" s="20">
        <v>48</v>
      </c>
      <c r="F12" s="20" t="s">
        <v>57</v>
      </c>
      <c r="G12" s="20" t="s">
        <v>20</v>
      </c>
    </row>
    <row r="13" spans="5:7">
      <c r="E13" s="20">
        <v>41</v>
      </c>
      <c r="F13" s="20" t="s">
        <v>62</v>
      </c>
      <c r="G13" s="20" t="s">
        <v>63</v>
      </c>
    </row>
    <row r="14" spans="5:7">
      <c r="E14" s="20">
        <v>33</v>
      </c>
      <c r="F14" s="20" t="s">
        <v>66</v>
      </c>
      <c r="G14" s="47" t="s">
        <v>67</v>
      </c>
    </row>
    <row r="15" spans="5:7">
      <c r="E15" s="20">
        <v>27</v>
      </c>
      <c r="F15" s="20" t="s">
        <v>130</v>
      </c>
      <c r="G15" s="20" t="s">
        <v>131</v>
      </c>
    </row>
    <row r="16" spans="5:7">
      <c r="E16" s="20">
        <v>24</v>
      </c>
      <c r="F16" s="20" t="s">
        <v>132</v>
      </c>
      <c r="G16" s="20" t="s">
        <v>40</v>
      </c>
    </row>
    <row r="17" spans="5:10">
      <c r="E17" s="20">
        <v>22</v>
      </c>
      <c r="F17" s="20" t="s">
        <v>90</v>
      </c>
      <c r="G17" s="47" t="s">
        <v>20</v>
      </c>
      <c r="J17" s="20"/>
    </row>
    <row r="18" spans="5:10">
      <c r="E18" s="20">
        <v>16</v>
      </c>
      <c r="F18" s="20" t="s">
        <v>94</v>
      </c>
      <c r="G18" s="20" t="s">
        <v>133</v>
      </c>
    </row>
    <row r="19" spans="5:10">
      <c r="E19" s="20">
        <v>16</v>
      </c>
      <c r="F19" s="20" t="s">
        <v>95</v>
      </c>
      <c r="G19" s="20" t="s">
        <v>96</v>
      </c>
    </row>
    <row r="20" spans="5:10">
      <c r="E20" s="20">
        <v>14</v>
      </c>
      <c r="F20" s="20" t="s">
        <v>100</v>
      </c>
      <c r="G20" s="47" t="s">
        <v>102</v>
      </c>
    </row>
    <row r="21" spans="5:10">
      <c r="E21" s="20">
        <v>13</v>
      </c>
      <c r="F21" s="20" t="s">
        <v>105</v>
      </c>
      <c r="G21" s="20" t="s">
        <v>79</v>
      </c>
    </row>
    <row r="22" spans="5:10">
      <c r="E22" s="20">
        <v>11</v>
      </c>
      <c r="F22" s="20" t="s">
        <v>110</v>
      </c>
      <c r="G22" s="49" t="s">
        <v>110</v>
      </c>
    </row>
    <row r="23" spans="5:10">
      <c r="E23" s="20">
        <v>10</v>
      </c>
      <c r="F23" s="20" t="s">
        <v>112</v>
      </c>
      <c r="G23" s="47" t="s">
        <v>52</v>
      </c>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64D14-2373-4CE4-AB1E-CEAC23A8F54B}">
  <dimension ref="A4:I39"/>
  <sheetViews>
    <sheetView workbookViewId="0">
      <selection activeCell="B41" sqref="B41"/>
    </sheetView>
  </sheetViews>
  <sheetFormatPr defaultRowHeight="15"/>
  <cols>
    <col min="1" max="1" width="14.140625" bestFit="1" customWidth="1"/>
    <col min="2" max="2" width="48.42578125" bestFit="1" customWidth="1"/>
    <col min="3" max="3" width="9.5703125" bestFit="1" customWidth="1"/>
    <col min="4" max="4" width="29.5703125" bestFit="1" customWidth="1"/>
    <col min="5" max="5" width="17.85546875" bestFit="1" customWidth="1"/>
    <col min="6" max="6" width="16.42578125" customWidth="1"/>
    <col min="7" max="7" width="16.140625" customWidth="1"/>
    <col min="8" max="8" width="28.85546875" bestFit="1" customWidth="1"/>
    <col min="9" max="9" width="20.85546875" bestFit="1" customWidth="1"/>
  </cols>
  <sheetData>
    <row r="4" spans="1:9">
      <c r="A4" s="61" t="s">
        <v>134</v>
      </c>
      <c r="B4" s="61" t="s">
        <v>16</v>
      </c>
      <c r="C4" s="61" t="s">
        <v>1</v>
      </c>
      <c r="D4" s="17" t="s">
        <v>2</v>
      </c>
      <c r="E4" s="17" t="s">
        <v>135</v>
      </c>
      <c r="F4" s="38" t="s">
        <v>4</v>
      </c>
      <c r="G4" s="18" t="s">
        <v>5</v>
      </c>
      <c r="H4" s="18" t="s">
        <v>6</v>
      </c>
      <c r="I4" s="18" t="s">
        <v>136</v>
      </c>
    </row>
    <row r="5" spans="1:9">
      <c r="A5" s="530" t="s">
        <v>137</v>
      </c>
      <c r="B5" s="5" t="s">
        <v>138</v>
      </c>
      <c r="C5" s="20">
        <v>1184</v>
      </c>
      <c r="D5" s="5" t="s">
        <v>17</v>
      </c>
      <c r="E5" s="28" t="s">
        <v>18</v>
      </c>
      <c r="F5" s="21" t="s">
        <v>19</v>
      </c>
      <c r="G5" s="20" t="s">
        <v>20</v>
      </c>
      <c r="H5" s="20" t="s">
        <v>21</v>
      </c>
      <c r="I5" s="20" t="s">
        <v>23</v>
      </c>
    </row>
    <row r="6" spans="1:9">
      <c r="A6" s="531"/>
      <c r="B6" s="5" t="s">
        <v>139</v>
      </c>
      <c r="C6" s="20">
        <v>335</v>
      </c>
      <c r="D6" s="5" t="s">
        <v>26</v>
      </c>
      <c r="E6" s="28" t="s">
        <v>18</v>
      </c>
      <c r="F6" s="21" t="s">
        <v>19</v>
      </c>
      <c r="G6" s="20" t="s">
        <v>27</v>
      </c>
      <c r="H6" s="20" t="s">
        <v>28</v>
      </c>
      <c r="I6" s="20" t="s">
        <v>31</v>
      </c>
    </row>
    <row r="7" spans="1:9">
      <c r="A7" s="531"/>
      <c r="B7" s="5" t="s">
        <v>138</v>
      </c>
      <c r="C7" s="20">
        <v>197</v>
      </c>
      <c r="D7" s="5" t="s">
        <v>36</v>
      </c>
      <c r="E7" s="28" t="s">
        <v>18</v>
      </c>
      <c r="F7" s="21" t="s">
        <v>19</v>
      </c>
      <c r="G7" s="20" t="s">
        <v>20</v>
      </c>
      <c r="H7" s="20" t="s">
        <v>37</v>
      </c>
      <c r="I7" s="20" t="s">
        <v>23</v>
      </c>
    </row>
    <row r="8" spans="1:9">
      <c r="A8" s="531"/>
      <c r="B8" s="5" t="s">
        <v>140</v>
      </c>
      <c r="C8" s="20">
        <v>190</v>
      </c>
      <c r="D8" s="5" t="s">
        <v>39</v>
      </c>
      <c r="E8" s="28" t="s">
        <v>18</v>
      </c>
      <c r="F8" s="21" t="s">
        <v>19</v>
      </c>
      <c r="G8" s="22" t="s">
        <v>40</v>
      </c>
      <c r="H8" s="22" t="s">
        <v>41</v>
      </c>
      <c r="I8" s="20" t="s">
        <v>23</v>
      </c>
    </row>
    <row r="9" spans="1:9">
      <c r="A9" s="531"/>
      <c r="B9" s="5" t="s">
        <v>141</v>
      </c>
      <c r="C9" s="20">
        <v>74</v>
      </c>
      <c r="D9" s="5" t="s">
        <v>43</v>
      </c>
      <c r="E9" s="28" t="s">
        <v>18</v>
      </c>
      <c r="F9" s="21" t="s">
        <v>19</v>
      </c>
      <c r="G9" s="22" t="s">
        <v>44</v>
      </c>
      <c r="H9" s="62" t="s">
        <v>45</v>
      </c>
      <c r="I9" s="20" t="s">
        <v>46</v>
      </c>
    </row>
    <row r="10" spans="1:9">
      <c r="A10" s="531"/>
      <c r="B10" s="5" t="s">
        <v>141</v>
      </c>
      <c r="C10" s="20">
        <v>64</v>
      </c>
      <c r="D10" s="5" t="s">
        <v>51</v>
      </c>
      <c r="E10" s="28" t="s">
        <v>18</v>
      </c>
      <c r="F10" s="21" t="s">
        <v>19</v>
      </c>
      <c r="G10" s="47" t="s">
        <v>52</v>
      </c>
      <c r="H10" s="47" t="s">
        <v>53</v>
      </c>
      <c r="I10" s="20" t="s">
        <v>46</v>
      </c>
    </row>
    <row r="11" spans="1:9">
      <c r="A11" s="531"/>
      <c r="B11" s="5" t="s">
        <v>138</v>
      </c>
      <c r="C11" s="20">
        <v>48</v>
      </c>
      <c r="D11" s="5" t="s">
        <v>57</v>
      </c>
      <c r="E11" s="28" t="s">
        <v>18</v>
      </c>
      <c r="F11" s="21" t="s">
        <v>19</v>
      </c>
      <c r="G11" s="20" t="s">
        <v>20</v>
      </c>
      <c r="H11" s="20" t="s">
        <v>21</v>
      </c>
      <c r="I11" s="20" t="s">
        <v>60</v>
      </c>
    </row>
    <row r="12" spans="1:9">
      <c r="A12" s="531"/>
      <c r="B12" s="63" t="s">
        <v>142</v>
      </c>
      <c r="C12" s="20">
        <v>41</v>
      </c>
      <c r="D12" s="63" t="s">
        <v>62</v>
      </c>
      <c r="E12" s="28"/>
      <c r="F12" s="21" t="s">
        <v>19</v>
      </c>
      <c r="G12" s="20" t="s">
        <v>63</v>
      </c>
      <c r="H12" s="20" t="s">
        <v>64</v>
      </c>
      <c r="I12" s="20" t="s">
        <v>46</v>
      </c>
    </row>
    <row r="13" spans="1:9">
      <c r="A13" s="531"/>
      <c r="B13" s="5" t="s">
        <v>141</v>
      </c>
      <c r="C13" s="20">
        <v>33</v>
      </c>
      <c r="D13" s="5" t="s">
        <v>66</v>
      </c>
      <c r="E13" s="28"/>
      <c r="F13" s="21" t="s">
        <v>19</v>
      </c>
      <c r="G13" s="47" t="s">
        <v>67</v>
      </c>
      <c r="H13" s="47" t="s">
        <v>68</v>
      </c>
      <c r="I13" s="20" t="s">
        <v>23</v>
      </c>
    </row>
    <row r="14" spans="1:9">
      <c r="A14" s="531"/>
      <c r="B14" s="63" t="s">
        <v>143</v>
      </c>
      <c r="C14" s="20">
        <v>27</v>
      </c>
      <c r="D14" s="63" t="s">
        <v>130</v>
      </c>
      <c r="E14" s="29"/>
      <c r="F14" s="21" t="s">
        <v>19</v>
      </c>
      <c r="G14" s="20" t="s">
        <v>79</v>
      </c>
      <c r="H14" s="20"/>
      <c r="I14" s="21"/>
    </row>
    <row r="15" spans="1:9">
      <c r="A15" s="531"/>
      <c r="B15" s="64" t="s">
        <v>144</v>
      </c>
      <c r="C15" s="43">
        <v>24</v>
      </c>
      <c r="D15" s="64" t="s">
        <v>132</v>
      </c>
      <c r="E15" s="28" t="s">
        <v>18</v>
      </c>
      <c r="F15" s="40" t="s">
        <v>19</v>
      </c>
      <c r="G15" s="20" t="s">
        <v>40</v>
      </c>
      <c r="H15" s="20" t="s">
        <v>41</v>
      </c>
      <c r="I15" s="20" t="s">
        <v>23</v>
      </c>
    </row>
    <row r="16" spans="1:9">
      <c r="A16" s="531"/>
      <c r="B16" s="5" t="s">
        <v>138</v>
      </c>
      <c r="C16" s="20">
        <v>22</v>
      </c>
      <c r="D16" s="5" t="s">
        <v>90</v>
      </c>
      <c r="E16" s="28" t="s">
        <v>18</v>
      </c>
      <c r="F16" s="21" t="s">
        <v>19</v>
      </c>
      <c r="G16" s="47" t="s">
        <v>20</v>
      </c>
      <c r="H16" s="47" t="s">
        <v>21</v>
      </c>
      <c r="I16" s="20" t="s">
        <v>60</v>
      </c>
    </row>
    <row r="17" spans="1:9">
      <c r="A17" s="531"/>
      <c r="B17" s="63" t="s">
        <v>143</v>
      </c>
      <c r="C17" s="20">
        <v>16</v>
      </c>
      <c r="D17" s="63" t="s">
        <v>94</v>
      </c>
      <c r="E17" s="28"/>
      <c r="F17" s="21" t="s">
        <v>19</v>
      </c>
      <c r="G17" s="20" t="s">
        <v>79</v>
      </c>
      <c r="H17" s="20"/>
      <c r="I17" s="20"/>
    </row>
    <row r="18" spans="1:9">
      <c r="A18" s="531"/>
      <c r="B18" s="5" t="s">
        <v>141</v>
      </c>
      <c r="C18" s="20">
        <v>16</v>
      </c>
      <c r="D18" s="5" t="s">
        <v>95</v>
      </c>
      <c r="E18" s="28"/>
      <c r="F18" s="21" t="s">
        <v>19</v>
      </c>
      <c r="G18" s="20" t="s">
        <v>96</v>
      </c>
      <c r="H18" s="20" t="s">
        <v>97</v>
      </c>
      <c r="I18" s="20" t="s">
        <v>23</v>
      </c>
    </row>
    <row r="19" spans="1:9">
      <c r="A19" s="531"/>
      <c r="B19" s="63" t="s">
        <v>142</v>
      </c>
      <c r="C19" s="20">
        <v>14</v>
      </c>
      <c r="D19" s="63" t="s">
        <v>100</v>
      </c>
      <c r="E19" s="28"/>
      <c r="F19" s="21" t="s">
        <v>101</v>
      </c>
      <c r="G19" s="47" t="s">
        <v>102</v>
      </c>
      <c r="H19" s="47" t="s">
        <v>103</v>
      </c>
      <c r="I19" s="20" t="s">
        <v>46</v>
      </c>
    </row>
    <row r="20" spans="1:9">
      <c r="A20" s="531"/>
      <c r="B20" s="63" t="s">
        <v>143</v>
      </c>
      <c r="C20" s="20">
        <v>13</v>
      </c>
      <c r="D20" s="63" t="s">
        <v>105</v>
      </c>
      <c r="E20" s="28"/>
      <c r="F20" s="21" t="s">
        <v>19</v>
      </c>
      <c r="G20" s="20" t="s">
        <v>79</v>
      </c>
      <c r="H20" s="20"/>
      <c r="I20" s="20"/>
    </row>
    <row r="21" spans="1:9">
      <c r="A21" s="531"/>
      <c r="B21" s="5" t="s">
        <v>141</v>
      </c>
      <c r="C21" s="20">
        <v>11</v>
      </c>
      <c r="D21" s="5" t="s">
        <v>110</v>
      </c>
      <c r="E21" s="28"/>
      <c r="F21" s="21" t="s">
        <v>19</v>
      </c>
      <c r="G21" s="49" t="s">
        <v>110</v>
      </c>
      <c r="H21" s="47" t="s">
        <v>111</v>
      </c>
      <c r="I21" s="20" t="s">
        <v>23</v>
      </c>
    </row>
    <row r="22" spans="1:9">
      <c r="A22" s="532"/>
      <c r="B22" s="5" t="s">
        <v>141</v>
      </c>
      <c r="C22" s="20">
        <v>10</v>
      </c>
      <c r="D22" s="5" t="s">
        <v>112</v>
      </c>
      <c r="E22" s="28" t="s">
        <v>18</v>
      </c>
      <c r="F22" s="21" t="s">
        <v>19</v>
      </c>
      <c r="G22" s="47" t="s">
        <v>52</v>
      </c>
      <c r="H22" s="47" t="s">
        <v>53</v>
      </c>
      <c r="I22" s="20" t="s">
        <v>50</v>
      </c>
    </row>
    <row r="23" spans="1:9">
      <c r="A23" s="533" t="s">
        <v>145</v>
      </c>
      <c r="B23" s="533" t="s">
        <v>146</v>
      </c>
      <c r="C23" s="20">
        <v>20</v>
      </c>
      <c r="D23" s="5" t="s">
        <v>93</v>
      </c>
      <c r="E23" s="20" t="s">
        <v>18</v>
      </c>
      <c r="F23" s="21" t="s">
        <v>48</v>
      </c>
      <c r="G23" s="534" t="s">
        <v>147</v>
      </c>
      <c r="H23" s="533" t="s">
        <v>148</v>
      </c>
      <c r="I23" s="534" t="s">
        <v>35</v>
      </c>
    </row>
    <row r="24" spans="1:9">
      <c r="A24" s="533"/>
      <c r="B24" s="533"/>
      <c r="C24" s="20">
        <v>9</v>
      </c>
      <c r="D24" s="5" t="s">
        <v>115</v>
      </c>
      <c r="E24" s="20"/>
      <c r="F24" s="21" t="s">
        <v>48</v>
      </c>
      <c r="G24" s="534"/>
      <c r="H24" s="534"/>
      <c r="I24" s="534"/>
    </row>
    <row r="25" spans="1:9">
      <c r="A25" s="533"/>
      <c r="B25" s="533"/>
      <c r="C25" s="20">
        <v>7</v>
      </c>
      <c r="D25" s="5" t="s">
        <v>117</v>
      </c>
      <c r="E25" s="20" t="s">
        <v>18</v>
      </c>
      <c r="F25" s="21" t="s">
        <v>48</v>
      </c>
      <c r="G25" s="534"/>
      <c r="H25" s="534"/>
      <c r="I25" s="534"/>
    </row>
    <row r="26" spans="1:9">
      <c r="A26" s="533"/>
      <c r="B26" s="533"/>
      <c r="C26" s="20">
        <v>3</v>
      </c>
      <c r="D26" s="5" t="s">
        <v>122</v>
      </c>
      <c r="E26" s="20"/>
      <c r="F26" s="21" t="s">
        <v>48</v>
      </c>
      <c r="G26" s="534"/>
      <c r="H26" s="534"/>
      <c r="I26" s="534"/>
    </row>
    <row r="27" spans="1:9">
      <c r="A27" s="533" t="s">
        <v>149</v>
      </c>
      <c r="B27" s="533" t="s">
        <v>150</v>
      </c>
      <c r="C27" s="20">
        <v>73</v>
      </c>
      <c r="D27" s="5" t="s">
        <v>47</v>
      </c>
      <c r="E27" s="20"/>
      <c r="F27" s="21" t="s">
        <v>48</v>
      </c>
      <c r="G27" s="533" t="s">
        <v>151</v>
      </c>
      <c r="H27" s="533" t="s">
        <v>24</v>
      </c>
      <c r="I27" s="20" t="s">
        <v>50</v>
      </c>
    </row>
    <row r="28" spans="1:9">
      <c r="A28" s="533"/>
      <c r="B28" s="533"/>
      <c r="C28" s="20">
        <v>48</v>
      </c>
      <c r="D28" s="5" t="s">
        <v>56</v>
      </c>
      <c r="E28" s="20"/>
      <c r="F28" s="21" t="s">
        <v>48</v>
      </c>
      <c r="G28" s="533"/>
      <c r="H28" s="533"/>
      <c r="I28" s="20" t="s">
        <v>50</v>
      </c>
    </row>
    <row r="29" spans="1:9">
      <c r="A29" s="533"/>
      <c r="B29" s="533"/>
      <c r="C29" s="20">
        <v>32</v>
      </c>
      <c r="D29" s="5" t="s">
        <v>71</v>
      </c>
      <c r="E29" s="20" t="s">
        <v>18</v>
      </c>
      <c r="F29" s="21" t="s">
        <v>48</v>
      </c>
      <c r="G29" s="533"/>
      <c r="H29" s="533"/>
      <c r="I29" s="20" t="s">
        <v>23</v>
      </c>
    </row>
    <row r="30" spans="1:9">
      <c r="A30" s="533"/>
      <c r="B30" s="533"/>
      <c r="C30" s="20">
        <v>31</v>
      </c>
      <c r="D30" s="5" t="s">
        <v>72</v>
      </c>
      <c r="E30" s="20"/>
      <c r="F30" s="21" t="s">
        <v>48</v>
      </c>
      <c r="G30" s="533"/>
      <c r="H30" s="533"/>
      <c r="I30" s="24" t="s">
        <v>50</v>
      </c>
    </row>
    <row r="31" spans="1:9">
      <c r="A31" s="533"/>
      <c r="B31" s="533"/>
      <c r="C31" s="20">
        <v>29</v>
      </c>
      <c r="D31" s="5" t="s">
        <v>76</v>
      </c>
      <c r="E31" s="21"/>
      <c r="F31" s="21" t="s">
        <v>48</v>
      </c>
      <c r="G31" s="533"/>
      <c r="H31" s="533"/>
      <c r="I31" s="21" t="s">
        <v>50</v>
      </c>
    </row>
    <row r="32" spans="1:9">
      <c r="A32" s="533"/>
      <c r="B32" s="533"/>
      <c r="C32" s="20">
        <v>25</v>
      </c>
      <c r="D32" s="5" t="s">
        <v>80</v>
      </c>
      <c r="E32" s="20"/>
      <c r="F32" s="21" t="s">
        <v>48</v>
      </c>
      <c r="G32" s="533"/>
      <c r="H32" s="533"/>
      <c r="I32" s="20" t="s">
        <v>50</v>
      </c>
    </row>
    <row r="33" spans="1:9">
      <c r="A33" s="533"/>
      <c r="B33" s="533"/>
      <c r="C33" s="20">
        <v>25</v>
      </c>
      <c r="D33" s="5" t="s">
        <v>81</v>
      </c>
      <c r="E33" s="20"/>
      <c r="F33" s="21" t="s">
        <v>48</v>
      </c>
      <c r="G33" s="533"/>
      <c r="H33" s="533"/>
      <c r="I33" s="20" t="s">
        <v>50</v>
      </c>
    </row>
    <row r="34" spans="1:9">
      <c r="A34" s="533"/>
      <c r="B34" s="533"/>
      <c r="C34" s="20">
        <v>10</v>
      </c>
      <c r="D34" s="5" t="s">
        <v>113</v>
      </c>
      <c r="E34" s="20"/>
      <c r="F34" s="21" t="s">
        <v>114</v>
      </c>
      <c r="G34" s="533"/>
      <c r="H34" s="533"/>
      <c r="I34" s="20" t="s">
        <v>50</v>
      </c>
    </row>
    <row r="35" spans="1:9">
      <c r="A35" s="533"/>
      <c r="B35" s="533"/>
      <c r="C35" s="20">
        <v>8</v>
      </c>
      <c r="D35" s="5" t="s">
        <v>116</v>
      </c>
      <c r="E35" s="20"/>
      <c r="F35" s="21" t="s">
        <v>48</v>
      </c>
      <c r="G35" s="533"/>
      <c r="H35" s="533"/>
      <c r="I35" s="20" t="s">
        <v>50</v>
      </c>
    </row>
    <row r="36" spans="1:9">
      <c r="A36" s="533"/>
      <c r="B36" s="533"/>
      <c r="C36" s="20">
        <v>5</v>
      </c>
      <c r="D36" s="5" t="s">
        <v>118</v>
      </c>
      <c r="E36" s="20"/>
      <c r="F36" s="21" t="s">
        <v>48</v>
      </c>
      <c r="G36" s="533"/>
      <c r="H36" s="533"/>
      <c r="I36" s="20" t="s">
        <v>85</v>
      </c>
    </row>
    <row r="37" spans="1:9">
      <c r="A37" s="533"/>
      <c r="B37" s="533"/>
      <c r="C37" s="20">
        <v>5</v>
      </c>
      <c r="D37" s="5" t="s">
        <v>119</v>
      </c>
      <c r="E37" s="20" t="s">
        <v>18</v>
      </c>
      <c r="F37" s="21" t="s">
        <v>48</v>
      </c>
      <c r="G37" s="533"/>
      <c r="H37" s="533"/>
      <c r="I37" s="20" t="s">
        <v>50</v>
      </c>
    </row>
    <row r="38" spans="1:9">
      <c r="A38" s="533"/>
      <c r="B38" s="533"/>
      <c r="C38" s="20">
        <v>14</v>
      </c>
      <c r="D38" s="5" t="s">
        <v>100</v>
      </c>
      <c r="E38" s="28"/>
      <c r="F38" s="21" t="s">
        <v>48</v>
      </c>
      <c r="G38" s="533"/>
      <c r="H38" s="533"/>
      <c r="I38" s="20" t="s">
        <v>46</v>
      </c>
    </row>
    <row r="39" spans="1:9">
      <c r="A39" s="533"/>
      <c r="B39" s="533"/>
      <c r="C39" s="20">
        <v>2</v>
      </c>
      <c r="D39" s="5" t="s">
        <v>120</v>
      </c>
      <c r="E39" s="20"/>
      <c r="F39" s="21" t="s">
        <v>48</v>
      </c>
      <c r="G39" s="533"/>
      <c r="H39" s="533"/>
      <c r="I39" s="20" t="s">
        <v>152</v>
      </c>
    </row>
  </sheetData>
  <mergeCells count="10">
    <mergeCell ref="I23:I26"/>
    <mergeCell ref="B27:B39"/>
    <mergeCell ref="A27:A39"/>
    <mergeCell ref="G27:G39"/>
    <mergeCell ref="H27:H39"/>
    <mergeCell ref="A5:A22"/>
    <mergeCell ref="B23:B26"/>
    <mergeCell ref="A23:A26"/>
    <mergeCell ref="G23:G26"/>
    <mergeCell ref="H23:H26"/>
  </mergeCells>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BD751-BDC3-4002-9DA3-FBB76AFDB5F6}">
  <dimension ref="A2:W51"/>
  <sheetViews>
    <sheetView zoomScale="80" zoomScaleNormal="80" workbookViewId="0">
      <selection activeCell="F10" sqref="F10"/>
    </sheetView>
  </sheetViews>
  <sheetFormatPr defaultRowHeight="15" customHeight="1"/>
  <cols>
    <col min="1" max="1" width="5.85546875" customWidth="1"/>
    <col min="2" max="2" width="16.140625" bestFit="1" customWidth="1"/>
    <col min="3" max="3" width="40.140625" bestFit="1" customWidth="1"/>
    <col min="4" max="4" width="28.42578125" customWidth="1"/>
    <col min="5" max="5" width="13.140625" customWidth="1"/>
    <col min="6" max="6" width="13.5703125" bestFit="1" customWidth="1"/>
    <col min="7" max="7" width="12.140625" customWidth="1"/>
    <col min="8" max="8" width="54.5703125" style="12" customWidth="1"/>
    <col min="9" max="9" width="16.42578125" bestFit="1" customWidth="1"/>
    <col min="10" max="10" width="10" customWidth="1"/>
    <col min="11" max="11" width="26.5703125" customWidth="1"/>
    <col min="12" max="13" width="9.140625" customWidth="1"/>
    <col min="14" max="14" width="41.5703125" bestFit="1" customWidth="1"/>
    <col min="15" max="15" width="15.85546875" bestFit="1" customWidth="1"/>
    <col min="16" max="16" width="26.85546875" style="86" bestFit="1" customWidth="1"/>
    <col min="17" max="17" width="25.85546875" bestFit="1" customWidth="1"/>
    <col min="18" max="18" width="21.85546875" bestFit="1" customWidth="1"/>
    <col min="19" max="19" width="20.5703125" bestFit="1" customWidth="1"/>
    <col min="20" max="20" width="14.5703125" customWidth="1"/>
    <col min="21" max="21" width="18.5703125" bestFit="1" customWidth="1"/>
    <col min="22" max="22" width="11.42578125" customWidth="1"/>
    <col min="23" max="23" width="48.140625" customWidth="1"/>
  </cols>
  <sheetData>
    <row r="2" spans="1:23" ht="15" customHeight="1">
      <c r="N2" t="s">
        <v>153</v>
      </c>
      <c r="O2" t="s">
        <v>154</v>
      </c>
    </row>
    <row r="3" spans="1:23" ht="15.75" thickBot="1">
      <c r="K3" s="9" t="s">
        <v>155</v>
      </c>
    </row>
    <row r="4" spans="1:23" ht="45">
      <c r="A4" t="s">
        <v>156</v>
      </c>
      <c r="B4" s="70" t="s">
        <v>5</v>
      </c>
      <c r="C4" s="116" t="s">
        <v>2</v>
      </c>
      <c r="D4" s="116" t="s">
        <v>157</v>
      </c>
      <c r="E4" s="116" t="s">
        <v>1</v>
      </c>
      <c r="F4" s="117" t="s">
        <v>158</v>
      </c>
      <c r="G4" s="116" t="s">
        <v>159</v>
      </c>
      <c r="H4" s="117" t="s">
        <v>160</v>
      </c>
      <c r="I4" s="116" t="s">
        <v>161</v>
      </c>
      <c r="J4" s="80" t="s">
        <v>162</v>
      </c>
      <c r="K4" s="80" t="s">
        <v>163</v>
      </c>
      <c r="L4" s="94" t="s">
        <v>164</v>
      </c>
      <c r="M4" s="125"/>
      <c r="N4" s="89" t="s">
        <v>165</v>
      </c>
      <c r="O4" s="89" t="s">
        <v>166</v>
      </c>
      <c r="P4" s="118" t="s">
        <v>167</v>
      </c>
      <c r="Q4" s="94" t="s">
        <v>168</v>
      </c>
      <c r="R4" s="89" t="s">
        <v>169</v>
      </c>
      <c r="S4" s="89" t="s">
        <v>170</v>
      </c>
      <c r="T4" s="89" t="s">
        <v>171</v>
      </c>
      <c r="U4" s="89" t="s">
        <v>172</v>
      </c>
      <c r="V4" s="89" t="s">
        <v>173</v>
      </c>
      <c r="W4" s="89" t="s">
        <v>174</v>
      </c>
    </row>
    <row r="5" spans="1:23" ht="45">
      <c r="A5" t="s">
        <v>175</v>
      </c>
      <c r="B5" s="65" t="s">
        <v>20</v>
      </c>
      <c r="C5" s="66" t="s">
        <v>17</v>
      </c>
      <c r="D5" s="66" t="s">
        <v>176</v>
      </c>
      <c r="E5" s="66">
        <v>1184</v>
      </c>
      <c r="F5" s="66">
        <v>1069</v>
      </c>
      <c r="G5" s="65" t="s">
        <v>177</v>
      </c>
      <c r="H5" s="79" t="s">
        <v>178</v>
      </c>
      <c r="I5" s="76" t="s">
        <v>179</v>
      </c>
      <c r="J5" s="74" t="s">
        <v>180</v>
      </c>
      <c r="K5" s="5" t="s">
        <v>181</v>
      </c>
      <c r="L5" s="66" t="s">
        <v>182</v>
      </c>
      <c r="M5" s="126" t="s">
        <v>183</v>
      </c>
      <c r="N5" s="88" t="s">
        <v>184</v>
      </c>
      <c r="O5" s="112" t="s">
        <v>185</v>
      </c>
      <c r="P5" s="95" t="s">
        <v>186</v>
      </c>
      <c r="Q5" s="66" t="s">
        <v>23</v>
      </c>
      <c r="R5" s="96" t="s">
        <v>187</v>
      </c>
      <c r="S5" s="96" t="s">
        <v>188</v>
      </c>
      <c r="T5" s="87"/>
      <c r="U5" s="97">
        <v>0.95</v>
      </c>
      <c r="V5" s="100">
        <v>0.6</v>
      </c>
      <c r="W5" s="88" t="s">
        <v>189</v>
      </c>
    </row>
    <row r="6" spans="1:23" ht="105">
      <c r="A6" t="s">
        <v>175</v>
      </c>
      <c r="B6" s="65" t="s">
        <v>20</v>
      </c>
      <c r="C6" s="66" t="s">
        <v>36</v>
      </c>
      <c r="D6" s="66" t="s">
        <v>190</v>
      </c>
      <c r="E6" s="66">
        <v>197</v>
      </c>
      <c r="F6" s="66">
        <v>118</v>
      </c>
      <c r="G6" s="65" t="s">
        <v>177</v>
      </c>
      <c r="H6" s="79" t="s">
        <v>191</v>
      </c>
      <c r="I6" s="76" t="s">
        <v>192</v>
      </c>
      <c r="J6" s="67" t="s">
        <v>193</v>
      </c>
      <c r="K6" s="5" t="s">
        <v>194</v>
      </c>
      <c r="L6" s="66" t="s">
        <v>182</v>
      </c>
      <c r="M6" s="127"/>
      <c r="N6" s="93" t="s">
        <v>195</v>
      </c>
      <c r="O6" s="112" t="s">
        <v>185</v>
      </c>
      <c r="P6" s="95" t="s">
        <v>196</v>
      </c>
      <c r="Q6" s="66" t="s">
        <v>23</v>
      </c>
      <c r="R6" s="96" t="s">
        <v>197</v>
      </c>
      <c r="S6" s="96" t="s">
        <v>198</v>
      </c>
      <c r="T6" s="5"/>
      <c r="U6" s="98">
        <v>1</v>
      </c>
      <c r="V6" s="101">
        <v>0.65</v>
      </c>
      <c r="W6" s="39" t="s">
        <v>189</v>
      </c>
    </row>
    <row r="7" spans="1:23" ht="60">
      <c r="A7" t="s">
        <v>199</v>
      </c>
      <c r="B7" s="65" t="s">
        <v>20</v>
      </c>
      <c r="C7" s="66" t="s">
        <v>57</v>
      </c>
      <c r="D7" s="66" t="s">
        <v>200</v>
      </c>
      <c r="E7" s="66">
        <v>48</v>
      </c>
      <c r="F7" s="66">
        <v>46</v>
      </c>
      <c r="G7" s="65" t="s">
        <v>177</v>
      </c>
      <c r="H7" s="79" t="s">
        <v>201</v>
      </c>
      <c r="I7" s="76" t="s">
        <v>202</v>
      </c>
      <c r="J7" s="74" t="s">
        <v>180</v>
      </c>
      <c r="K7" s="5" t="s">
        <v>194</v>
      </c>
      <c r="L7" s="66" t="s">
        <v>203</v>
      </c>
      <c r="M7" s="128"/>
      <c r="N7" s="108" t="s">
        <v>204</v>
      </c>
      <c r="O7" s="112" t="s">
        <v>185</v>
      </c>
      <c r="P7" s="79" t="s">
        <v>205</v>
      </c>
      <c r="Q7" s="95" t="s">
        <v>60</v>
      </c>
      <c r="R7" s="96"/>
      <c r="S7" s="96"/>
      <c r="T7" s="5"/>
      <c r="U7" s="5"/>
      <c r="V7" s="5"/>
      <c r="W7" s="39" t="s">
        <v>189</v>
      </c>
    </row>
    <row r="8" spans="1:23" ht="120">
      <c r="A8" t="s">
        <v>199</v>
      </c>
      <c r="B8" s="65" t="s">
        <v>20</v>
      </c>
      <c r="C8" s="66" t="s">
        <v>90</v>
      </c>
      <c r="D8" s="66" t="s">
        <v>206</v>
      </c>
      <c r="E8" s="66">
        <v>22</v>
      </c>
      <c r="F8" s="66">
        <v>7</v>
      </c>
      <c r="G8" s="65" t="s">
        <v>177</v>
      </c>
      <c r="H8" s="79" t="s">
        <v>207</v>
      </c>
      <c r="I8" s="76" t="s">
        <v>208</v>
      </c>
      <c r="J8" s="74" t="s">
        <v>180</v>
      </c>
      <c r="K8" s="5" t="s">
        <v>181</v>
      </c>
      <c r="L8" s="66" t="s">
        <v>182</v>
      </c>
      <c r="M8" s="127"/>
      <c r="N8" s="110" t="s">
        <v>209</v>
      </c>
      <c r="O8" s="85"/>
      <c r="P8" s="66" t="s">
        <v>25</v>
      </c>
      <c r="Q8" s="79" t="s">
        <v>210</v>
      </c>
      <c r="R8" s="96" t="s">
        <v>211</v>
      </c>
      <c r="S8" s="96" t="s">
        <v>212</v>
      </c>
      <c r="T8" s="12" t="s">
        <v>213</v>
      </c>
      <c r="U8" s="99">
        <v>0.7</v>
      </c>
      <c r="V8" s="99">
        <v>0.7</v>
      </c>
      <c r="W8" s="39" t="s">
        <v>189</v>
      </c>
    </row>
    <row r="9" spans="1:23" ht="60.75" thickBot="1">
      <c r="A9" t="s">
        <v>214</v>
      </c>
      <c r="B9" s="65" t="s">
        <v>27</v>
      </c>
      <c r="C9" s="66" t="s">
        <v>26</v>
      </c>
      <c r="D9" s="66" t="s">
        <v>215</v>
      </c>
      <c r="E9" s="66">
        <v>335</v>
      </c>
      <c r="F9" s="66">
        <v>0</v>
      </c>
      <c r="G9" s="81" t="s">
        <v>216</v>
      </c>
      <c r="H9" s="79" t="s">
        <v>217</v>
      </c>
      <c r="I9" s="76" t="s">
        <v>5</v>
      </c>
      <c r="J9" s="67" t="s">
        <v>193</v>
      </c>
      <c r="K9" s="5" t="s">
        <v>218</v>
      </c>
      <c r="L9" s="66" t="s">
        <v>182</v>
      </c>
      <c r="M9" s="128" t="s">
        <v>183</v>
      </c>
      <c r="N9" s="109" t="s">
        <v>219</v>
      </c>
      <c r="O9" s="112" t="s">
        <v>185</v>
      </c>
      <c r="P9" s="95" t="s">
        <v>220</v>
      </c>
      <c r="Q9" s="79" t="s">
        <v>221</v>
      </c>
      <c r="R9" s="96" t="s">
        <v>222</v>
      </c>
      <c r="S9" s="96" t="s">
        <v>223</v>
      </c>
      <c r="T9" s="5"/>
      <c r="U9" s="102" t="s">
        <v>49</v>
      </c>
      <c r="V9" s="102" t="s">
        <v>49</v>
      </c>
      <c r="W9" s="39" t="s">
        <v>189</v>
      </c>
    </row>
    <row r="10" spans="1:23" ht="165">
      <c r="A10" t="s">
        <v>175</v>
      </c>
      <c r="B10" s="65" t="s">
        <v>224</v>
      </c>
      <c r="C10" s="66" t="s">
        <v>39</v>
      </c>
      <c r="D10" s="66" t="s">
        <v>225</v>
      </c>
      <c r="E10" s="66">
        <v>190</v>
      </c>
      <c r="F10" s="66">
        <v>149</v>
      </c>
      <c r="G10" s="81" t="s">
        <v>177</v>
      </c>
      <c r="H10" s="79" t="s">
        <v>226</v>
      </c>
      <c r="I10" s="76" t="s">
        <v>227</v>
      </c>
      <c r="J10" s="67" t="s">
        <v>193</v>
      </c>
      <c r="K10" s="5" t="s">
        <v>181</v>
      </c>
      <c r="L10" s="66" t="s">
        <v>182</v>
      </c>
      <c r="M10" s="127" t="s">
        <v>183</v>
      </c>
      <c r="N10" s="39" t="s">
        <v>228</v>
      </c>
      <c r="O10" s="112" t="s">
        <v>185</v>
      </c>
      <c r="P10" s="79" t="s">
        <v>229</v>
      </c>
      <c r="Q10" s="66" t="s">
        <v>23</v>
      </c>
      <c r="R10" s="96" t="s">
        <v>230</v>
      </c>
      <c r="S10" s="96" t="s">
        <v>231</v>
      </c>
      <c r="T10" s="5"/>
      <c r="U10" s="98">
        <v>0.99</v>
      </c>
      <c r="V10" s="98">
        <v>0.99</v>
      </c>
      <c r="W10" s="39" t="s">
        <v>189</v>
      </c>
    </row>
    <row r="11" spans="1:23" ht="30">
      <c r="A11" t="s">
        <v>175</v>
      </c>
      <c r="B11" s="119" t="s">
        <v>232</v>
      </c>
      <c r="C11" s="66" t="s">
        <v>87</v>
      </c>
      <c r="D11" s="66" t="s">
        <v>225</v>
      </c>
      <c r="E11" s="66">
        <v>24</v>
      </c>
      <c r="F11" s="66">
        <v>0</v>
      </c>
      <c r="G11" s="81" t="s">
        <v>233</v>
      </c>
      <c r="H11" s="79" t="s">
        <v>234</v>
      </c>
      <c r="I11" s="76" t="s">
        <v>235</v>
      </c>
      <c r="J11" s="130" t="s">
        <v>236</v>
      </c>
      <c r="K11" s="5" t="s">
        <v>181</v>
      </c>
      <c r="L11" s="66" t="s">
        <v>182</v>
      </c>
      <c r="M11" s="127"/>
      <c r="N11" s="39" t="s">
        <v>237</v>
      </c>
      <c r="O11" s="112" t="s">
        <v>185</v>
      </c>
      <c r="P11" s="95" t="s">
        <v>238</v>
      </c>
      <c r="Q11" s="66" t="s">
        <v>23</v>
      </c>
      <c r="R11" s="96"/>
      <c r="S11" s="96"/>
      <c r="T11" s="5"/>
      <c r="U11" s="5"/>
      <c r="V11" s="5"/>
      <c r="W11" s="39" t="s">
        <v>189</v>
      </c>
    </row>
    <row r="12" spans="1:23" ht="75.75" thickBot="1">
      <c r="A12" t="s">
        <v>239</v>
      </c>
      <c r="B12" s="65" t="s">
        <v>44</v>
      </c>
      <c r="C12" s="66" t="s">
        <v>43</v>
      </c>
      <c r="D12" s="66" t="s">
        <v>240</v>
      </c>
      <c r="E12" s="66">
        <v>74</v>
      </c>
      <c r="F12" s="66">
        <v>0</v>
      </c>
      <c r="G12" s="81" t="s">
        <v>177</v>
      </c>
      <c r="H12" s="84" t="s">
        <v>241</v>
      </c>
      <c r="I12" s="5" t="s">
        <v>5</v>
      </c>
      <c r="J12" s="67" t="s">
        <v>193</v>
      </c>
      <c r="K12" s="5" t="s">
        <v>181</v>
      </c>
      <c r="L12" s="66" t="s">
        <v>182</v>
      </c>
      <c r="M12" s="128"/>
      <c r="N12" s="109" t="s">
        <v>242</v>
      </c>
      <c r="O12" s="112" t="s">
        <v>185</v>
      </c>
      <c r="P12" s="95" t="s">
        <v>243</v>
      </c>
      <c r="Q12" s="95" t="s">
        <v>46</v>
      </c>
      <c r="R12" s="96" t="s">
        <v>244</v>
      </c>
      <c r="S12" s="96" t="s">
        <v>245</v>
      </c>
      <c r="T12" s="5"/>
      <c r="U12" s="101">
        <v>0.65</v>
      </c>
      <c r="V12" s="101">
        <v>0.65</v>
      </c>
      <c r="W12" s="39" t="s">
        <v>189</v>
      </c>
    </row>
    <row r="13" spans="1:23">
      <c r="A13" t="s">
        <v>246</v>
      </c>
      <c r="B13" s="65" t="s">
        <v>247</v>
      </c>
      <c r="C13" s="66" t="s">
        <v>51</v>
      </c>
      <c r="D13" s="66" t="s">
        <v>240</v>
      </c>
      <c r="E13" s="66">
        <v>64</v>
      </c>
      <c r="F13" s="66">
        <v>64</v>
      </c>
      <c r="G13" s="81" t="s">
        <v>248</v>
      </c>
      <c r="H13" s="83" t="s">
        <v>249</v>
      </c>
      <c r="I13" s="5" t="s">
        <v>250</v>
      </c>
      <c r="J13" s="78" t="s">
        <v>248</v>
      </c>
      <c r="K13" s="5" t="s">
        <v>181</v>
      </c>
      <c r="L13" s="66" t="s">
        <v>182</v>
      </c>
      <c r="M13" s="127"/>
      <c r="N13" s="111" t="s">
        <v>251</v>
      </c>
      <c r="O13" s="113" t="s">
        <v>185</v>
      </c>
      <c r="P13" s="95" t="s">
        <v>186</v>
      </c>
      <c r="Q13" s="95" t="s">
        <v>46</v>
      </c>
      <c r="R13" s="96" t="s">
        <v>252</v>
      </c>
      <c r="S13" s="96" t="s">
        <v>253</v>
      </c>
      <c r="T13" s="5"/>
      <c r="U13" s="102" t="s">
        <v>49</v>
      </c>
      <c r="V13" s="102" t="s">
        <v>49</v>
      </c>
      <c r="W13" s="39" t="s">
        <v>189</v>
      </c>
    </row>
    <row r="14" spans="1:23" ht="30">
      <c r="A14" t="s">
        <v>254</v>
      </c>
      <c r="B14" s="65" t="s">
        <v>247</v>
      </c>
      <c r="C14" s="66" t="s">
        <v>112</v>
      </c>
      <c r="D14" s="66" t="s">
        <v>206</v>
      </c>
      <c r="E14" s="66">
        <v>10</v>
      </c>
      <c r="F14" s="66">
        <v>6</v>
      </c>
      <c r="G14" s="81" t="s">
        <v>177</v>
      </c>
      <c r="H14" s="79" t="s">
        <v>255</v>
      </c>
      <c r="I14" s="5" t="s">
        <v>256</v>
      </c>
      <c r="J14" s="74" t="s">
        <v>180</v>
      </c>
      <c r="K14" s="5" t="s">
        <v>181</v>
      </c>
      <c r="L14" s="66" t="s">
        <v>182</v>
      </c>
      <c r="M14" s="127"/>
      <c r="N14" s="111" t="s">
        <v>257</v>
      </c>
      <c r="O14" s="113" t="s">
        <v>185</v>
      </c>
      <c r="P14" s="95" t="s">
        <v>186</v>
      </c>
      <c r="Q14" s="95" t="s">
        <v>50</v>
      </c>
      <c r="R14" s="96" t="s">
        <v>258</v>
      </c>
      <c r="S14" s="96" t="s">
        <v>259</v>
      </c>
      <c r="T14" s="5"/>
      <c r="U14" s="102" t="s">
        <v>49</v>
      </c>
      <c r="V14" s="102" t="s">
        <v>49</v>
      </c>
      <c r="W14" s="39" t="s">
        <v>189</v>
      </c>
    </row>
    <row r="15" spans="1:23" ht="30">
      <c r="A15" t="s">
        <v>246</v>
      </c>
      <c r="B15" s="65" t="s">
        <v>63</v>
      </c>
      <c r="C15" s="79" t="s">
        <v>62</v>
      </c>
      <c r="D15" s="79" t="s">
        <v>240</v>
      </c>
      <c r="E15" s="66">
        <v>41</v>
      </c>
      <c r="F15" s="66">
        <v>0</v>
      </c>
      <c r="G15" s="81" t="s">
        <v>216</v>
      </c>
      <c r="H15" s="79" t="s">
        <v>260</v>
      </c>
      <c r="I15" s="5" t="s">
        <v>256</v>
      </c>
      <c r="J15" s="67" t="s">
        <v>193</v>
      </c>
      <c r="K15" s="5" t="s">
        <v>261</v>
      </c>
      <c r="L15" s="66" t="s">
        <v>203</v>
      </c>
      <c r="M15" s="127"/>
      <c r="N15" s="39"/>
      <c r="O15" s="5"/>
      <c r="P15" s="95" t="s">
        <v>243</v>
      </c>
      <c r="Q15" s="95" t="s">
        <v>46</v>
      </c>
      <c r="R15" s="5"/>
      <c r="S15" s="5"/>
      <c r="T15" s="5"/>
      <c r="U15" s="5"/>
      <c r="V15" s="5"/>
      <c r="W15" s="39" t="s">
        <v>189</v>
      </c>
    </row>
    <row r="16" spans="1:23" ht="150">
      <c r="A16" t="s">
        <v>175</v>
      </c>
      <c r="B16" s="65" t="s">
        <v>67</v>
      </c>
      <c r="C16" s="66" t="s">
        <v>66</v>
      </c>
      <c r="D16" s="66" t="s">
        <v>200</v>
      </c>
      <c r="E16" s="66">
        <v>33</v>
      </c>
      <c r="F16" s="66">
        <v>0</v>
      </c>
      <c r="G16" s="81" t="s">
        <v>177</v>
      </c>
      <c r="H16" s="79" t="s">
        <v>262</v>
      </c>
      <c r="I16" s="5" t="s">
        <v>5</v>
      </c>
      <c r="J16" s="74" t="s">
        <v>180</v>
      </c>
      <c r="K16" s="5" t="s">
        <v>181</v>
      </c>
      <c r="L16" s="66" t="s">
        <v>203</v>
      </c>
      <c r="M16" s="127"/>
      <c r="N16" s="39" t="s">
        <v>263</v>
      </c>
      <c r="O16" s="5" t="s">
        <v>264</v>
      </c>
      <c r="P16" s="95" t="s">
        <v>25</v>
      </c>
      <c r="Q16" s="66" t="s">
        <v>23</v>
      </c>
      <c r="R16" s="7"/>
      <c r="S16" s="7"/>
      <c r="T16" s="5"/>
      <c r="U16" s="102"/>
      <c r="V16" s="102"/>
      <c r="W16" s="39" t="s">
        <v>189</v>
      </c>
    </row>
    <row r="17" spans="1:23" ht="150">
      <c r="A17" t="s">
        <v>175</v>
      </c>
      <c r="B17" s="65" t="s">
        <v>96</v>
      </c>
      <c r="C17" s="66" t="s">
        <v>95</v>
      </c>
      <c r="D17" s="66" t="s">
        <v>265</v>
      </c>
      <c r="E17" s="66">
        <v>16</v>
      </c>
      <c r="F17" s="66">
        <v>14</v>
      </c>
      <c r="G17" s="81" t="s">
        <v>177</v>
      </c>
      <c r="H17" s="79" t="s">
        <v>266</v>
      </c>
      <c r="I17" s="5" t="s">
        <v>267</v>
      </c>
      <c r="J17" s="130" t="s">
        <v>236</v>
      </c>
      <c r="K17" s="5" t="s">
        <v>261</v>
      </c>
      <c r="L17" s="66" t="s">
        <v>203</v>
      </c>
      <c r="M17" s="127"/>
      <c r="N17" s="124" t="s">
        <v>268</v>
      </c>
      <c r="O17" s="5" t="s">
        <v>185</v>
      </c>
      <c r="P17" s="95" t="s">
        <v>269</v>
      </c>
      <c r="Q17" s="66" t="s">
        <v>23</v>
      </c>
      <c r="R17" s="7"/>
      <c r="S17" s="7"/>
      <c r="T17" s="5"/>
      <c r="U17" s="5"/>
      <c r="V17" s="5"/>
      <c r="W17" s="39" t="s">
        <v>189</v>
      </c>
    </row>
    <row r="18" spans="1:23" ht="120">
      <c r="A18" t="s">
        <v>175</v>
      </c>
      <c r="B18" s="65" t="s">
        <v>110</v>
      </c>
      <c r="C18" s="66" t="s">
        <v>110</v>
      </c>
      <c r="D18" s="66" t="s">
        <v>265</v>
      </c>
      <c r="E18" s="66">
        <v>11</v>
      </c>
      <c r="F18" s="66">
        <v>0</v>
      </c>
      <c r="G18" s="81" t="s">
        <v>177</v>
      </c>
      <c r="H18" s="79" t="s">
        <v>270</v>
      </c>
      <c r="I18" s="5"/>
      <c r="J18" s="74" t="s">
        <v>180</v>
      </c>
      <c r="K18" s="5" t="s">
        <v>261</v>
      </c>
      <c r="L18" s="66" t="s">
        <v>203</v>
      </c>
      <c r="M18" s="127"/>
      <c r="N18" s="39"/>
      <c r="O18" s="5"/>
      <c r="P18" s="66" t="s">
        <v>271</v>
      </c>
      <c r="Q18" s="66" t="s">
        <v>23</v>
      </c>
      <c r="R18" s="5"/>
      <c r="S18" s="5"/>
      <c r="T18" s="5"/>
      <c r="U18" s="5"/>
      <c r="V18" s="5"/>
      <c r="W18" s="39" t="s">
        <v>189</v>
      </c>
    </row>
    <row r="19" spans="1:23" ht="120">
      <c r="A19" t="s">
        <v>214</v>
      </c>
      <c r="B19" s="65" t="s">
        <v>272</v>
      </c>
      <c r="C19" s="66" t="s">
        <v>78</v>
      </c>
      <c r="D19" s="66" t="s">
        <v>240</v>
      </c>
      <c r="E19" s="66">
        <v>27</v>
      </c>
      <c r="F19" s="66">
        <v>0</v>
      </c>
      <c r="G19" s="81" t="s">
        <v>216</v>
      </c>
      <c r="H19" s="90" t="s">
        <v>273</v>
      </c>
      <c r="I19" s="76" t="s">
        <v>274</v>
      </c>
      <c r="J19" s="130" t="s">
        <v>236</v>
      </c>
      <c r="K19" s="5" t="s">
        <v>261</v>
      </c>
      <c r="L19" s="66" t="s">
        <v>203</v>
      </c>
      <c r="M19" s="127"/>
      <c r="N19" s="122" t="s">
        <v>275</v>
      </c>
      <c r="O19" s="112" t="s">
        <v>185</v>
      </c>
      <c r="P19" s="66" t="s">
        <v>220</v>
      </c>
      <c r="Q19" s="79" t="s">
        <v>221</v>
      </c>
      <c r="R19" s="7"/>
      <c r="S19" s="7"/>
      <c r="T19" s="5"/>
      <c r="U19" s="5"/>
      <c r="V19" s="5"/>
      <c r="W19" s="39" t="s">
        <v>189</v>
      </c>
    </row>
    <row r="20" spans="1:23" ht="75">
      <c r="A20" t="s">
        <v>214</v>
      </c>
      <c r="B20" s="65" t="s">
        <v>133</v>
      </c>
      <c r="C20" s="66" t="s">
        <v>94</v>
      </c>
      <c r="D20" s="66" t="s">
        <v>240</v>
      </c>
      <c r="E20" s="66">
        <v>16</v>
      </c>
      <c r="F20" s="66">
        <v>0</v>
      </c>
      <c r="G20" s="81" t="s">
        <v>216</v>
      </c>
      <c r="H20" s="68" t="s">
        <v>276</v>
      </c>
      <c r="I20" s="76" t="s">
        <v>274</v>
      </c>
      <c r="J20" s="130" t="s">
        <v>236</v>
      </c>
      <c r="K20" s="5" t="s">
        <v>261</v>
      </c>
      <c r="L20" s="66" t="s">
        <v>203</v>
      </c>
      <c r="M20" s="127"/>
      <c r="N20" s="122" t="s">
        <v>275</v>
      </c>
      <c r="O20" s="112" t="s">
        <v>185</v>
      </c>
      <c r="P20" s="66" t="s">
        <v>220</v>
      </c>
      <c r="Q20" s="66" t="s">
        <v>32</v>
      </c>
      <c r="R20" s="7"/>
      <c r="S20" s="7"/>
      <c r="T20" s="5"/>
      <c r="U20" s="5"/>
      <c r="V20" s="5"/>
      <c r="W20" s="39" t="s">
        <v>189</v>
      </c>
    </row>
    <row r="21" spans="1:23" ht="120">
      <c r="A21" t="s">
        <v>214</v>
      </c>
      <c r="B21" s="65" t="s">
        <v>107</v>
      </c>
      <c r="C21" s="66" t="s">
        <v>105</v>
      </c>
      <c r="D21" s="66" t="s">
        <v>277</v>
      </c>
      <c r="E21" s="66">
        <v>13</v>
      </c>
      <c r="F21" s="66">
        <v>13</v>
      </c>
      <c r="G21" s="81" t="s">
        <v>248</v>
      </c>
      <c r="H21" s="79" t="s">
        <v>278</v>
      </c>
      <c r="I21" s="76" t="s">
        <v>279</v>
      </c>
      <c r="J21" s="78" t="s">
        <v>248</v>
      </c>
      <c r="K21" s="5" t="s">
        <v>261</v>
      </c>
      <c r="L21" s="66" t="s">
        <v>203</v>
      </c>
      <c r="M21" s="127"/>
      <c r="N21" s="39"/>
      <c r="O21" s="5"/>
      <c r="P21" s="66" t="s">
        <v>280</v>
      </c>
      <c r="Q21" s="79" t="s">
        <v>281</v>
      </c>
      <c r="R21" s="5"/>
      <c r="S21" s="5"/>
      <c r="T21" s="5"/>
      <c r="U21" s="5"/>
      <c r="V21" s="5"/>
      <c r="W21" s="39" t="s">
        <v>189</v>
      </c>
    </row>
    <row r="22" spans="1:23" ht="90">
      <c r="B22" s="66" t="s">
        <v>73</v>
      </c>
      <c r="C22" s="66" t="s">
        <v>72</v>
      </c>
      <c r="D22" s="66" t="s">
        <v>240</v>
      </c>
      <c r="E22" s="66">
        <v>31</v>
      </c>
      <c r="F22" s="66">
        <v>0</v>
      </c>
      <c r="G22" s="81" t="s">
        <v>216</v>
      </c>
      <c r="H22" s="79" t="s">
        <v>282</v>
      </c>
      <c r="I22" s="76" t="s">
        <v>256</v>
      </c>
      <c r="J22" s="74" t="s">
        <v>180</v>
      </c>
      <c r="K22" s="5" t="s">
        <v>261</v>
      </c>
      <c r="L22" s="66" t="s">
        <v>203</v>
      </c>
      <c r="M22" s="127"/>
      <c r="N22" s="39"/>
      <c r="O22" s="5"/>
      <c r="P22" s="66" t="s">
        <v>220</v>
      </c>
      <c r="Q22" s="66" t="s">
        <v>283</v>
      </c>
      <c r="R22" s="5"/>
      <c r="S22" s="5"/>
      <c r="T22" s="5"/>
      <c r="U22" s="5"/>
      <c r="V22" s="5"/>
      <c r="W22" s="39" t="s">
        <v>189</v>
      </c>
    </row>
    <row r="23" spans="1:23" ht="90">
      <c r="A23" t="s">
        <v>254</v>
      </c>
      <c r="B23" s="5" t="s">
        <v>284</v>
      </c>
      <c r="C23" s="66" t="s">
        <v>81</v>
      </c>
      <c r="D23" s="66" t="s">
        <v>265</v>
      </c>
      <c r="E23" s="66">
        <v>25</v>
      </c>
      <c r="F23" s="66">
        <v>25</v>
      </c>
      <c r="G23" s="68" t="s">
        <v>248</v>
      </c>
      <c r="H23" s="68" t="s">
        <v>285</v>
      </c>
      <c r="I23" s="76" t="s">
        <v>286</v>
      </c>
      <c r="J23" s="67" t="s">
        <v>193</v>
      </c>
      <c r="K23" s="5" t="s">
        <v>261</v>
      </c>
      <c r="L23" s="66" t="s">
        <v>203</v>
      </c>
      <c r="M23" s="127"/>
      <c r="N23" s="39" t="s">
        <v>287</v>
      </c>
      <c r="O23" s="5" t="s">
        <v>288</v>
      </c>
      <c r="P23" s="66" t="s">
        <v>289</v>
      </c>
      <c r="Q23" s="95" t="s">
        <v>50</v>
      </c>
      <c r="R23" s="7"/>
      <c r="S23" s="7"/>
      <c r="T23" s="5"/>
      <c r="U23" s="5"/>
      <c r="V23" s="5"/>
      <c r="W23" s="39" t="s">
        <v>189</v>
      </c>
    </row>
    <row r="24" spans="1:23" ht="30">
      <c r="A24" t="s">
        <v>214</v>
      </c>
      <c r="B24" s="66" t="s">
        <v>290</v>
      </c>
      <c r="C24" s="66" t="s">
        <v>93</v>
      </c>
      <c r="D24" s="66" t="s">
        <v>240</v>
      </c>
      <c r="E24" s="66">
        <v>20</v>
      </c>
      <c r="F24" s="66">
        <v>20</v>
      </c>
      <c r="G24" s="68" t="s">
        <v>248</v>
      </c>
      <c r="H24" s="77" t="s">
        <v>291</v>
      </c>
      <c r="I24" s="5" t="s">
        <v>292</v>
      </c>
      <c r="J24" s="77" t="s">
        <v>248</v>
      </c>
      <c r="K24" s="66" t="s">
        <v>261</v>
      </c>
      <c r="L24" s="66" t="s">
        <v>182</v>
      </c>
      <c r="M24" s="66"/>
      <c r="N24" s="66" t="s">
        <v>293</v>
      </c>
      <c r="O24" s="66" t="s">
        <v>294</v>
      </c>
      <c r="P24" s="66" t="s">
        <v>220</v>
      </c>
      <c r="Q24" s="106" t="s">
        <v>32</v>
      </c>
      <c r="R24" s="107"/>
      <c r="S24" s="107"/>
      <c r="T24" s="5"/>
      <c r="U24" s="91"/>
      <c r="V24" s="91"/>
      <c r="W24" s="39" t="s">
        <v>189</v>
      </c>
    </row>
    <row r="25" spans="1:23" ht="30">
      <c r="A25" t="s">
        <v>214</v>
      </c>
      <c r="B25" s="66" t="s">
        <v>290</v>
      </c>
      <c r="C25" s="66" t="s">
        <v>117</v>
      </c>
      <c r="D25" s="66" t="s">
        <v>240</v>
      </c>
      <c r="E25" s="66">
        <v>7</v>
      </c>
      <c r="F25" s="66">
        <v>7</v>
      </c>
      <c r="G25" s="68" t="s">
        <v>248</v>
      </c>
      <c r="H25" s="77" t="s">
        <v>295</v>
      </c>
      <c r="I25" s="5" t="s">
        <v>250</v>
      </c>
      <c r="J25" s="77" t="s">
        <v>248</v>
      </c>
      <c r="K25" s="5" t="s">
        <v>181</v>
      </c>
      <c r="L25" s="66" t="s">
        <v>182</v>
      </c>
      <c r="M25" s="127"/>
      <c r="N25" s="93" t="s">
        <v>296</v>
      </c>
      <c r="O25" s="112" t="s">
        <v>185</v>
      </c>
      <c r="P25" s="95" t="s">
        <v>220</v>
      </c>
      <c r="Q25" s="95" t="s">
        <v>32</v>
      </c>
      <c r="R25" s="105" t="s">
        <v>297</v>
      </c>
      <c r="S25" s="105" t="s">
        <v>298</v>
      </c>
      <c r="T25" s="103"/>
      <c r="U25" s="104">
        <v>0.98</v>
      </c>
      <c r="V25" s="104">
        <v>0.88</v>
      </c>
      <c r="W25" s="39" t="s">
        <v>189</v>
      </c>
    </row>
    <row r="26" spans="1:23" ht="30">
      <c r="A26" t="s">
        <v>214</v>
      </c>
      <c r="B26" s="66" t="s">
        <v>290</v>
      </c>
      <c r="C26" s="66" t="s">
        <v>122</v>
      </c>
      <c r="D26" s="66" t="s">
        <v>225</v>
      </c>
      <c r="E26" s="66">
        <v>3</v>
      </c>
      <c r="F26" s="66">
        <v>3</v>
      </c>
      <c r="G26" s="68" t="s">
        <v>248</v>
      </c>
      <c r="H26" s="77" t="s">
        <v>295</v>
      </c>
      <c r="I26" s="5" t="s">
        <v>250</v>
      </c>
      <c r="J26" s="77" t="s">
        <v>248</v>
      </c>
      <c r="K26" s="5" t="s">
        <v>181</v>
      </c>
      <c r="L26" s="66" t="s">
        <v>203</v>
      </c>
      <c r="M26" s="127"/>
      <c r="N26" s="123" t="s">
        <v>299</v>
      </c>
      <c r="O26" s="112" t="s">
        <v>185</v>
      </c>
      <c r="P26" s="95" t="s">
        <v>243</v>
      </c>
      <c r="Q26" s="95" t="s">
        <v>32</v>
      </c>
      <c r="R26" s="7"/>
      <c r="S26" s="7"/>
      <c r="T26" s="5"/>
      <c r="U26" s="87"/>
      <c r="V26" s="87"/>
      <c r="W26" s="39" t="s">
        <v>189</v>
      </c>
    </row>
    <row r="27" spans="1:23" ht="30">
      <c r="A27" t="s">
        <v>246</v>
      </c>
      <c r="B27" s="66" t="s">
        <v>48</v>
      </c>
      <c r="C27" s="66" t="s">
        <v>115</v>
      </c>
      <c r="D27" s="66" t="s">
        <v>277</v>
      </c>
      <c r="E27" s="66">
        <v>9</v>
      </c>
      <c r="F27" s="66">
        <v>9</v>
      </c>
      <c r="G27" s="68" t="s">
        <v>248</v>
      </c>
      <c r="H27" s="77" t="s">
        <v>300</v>
      </c>
      <c r="I27" s="5" t="s">
        <v>292</v>
      </c>
      <c r="J27" s="77" t="s">
        <v>248</v>
      </c>
      <c r="K27" s="5" t="s">
        <v>261</v>
      </c>
      <c r="L27" s="66" t="s">
        <v>203</v>
      </c>
      <c r="M27" s="127"/>
      <c r="N27" s="39"/>
      <c r="O27" s="5"/>
      <c r="P27" s="95" t="s">
        <v>220</v>
      </c>
      <c r="Q27" s="95" t="s">
        <v>46</v>
      </c>
      <c r="R27" s="5"/>
      <c r="S27" s="5"/>
      <c r="T27" s="5"/>
      <c r="U27" s="5"/>
      <c r="V27" s="5"/>
      <c r="W27" s="39" t="s">
        <v>189</v>
      </c>
    </row>
    <row r="28" spans="1:23" ht="30">
      <c r="A28" t="s">
        <v>254</v>
      </c>
      <c r="B28" s="66" t="s">
        <v>48</v>
      </c>
      <c r="C28" s="66" t="s">
        <v>47</v>
      </c>
      <c r="D28" s="66" t="s">
        <v>301</v>
      </c>
      <c r="E28" s="66">
        <v>73</v>
      </c>
      <c r="F28" s="66">
        <v>73</v>
      </c>
      <c r="G28" s="68" t="s">
        <v>216</v>
      </c>
      <c r="H28" s="77" t="s">
        <v>302</v>
      </c>
      <c r="I28" s="5" t="s">
        <v>303</v>
      </c>
      <c r="J28" s="77" t="s">
        <v>248</v>
      </c>
      <c r="K28" s="5" t="s">
        <v>261</v>
      </c>
      <c r="L28" s="66" t="s">
        <v>203</v>
      </c>
      <c r="M28" s="127"/>
      <c r="N28" s="39"/>
      <c r="O28" s="5"/>
      <c r="P28" s="95" t="s">
        <v>304</v>
      </c>
      <c r="Q28" s="95" t="s">
        <v>50</v>
      </c>
      <c r="R28" s="5"/>
      <c r="S28" s="5"/>
      <c r="T28" s="5"/>
      <c r="U28" s="5"/>
      <c r="V28" s="5"/>
      <c r="W28" s="39" t="s">
        <v>189</v>
      </c>
    </row>
    <row r="29" spans="1:23">
      <c r="B29" s="66" t="s">
        <v>48</v>
      </c>
      <c r="C29" s="120" t="s">
        <v>56</v>
      </c>
      <c r="D29" s="120" t="s">
        <v>225</v>
      </c>
      <c r="E29" s="120">
        <v>48</v>
      </c>
      <c r="F29" s="120">
        <v>0</v>
      </c>
      <c r="G29" s="121" t="s">
        <v>216</v>
      </c>
      <c r="H29" s="121" t="s">
        <v>305</v>
      </c>
      <c r="I29" s="64" t="s">
        <v>303</v>
      </c>
      <c r="J29" s="121" t="s">
        <v>193</v>
      </c>
      <c r="K29" s="64" t="s">
        <v>306</v>
      </c>
      <c r="L29" s="66" t="s">
        <v>203</v>
      </c>
      <c r="M29" s="127"/>
      <c r="N29" s="39"/>
      <c r="O29" s="5"/>
      <c r="P29" s="66" t="s">
        <v>86</v>
      </c>
      <c r="Q29" s="66" t="s">
        <v>307</v>
      </c>
      <c r="R29" s="5"/>
      <c r="S29" s="5"/>
      <c r="T29" s="5"/>
      <c r="U29" s="5"/>
      <c r="V29" s="5"/>
      <c r="W29" s="39" t="s">
        <v>189</v>
      </c>
    </row>
    <row r="30" spans="1:23" ht="30">
      <c r="A30" t="s">
        <v>175</v>
      </c>
      <c r="B30" s="66" t="s">
        <v>48</v>
      </c>
      <c r="C30" s="66" t="s">
        <v>71</v>
      </c>
      <c r="D30" s="66" t="s">
        <v>308</v>
      </c>
      <c r="E30" s="66">
        <v>32</v>
      </c>
      <c r="F30" s="66">
        <v>32</v>
      </c>
      <c r="G30" s="68" t="s">
        <v>248</v>
      </c>
      <c r="H30" s="77" t="s">
        <v>302</v>
      </c>
      <c r="I30" s="5" t="s">
        <v>303</v>
      </c>
      <c r="J30" s="77" t="s">
        <v>248</v>
      </c>
      <c r="K30" s="5" t="s">
        <v>181</v>
      </c>
      <c r="L30" s="66" t="s">
        <v>182</v>
      </c>
      <c r="M30" s="127"/>
      <c r="N30" s="93" t="s">
        <v>309</v>
      </c>
      <c r="O30" s="113" t="s">
        <v>310</v>
      </c>
      <c r="P30" s="66" t="s">
        <v>271</v>
      </c>
      <c r="Q30" s="66" t="s">
        <v>23</v>
      </c>
      <c r="R30" s="5"/>
      <c r="S30" s="5"/>
      <c r="T30" s="5"/>
      <c r="U30" s="5"/>
      <c r="V30" s="5"/>
      <c r="W30" s="39" t="s">
        <v>189</v>
      </c>
    </row>
    <row r="31" spans="1:23">
      <c r="A31" t="s">
        <v>254</v>
      </c>
      <c r="B31" s="66" t="s">
        <v>48</v>
      </c>
      <c r="C31" s="120" t="s">
        <v>311</v>
      </c>
      <c r="D31" s="120" t="s">
        <v>240</v>
      </c>
      <c r="E31" s="120">
        <v>29</v>
      </c>
      <c r="F31" s="120">
        <v>0</v>
      </c>
      <c r="G31" s="121" t="s">
        <v>216</v>
      </c>
      <c r="H31" s="121" t="s">
        <v>305</v>
      </c>
      <c r="I31" s="64" t="s">
        <v>303</v>
      </c>
      <c r="J31" s="121" t="s">
        <v>193</v>
      </c>
      <c r="K31" s="64" t="s">
        <v>306</v>
      </c>
      <c r="L31" s="66" t="s">
        <v>203</v>
      </c>
      <c r="M31" s="127"/>
      <c r="N31" s="39"/>
      <c r="O31" s="5"/>
      <c r="P31" s="95" t="s">
        <v>186</v>
      </c>
      <c r="Q31" s="66" t="s">
        <v>50</v>
      </c>
      <c r="R31" s="5"/>
      <c r="S31" s="5"/>
      <c r="T31" s="5"/>
      <c r="U31" s="5"/>
      <c r="V31" s="5"/>
      <c r="W31" s="39" t="s">
        <v>189</v>
      </c>
    </row>
    <row r="32" spans="1:23" ht="30">
      <c r="A32" t="s">
        <v>254</v>
      </c>
      <c r="B32" s="66" t="s">
        <v>48</v>
      </c>
      <c r="C32" s="66" t="s">
        <v>80</v>
      </c>
      <c r="D32" s="66" t="s">
        <v>240</v>
      </c>
      <c r="E32" s="66">
        <v>25</v>
      </c>
      <c r="F32" s="66">
        <v>25</v>
      </c>
      <c r="G32" s="68" t="s">
        <v>248</v>
      </c>
      <c r="H32" s="77" t="s">
        <v>300</v>
      </c>
      <c r="I32" s="5" t="s">
        <v>292</v>
      </c>
      <c r="J32" s="77" t="s">
        <v>248</v>
      </c>
      <c r="K32" s="5" t="s">
        <v>261</v>
      </c>
      <c r="L32" s="66" t="s">
        <v>203</v>
      </c>
      <c r="M32" s="127"/>
      <c r="N32" s="39"/>
      <c r="O32" s="5"/>
      <c r="P32" s="95" t="s">
        <v>186</v>
      </c>
      <c r="Q32" s="66" t="s">
        <v>50</v>
      </c>
      <c r="R32" s="5"/>
      <c r="S32" s="5"/>
      <c r="T32" s="5"/>
      <c r="U32" s="5"/>
      <c r="V32" s="5"/>
      <c r="W32" s="39" t="s">
        <v>189</v>
      </c>
    </row>
    <row r="33" spans="1:23" ht="30">
      <c r="A33" t="s">
        <v>246</v>
      </c>
      <c r="B33" s="66" t="s">
        <v>48</v>
      </c>
      <c r="C33" s="66" t="s">
        <v>100</v>
      </c>
      <c r="D33" s="66" t="s">
        <v>215</v>
      </c>
      <c r="E33" s="66">
        <v>14</v>
      </c>
      <c r="F33" s="66">
        <v>14</v>
      </c>
      <c r="G33" s="68" t="s">
        <v>248</v>
      </c>
      <c r="H33" s="77" t="s">
        <v>300</v>
      </c>
      <c r="I33" s="5" t="s">
        <v>292</v>
      </c>
      <c r="J33" s="77" t="s">
        <v>248</v>
      </c>
      <c r="K33" s="5" t="s">
        <v>261</v>
      </c>
      <c r="L33" s="66" t="s">
        <v>203</v>
      </c>
      <c r="M33" s="127"/>
      <c r="N33" s="39"/>
      <c r="O33" s="5"/>
      <c r="P33" s="95" t="s">
        <v>220</v>
      </c>
      <c r="Q33" s="66" t="s">
        <v>46</v>
      </c>
      <c r="R33" s="5"/>
      <c r="S33" s="5"/>
      <c r="T33" s="5"/>
      <c r="U33" s="5"/>
      <c r="V33" s="5"/>
      <c r="W33" s="39" t="s">
        <v>189</v>
      </c>
    </row>
    <row r="34" spans="1:23" ht="30">
      <c r="A34" t="s">
        <v>254</v>
      </c>
      <c r="B34" s="66" t="s">
        <v>48</v>
      </c>
      <c r="C34" s="66" t="s">
        <v>113</v>
      </c>
      <c r="D34" s="66" t="s">
        <v>265</v>
      </c>
      <c r="E34" s="66">
        <v>10</v>
      </c>
      <c r="F34" s="66">
        <v>10</v>
      </c>
      <c r="G34" s="68" t="s">
        <v>248</v>
      </c>
      <c r="H34" s="77" t="s">
        <v>312</v>
      </c>
      <c r="I34" s="5" t="s">
        <v>292</v>
      </c>
      <c r="J34" s="77" t="s">
        <v>248</v>
      </c>
      <c r="K34" s="5" t="s">
        <v>261</v>
      </c>
      <c r="L34" s="66" t="s">
        <v>203</v>
      </c>
      <c r="M34" s="127"/>
      <c r="N34" s="39"/>
      <c r="O34" s="5"/>
      <c r="P34" s="95" t="s">
        <v>313</v>
      </c>
      <c r="Q34" s="66" t="s">
        <v>50</v>
      </c>
      <c r="R34" s="5"/>
      <c r="S34" s="5"/>
      <c r="T34" s="5"/>
      <c r="U34" s="5"/>
      <c r="V34" s="5"/>
      <c r="W34" s="39" t="s">
        <v>189</v>
      </c>
    </row>
    <row r="35" spans="1:23" ht="30">
      <c r="A35" t="s">
        <v>254</v>
      </c>
      <c r="B35" s="66" t="s">
        <v>48</v>
      </c>
      <c r="C35" s="66" t="s">
        <v>116</v>
      </c>
      <c r="D35" s="66" t="s">
        <v>206</v>
      </c>
      <c r="E35" s="66">
        <v>8</v>
      </c>
      <c r="F35" s="66">
        <v>8</v>
      </c>
      <c r="G35" s="68" t="s">
        <v>248</v>
      </c>
      <c r="H35" s="77" t="s">
        <v>312</v>
      </c>
      <c r="I35" s="5" t="s">
        <v>292</v>
      </c>
      <c r="J35" s="77" t="s">
        <v>248</v>
      </c>
      <c r="K35" s="5" t="s">
        <v>261</v>
      </c>
      <c r="L35" s="66" t="s">
        <v>203</v>
      </c>
      <c r="M35" s="127"/>
      <c r="N35" s="39"/>
      <c r="O35" s="5"/>
      <c r="P35" s="95" t="s">
        <v>314</v>
      </c>
      <c r="Q35" s="66" t="s">
        <v>50</v>
      </c>
      <c r="R35" s="5"/>
      <c r="S35" s="5"/>
      <c r="T35" s="5"/>
      <c r="U35" s="5"/>
      <c r="V35" s="5"/>
      <c r="W35" s="39" t="s">
        <v>189</v>
      </c>
    </row>
    <row r="36" spans="1:23">
      <c r="B36" s="66" t="s">
        <v>48</v>
      </c>
      <c r="C36" s="66" t="s">
        <v>118</v>
      </c>
      <c r="D36" s="66" t="s">
        <v>277</v>
      </c>
      <c r="E36" s="66">
        <v>5</v>
      </c>
      <c r="F36" s="66">
        <v>0</v>
      </c>
      <c r="G36" s="68" t="s">
        <v>216</v>
      </c>
      <c r="H36" s="68" t="s">
        <v>315</v>
      </c>
      <c r="I36" s="5" t="s">
        <v>303</v>
      </c>
      <c r="J36" s="69" t="s">
        <v>180</v>
      </c>
      <c r="K36" s="5" t="s">
        <v>261</v>
      </c>
      <c r="L36" s="66" t="s">
        <v>203</v>
      </c>
      <c r="M36" s="127"/>
      <c r="N36" s="39"/>
      <c r="O36" s="5"/>
      <c r="P36" s="66"/>
      <c r="Q36" s="66"/>
      <c r="R36" s="5"/>
      <c r="S36" s="5"/>
      <c r="T36" s="5"/>
      <c r="U36" s="5"/>
      <c r="V36" s="5"/>
      <c r="W36" s="39" t="s">
        <v>189</v>
      </c>
    </row>
    <row r="37" spans="1:23" ht="30">
      <c r="A37" t="s">
        <v>254</v>
      </c>
      <c r="B37" s="66" t="s">
        <v>48</v>
      </c>
      <c r="C37" s="66" t="s">
        <v>119</v>
      </c>
      <c r="D37" s="66" t="s">
        <v>240</v>
      </c>
      <c r="E37" s="66">
        <v>5</v>
      </c>
      <c r="F37" s="66">
        <v>5</v>
      </c>
      <c r="G37" s="68" t="s">
        <v>248</v>
      </c>
      <c r="H37" s="77" t="s">
        <v>300</v>
      </c>
      <c r="I37" s="5" t="s">
        <v>292</v>
      </c>
      <c r="J37" s="77" t="s">
        <v>248</v>
      </c>
      <c r="K37" s="5" t="s">
        <v>261</v>
      </c>
      <c r="L37" s="66" t="s">
        <v>203</v>
      </c>
      <c r="M37" s="127"/>
      <c r="N37" s="39"/>
      <c r="O37" s="5"/>
      <c r="P37" s="95" t="s">
        <v>186</v>
      </c>
      <c r="Q37" s="66" t="s">
        <v>50</v>
      </c>
      <c r="R37" s="5"/>
      <c r="S37" s="5"/>
      <c r="T37" s="5"/>
      <c r="U37" s="5"/>
      <c r="V37" s="5"/>
      <c r="W37" s="39" t="s">
        <v>189</v>
      </c>
    </row>
    <row r="38" spans="1:23" ht="90">
      <c r="A38" t="s">
        <v>175</v>
      </c>
      <c r="B38" s="65" t="s">
        <v>48</v>
      </c>
      <c r="C38" s="65" t="s">
        <v>120</v>
      </c>
      <c r="D38" s="66" t="s">
        <v>206</v>
      </c>
      <c r="E38" s="65">
        <v>2</v>
      </c>
      <c r="F38" s="65">
        <v>2</v>
      </c>
      <c r="G38" s="90" t="s">
        <v>248</v>
      </c>
      <c r="H38" s="114" t="s">
        <v>316</v>
      </c>
      <c r="I38" s="91" t="s">
        <v>292</v>
      </c>
      <c r="J38" s="77" t="s">
        <v>248</v>
      </c>
      <c r="K38" s="91" t="s">
        <v>261</v>
      </c>
      <c r="L38" s="66" t="s">
        <v>203</v>
      </c>
      <c r="M38" s="129"/>
      <c r="N38" s="92"/>
      <c r="O38" s="91"/>
      <c r="P38" s="95" t="s">
        <v>317</v>
      </c>
      <c r="Q38" s="66" t="s">
        <v>23</v>
      </c>
      <c r="R38" s="91"/>
      <c r="S38" s="91"/>
      <c r="T38" s="91"/>
      <c r="U38" s="91"/>
      <c r="V38" s="91"/>
      <c r="W38" s="92" t="s">
        <v>189</v>
      </c>
    </row>
    <row r="39" spans="1:23" ht="45">
      <c r="B39" s="66" t="s">
        <v>318</v>
      </c>
      <c r="C39" s="66" t="s">
        <v>319</v>
      </c>
      <c r="D39" s="66" t="s">
        <v>320</v>
      </c>
      <c r="E39" s="66">
        <v>2</v>
      </c>
      <c r="F39" s="66">
        <v>2</v>
      </c>
      <c r="G39" s="66" t="s">
        <v>248</v>
      </c>
      <c r="H39" s="83" t="s">
        <v>321</v>
      </c>
      <c r="I39" s="5" t="s">
        <v>256</v>
      </c>
      <c r="J39" s="77" t="s">
        <v>248</v>
      </c>
      <c r="K39" s="5" t="s">
        <v>261</v>
      </c>
      <c r="L39" s="66" t="s">
        <v>203</v>
      </c>
      <c r="M39" s="127"/>
      <c r="N39" s="39"/>
      <c r="O39" s="5"/>
      <c r="P39" s="95" t="s">
        <v>313</v>
      </c>
      <c r="Q39" s="66" t="s">
        <v>23</v>
      </c>
      <c r="R39" s="5"/>
      <c r="S39" s="5"/>
      <c r="T39" s="5"/>
      <c r="U39" s="5"/>
      <c r="V39" s="5"/>
      <c r="W39" s="5" t="s">
        <v>189</v>
      </c>
    </row>
    <row r="40" spans="1:23" ht="30">
      <c r="B40" s="66" t="s">
        <v>318</v>
      </c>
      <c r="C40" s="66" t="s">
        <v>322</v>
      </c>
      <c r="D40" s="66"/>
      <c r="E40" s="5">
        <v>2</v>
      </c>
      <c r="F40" s="5">
        <v>2</v>
      </c>
      <c r="G40" s="5" t="s">
        <v>248</v>
      </c>
      <c r="H40" s="83" t="s">
        <v>323</v>
      </c>
      <c r="I40" s="5" t="s">
        <v>292</v>
      </c>
      <c r="J40" s="77" t="s">
        <v>248</v>
      </c>
      <c r="K40" s="5" t="s">
        <v>261</v>
      </c>
      <c r="L40" s="66" t="s">
        <v>203</v>
      </c>
      <c r="M40" s="127"/>
      <c r="N40" s="39"/>
      <c r="O40" s="5"/>
      <c r="P40" s="66" t="s">
        <v>25</v>
      </c>
      <c r="Q40" s="66" t="s">
        <v>324</v>
      </c>
      <c r="R40" s="5"/>
      <c r="S40" s="5"/>
      <c r="T40" s="5"/>
      <c r="U40" s="5"/>
      <c r="V40" s="5"/>
      <c r="W40" s="5"/>
    </row>
    <row r="41" spans="1:23" ht="30">
      <c r="B41" s="66" t="s">
        <v>318</v>
      </c>
      <c r="C41" s="66" t="s">
        <v>325</v>
      </c>
      <c r="D41" s="66"/>
      <c r="E41" s="5">
        <v>2</v>
      </c>
      <c r="F41" s="5">
        <v>2</v>
      </c>
      <c r="G41" s="5" t="s">
        <v>248</v>
      </c>
      <c r="H41" s="83" t="s">
        <v>323</v>
      </c>
      <c r="I41" s="5" t="s">
        <v>292</v>
      </c>
      <c r="J41" s="77" t="s">
        <v>248</v>
      </c>
      <c r="K41" s="5" t="s">
        <v>261</v>
      </c>
      <c r="L41" s="66" t="s">
        <v>203</v>
      </c>
      <c r="M41" s="127"/>
      <c r="N41" s="39"/>
      <c r="O41" s="5"/>
      <c r="P41" s="66" t="s">
        <v>326</v>
      </c>
      <c r="Q41" s="66"/>
      <c r="R41" s="5"/>
      <c r="S41" s="5"/>
      <c r="T41" s="5"/>
      <c r="U41" s="5"/>
      <c r="V41" s="5"/>
      <c r="W41" s="5"/>
    </row>
    <row r="42" spans="1:23" ht="15" customHeight="1">
      <c r="E42">
        <f>SUM(E5:E41)</f>
        <v>2657</v>
      </c>
      <c r="F42">
        <f>SUM(F5:F41)</f>
        <v>1725</v>
      </c>
    </row>
    <row r="45" spans="1:23" ht="15" customHeight="1">
      <c r="E45" s="115">
        <f>F42/E42</f>
        <v>0.6492284531426421</v>
      </c>
    </row>
    <row r="47" spans="1:23" ht="15" customHeight="1">
      <c r="C47" t="s">
        <v>327</v>
      </c>
      <c r="D47">
        <v>12</v>
      </c>
      <c r="E47" t="s">
        <v>328</v>
      </c>
    </row>
    <row r="48" spans="1:23" ht="15" customHeight="1">
      <c r="C48" t="s">
        <v>329</v>
      </c>
      <c r="D48">
        <v>13</v>
      </c>
      <c r="E48" t="s">
        <v>274</v>
      </c>
    </row>
    <row r="49" spans="3:5" ht="15" customHeight="1">
      <c r="C49" t="s">
        <v>330</v>
      </c>
      <c r="D49">
        <v>3</v>
      </c>
      <c r="E49" t="s">
        <v>328</v>
      </c>
    </row>
    <row r="50" spans="3:5" ht="15" customHeight="1">
      <c r="C50" t="s">
        <v>331</v>
      </c>
      <c r="D50">
        <v>11</v>
      </c>
    </row>
    <row r="51" spans="3:5" ht="15" customHeight="1">
      <c r="C51" t="s">
        <v>332</v>
      </c>
      <c r="D51">
        <v>2</v>
      </c>
      <c r="E51" t="s">
        <v>333</v>
      </c>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E492A-C97C-4CB6-A1F5-4899A42452A8}">
  <dimension ref="B3:F17"/>
  <sheetViews>
    <sheetView workbookViewId="0">
      <selection activeCell="C23" sqref="C23"/>
    </sheetView>
  </sheetViews>
  <sheetFormatPr defaultRowHeight="15"/>
  <cols>
    <col min="2" max="2" width="26.5703125" bestFit="1" customWidth="1"/>
    <col min="3" max="3" width="17" bestFit="1" customWidth="1"/>
    <col min="4" max="4" width="28.85546875" bestFit="1" customWidth="1"/>
    <col min="5" max="5" width="36.42578125" bestFit="1" customWidth="1"/>
    <col min="6" max="6" width="27.140625" customWidth="1"/>
  </cols>
  <sheetData>
    <row r="3" spans="2:6">
      <c r="B3" s="34" t="s">
        <v>2</v>
      </c>
      <c r="C3" s="57" t="s">
        <v>5</v>
      </c>
      <c r="D3" s="18" t="s">
        <v>6</v>
      </c>
      <c r="E3" s="19" t="s">
        <v>7</v>
      </c>
      <c r="F3" s="19" t="s">
        <v>334</v>
      </c>
    </row>
    <row r="4" spans="2:6" ht="27">
      <c r="B4" s="20" t="s">
        <v>26</v>
      </c>
      <c r="C4" s="28" t="s">
        <v>27</v>
      </c>
      <c r="D4" s="24" t="s">
        <v>28</v>
      </c>
      <c r="E4" s="24" t="s">
        <v>29</v>
      </c>
      <c r="F4" s="5"/>
    </row>
    <row r="5" spans="2:6">
      <c r="B5" s="20" t="s">
        <v>39</v>
      </c>
      <c r="C5" s="58" t="s">
        <v>40</v>
      </c>
      <c r="D5" s="22" t="s">
        <v>41</v>
      </c>
      <c r="E5" s="22" t="s">
        <v>41</v>
      </c>
      <c r="F5" s="5"/>
    </row>
    <row r="6" spans="2:6" ht="40.5">
      <c r="B6" s="20" t="s">
        <v>43</v>
      </c>
      <c r="C6" s="58" t="s">
        <v>44</v>
      </c>
      <c r="D6" s="26" t="s">
        <v>45</v>
      </c>
      <c r="E6" s="26" t="s">
        <v>45</v>
      </c>
      <c r="F6" s="5"/>
    </row>
    <row r="7" spans="2:6">
      <c r="B7" s="20" t="s">
        <v>51</v>
      </c>
      <c r="C7" s="59" t="s">
        <v>52</v>
      </c>
      <c r="D7" s="47" t="s">
        <v>53</v>
      </c>
      <c r="E7" s="47" t="s">
        <v>54</v>
      </c>
      <c r="F7" s="5"/>
    </row>
    <row r="8" spans="2:6">
      <c r="B8" s="20" t="s">
        <v>66</v>
      </c>
      <c r="C8" s="59" t="s">
        <v>67</v>
      </c>
      <c r="D8" s="47" t="s">
        <v>68</v>
      </c>
      <c r="E8" s="47" t="s">
        <v>69</v>
      </c>
      <c r="F8" s="5"/>
    </row>
    <row r="9" spans="2:6">
      <c r="B9" s="20" t="s">
        <v>130</v>
      </c>
      <c r="C9" s="28" t="s">
        <v>335</v>
      </c>
      <c r="D9" s="20"/>
      <c r="E9" s="20"/>
      <c r="F9" s="5"/>
    </row>
    <row r="10" spans="2:6">
      <c r="B10" s="20" t="s">
        <v>132</v>
      </c>
      <c r="C10" s="28" t="s">
        <v>40</v>
      </c>
      <c r="D10" s="20" t="s">
        <v>41</v>
      </c>
      <c r="E10" s="20" t="s">
        <v>41</v>
      </c>
      <c r="F10" s="5"/>
    </row>
    <row r="11" spans="2:6">
      <c r="B11" s="20" t="s">
        <v>94</v>
      </c>
      <c r="C11" s="28" t="s">
        <v>133</v>
      </c>
      <c r="D11" s="20"/>
      <c r="E11" s="20"/>
      <c r="F11" s="5"/>
    </row>
    <row r="12" spans="2:6">
      <c r="B12" s="20" t="s">
        <v>95</v>
      </c>
      <c r="C12" s="28" t="s">
        <v>96</v>
      </c>
      <c r="D12" s="16" t="s">
        <v>97</v>
      </c>
      <c r="E12" s="53" t="s">
        <v>98</v>
      </c>
      <c r="F12" s="5"/>
    </row>
    <row r="13" spans="2:6">
      <c r="B13" s="20" t="s">
        <v>100</v>
      </c>
      <c r="C13" s="59" t="s">
        <v>102</v>
      </c>
      <c r="D13" s="47" t="s">
        <v>103</v>
      </c>
      <c r="E13" s="47" t="s">
        <v>104</v>
      </c>
      <c r="F13" s="5"/>
    </row>
    <row r="14" spans="2:6">
      <c r="B14" s="20" t="s">
        <v>105</v>
      </c>
      <c r="C14" s="28" t="s">
        <v>79</v>
      </c>
      <c r="D14" s="20"/>
      <c r="E14" s="20"/>
      <c r="F14" s="5"/>
    </row>
    <row r="15" spans="2:6" ht="81">
      <c r="B15" s="20" t="s">
        <v>110</v>
      </c>
      <c r="C15" s="60" t="s">
        <v>110</v>
      </c>
      <c r="D15" s="48" t="s">
        <v>111</v>
      </c>
      <c r="E15" s="48" t="s">
        <v>111</v>
      </c>
      <c r="F15" s="5"/>
    </row>
    <row r="16" spans="2:6">
      <c r="B16" s="20" t="s">
        <v>112</v>
      </c>
      <c r="C16" s="59" t="s">
        <v>52</v>
      </c>
      <c r="D16" s="47" t="s">
        <v>53</v>
      </c>
      <c r="E16" s="47" t="s">
        <v>54</v>
      </c>
      <c r="F16" s="5"/>
    </row>
    <row r="17" spans="2:2">
      <c r="B17" s="5"/>
    </row>
  </sheetData>
  <hyperlinks>
    <hyperlink ref="E12" r:id="rId1" xr:uid="{28366CAB-B56F-451F-903C-9FD71AA367EA}"/>
  </hyperlinks>
  <pageMargins left="0.7" right="0.7" top="0.75" bottom="0.75" header="0.3" footer="0.3"/>
  <pageSetup orientation="portrait" r:id="rId2"/>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5BE6D-757F-42F6-89AA-5D3664EEA997}">
  <dimension ref="A1:D12"/>
  <sheetViews>
    <sheetView workbookViewId="0">
      <selection activeCell="D18" sqref="D18"/>
    </sheetView>
  </sheetViews>
  <sheetFormatPr defaultRowHeight="15"/>
  <cols>
    <col min="1" max="1" width="23.42578125" customWidth="1"/>
    <col min="2" max="2" width="12.5703125" bestFit="1" customWidth="1"/>
    <col min="3" max="3" width="12.42578125" bestFit="1" customWidth="1"/>
    <col min="4" max="4" width="77.42578125" bestFit="1" customWidth="1"/>
  </cols>
  <sheetData>
    <row r="1" spans="1:4" ht="30">
      <c r="A1" s="131" t="s">
        <v>336</v>
      </c>
      <c r="B1" s="132" t="s">
        <v>337</v>
      </c>
      <c r="C1" s="132" t="s">
        <v>338</v>
      </c>
      <c r="D1" s="132" t="s">
        <v>339</v>
      </c>
    </row>
    <row r="2" spans="1:4">
      <c r="A2" s="133" t="s">
        <v>340</v>
      </c>
      <c r="B2" s="134" t="s">
        <v>341</v>
      </c>
      <c r="C2" s="134" t="s">
        <v>47</v>
      </c>
      <c r="D2" s="134" t="s">
        <v>342</v>
      </c>
    </row>
    <row r="3" spans="1:4">
      <c r="A3" s="133" t="s">
        <v>343</v>
      </c>
      <c r="B3" s="134" t="s">
        <v>341</v>
      </c>
      <c r="C3" s="134" t="s">
        <v>47</v>
      </c>
      <c r="D3" s="134" t="s">
        <v>344</v>
      </c>
    </row>
    <row r="4" spans="1:4">
      <c r="A4" s="133" t="s">
        <v>345</v>
      </c>
      <c r="B4" s="134" t="s">
        <v>341</v>
      </c>
      <c r="C4" s="134" t="s">
        <v>47</v>
      </c>
      <c r="D4" s="134" t="s">
        <v>346</v>
      </c>
    </row>
    <row r="5" spans="1:4">
      <c r="A5" s="133" t="s">
        <v>347</v>
      </c>
      <c r="B5" s="134" t="s">
        <v>341</v>
      </c>
      <c r="C5" s="134" t="s">
        <v>47</v>
      </c>
      <c r="D5" s="134" t="s">
        <v>348</v>
      </c>
    </row>
    <row r="6" spans="1:4" ht="30">
      <c r="A6" s="133" t="s">
        <v>349</v>
      </c>
      <c r="B6" s="134" t="s">
        <v>350</v>
      </c>
      <c r="C6" s="134" t="s">
        <v>47</v>
      </c>
      <c r="D6" s="134" t="s">
        <v>351</v>
      </c>
    </row>
    <row r="7" spans="1:4">
      <c r="A7" s="133" t="s">
        <v>352</v>
      </c>
      <c r="B7" s="134" t="s">
        <v>341</v>
      </c>
      <c r="C7" s="134" t="s">
        <v>47</v>
      </c>
      <c r="D7" s="134" t="s">
        <v>353</v>
      </c>
    </row>
    <row r="8" spans="1:4" ht="30">
      <c r="A8" s="133" t="s">
        <v>354</v>
      </c>
      <c r="B8" s="134" t="s">
        <v>350</v>
      </c>
      <c r="C8" s="134" t="s">
        <v>47</v>
      </c>
      <c r="D8" s="134" t="s">
        <v>355</v>
      </c>
    </row>
    <row r="9" spans="1:4" ht="30">
      <c r="A9" s="133" t="s">
        <v>356</v>
      </c>
      <c r="B9" s="134" t="s">
        <v>350</v>
      </c>
      <c r="C9" s="134" t="s">
        <v>47</v>
      </c>
      <c r="D9" s="134" t="s">
        <v>357</v>
      </c>
    </row>
    <row r="10" spans="1:4" ht="30">
      <c r="A10" s="133" t="s">
        <v>358</v>
      </c>
      <c r="B10" s="134" t="s">
        <v>350</v>
      </c>
      <c r="C10" s="134" t="s">
        <v>47</v>
      </c>
      <c r="D10" s="134" t="s">
        <v>359</v>
      </c>
    </row>
    <row r="11" spans="1:4">
      <c r="A11" s="133" t="s">
        <v>360</v>
      </c>
      <c r="B11" s="134" t="s">
        <v>361</v>
      </c>
      <c r="C11" s="134" t="s">
        <v>361</v>
      </c>
      <c r="D11" s="134" t="s">
        <v>361</v>
      </c>
    </row>
    <row r="12" spans="1:4" ht="30">
      <c r="A12" s="133" t="s">
        <v>362</v>
      </c>
      <c r="B12" s="134" t="s">
        <v>350</v>
      </c>
      <c r="C12" s="134" t="s">
        <v>47</v>
      </c>
      <c r="D12" s="134" t="s">
        <v>363</v>
      </c>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916E-F974-4A43-9586-98AE04B445D7}">
  <dimension ref="A1:O45"/>
  <sheetViews>
    <sheetView showGridLines="0" workbookViewId="0">
      <selection activeCell="F10" sqref="F10"/>
    </sheetView>
  </sheetViews>
  <sheetFormatPr defaultColWidth="18.42578125" defaultRowHeight="13.5"/>
  <cols>
    <col min="1" max="1" width="10.42578125" style="16" customWidth="1"/>
    <col min="2" max="2" width="17.5703125" style="33" bestFit="1" customWidth="1"/>
    <col min="3" max="3" width="36.85546875" style="33" bestFit="1" customWidth="1"/>
    <col min="4" max="4" width="5.5703125" style="16" customWidth="1"/>
    <col min="5" max="5" width="7.5703125" style="16" customWidth="1"/>
    <col min="6" max="6" width="6.85546875" style="33" bestFit="1" customWidth="1"/>
    <col min="7" max="7" width="5.5703125" style="33" customWidth="1"/>
    <col min="8" max="8" width="6.85546875" style="33" bestFit="1" customWidth="1"/>
    <col min="9" max="9" width="8.5703125" style="33" bestFit="1" customWidth="1"/>
    <col min="10" max="10" width="8.42578125" style="33" customWidth="1"/>
    <col min="11" max="11" width="16.5703125" style="16" bestFit="1" customWidth="1"/>
    <col min="12" max="12" width="12.5703125" style="16" customWidth="1"/>
    <col min="13" max="13" width="10.140625" style="16" bestFit="1" customWidth="1"/>
    <col min="14" max="14" width="31.42578125" style="16" bestFit="1" customWidth="1"/>
    <col min="15" max="15" width="27.5703125" style="16" bestFit="1" customWidth="1"/>
    <col min="16" max="16384" width="18.42578125" style="16"/>
  </cols>
  <sheetData>
    <row r="1" spans="1:15" ht="14.25" thickBot="1"/>
    <row r="2" spans="1:15" ht="24.95" customHeight="1" thickBot="1">
      <c r="E2" s="537" t="s">
        <v>364</v>
      </c>
      <c r="F2" s="535"/>
      <c r="G2" s="535" t="s">
        <v>365</v>
      </c>
      <c r="H2" s="536"/>
    </row>
    <row r="3" spans="1:15" ht="81">
      <c r="B3" s="32" t="s">
        <v>5</v>
      </c>
      <c r="C3" s="32" t="s">
        <v>366</v>
      </c>
      <c r="D3" s="140" t="s">
        <v>367</v>
      </c>
      <c r="E3" s="143" t="s">
        <v>368</v>
      </c>
      <c r="F3" s="144" t="s">
        <v>369</v>
      </c>
      <c r="G3" s="143" t="s">
        <v>368</v>
      </c>
      <c r="H3" s="144" t="s">
        <v>369</v>
      </c>
      <c r="I3" s="139" t="s">
        <v>370</v>
      </c>
      <c r="J3" s="32" t="s">
        <v>371</v>
      </c>
      <c r="K3" s="32" t="s">
        <v>372</v>
      </c>
      <c r="L3" s="32" t="s">
        <v>373</v>
      </c>
      <c r="M3" s="32" t="s">
        <v>374</v>
      </c>
      <c r="N3" s="32" t="s">
        <v>375</v>
      </c>
      <c r="O3" s="32" t="s">
        <v>16</v>
      </c>
    </row>
    <row r="4" spans="1:15">
      <c r="A4" s="16" t="s">
        <v>376</v>
      </c>
      <c r="B4" s="136" t="s">
        <v>20</v>
      </c>
      <c r="C4" s="150" t="s">
        <v>17</v>
      </c>
      <c r="D4" s="141">
        <v>1184</v>
      </c>
      <c r="E4" s="145">
        <v>1066</v>
      </c>
      <c r="F4" s="146">
        <v>0</v>
      </c>
      <c r="G4" s="145">
        <v>99</v>
      </c>
      <c r="H4" s="146">
        <v>19</v>
      </c>
      <c r="I4" s="42" t="s">
        <v>182</v>
      </c>
      <c r="J4" s="135" t="s">
        <v>182</v>
      </c>
      <c r="K4" s="135" t="s">
        <v>194</v>
      </c>
      <c r="L4" s="20" t="s">
        <v>182</v>
      </c>
      <c r="M4" s="20" t="s">
        <v>250</v>
      </c>
      <c r="N4" s="20" t="s">
        <v>377</v>
      </c>
      <c r="O4" s="20" t="s">
        <v>377</v>
      </c>
    </row>
    <row r="5" spans="1:15">
      <c r="A5" s="16" t="s">
        <v>378</v>
      </c>
      <c r="B5" s="136" t="s">
        <v>20</v>
      </c>
      <c r="C5" s="150" t="s">
        <v>36</v>
      </c>
      <c r="D5" s="141">
        <v>197</v>
      </c>
      <c r="E5" s="145">
        <v>117</v>
      </c>
      <c r="F5" s="146">
        <v>0</v>
      </c>
      <c r="G5" s="145">
        <v>47</v>
      </c>
      <c r="H5" s="146">
        <v>28</v>
      </c>
      <c r="I5" s="42" t="s">
        <v>182</v>
      </c>
      <c r="J5" s="135" t="s">
        <v>182</v>
      </c>
      <c r="K5" s="135" t="s">
        <v>194</v>
      </c>
      <c r="L5" s="20" t="s">
        <v>182</v>
      </c>
      <c r="M5" s="20" t="s">
        <v>250</v>
      </c>
      <c r="N5" s="20" t="s">
        <v>377</v>
      </c>
      <c r="O5" s="20" t="s">
        <v>377</v>
      </c>
    </row>
    <row r="6" spans="1:15">
      <c r="B6" s="136" t="s">
        <v>20</v>
      </c>
      <c r="C6" s="150" t="s">
        <v>57</v>
      </c>
      <c r="D6" s="141">
        <v>48</v>
      </c>
      <c r="E6" s="145">
        <v>44</v>
      </c>
      <c r="F6" s="146"/>
      <c r="G6" s="145">
        <v>2</v>
      </c>
      <c r="H6" s="146">
        <v>2</v>
      </c>
      <c r="I6" s="42" t="s">
        <v>182</v>
      </c>
      <c r="J6" s="135" t="s">
        <v>203</v>
      </c>
      <c r="K6" s="135" t="s">
        <v>194</v>
      </c>
      <c r="L6" s="20" t="s">
        <v>182</v>
      </c>
      <c r="M6" s="20" t="s">
        <v>250</v>
      </c>
      <c r="N6" s="20" t="s">
        <v>377</v>
      </c>
      <c r="O6" s="20" t="s">
        <v>377</v>
      </c>
    </row>
    <row r="7" spans="1:15">
      <c r="B7" s="136" t="s">
        <v>20</v>
      </c>
      <c r="C7" s="150" t="s">
        <v>90</v>
      </c>
      <c r="D7" s="141">
        <v>8</v>
      </c>
      <c r="E7" s="145">
        <v>7</v>
      </c>
      <c r="F7" s="146">
        <v>0</v>
      </c>
      <c r="G7" s="145">
        <v>1</v>
      </c>
      <c r="H7" s="146">
        <v>0</v>
      </c>
      <c r="I7" s="42" t="s">
        <v>182</v>
      </c>
      <c r="J7" s="135" t="s">
        <v>182</v>
      </c>
      <c r="K7" s="135" t="s">
        <v>181</v>
      </c>
      <c r="L7" s="20" t="s">
        <v>203</v>
      </c>
      <c r="M7" s="20" t="s">
        <v>250</v>
      </c>
      <c r="N7" s="20" t="s">
        <v>379</v>
      </c>
      <c r="O7" s="20" t="s">
        <v>379</v>
      </c>
    </row>
    <row r="8" spans="1:15">
      <c r="A8" s="16" t="s">
        <v>376</v>
      </c>
      <c r="B8" s="136" t="s">
        <v>27</v>
      </c>
      <c r="C8" s="150" t="s">
        <v>26</v>
      </c>
      <c r="D8" s="141">
        <v>335</v>
      </c>
      <c r="E8" s="145">
        <v>0</v>
      </c>
      <c r="F8" s="146">
        <v>0</v>
      </c>
      <c r="G8" s="145">
        <v>0</v>
      </c>
      <c r="H8" s="146">
        <v>0</v>
      </c>
      <c r="I8" s="42" t="s">
        <v>182</v>
      </c>
      <c r="J8" s="135" t="s">
        <v>182</v>
      </c>
      <c r="K8" s="135" t="s">
        <v>380</v>
      </c>
      <c r="L8" s="20" t="s">
        <v>381</v>
      </c>
      <c r="M8" s="20" t="s">
        <v>382</v>
      </c>
      <c r="N8" s="20" t="s">
        <v>383</v>
      </c>
      <c r="O8" s="20" t="s">
        <v>383</v>
      </c>
    </row>
    <row r="9" spans="1:15">
      <c r="A9" s="16" t="s">
        <v>376</v>
      </c>
      <c r="B9" s="136" t="s">
        <v>224</v>
      </c>
      <c r="C9" s="150" t="s">
        <v>39</v>
      </c>
      <c r="D9" s="141">
        <v>190</v>
      </c>
      <c r="E9" s="145">
        <v>149</v>
      </c>
      <c r="F9" s="146">
        <v>0</v>
      </c>
      <c r="G9" s="145">
        <v>0</v>
      </c>
      <c r="H9" s="146">
        <v>41</v>
      </c>
      <c r="I9" s="42" t="s">
        <v>182</v>
      </c>
      <c r="J9" s="135" t="s">
        <v>182</v>
      </c>
      <c r="K9" s="135" t="s">
        <v>181</v>
      </c>
      <c r="L9" s="20" t="s">
        <v>182</v>
      </c>
      <c r="M9" s="20" t="s">
        <v>384</v>
      </c>
      <c r="N9" s="20" t="s">
        <v>385</v>
      </c>
      <c r="O9" s="20" t="s">
        <v>386</v>
      </c>
    </row>
    <row r="10" spans="1:15" ht="26.25">
      <c r="B10" s="137" t="s">
        <v>232</v>
      </c>
      <c r="C10" s="150" t="s">
        <v>87</v>
      </c>
      <c r="D10" s="141">
        <v>24</v>
      </c>
      <c r="E10" s="145">
        <v>0</v>
      </c>
      <c r="F10" s="146">
        <v>0</v>
      </c>
      <c r="G10" s="145">
        <v>0</v>
      </c>
      <c r="H10" s="146">
        <v>0</v>
      </c>
      <c r="I10" s="42" t="s">
        <v>182</v>
      </c>
      <c r="J10" s="135" t="s">
        <v>182</v>
      </c>
      <c r="K10" s="135" t="s">
        <v>380</v>
      </c>
      <c r="L10" s="20" t="s">
        <v>381</v>
      </c>
      <c r="M10" s="20" t="s">
        <v>256</v>
      </c>
      <c r="N10" s="20" t="s">
        <v>387</v>
      </c>
      <c r="O10" s="20" t="s">
        <v>387</v>
      </c>
    </row>
    <row r="11" spans="1:15">
      <c r="B11" s="136" t="s">
        <v>44</v>
      </c>
      <c r="C11" s="150" t="s">
        <v>43</v>
      </c>
      <c r="D11" s="141">
        <v>74</v>
      </c>
      <c r="E11" s="145">
        <v>70</v>
      </c>
      <c r="F11" s="146">
        <v>0</v>
      </c>
      <c r="G11" s="145">
        <v>4</v>
      </c>
      <c r="H11" s="146">
        <v>0</v>
      </c>
      <c r="I11" s="42" t="s">
        <v>182</v>
      </c>
      <c r="J11" s="135" t="s">
        <v>182</v>
      </c>
      <c r="K11" s="135" t="s">
        <v>181</v>
      </c>
      <c r="L11" s="20" t="s">
        <v>381</v>
      </c>
      <c r="M11" s="20" t="s">
        <v>250</v>
      </c>
      <c r="N11" s="20" t="s">
        <v>388</v>
      </c>
      <c r="O11" s="20" t="s">
        <v>388</v>
      </c>
    </row>
    <row r="12" spans="1:15">
      <c r="B12" s="136" t="s">
        <v>247</v>
      </c>
      <c r="C12" s="150" t="s">
        <v>51</v>
      </c>
      <c r="D12" s="141">
        <v>64</v>
      </c>
      <c r="E12" s="145">
        <v>64</v>
      </c>
      <c r="F12" s="146">
        <v>0</v>
      </c>
      <c r="G12" s="145">
        <v>0</v>
      </c>
      <c r="H12" s="146">
        <v>0</v>
      </c>
      <c r="I12" s="42" t="s">
        <v>182</v>
      </c>
      <c r="J12" s="135" t="s">
        <v>182</v>
      </c>
      <c r="K12" s="135" t="s">
        <v>181</v>
      </c>
      <c r="L12" s="20" t="s">
        <v>203</v>
      </c>
      <c r="M12" s="20" t="s">
        <v>389</v>
      </c>
      <c r="N12" s="20" t="s">
        <v>390</v>
      </c>
      <c r="O12" s="20" t="s">
        <v>391</v>
      </c>
    </row>
    <row r="13" spans="1:15">
      <c r="B13" s="136" t="s">
        <v>247</v>
      </c>
      <c r="C13" s="150" t="s">
        <v>112</v>
      </c>
      <c r="D13" s="141">
        <v>24</v>
      </c>
      <c r="E13" s="145">
        <v>6</v>
      </c>
      <c r="F13" s="146">
        <v>0</v>
      </c>
      <c r="G13" s="145">
        <v>18</v>
      </c>
      <c r="H13" s="146">
        <v>0</v>
      </c>
      <c r="I13" s="42" t="s">
        <v>182</v>
      </c>
      <c r="J13" s="135" t="s">
        <v>182</v>
      </c>
      <c r="K13" s="135" t="s">
        <v>181</v>
      </c>
      <c r="L13" s="20" t="s">
        <v>203</v>
      </c>
      <c r="M13" s="20" t="s">
        <v>256</v>
      </c>
      <c r="N13" s="20" t="s">
        <v>392</v>
      </c>
      <c r="O13" s="20" t="s">
        <v>392</v>
      </c>
    </row>
    <row r="14" spans="1:15">
      <c r="B14" s="136" t="s">
        <v>63</v>
      </c>
      <c r="C14" s="150" t="s">
        <v>393</v>
      </c>
      <c r="D14" s="141">
        <v>41</v>
      </c>
      <c r="E14" s="145">
        <v>0</v>
      </c>
      <c r="F14" s="146">
        <v>0</v>
      </c>
      <c r="G14" s="145">
        <v>0</v>
      </c>
      <c r="H14" s="146">
        <v>0</v>
      </c>
      <c r="I14" s="42" t="s">
        <v>182</v>
      </c>
      <c r="J14" s="135" t="s">
        <v>203</v>
      </c>
      <c r="K14" s="135" t="s">
        <v>181</v>
      </c>
      <c r="L14" s="20" t="s">
        <v>203</v>
      </c>
      <c r="M14" s="20" t="s">
        <v>382</v>
      </c>
      <c r="N14" s="20" t="s">
        <v>394</v>
      </c>
      <c r="O14" s="20" t="s">
        <v>394</v>
      </c>
    </row>
    <row r="15" spans="1:15">
      <c r="B15" s="136" t="s">
        <v>67</v>
      </c>
      <c r="C15" s="150" t="s">
        <v>66</v>
      </c>
      <c r="D15" s="141">
        <v>33</v>
      </c>
      <c r="E15" s="145">
        <v>0</v>
      </c>
      <c r="F15" s="146">
        <v>0</v>
      </c>
      <c r="G15" s="145">
        <v>0</v>
      </c>
      <c r="H15" s="146">
        <v>0</v>
      </c>
      <c r="I15" s="42" t="s">
        <v>182</v>
      </c>
      <c r="J15" s="135" t="s">
        <v>203</v>
      </c>
      <c r="K15" s="135" t="s">
        <v>380</v>
      </c>
      <c r="L15" s="20" t="s">
        <v>381</v>
      </c>
      <c r="M15" s="20" t="s">
        <v>382</v>
      </c>
      <c r="N15" s="20" t="s">
        <v>383</v>
      </c>
      <c r="O15" s="20" t="s">
        <v>383</v>
      </c>
    </row>
    <row r="16" spans="1:15">
      <c r="B16" s="136" t="s">
        <v>96</v>
      </c>
      <c r="C16" s="150" t="s">
        <v>95</v>
      </c>
      <c r="D16" s="141">
        <v>16</v>
      </c>
      <c r="E16" s="145" t="s">
        <v>49</v>
      </c>
      <c r="F16" s="146" t="s">
        <v>49</v>
      </c>
      <c r="G16" s="145" t="s">
        <v>49</v>
      </c>
      <c r="H16" s="146" t="s">
        <v>49</v>
      </c>
      <c r="I16" s="42" t="s">
        <v>182</v>
      </c>
      <c r="J16" s="135" t="s">
        <v>203</v>
      </c>
      <c r="K16" s="135" t="s">
        <v>261</v>
      </c>
      <c r="L16" s="20" t="s">
        <v>182</v>
      </c>
      <c r="M16" s="20" t="s">
        <v>292</v>
      </c>
      <c r="N16" s="20" t="s">
        <v>395</v>
      </c>
      <c r="O16" s="20" t="s">
        <v>396</v>
      </c>
    </row>
    <row r="17" spans="2:15">
      <c r="B17" s="136" t="s">
        <v>110</v>
      </c>
      <c r="C17" s="150" t="s">
        <v>110</v>
      </c>
      <c r="D17" s="141">
        <v>11</v>
      </c>
      <c r="E17" s="145" t="s">
        <v>49</v>
      </c>
      <c r="F17" s="146" t="s">
        <v>49</v>
      </c>
      <c r="G17" s="145" t="s">
        <v>49</v>
      </c>
      <c r="H17" s="146" t="s">
        <v>49</v>
      </c>
      <c r="I17" s="42" t="s">
        <v>203</v>
      </c>
      <c r="J17" s="135" t="s">
        <v>203</v>
      </c>
      <c r="K17" s="135" t="s">
        <v>261</v>
      </c>
      <c r="L17" s="20" t="s">
        <v>182</v>
      </c>
      <c r="M17" s="20" t="s">
        <v>397</v>
      </c>
      <c r="N17" s="20" t="s">
        <v>398</v>
      </c>
      <c r="O17" s="20" t="s">
        <v>399</v>
      </c>
    </row>
    <row r="18" spans="2:15">
      <c r="B18" s="136" t="s">
        <v>272</v>
      </c>
      <c r="C18" s="150" t="s">
        <v>400</v>
      </c>
      <c r="D18" s="141">
        <v>27</v>
      </c>
      <c r="E18" s="145" t="s">
        <v>49</v>
      </c>
      <c r="F18" s="146" t="s">
        <v>49</v>
      </c>
      <c r="G18" s="145" t="s">
        <v>49</v>
      </c>
      <c r="H18" s="146" t="s">
        <v>49</v>
      </c>
      <c r="I18" s="42" t="s">
        <v>203</v>
      </c>
      <c r="J18" s="135" t="s">
        <v>203</v>
      </c>
      <c r="K18" s="135" t="s">
        <v>261</v>
      </c>
      <c r="L18" s="20" t="s">
        <v>182</v>
      </c>
      <c r="M18" s="20" t="s">
        <v>292</v>
      </c>
      <c r="N18" s="20" t="s">
        <v>395</v>
      </c>
      <c r="O18" s="20" t="s">
        <v>318</v>
      </c>
    </row>
    <row r="19" spans="2:15">
      <c r="B19" s="136" t="s">
        <v>133</v>
      </c>
      <c r="C19" s="150" t="s">
        <v>94</v>
      </c>
      <c r="D19" s="141">
        <v>16</v>
      </c>
      <c r="E19" s="145" t="s">
        <v>49</v>
      </c>
      <c r="F19" s="146" t="s">
        <v>49</v>
      </c>
      <c r="G19" s="145" t="s">
        <v>49</v>
      </c>
      <c r="H19" s="146" t="s">
        <v>49</v>
      </c>
      <c r="I19" s="42" t="s">
        <v>203</v>
      </c>
      <c r="J19" s="135" t="s">
        <v>203</v>
      </c>
      <c r="K19" s="135" t="s">
        <v>261</v>
      </c>
      <c r="L19" s="20" t="s">
        <v>182</v>
      </c>
      <c r="M19" s="20" t="s">
        <v>292</v>
      </c>
      <c r="N19" s="20" t="s">
        <v>395</v>
      </c>
      <c r="O19" s="20" t="s">
        <v>318</v>
      </c>
    </row>
    <row r="20" spans="2:15">
      <c r="B20" s="136" t="s">
        <v>107</v>
      </c>
      <c r="C20" s="150" t="s">
        <v>105</v>
      </c>
      <c r="D20" s="141">
        <v>13</v>
      </c>
      <c r="E20" s="145" t="s">
        <v>49</v>
      </c>
      <c r="F20" s="146" t="s">
        <v>49</v>
      </c>
      <c r="G20" s="145" t="s">
        <v>49</v>
      </c>
      <c r="H20" s="146" t="s">
        <v>49</v>
      </c>
      <c r="I20" s="42" t="s">
        <v>203</v>
      </c>
      <c r="J20" s="135" t="s">
        <v>203</v>
      </c>
      <c r="K20" s="135" t="s">
        <v>261</v>
      </c>
      <c r="L20" s="20" t="s">
        <v>182</v>
      </c>
      <c r="M20" s="20" t="s">
        <v>292</v>
      </c>
      <c r="N20" s="20" t="s">
        <v>395</v>
      </c>
      <c r="O20" s="20" t="s">
        <v>318</v>
      </c>
    </row>
    <row r="21" spans="2:15">
      <c r="B21" s="135" t="s">
        <v>73</v>
      </c>
      <c r="C21" s="150" t="s">
        <v>72</v>
      </c>
      <c r="D21" s="141">
        <v>31</v>
      </c>
      <c r="E21" s="145" t="s">
        <v>49</v>
      </c>
      <c r="F21" s="146" t="s">
        <v>49</v>
      </c>
      <c r="G21" s="145" t="s">
        <v>49</v>
      </c>
      <c r="H21" s="146" t="s">
        <v>49</v>
      </c>
      <c r="I21" s="42" t="s">
        <v>203</v>
      </c>
      <c r="J21" s="135" t="s">
        <v>203</v>
      </c>
      <c r="K21" s="135" t="s">
        <v>261</v>
      </c>
      <c r="L21" s="20" t="s">
        <v>182</v>
      </c>
      <c r="M21" s="20" t="s">
        <v>401</v>
      </c>
      <c r="N21" s="20" t="s">
        <v>402</v>
      </c>
      <c r="O21" s="20" t="s">
        <v>318</v>
      </c>
    </row>
    <row r="22" spans="2:15">
      <c r="B22" s="20" t="s">
        <v>284</v>
      </c>
      <c r="C22" s="150" t="s">
        <v>81</v>
      </c>
      <c r="D22" s="141">
        <v>25</v>
      </c>
      <c r="E22" s="145">
        <v>25</v>
      </c>
      <c r="F22" s="146">
        <v>0</v>
      </c>
      <c r="G22" s="145">
        <v>0</v>
      </c>
      <c r="H22" s="146">
        <v>0</v>
      </c>
      <c r="I22" s="42" t="s">
        <v>182</v>
      </c>
      <c r="J22" s="135" t="s">
        <v>203</v>
      </c>
      <c r="K22" s="135" t="s">
        <v>261</v>
      </c>
      <c r="L22" s="20" t="s">
        <v>182</v>
      </c>
      <c r="M22" s="20" t="s">
        <v>292</v>
      </c>
      <c r="N22" s="20" t="s">
        <v>395</v>
      </c>
      <c r="O22" s="20" t="s">
        <v>403</v>
      </c>
    </row>
    <row r="23" spans="2:15">
      <c r="B23" s="135" t="s">
        <v>290</v>
      </c>
      <c r="C23" s="150" t="s">
        <v>93</v>
      </c>
      <c r="D23" s="141">
        <v>20</v>
      </c>
      <c r="E23" s="145">
        <v>20</v>
      </c>
      <c r="F23" s="146">
        <v>0</v>
      </c>
      <c r="G23" s="145">
        <v>0</v>
      </c>
      <c r="H23" s="146">
        <v>0</v>
      </c>
      <c r="I23" s="42" t="s">
        <v>182</v>
      </c>
      <c r="J23" s="135" t="s">
        <v>182</v>
      </c>
      <c r="K23" s="135" t="s">
        <v>261</v>
      </c>
      <c r="L23" s="20" t="s">
        <v>182</v>
      </c>
      <c r="M23" s="20" t="s">
        <v>382</v>
      </c>
      <c r="N23" s="20" t="s">
        <v>404</v>
      </c>
      <c r="O23" s="20" t="s">
        <v>403</v>
      </c>
    </row>
    <row r="24" spans="2:15">
      <c r="B24" s="135" t="s">
        <v>290</v>
      </c>
      <c r="C24" s="150" t="s">
        <v>117</v>
      </c>
      <c r="D24" s="141">
        <v>7</v>
      </c>
      <c r="E24" s="145">
        <v>6</v>
      </c>
      <c r="F24" s="146">
        <v>1</v>
      </c>
      <c r="G24" s="145">
        <v>0</v>
      </c>
      <c r="H24" s="146">
        <v>0</v>
      </c>
      <c r="I24" s="42" t="s">
        <v>182</v>
      </c>
      <c r="J24" s="135" t="s">
        <v>182</v>
      </c>
      <c r="K24" s="135" t="s">
        <v>181</v>
      </c>
      <c r="L24" s="20" t="s">
        <v>203</v>
      </c>
      <c r="M24" s="20" t="s">
        <v>405</v>
      </c>
      <c r="N24" s="20" t="s">
        <v>390</v>
      </c>
      <c r="O24" s="20" t="s">
        <v>406</v>
      </c>
    </row>
    <row r="25" spans="2:15">
      <c r="B25" s="135" t="s">
        <v>290</v>
      </c>
      <c r="C25" s="150" t="s">
        <v>122</v>
      </c>
      <c r="D25" s="141">
        <v>3</v>
      </c>
      <c r="E25" s="145" t="s">
        <v>49</v>
      </c>
      <c r="F25" s="146" t="s">
        <v>49</v>
      </c>
      <c r="G25" s="145" t="s">
        <v>49</v>
      </c>
      <c r="H25" s="146" t="s">
        <v>49</v>
      </c>
      <c r="I25" s="42" t="s">
        <v>182</v>
      </c>
      <c r="J25" s="135" t="s">
        <v>203</v>
      </c>
      <c r="K25" s="135" t="s">
        <v>261</v>
      </c>
      <c r="L25" s="20" t="s">
        <v>203</v>
      </c>
      <c r="M25" s="20" t="s">
        <v>407</v>
      </c>
      <c r="N25" s="20" t="s">
        <v>408</v>
      </c>
      <c r="O25" s="20" t="s">
        <v>409</v>
      </c>
    </row>
    <row r="26" spans="2:15">
      <c r="B26" s="135" t="s">
        <v>48</v>
      </c>
      <c r="C26" s="150" t="s">
        <v>115</v>
      </c>
      <c r="D26" s="141">
        <v>9</v>
      </c>
      <c r="E26" s="145">
        <v>9</v>
      </c>
      <c r="F26" s="146">
        <v>0</v>
      </c>
      <c r="G26" s="145">
        <v>0</v>
      </c>
      <c r="H26" s="146">
        <v>0</v>
      </c>
      <c r="I26" s="42" t="s">
        <v>182</v>
      </c>
      <c r="J26" s="135" t="s">
        <v>203</v>
      </c>
      <c r="K26" s="135" t="s">
        <v>261</v>
      </c>
      <c r="L26" s="20" t="s">
        <v>182</v>
      </c>
      <c r="M26" s="20"/>
      <c r="N26" s="149" t="s">
        <v>410</v>
      </c>
      <c r="O26" s="20" t="s">
        <v>411</v>
      </c>
    </row>
    <row r="27" spans="2:15">
      <c r="B27" s="135" t="s">
        <v>48</v>
      </c>
      <c r="C27" s="150" t="s">
        <v>47</v>
      </c>
      <c r="D27" s="141">
        <v>73</v>
      </c>
      <c r="E27" s="145">
        <v>73</v>
      </c>
      <c r="F27" s="146">
        <v>0</v>
      </c>
      <c r="G27" s="145">
        <v>0</v>
      </c>
      <c r="H27" s="146">
        <v>0</v>
      </c>
      <c r="I27" s="42" t="s">
        <v>182</v>
      </c>
      <c r="J27" s="135" t="s">
        <v>203</v>
      </c>
      <c r="K27" s="135" t="s">
        <v>261</v>
      </c>
      <c r="L27" s="20" t="s">
        <v>182</v>
      </c>
      <c r="M27" s="20"/>
      <c r="N27" s="149" t="s">
        <v>410</v>
      </c>
      <c r="O27" s="20" t="s">
        <v>411</v>
      </c>
    </row>
    <row r="28" spans="2:15">
      <c r="B28" s="135" t="s">
        <v>48</v>
      </c>
      <c r="C28" s="150" t="s">
        <v>56</v>
      </c>
      <c r="D28" s="141">
        <v>48</v>
      </c>
      <c r="E28" s="145" t="s">
        <v>49</v>
      </c>
      <c r="F28" s="146" t="s">
        <v>49</v>
      </c>
      <c r="G28" s="145" t="s">
        <v>49</v>
      </c>
      <c r="H28" s="146" t="s">
        <v>49</v>
      </c>
      <c r="I28" s="42" t="s">
        <v>182</v>
      </c>
      <c r="J28" s="135" t="s">
        <v>203</v>
      </c>
      <c r="K28" s="135" t="s">
        <v>261</v>
      </c>
      <c r="L28" s="20" t="s">
        <v>182</v>
      </c>
      <c r="M28" s="20"/>
      <c r="N28" s="149" t="s">
        <v>410</v>
      </c>
      <c r="O28" s="20" t="s">
        <v>411</v>
      </c>
    </row>
    <row r="29" spans="2:15">
      <c r="B29" s="135" t="s">
        <v>48</v>
      </c>
      <c r="C29" s="150" t="s">
        <v>71</v>
      </c>
      <c r="D29" s="141">
        <v>32</v>
      </c>
      <c r="E29" s="145">
        <v>32</v>
      </c>
      <c r="F29" s="146">
        <v>0</v>
      </c>
      <c r="G29" s="145">
        <v>0</v>
      </c>
      <c r="H29" s="146">
        <v>0</v>
      </c>
      <c r="I29" s="42" t="s">
        <v>182</v>
      </c>
      <c r="J29" s="135" t="s">
        <v>182</v>
      </c>
      <c r="K29" s="135" t="s">
        <v>181</v>
      </c>
      <c r="L29" s="20" t="s">
        <v>203</v>
      </c>
      <c r="M29" s="20" t="s">
        <v>405</v>
      </c>
      <c r="N29" s="20" t="s">
        <v>390</v>
      </c>
      <c r="O29" s="20"/>
    </row>
    <row r="30" spans="2:15">
      <c r="B30" s="135" t="s">
        <v>48</v>
      </c>
      <c r="C30" s="150" t="s">
        <v>311</v>
      </c>
      <c r="D30" s="141">
        <v>29</v>
      </c>
      <c r="E30" s="145" t="s">
        <v>49</v>
      </c>
      <c r="F30" s="146" t="s">
        <v>49</v>
      </c>
      <c r="G30" s="145" t="s">
        <v>49</v>
      </c>
      <c r="H30" s="146" t="s">
        <v>49</v>
      </c>
      <c r="I30" s="42" t="s">
        <v>182</v>
      </c>
      <c r="J30" s="135" t="s">
        <v>203</v>
      </c>
      <c r="K30" s="135" t="s">
        <v>261</v>
      </c>
      <c r="L30" s="20" t="s">
        <v>182</v>
      </c>
      <c r="M30" s="20"/>
      <c r="N30" s="47" t="s">
        <v>410</v>
      </c>
      <c r="O30" s="20" t="s">
        <v>411</v>
      </c>
    </row>
    <row r="31" spans="2:15">
      <c r="B31" s="135" t="s">
        <v>48</v>
      </c>
      <c r="C31" s="150" t="s">
        <v>80</v>
      </c>
      <c r="D31" s="141">
        <v>25</v>
      </c>
      <c r="E31" s="145">
        <v>22</v>
      </c>
      <c r="F31" s="146">
        <v>0</v>
      </c>
      <c r="G31" s="145">
        <v>3</v>
      </c>
      <c r="H31" s="146">
        <v>0</v>
      </c>
      <c r="I31" s="42" t="s">
        <v>182</v>
      </c>
      <c r="J31" s="135" t="s">
        <v>203</v>
      </c>
      <c r="K31" s="135" t="s">
        <v>261</v>
      </c>
      <c r="L31" s="20" t="s">
        <v>182</v>
      </c>
      <c r="M31" s="20"/>
      <c r="N31" s="47" t="s">
        <v>410</v>
      </c>
      <c r="O31" s="20" t="s">
        <v>411</v>
      </c>
    </row>
    <row r="32" spans="2:15">
      <c r="B32" s="135" t="s">
        <v>48</v>
      </c>
      <c r="C32" s="150" t="s">
        <v>100</v>
      </c>
      <c r="D32" s="141">
        <v>14</v>
      </c>
      <c r="E32" s="145">
        <v>14</v>
      </c>
      <c r="F32" s="146">
        <v>0</v>
      </c>
      <c r="G32" s="145">
        <v>0</v>
      </c>
      <c r="H32" s="146">
        <v>0</v>
      </c>
      <c r="I32" s="42" t="s">
        <v>182</v>
      </c>
      <c r="J32" s="135" t="s">
        <v>203</v>
      </c>
      <c r="K32" s="135" t="s">
        <v>261</v>
      </c>
      <c r="L32" s="20" t="s">
        <v>182</v>
      </c>
      <c r="M32" s="20"/>
      <c r="N32" s="47" t="s">
        <v>410</v>
      </c>
      <c r="O32" s="20" t="s">
        <v>411</v>
      </c>
    </row>
    <row r="33" spans="2:15">
      <c r="B33" s="135" t="s">
        <v>48</v>
      </c>
      <c r="C33" s="150" t="s">
        <v>113</v>
      </c>
      <c r="D33" s="141">
        <v>10</v>
      </c>
      <c r="E33" s="145">
        <v>10</v>
      </c>
      <c r="F33" s="146">
        <v>0</v>
      </c>
      <c r="G33" s="145">
        <v>0</v>
      </c>
      <c r="H33" s="146">
        <v>0</v>
      </c>
      <c r="I33" s="42" t="s">
        <v>182</v>
      </c>
      <c r="J33" s="135" t="s">
        <v>203</v>
      </c>
      <c r="K33" s="135" t="s">
        <v>261</v>
      </c>
      <c r="L33" s="20" t="s">
        <v>182</v>
      </c>
      <c r="M33" s="20"/>
      <c r="N33" s="47" t="s">
        <v>410</v>
      </c>
      <c r="O33" s="20" t="s">
        <v>411</v>
      </c>
    </row>
    <row r="34" spans="2:15">
      <c r="B34" s="135" t="s">
        <v>48</v>
      </c>
      <c r="C34" s="150" t="s">
        <v>116</v>
      </c>
      <c r="D34" s="141">
        <v>8</v>
      </c>
      <c r="E34" s="145">
        <v>4</v>
      </c>
      <c r="F34" s="146">
        <v>2</v>
      </c>
      <c r="G34" s="145">
        <v>2</v>
      </c>
      <c r="H34" s="146">
        <v>0</v>
      </c>
      <c r="I34" s="42" t="s">
        <v>182</v>
      </c>
      <c r="J34" s="135" t="s">
        <v>203</v>
      </c>
      <c r="K34" s="135" t="s">
        <v>261</v>
      </c>
      <c r="L34" s="20" t="s">
        <v>182</v>
      </c>
      <c r="M34" s="20"/>
      <c r="N34" s="47" t="s">
        <v>410</v>
      </c>
      <c r="O34" s="20" t="s">
        <v>411</v>
      </c>
    </row>
    <row r="35" spans="2:15">
      <c r="B35" s="135" t="s">
        <v>48</v>
      </c>
      <c r="C35" s="150" t="s">
        <v>118</v>
      </c>
      <c r="D35" s="141">
        <v>5</v>
      </c>
      <c r="E35" s="145"/>
      <c r="F35" s="146"/>
      <c r="G35" s="145"/>
      <c r="H35" s="146"/>
      <c r="I35" s="42" t="s">
        <v>182</v>
      </c>
      <c r="J35" s="135" t="s">
        <v>203</v>
      </c>
      <c r="K35" s="135" t="s">
        <v>261</v>
      </c>
      <c r="L35" s="20" t="s">
        <v>182</v>
      </c>
      <c r="M35" s="20"/>
      <c r="N35" s="47" t="s">
        <v>410</v>
      </c>
      <c r="O35" s="20" t="s">
        <v>411</v>
      </c>
    </row>
    <row r="36" spans="2:15">
      <c r="B36" s="135" t="s">
        <v>48</v>
      </c>
      <c r="C36" s="150" t="s">
        <v>119</v>
      </c>
      <c r="D36" s="141">
        <v>5</v>
      </c>
      <c r="E36" s="145">
        <v>5</v>
      </c>
      <c r="F36" s="146">
        <v>0</v>
      </c>
      <c r="G36" s="145">
        <v>0</v>
      </c>
      <c r="H36" s="146"/>
      <c r="I36" s="42" t="s">
        <v>182</v>
      </c>
      <c r="J36" s="135" t="s">
        <v>203</v>
      </c>
      <c r="K36" s="135" t="s">
        <v>261</v>
      </c>
      <c r="L36" s="20" t="s">
        <v>182</v>
      </c>
      <c r="M36" s="20"/>
      <c r="N36" s="47" t="s">
        <v>410</v>
      </c>
      <c r="O36" s="20" t="s">
        <v>411</v>
      </c>
    </row>
    <row r="37" spans="2:15">
      <c r="B37" s="136" t="s">
        <v>48</v>
      </c>
      <c r="C37" s="150" t="s">
        <v>120</v>
      </c>
      <c r="D37" s="141">
        <v>2</v>
      </c>
      <c r="E37" s="145">
        <v>0</v>
      </c>
      <c r="F37" s="146">
        <v>2</v>
      </c>
      <c r="G37" s="145"/>
      <c r="H37" s="146"/>
      <c r="I37" s="42" t="s">
        <v>182</v>
      </c>
      <c r="J37" s="135" t="s">
        <v>203</v>
      </c>
      <c r="K37" s="135" t="s">
        <v>261</v>
      </c>
      <c r="L37" s="20" t="s">
        <v>182</v>
      </c>
      <c r="M37" s="20"/>
      <c r="N37" s="47" t="s">
        <v>410</v>
      </c>
      <c r="O37" s="20" t="s">
        <v>411</v>
      </c>
    </row>
    <row r="38" spans="2:15">
      <c r="B38" s="135" t="s">
        <v>318</v>
      </c>
      <c r="C38" s="150" t="s">
        <v>319</v>
      </c>
      <c r="D38" s="141">
        <v>2</v>
      </c>
      <c r="E38" s="145">
        <v>0</v>
      </c>
      <c r="F38" s="146">
        <v>2</v>
      </c>
      <c r="G38" s="145"/>
      <c r="H38" s="146"/>
      <c r="I38" s="42" t="s">
        <v>182</v>
      </c>
      <c r="J38" s="135" t="s">
        <v>203</v>
      </c>
      <c r="K38" s="135" t="s">
        <v>261</v>
      </c>
      <c r="L38" s="20" t="s">
        <v>182</v>
      </c>
      <c r="M38" s="20"/>
      <c r="N38" s="47" t="s">
        <v>410</v>
      </c>
      <c r="O38" s="20" t="s">
        <v>412</v>
      </c>
    </row>
    <row r="39" spans="2:15">
      <c r="B39" s="135" t="s">
        <v>318</v>
      </c>
      <c r="C39" s="150" t="s">
        <v>322</v>
      </c>
      <c r="D39" s="142">
        <v>2</v>
      </c>
      <c r="E39" s="145">
        <v>0</v>
      </c>
      <c r="F39" s="146">
        <v>2</v>
      </c>
      <c r="G39" s="145"/>
      <c r="H39" s="146"/>
      <c r="I39" s="42" t="s">
        <v>182</v>
      </c>
      <c r="J39" s="135" t="s">
        <v>203</v>
      </c>
      <c r="K39" s="135" t="s">
        <v>261</v>
      </c>
      <c r="L39" s="20" t="s">
        <v>182</v>
      </c>
      <c r="M39" s="20"/>
      <c r="N39" s="47" t="s">
        <v>410</v>
      </c>
      <c r="O39" s="20" t="s">
        <v>413</v>
      </c>
    </row>
    <row r="40" spans="2:15" ht="14.25" thickBot="1">
      <c r="B40" s="135" t="s">
        <v>318</v>
      </c>
      <c r="C40" s="150" t="s">
        <v>325</v>
      </c>
      <c r="D40" s="142">
        <v>2</v>
      </c>
      <c r="E40" s="147">
        <v>0</v>
      </c>
      <c r="F40" s="148">
        <v>2</v>
      </c>
      <c r="G40" s="147"/>
      <c r="H40" s="148"/>
      <c r="I40" s="42" t="s">
        <v>182</v>
      </c>
      <c r="J40" s="135" t="s">
        <v>203</v>
      </c>
      <c r="K40" s="135" t="s">
        <v>261</v>
      </c>
      <c r="L40" s="20" t="s">
        <v>182</v>
      </c>
      <c r="M40" s="20"/>
      <c r="N40" s="47" t="s">
        <v>410</v>
      </c>
      <c r="O40" s="20" t="s">
        <v>414</v>
      </c>
    </row>
    <row r="41" spans="2:15">
      <c r="D41" s="16">
        <f>SUM(D4:D40)</f>
        <v>2657</v>
      </c>
      <c r="E41" s="16">
        <f>SUM(E4:E40)</f>
        <v>1743</v>
      </c>
      <c r="F41" s="16">
        <f t="shared" ref="F41:H41" si="0">SUM(F4:F40)</f>
        <v>11</v>
      </c>
      <c r="G41" s="16">
        <f t="shared" si="0"/>
        <v>176</v>
      </c>
      <c r="H41" s="16">
        <f t="shared" si="0"/>
        <v>90</v>
      </c>
      <c r="K41" s="135"/>
    </row>
    <row r="43" spans="2:15">
      <c r="D43" s="138">
        <f>E41/D41</f>
        <v>0.65600301091456525</v>
      </c>
    </row>
    <row r="45" spans="2:15">
      <c r="D45" s="138"/>
    </row>
  </sheetData>
  <autoFilter ref="B3:O41" xr:uid="{EC07916E-F974-4A43-9586-98AE04B445D7}"/>
  <mergeCells count="2">
    <mergeCell ref="G2:H2"/>
    <mergeCell ref="E2:F2"/>
  </mergeCells>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C2D95-C4BC-4343-BCCD-831450AE6283}">
  <dimension ref="B3:P19"/>
  <sheetViews>
    <sheetView workbookViewId="0">
      <selection activeCell="F10" sqref="F10"/>
    </sheetView>
  </sheetViews>
  <sheetFormatPr defaultRowHeight="15"/>
  <cols>
    <col min="8" max="8" width="10.140625" customWidth="1"/>
    <col min="14" max="14" width="21" customWidth="1"/>
    <col min="16" max="16" width="16.5703125" bestFit="1" customWidth="1"/>
  </cols>
  <sheetData>
    <row r="3" spans="2:16" ht="15.75" thickBot="1">
      <c r="B3" s="2" t="s">
        <v>415</v>
      </c>
      <c r="H3" s="12"/>
    </row>
    <row r="4" spans="2:16" ht="95.25" thickBot="1">
      <c r="B4" s="55" t="s">
        <v>416</v>
      </c>
      <c r="C4" s="55" t="s">
        <v>417</v>
      </c>
      <c r="D4" s="55" t="s">
        <v>418</v>
      </c>
      <c r="E4" s="55" t="s">
        <v>419</v>
      </c>
      <c r="F4" s="55" t="s">
        <v>420</v>
      </c>
      <c r="G4" s="55" t="s">
        <v>421</v>
      </c>
      <c r="H4" s="55" t="s">
        <v>422</v>
      </c>
      <c r="I4" s="55" t="s">
        <v>423</v>
      </c>
      <c r="J4" s="4" t="s">
        <v>424</v>
      </c>
      <c r="K4" s="55" t="s">
        <v>425</v>
      </c>
      <c r="L4" s="55" t="s">
        <v>426</v>
      </c>
      <c r="M4" s="55" t="s">
        <v>427</v>
      </c>
      <c r="N4" s="55" t="s">
        <v>428</v>
      </c>
    </row>
    <row r="5" spans="2:16" ht="60">
      <c r="B5" s="11" t="s">
        <v>429</v>
      </c>
      <c r="C5" s="11" t="s">
        <v>429</v>
      </c>
      <c r="D5" s="11">
        <v>10</v>
      </c>
      <c r="E5" s="11" t="s">
        <v>430</v>
      </c>
      <c r="F5" s="11" t="s">
        <v>431</v>
      </c>
      <c r="G5" s="11" t="s">
        <v>432</v>
      </c>
      <c r="H5" s="56" t="s">
        <v>433</v>
      </c>
      <c r="I5" s="56" t="s">
        <v>434</v>
      </c>
      <c r="J5" s="56"/>
      <c r="K5" s="5"/>
      <c r="L5" s="5"/>
      <c r="M5" s="5"/>
      <c r="N5" s="5"/>
    </row>
    <row r="6" spans="2:16" ht="45">
      <c r="B6" s="11" t="s">
        <v>435</v>
      </c>
      <c r="C6" s="11" t="s">
        <v>435</v>
      </c>
      <c r="D6" s="11">
        <v>10</v>
      </c>
      <c r="E6" s="11" t="s">
        <v>436</v>
      </c>
      <c r="F6" s="11" t="s">
        <v>431</v>
      </c>
      <c r="G6" s="11" t="s">
        <v>437</v>
      </c>
      <c r="H6" s="11" t="s">
        <v>49</v>
      </c>
      <c r="I6" s="11" t="s">
        <v>49</v>
      </c>
      <c r="J6" s="11"/>
      <c r="K6" s="5"/>
      <c r="L6" s="5"/>
      <c r="M6" s="5"/>
      <c r="N6" s="5"/>
    </row>
    <row r="8" spans="2:16">
      <c r="P8" s="23"/>
    </row>
    <row r="9" spans="2:16">
      <c r="P9" s="10"/>
    </row>
    <row r="10" spans="2:16">
      <c r="P10" s="10"/>
    </row>
    <row r="11" spans="2:16">
      <c r="P11" s="10"/>
    </row>
    <row r="12" spans="2:16">
      <c r="P12" s="10"/>
    </row>
    <row r="13" spans="2:16">
      <c r="P13" s="10"/>
    </row>
    <row r="14" spans="2:16">
      <c r="P14" s="10"/>
    </row>
    <row r="15" spans="2:16">
      <c r="P15" s="10"/>
    </row>
    <row r="16" spans="2:16">
      <c r="P16" s="10"/>
    </row>
    <row r="17" spans="16:16">
      <c r="P17" s="10"/>
    </row>
    <row r="18" spans="16:16">
      <c r="P18" s="10"/>
    </row>
    <row r="19" spans="16:16">
      <c r="P19" s="10"/>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8E79E-D2CA-473D-B3A4-453A3D30954E}">
  <dimension ref="C3:K23"/>
  <sheetViews>
    <sheetView topLeftCell="A21" workbookViewId="0">
      <selection activeCell="J22" sqref="J22"/>
    </sheetView>
  </sheetViews>
  <sheetFormatPr defaultRowHeight="15"/>
  <sheetData>
    <row r="3" spans="3:11" ht="60">
      <c r="C3" s="13" t="s">
        <v>438</v>
      </c>
      <c r="D3" s="13" t="s">
        <v>439</v>
      </c>
      <c r="E3" s="13" t="s">
        <v>440</v>
      </c>
      <c r="F3" s="13" t="s">
        <v>168</v>
      </c>
      <c r="G3" s="13" t="s">
        <v>441</v>
      </c>
      <c r="H3" s="13" t="s">
        <v>167</v>
      </c>
      <c r="I3" s="13" t="s">
        <v>442</v>
      </c>
      <c r="J3" s="13" t="s">
        <v>6</v>
      </c>
      <c r="K3" s="13" t="s">
        <v>443</v>
      </c>
    </row>
    <row r="4" spans="3:11" ht="90">
      <c r="C4" s="538">
        <v>1</v>
      </c>
      <c r="D4" s="538" t="s">
        <v>444</v>
      </c>
      <c r="E4" s="538" t="s">
        <v>445</v>
      </c>
      <c r="F4" s="538" t="s">
        <v>446</v>
      </c>
      <c r="G4" s="538" t="s">
        <v>25</v>
      </c>
      <c r="H4" s="538" t="s">
        <v>447</v>
      </c>
      <c r="I4" s="538" t="s">
        <v>186</v>
      </c>
      <c r="J4" s="10" t="s">
        <v>448</v>
      </c>
      <c r="K4" s="538" t="s">
        <v>449</v>
      </c>
    </row>
    <row r="5" spans="3:11" ht="60">
      <c r="C5" s="538"/>
      <c r="D5" s="538"/>
      <c r="E5" s="538"/>
      <c r="F5" s="538"/>
      <c r="G5" s="538"/>
      <c r="H5" s="538"/>
      <c r="I5" s="538"/>
      <c r="J5" s="10" t="s">
        <v>450</v>
      </c>
      <c r="K5" s="538"/>
    </row>
    <row r="6" spans="3:11" ht="90">
      <c r="C6" s="538">
        <v>2</v>
      </c>
      <c r="D6" s="538" t="s">
        <v>451</v>
      </c>
      <c r="E6" s="538" t="s">
        <v>452</v>
      </c>
      <c r="F6" s="538" t="s">
        <v>453</v>
      </c>
      <c r="G6" s="538" t="s">
        <v>25</v>
      </c>
      <c r="H6" s="538" t="s">
        <v>454</v>
      </c>
      <c r="I6" s="538" t="s">
        <v>455</v>
      </c>
      <c r="J6" s="10" t="s">
        <v>456</v>
      </c>
      <c r="K6" s="538" t="s">
        <v>457</v>
      </c>
    </row>
    <row r="7" spans="3:11" ht="60">
      <c r="C7" s="538"/>
      <c r="D7" s="538"/>
      <c r="E7" s="538"/>
      <c r="F7" s="538"/>
      <c r="G7" s="538"/>
      <c r="H7" s="538"/>
      <c r="I7" s="538"/>
      <c r="J7" s="10" t="s">
        <v>458</v>
      </c>
      <c r="K7" s="538"/>
    </row>
    <row r="8" spans="3:11" ht="60">
      <c r="C8" s="10">
        <v>2</v>
      </c>
      <c r="D8" s="10" t="s">
        <v>459</v>
      </c>
      <c r="E8" s="10" t="s">
        <v>460</v>
      </c>
      <c r="F8" s="10" t="s">
        <v>461</v>
      </c>
      <c r="G8" s="10" t="s">
        <v>25</v>
      </c>
      <c r="H8" s="10" t="s">
        <v>462</v>
      </c>
      <c r="I8" s="10" t="s">
        <v>463</v>
      </c>
      <c r="J8" s="10" t="s">
        <v>464</v>
      </c>
      <c r="K8" s="10" t="s">
        <v>48</v>
      </c>
    </row>
    <row r="9" spans="3:11" ht="90">
      <c r="C9" s="538">
        <v>3</v>
      </c>
      <c r="D9" s="538" t="s">
        <v>465</v>
      </c>
      <c r="E9" s="10" t="s">
        <v>466</v>
      </c>
      <c r="F9" s="10" t="s">
        <v>467</v>
      </c>
      <c r="G9" s="10" t="s">
        <v>25</v>
      </c>
      <c r="H9" s="10" t="s">
        <v>468</v>
      </c>
      <c r="I9" s="10" t="s">
        <v>280</v>
      </c>
      <c r="J9" s="539" t="s">
        <v>41</v>
      </c>
      <c r="K9" s="538" t="s">
        <v>469</v>
      </c>
    </row>
    <row r="10" spans="3:11" ht="60">
      <c r="C10" s="538"/>
      <c r="D10" s="538"/>
      <c r="E10" s="10" t="s">
        <v>470</v>
      </c>
      <c r="F10" s="10"/>
      <c r="G10" s="10" t="s">
        <v>25</v>
      </c>
      <c r="H10" s="10" t="s">
        <v>471</v>
      </c>
      <c r="I10" s="10" t="s">
        <v>238</v>
      </c>
      <c r="J10" s="539"/>
      <c r="K10" s="538"/>
    </row>
    <row r="11" spans="3:11" ht="165">
      <c r="C11" s="538"/>
      <c r="D11" s="538"/>
      <c r="E11" s="10" t="s">
        <v>472</v>
      </c>
      <c r="F11" s="10" t="s">
        <v>453</v>
      </c>
      <c r="G11" s="10" t="s">
        <v>25</v>
      </c>
      <c r="H11" s="10" t="s">
        <v>473</v>
      </c>
      <c r="I11" s="10" t="s">
        <v>280</v>
      </c>
      <c r="J11" s="539"/>
      <c r="K11" s="538"/>
    </row>
    <row r="12" spans="3:11" ht="45">
      <c r="C12" s="538">
        <v>4</v>
      </c>
      <c r="D12" s="538" t="s">
        <v>474</v>
      </c>
      <c r="E12" s="538" t="s">
        <v>475</v>
      </c>
      <c r="F12" s="538" t="s">
        <v>32</v>
      </c>
      <c r="G12" s="538" t="s">
        <v>25</v>
      </c>
      <c r="H12" s="538"/>
      <c r="I12" s="538" t="s">
        <v>220</v>
      </c>
      <c r="J12" s="15" t="s">
        <v>476</v>
      </c>
      <c r="K12" s="538" t="s">
        <v>477</v>
      </c>
    </row>
    <row r="13" spans="3:11" ht="60">
      <c r="C13" s="538"/>
      <c r="D13" s="538"/>
      <c r="E13" s="538"/>
      <c r="F13" s="538"/>
      <c r="G13" s="538"/>
      <c r="H13" s="538"/>
      <c r="I13" s="538"/>
      <c r="J13" s="15" t="s">
        <v>478</v>
      </c>
      <c r="K13" s="538"/>
    </row>
    <row r="14" spans="3:11" ht="87" customHeight="1">
      <c r="C14" s="538">
        <v>4</v>
      </c>
      <c r="D14" s="538" t="s">
        <v>117</v>
      </c>
      <c r="E14" s="538" t="s">
        <v>479</v>
      </c>
      <c r="F14" s="538" t="s">
        <v>480</v>
      </c>
      <c r="G14" s="538" t="s">
        <v>25</v>
      </c>
      <c r="H14" s="10" t="s">
        <v>481</v>
      </c>
      <c r="I14" s="538" t="s">
        <v>482</v>
      </c>
      <c r="J14" s="539" t="s">
        <v>483</v>
      </c>
      <c r="K14" s="538" t="s">
        <v>48</v>
      </c>
    </row>
    <row r="15" spans="3:11" ht="30">
      <c r="C15" s="538"/>
      <c r="D15" s="538"/>
      <c r="E15" s="538"/>
      <c r="F15" s="538"/>
      <c r="G15" s="538"/>
      <c r="H15" s="10" t="s">
        <v>484</v>
      </c>
      <c r="I15" s="538"/>
      <c r="J15" s="539"/>
      <c r="K15" s="538"/>
    </row>
    <row r="16" spans="3:11" ht="60">
      <c r="C16" s="538">
        <v>5</v>
      </c>
      <c r="D16" s="538" t="s">
        <v>485</v>
      </c>
      <c r="E16" s="538" t="s">
        <v>486</v>
      </c>
      <c r="F16" s="538" t="s">
        <v>487</v>
      </c>
      <c r="G16" s="538" t="s">
        <v>25</v>
      </c>
      <c r="H16" s="538" t="s">
        <v>488</v>
      </c>
      <c r="I16" s="538" t="s">
        <v>463</v>
      </c>
      <c r="J16" s="15" t="s">
        <v>489</v>
      </c>
      <c r="K16" s="538"/>
    </row>
    <row r="17" spans="3:11" ht="75">
      <c r="C17" s="538"/>
      <c r="D17" s="538"/>
      <c r="E17" s="538"/>
      <c r="F17" s="538"/>
      <c r="G17" s="538"/>
      <c r="H17" s="538"/>
      <c r="I17" s="538"/>
      <c r="J17" s="15" t="s">
        <v>490</v>
      </c>
      <c r="K17" s="538"/>
    </row>
    <row r="18" spans="3:11" ht="90">
      <c r="C18" s="538">
        <v>6</v>
      </c>
      <c r="D18" s="538" t="s">
        <v>491</v>
      </c>
      <c r="E18" s="538" t="s">
        <v>492</v>
      </c>
      <c r="F18" s="538" t="s">
        <v>493</v>
      </c>
      <c r="G18" s="538" t="s">
        <v>25</v>
      </c>
      <c r="H18" s="538" t="s">
        <v>32</v>
      </c>
      <c r="I18" s="538" t="s">
        <v>494</v>
      </c>
      <c r="J18" s="15" t="s">
        <v>495</v>
      </c>
      <c r="K18" s="538"/>
    </row>
    <row r="19" spans="3:11" ht="90">
      <c r="C19" s="538"/>
      <c r="D19" s="538"/>
      <c r="E19" s="538"/>
      <c r="F19" s="538"/>
      <c r="G19" s="538"/>
      <c r="H19" s="538"/>
      <c r="I19" s="538"/>
      <c r="J19" s="15" t="s">
        <v>496</v>
      </c>
      <c r="K19" s="538"/>
    </row>
    <row r="20" spans="3:11" ht="72.599999999999994" customHeight="1">
      <c r="C20" s="538">
        <v>7</v>
      </c>
      <c r="D20" s="538" t="s">
        <v>497</v>
      </c>
      <c r="E20" s="538" t="s">
        <v>498</v>
      </c>
      <c r="F20" s="538" t="s">
        <v>499</v>
      </c>
      <c r="G20" s="538" t="s">
        <v>25</v>
      </c>
      <c r="H20" s="538"/>
      <c r="I20" s="538" t="s">
        <v>500</v>
      </c>
      <c r="J20" s="15" t="s">
        <v>501</v>
      </c>
      <c r="K20" s="538" t="s">
        <v>502</v>
      </c>
    </row>
    <row r="21" spans="3:11" ht="45">
      <c r="C21" s="538"/>
      <c r="D21" s="538"/>
      <c r="E21" s="538"/>
      <c r="F21" s="538"/>
      <c r="G21" s="538"/>
      <c r="H21" s="538"/>
      <c r="I21" s="538"/>
      <c r="J21" s="15" t="s">
        <v>503</v>
      </c>
      <c r="K21" s="538"/>
    </row>
    <row r="22" spans="3:11" ht="135">
      <c r="C22" s="10">
        <v>8</v>
      </c>
      <c r="D22" s="10" t="s">
        <v>43</v>
      </c>
      <c r="E22" s="10" t="s">
        <v>504</v>
      </c>
      <c r="F22" s="10" t="s">
        <v>505</v>
      </c>
      <c r="G22" s="10" t="s">
        <v>25</v>
      </c>
      <c r="H22" s="10" t="s">
        <v>506</v>
      </c>
      <c r="I22" s="10"/>
      <c r="J22" s="14" t="s">
        <v>507</v>
      </c>
      <c r="K22" s="10"/>
    </row>
    <row r="23" spans="3:11" ht="75">
      <c r="C23" s="10">
        <v>9</v>
      </c>
      <c r="D23" s="10" t="s">
        <v>508</v>
      </c>
      <c r="E23" s="10" t="s">
        <v>509</v>
      </c>
      <c r="F23" s="10" t="s">
        <v>510</v>
      </c>
      <c r="G23" s="10" t="s">
        <v>511</v>
      </c>
      <c r="H23" s="10" t="s">
        <v>510</v>
      </c>
      <c r="I23" s="10" t="s">
        <v>511</v>
      </c>
      <c r="J23" s="15" t="s">
        <v>512</v>
      </c>
      <c r="K23" s="10"/>
    </row>
  </sheetData>
  <mergeCells count="60">
    <mergeCell ref="I20:I21"/>
    <mergeCell ref="K20:K21"/>
    <mergeCell ref="C20:C21"/>
    <mergeCell ref="D20:D21"/>
    <mergeCell ref="E20:E21"/>
    <mergeCell ref="F20:F21"/>
    <mergeCell ref="G20:G21"/>
    <mergeCell ref="H20:H21"/>
    <mergeCell ref="H18:H19"/>
    <mergeCell ref="I18:I19"/>
    <mergeCell ref="K18:K19"/>
    <mergeCell ref="C16:C17"/>
    <mergeCell ref="D16:D17"/>
    <mergeCell ref="E16:E17"/>
    <mergeCell ref="F16:F17"/>
    <mergeCell ref="G16:G17"/>
    <mergeCell ref="H16:H17"/>
    <mergeCell ref="C18:C19"/>
    <mergeCell ref="D18:D19"/>
    <mergeCell ref="E18:E19"/>
    <mergeCell ref="F18:F19"/>
    <mergeCell ref="G18:G19"/>
    <mergeCell ref="I14:I15"/>
    <mergeCell ref="J14:J15"/>
    <mergeCell ref="K14:K15"/>
    <mergeCell ref="I16:I17"/>
    <mergeCell ref="K16:K17"/>
    <mergeCell ref="C14:C15"/>
    <mergeCell ref="D14:D15"/>
    <mergeCell ref="E14:E15"/>
    <mergeCell ref="F14:F15"/>
    <mergeCell ref="G14:G15"/>
    <mergeCell ref="C9:C11"/>
    <mergeCell ref="D9:D11"/>
    <mergeCell ref="J9:J11"/>
    <mergeCell ref="K9:K11"/>
    <mergeCell ref="C12:C13"/>
    <mergeCell ref="D12:D13"/>
    <mergeCell ref="E12:E13"/>
    <mergeCell ref="F12:F13"/>
    <mergeCell ref="G12:G13"/>
    <mergeCell ref="H12:H13"/>
    <mergeCell ref="I12:I13"/>
    <mergeCell ref="K12:K13"/>
    <mergeCell ref="I4:I5"/>
    <mergeCell ref="K4:K5"/>
    <mergeCell ref="C6:C7"/>
    <mergeCell ref="D6:D7"/>
    <mergeCell ref="E6:E7"/>
    <mergeCell ref="F6:F7"/>
    <mergeCell ref="G6:G7"/>
    <mergeCell ref="H6:H7"/>
    <mergeCell ref="I6:I7"/>
    <mergeCell ref="K6:K7"/>
    <mergeCell ref="C4:C5"/>
    <mergeCell ref="D4:D5"/>
    <mergeCell ref="E4:E5"/>
    <mergeCell ref="F4:F5"/>
    <mergeCell ref="G4:G5"/>
    <mergeCell ref="H4:H5"/>
  </mergeCells>
  <hyperlinks>
    <hyperlink ref="J9" r:id="rId1" xr:uid="{8A5AED9E-6C56-4F83-9B89-CC01815F332B}"/>
    <hyperlink ref="J12" r:id="rId2" tooltip="mailto:majmal@tsys.com" display="mailto:majmal@tsys.com" xr:uid="{4068D895-5C85-4AB0-96A3-D88B6C723A6C}"/>
    <hyperlink ref="J13" r:id="rId3" tooltip="mailto:majmal@tsys.com" display="mailto:majmal@tsys.com" xr:uid="{BD4E0D4E-7784-4DC8-ACDD-E357F26EE932}"/>
    <hyperlink ref="J14" r:id="rId4" tooltip="mailto:sree.sasikumaran@rakbank.ae" display="mailto:Sree.Sasikumaran@rakbank.ae" xr:uid="{C71AD411-9873-4966-BE2B-3E2509E18772}"/>
    <hyperlink ref="J16" r:id="rId5" tooltip="mailto:thushara-%20email:%20thushara@chinasystems-me.com" display="mailto:Thushara-%20email:%20Thushara@chinasystems-me.com" xr:uid="{471BD662-0842-42A5-8713-C6EFD8DF66B1}"/>
    <hyperlink ref="J17" r:id="rId6" tooltip="mailto:thushara-%20email:%20thushara@chinasystems-me.com" display="mailto:Thushara-%20email:%20Thushara@chinasystems-me.com" xr:uid="{92D8FF99-DEE1-4780-ACF0-8F0BC1871D06}"/>
    <hyperlink ref="J18" r:id="rId7" tooltip="mailto:rahul.mehta@isgdigitalfirst.com" display="mailto:rahul.mehta@isgdigitalfirst.com" xr:uid="{F0B8EFEC-5267-4432-A393-54A22AE909AD}"/>
    <hyperlink ref="J19" r:id="rId8" tooltip="mailto:rahul.mehta@isgdigitalfirst.com" display="mailto:rahul.mehta@isgdigitalfirst.com" xr:uid="{8F93B6F6-BB10-47F8-B49A-25980DB36C86}"/>
    <hyperlink ref="J20" r:id="rId9" tooltip="mailto:kamakuraaspacteam@sas.com" display="mailto:KamakuraAspacTeam@sas.com" xr:uid="{510A0115-F4E0-469D-BDD7-C9B53420362A}"/>
    <hyperlink ref="J21" r:id="rId10" tooltip="mailto:kamakuraaspacteam@sas.com" display="mailto:KamakuraAspacTeam@sas.com" xr:uid="{F11CD99B-9277-496C-B958-11BA6BD920C7}"/>
    <hyperlink ref="J23" r:id="rId11" tooltip="mailto:balpreet.rihal@kiplot.com" display="mailto:balpreet.rihal@kiplot.com" xr:uid="{ED853ED5-9B98-4211-AAF7-46ED219EA1E5}"/>
  </hyperlinks>
  <pageMargins left="0.7" right="0.7" top="0.75" bottom="0.75" header="0.3" footer="0.3"/>
  <pageSetup orientation="portrait" r:id="rId12"/>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20694-C9B3-4324-810E-38308A4EB50D}">
  <dimension ref="A2:M20"/>
  <sheetViews>
    <sheetView workbookViewId="0">
      <pane ySplit="2" topLeftCell="A3" activePane="bottomLeft" state="frozen"/>
      <selection pane="bottomLeft" activeCell="D3" sqref="D3:D20"/>
    </sheetView>
  </sheetViews>
  <sheetFormatPr defaultRowHeight="15"/>
  <cols>
    <col min="1" max="1" width="13.42578125" bestFit="1" customWidth="1"/>
    <col min="2" max="2" width="27.5703125" bestFit="1" customWidth="1"/>
    <col min="3" max="3" width="26.42578125" customWidth="1"/>
    <col min="5" max="5" width="18.85546875" bestFit="1" customWidth="1"/>
    <col min="6" max="6" width="57.5703125" customWidth="1"/>
    <col min="7" max="7" width="52.5703125" bestFit="1" customWidth="1"/>
    <col min="8" max="8" width="31.85546875" customWidth="1"/>
    <col min="9" max="9" width="22.5703125" customWidth="1"/>
    <col min="10" max="13" width="15.5703125" customWidth="1"/>
  </cols>
  <sheetData>
    <row r="2" spans="1:13" ht="40.5">
      <c r="A2" s="32" t="s">
        <v>5</v>
      </c>
      <c r="B2" s="32" t="s">
        <v>366</v>
      </c>
      <c r="C2" s="116" t="s">
        <v>157</v>
      </c>
      <c r="D2" s="156" t="s">
        <v>367</v>
      </c>
      <c r="E2" s="32" t="s">
        <v>372</v>
      </c>
      <c r="F2" s="32" t="s">
        <v>513</v>
      </c>
      <c r="G2" s="32" t="s">
        <v>514</v>
      </c>
      <c r="H2" s="32" t="s">
        <v>515</v>
      </c>
      <c r="I2" s="32" t="s">
        <v>516</v>
      </c>
      <c r="J2" s="32" t="s">
        <v>517</v>
      </c>
      <c r="K2" s="32" t="s">
        <v>518</v>
      </c>
      <c r="L2" s="32" t="s">
        <v>519</v>
      </c>
      <c r="M2" s="32" t="s">
        <v>520</v>
      </c>
    </row>
    <row r="3" spans="1:13" ht="120.6" customHeight="1">
      <c r="A3" s="135" t="s">
        <v>20</v>
      </c>
      <c r="B3" s="135" t="s">
        <v>17</v>
      </c>
      <c r="C3" s="154" t="s">
        <v>521</v>
      </c>
      <c r="D3" s="135">
        <v>1202</v>
      </c>
      <c r="E3" s="135" t="s">
        <v>522</v>
      </c>
      <c r="F3" s="76" t="s">
        <v>523</v>
      </c>
      <c r="G3" s="165" t="s">
        <v>524</v>
      </c>
      <c r="H3" s="76" t="s">
        <v>525</v>
      </c>
      <c r="I3" s="76" t="s">
        <v>526</v>
      </c>
      <c r="J3" s="5"/>
      <c r="K3" s="5"/>
      <c r="L3" s="5"/>
      <c r="M3" s="5"/>
    </row>
    <row r="4" spans="1:13">
      <c r="A4" s="135" t="s">
        <v>20</v>
      </c>
      <c r="B4" s="135" t="s">
        <v>36</v>
      </c>
      <c r="C4" s="155" t="s">
        <v>527</v>
      </c>
      <c r="D4" s="135">
        <v>159</v>
      </c>
      <c r="E4" s="135" t="s">
        <v>522</v>
      </c>
      <c r="F4" s="152" t="s">
        <v>528</v>
      </c>
      <c r="G4" s="161" t="s">
        <v>528</v>
      </c>
      <c r="H4" s="161" t="s">
        <v>528</v>
      </c>
      <c r="I4" s="5"/>
      <c r="J4" s="5"/>
      <c r="K4" s="5"/>
      <c r="L4" s="5"/>
      <c r="M4" s="5"/>
    </row>
    <row r="5" spans="1:13" ht="30">
      <c r="A5" s="135" t="s">
        <v>20</v>
      </c>
      <c r="B5" s="135" t="s">
        <v>57</v>
      </c>
      <c r="C5" s="155" t="s">
        <v>529</v>
      </c>
      <c r="D5" s="135">
        <v>48</v>
      </c>
      <c r="E5" s="135" t="s">
        <v>522</v>
      </c>
      <c r="F5" s="76" t="s">
        <v>530</v>
      </c>
      <c r="G5" s="87" t="s">
        <v>531</v>
      </c>
      <c r="H5" s="5"/>
      <c r="I5" s="5"/>
      <c r="J5" s="5"/>
      <c r="K5" s="5"/>
      <c r="L5" s="5"/>
      <c r="M5" s="5"/>
    </row>
    <row r="6" spans="1:13">
      <c r="A6" s="135" t="s">
        <v>20</v>
      </c>
      <c r="B6" s="135" t="s">
        <v>90</v>
      </c>
      <c r="C6" s="155" t="s">
        <v>532</v>
      </c>
      <c r="D6" s="135">
        <v>8</v>
      </c>
      <c r="E6" s="135" t="s">
        <v>181</v>
      </c>
      <c r="F6" s="5"/>
      <c r="G6" s="5"/>
      <c r="H6" s="5"/>
      <c r="I6" s="5"/>
      <c r="J6" s="5"/>
      <c r="K6" s="5"/>
      <c r="L6" s="5"/>
      <c r="M6" s="5"/>
    </row>
    <row r="7" spans="1:13" ht="72.75" customHeight="1">
      <c r="A7" s="135" t="s">
        <v>27</v>
      </c>
      <c r="B7" s="135" t="s">
        <v>26</v>
      </c>
      <c r="C7" s="155" t="s">
        <v>529</v>
      </c>
      <c r="D7" s="135">
        <v>305</v>
      </c>
      <c r="E7" s="135" t="s">
        <v>522</v>
      </c>
      <c r="F7" s="76" t="s">
        <v>533</v>
      </c>
      <c r="G7" s="76" t="s">
        <v>534</v>
      </c>
      <c r="H7" s="76" t="s">
        <v>535</v>
      </c>
      <c r="I7" s="5"/>
      <c r="J7" s="5"/>
      <c r="K7" s="5"/>
      <c r="L7" s="5"/>
      <c r="M7" s="5"/>
    </row>
    <row r="8" spans="1:13" ht="60">
      <c r="A8" s="135" t="s">
        <v>224</v>
      </c>
      <c r="B8" s="135" t="s">
        <v>39</v>
      </c>
      <c r="C8" s="155" t="s">
        <v>536</v>
      </c>
      <c r="D8" s="135">
        <v>190</v>
      </c>
      <c r="E8" s="135" t="s">
        <v>537</v>
      </c>
      <c r="F8" s="76" t="s">
        <v>538</v>
      </c>
      <c r="G8" s="76" t="s">
        <v>539</v>
      </c>
      <c r="H8" s="76" t="s">
        <v>538</v>
      </c>
      <c r="I8" s="5"/>
      <c r="J8" s="5"/>
      <c r="K8" s="5"/>
      <c r="L8" s="5"/>
      <c r="M8" s="5"/>
    </row>
    <row r="9" spans="1:13">
      <c r="A9" s="153" t="s">
        <v>224</v>
      </c>
      <c r="B9" s="135" t="s">
        <v>540</v>
      </c>
      <c r="C9" s="155" t="s">
        <v>541</v>
      </c>
      <c r="D9" s="135">
        <v>24</v>
      </c>
      <c r="E9" s="135" t="s">
        <v>181</v>
      </c>
      <c r="F9" s="5"/>
      <c r="G9" s="5"/>
      <c r="H9" s="5"/>
      <c r="I9" s="5"/>
      <c r="J9" s="5"/>
      <c r="K9" s="5"/>
      <c r="L9" s="5"/>
      <c r="M9" s="5"/>
    </row>
    <row r="10" spans="1:13" ht="30">
      <c r="A10" s="135" t="s">
        <v>44</v>
      </c>
      <c r="B10" s="135" t="s">
        <v>43</v>
      </c>
      <c r="C10" s="171" t="s">
        <v>542</v>
      </c>
      <c r="D10" s="135">
        <v>74</v>
      </c>
      <c r="E10" s="135" t="s">
        <v>181</v>
      </c>
      <c r="F10" s="5"/>
      <c r="G10" s="5"/>
      <c r="H10" s="76" t="s">
        <v>543</v>
      </c>
      <c r="I10" s="76" t="s">
        <v>543</v>
      </c>
      <c r="J10" s="5"/>
      <c r="K10" s="5"/>
      <c r="L10" s="5"/>
      <c r="M10" s="5"/>
    </row>
    <row r="11" spans="1:13" ht="45">
      <c r="A11" s="135" t="s">
        <v>247</v>
      </c>
      <c r="B11" s="135" t="s">
        <v>51</v>
      </c>
      <c r="C11" s="155" t="s">
        <v>544</v>
      </c>
      <c r="D11" s="135">
        <v>64</v>
      </c>
      <c r="E11" s="135" t="s">
        <v>181</v>
      </c>
      <c r="F11" s="5"/>
      <c r="G11" s="5"/>
      <c r="H11" s="76" t="s">
        <v>545</v>
      </c>
      <c r="I11" s="5"/>
      <c r="J11" s="5"/>
      <c r="K11" s="5"/>
      <c r="L11" s="5"/>
      <c r="M11" s="5"/>
    </row>
    <row r="12" spans="1:13" ht="213" customHeight="1">
      <c r="A12" s="135" t="s">
        <v>247</v>
      </c>
      <c r="B12" s="135" t="s">
        <v>112</v>
      </c>
      <c r="C12" s="155" t="s">
        <v>529</v>
      </c>
      <c r="D12" s="135">
        <v>24</v>
      </c>
      <c r="E12" s="135" t="s">
        <v>181</v>
      </c>
      <c r="F12" s="205" t="s">
        <v>546</v>
      </c>
      <c r="G12" s="195"/>
      <c r="H12" s="195" t="s">
        <v>547</v>
      </c>
      <c r="I12" s="5"/>
      <c r="J12" s="5"/>
      <c r="K12" s="5"/>
      <c r="L12" s="5"/>
      <c r="M12" s="5"/>
    </row>
    <row r="13" spans="1:13" ht="135">
      <c r="A13" s="135" t="s">
        <v>63</v>
      </c>
      <c r="B13" s="153" t="s">
        <v>393</v>
      </c>
      <c r="C13" s="154" t="s">
        <v>548</v>
      </c>
      <c r="D13" s="135">
        <v>41</v>
      </c>
      <c r="E13" s="135" t="s">
        <v>181</v>
      </c>
      <c r="F13" s="5"/>
      <c r="G13" s="5"/>
      <c r="H13" s="76" t="s">
        <v>549</v>
      </c>
      <c r="I13" s="5"/>
      <c r="J13" s="5"/>
      <c r="K13" s="5"/>
      <c r="L13" s="5"/>
      <c r="M13" s="5"/>
    </row>
    <row r="14" spans="1:13">
      <c r="A14" s="135" t="s">
        <v>67</v>
      </c>
      <c r="B14" s="135" t="s">
        <v>66</v>
      </c>
      <c r="C14" s="155" t="s">
        <v>541</v>
      </c>
      <c r="D14" s="135">
        <v>33</v>
      </c>
      <c r="E14" s="135" t="s">
        <v>181</v>
      </c>
      <c r="F14" s="5"/>
      <c r="G14" s="5" t="s">
        <v>550</v>
      </c>
      <c r="H14" s="5"/>
      <c r="I14" s="5"/>
      <c r="J14" s="5"/>
      <c r="K14" s="5"/>
      <c r="L14" s="5"/>
      <c r="M14" s="5"/>
    </row>
    <row r="15" spans="1:13">
      <c r="A15" s="135" t="s">
        <v>110</v>
      </c>
      <c r="B15" s="135" t="s">
        <v>110</v>
      </c>
      <c r="C15" s="155" t="s">
        <v>548</v>
      </c>
      <c r="D15" s="135">
        <v>11</v>
      </c>
      <c r="E15" s="135" t="s">
        <v>181</v>
      </c>
      <c r="F15" s="5"/>
      <c r="G15" s="5"/>
      <c r="H15" s="5"/>
      <c r="I15" s="5"/>
      <c r="J15" s="5"/>
      <c r="K15" s="5"/>
      <c r="L15" s="5"/>
      <c r="M15" s="5"/>
    </row>
    <row r="16" spans="1:13">
      <c r="A16" s="135" t="s">
        <v>290</v>
      </c>
      <c r="B16" s="135" t="s">
        <v>93</v>
      </c>
      <c r="C16" s="155" t="s">
        <v>551</v>
      </c>
      <c r="D16" s="135">
        <v>20</v>
      </c>
      <c r="E16" s="135" t="s">
        <v>537</v>
      </c>
      <c r="F16" s="5"/>
      <c r="G16" s="5"/>
      <c r="H16" s="5"/>
      <c r="I16" s="5"/>
      <c r="J16" s="5"/>
      <c r="K16" s="5"/>
      <c r="L16" s="5"/>
      <c r="M16" s="5"/>
    </row>
    <row r="17" spans="1:13" ht="30">
      <c r="A17" s="135" t="s">
        <v>290</v>
      </c>
      <c r="B17" s="135" t="s">
        <v>117</v>
      </c>
      <c r="C17" s="155" t="s">
        <v>552</v>
      </c>
      <c r="D17" s="135">
        <v>7</v>
      </c>
      <c r="E17" s="135" t="s">
        <v>537</v>
      </c>
      <c r="F17" s="5"/>
      <c r="G17" s="5"/>
      <c r="H17" s="76" t="s">
        <v>553</v>
      </c>
      <c r="I17" s="5"/>
      <c r="J17" s="5"/>
      <c r="K17" s="5"/>
      <c r="L17" s="5"/>
      <c r="M17" s="5"/>
    </row>
    <row r="18" spans="1:13">
      <c r="A18" s="135" t="s">
        <v>290</v>
      </c>
      <c r="B18" s="135" t="s">
        <v>554</v>
      </c>
      <c r="C18" s="155" t="s">
        <v>326</v>
      </c>
      <c r="D18" s="135">
        <v>3</v>
      </c>
      <c r="E18" s="135" t="s">
        <v>181</v>
      </c>
      <c r="F18" s="5"/>
      <c r="G18" s="5"/>
      <c r="H18" s="5"/>
      <c r="I18" s="5"/>
      <c r="J18" s="5"/>
      <c r="K18" s="5"/>
      <c r="L18" s="5"/>
      <c r="M18" s="5"/>
    </row>
    <row r="19" spans="1:13" ht="60">
      <c r="A19" s="135" t="s">
        <v>48</v>
      </c>
      <c r="B19" s="135" t="s">
        <v>71</v>
      </c>
      <c r="C19" s="155" t="s">
        <v>555</v>
      </c>
      <c r="D19" s="135">
        <v>32</v>
      </c>
      <c r="E19" s="135" t="s">
        <v>181</v>
      </c>
      <c r="F19" s="5"/>
      <c r="G19" s="76" t="s">
        <v>556</v>
      </c>
      <c r="H19" s="76" t="s">
        <v>557</v>
      </c>
      <c r="I19" s="5"/>
      <c r="J19" s="5"/>
      <c r="K19" s="5"/>
      <c r="L19" s="5"/>
      <c r="M19" s="5"/>
    </row>
    <row r="20" spans="1:13">
      <c r="A20" s="135" t="s">
        <v>48</v>
      </c>
      <c r="B20" s="135" t="s">
        <v>558</v>
      </c>
      <c r="C20" s="155" t="s">
        <v>551</v>
      </c>
      <c r="D20" s="135">
        <v>14</v>
      </c>
      <c r="E20" s="135" t="s">
        <v>181</v>
      </c>
      <c r="F20" s="5"/>
      <c r="G20" s="76"/>
      <c r="H20" s="5"/>
      <c r="I20" s="5"/>
      <c r="J20" s="5"/>
      <c r="K20" s="5"/>
      <c r="L20" s="5"/>
      <c r="M20" s="5"/>
    </row>
  </sheetData>
  <autoFilter ref="A2:M19" xr:uid="{7EC20694-C9B3-4324-810E-38308A4EB50D}"/>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6FA19-E3C0-46F3-82C1-226222E4B2DE}">
  <dimension ref="A1:DV96"/>
  <sheetViews>
    <sheetView showGridLines="0" workbookViewId="0">
      <selection activeCell="B18" sqref="B18"/>
    </sheetView>
  </sheetViews>
  <sheetFormatPr defaultColWidth="16.5703125" defaultRowHeight="15" customHeight="1"/>
  <cols>
    <col min="1" max="1" width="10.140625" style="5" bestFit="1" customWidth="1"/>
    <col min="2" max="2" width="29" style="5" bestFit="1" customWidth="1"/>
    <col min="3" max="3" width="47.140625" style="5" bestFit="1" customWidth="1"/>
    <col min="4" max="4" width="20.42578125" style="5" customWidth="1"/>
    <col min="5" max="5" width="11.85546875" style="5" bestFit="1" customWidth="1"/>
    <col min="6" max="6" width="11.85546875" style="103" customWidth="1"/>
    <col min="7" max="7" width="11.85546875" style="181" bestFit="1" customWidth="1"/>
    <col min="8" max="8" width="10.140625" style="39" bestFit="1" customWidth="1"/>
    <col min="9" max="9" width="25.85546875" style="5" customWidth="1"/>
    <col min="10" max="10" width="42.42578125" style="5" customWidth="1"/>
    <col min="11" max="11" width="17.85546875" style="5" customWidth="1"/>
    <col min="12" max="12" width="11.42578125" style="5" customWidth="1"/>
    <col min="13" max="13" width="12.140625" style="103" customWidth="1"/>
    <col min="14" max="14" width="13.5703125" style="181" customWidth="1"/>
    <col min="15" max="15" width="10.140625" style="5" bestFit="1" customWidth="1"/>
    <col min="16" max="16" width="29" style="5" bestFit="1" customWidth="1"/>
    <col min="17" max="17" width="29.5703125" style="5" bestFit="1" customWidth="1"/>
    <col min="18" max="18" width="17.85546875" style="5" customWidth="1"/>
    <col min="19" max="19" width="11.85546875" style="5" bestFit="1" customWidth="1"/>
    <col min="20" max="20" width="11.85546875" style="103" customWidth="1"/>
    <col min="21" max="21" width="11.85546875" style="181" bestFit="1" customWidth="1"/>
    <col min="22" max="22" width="10.140625" style="39" bestFit="1" customWidth="1"/>
    <col min="23" max="23" width="31.85546875" style="5" customWidth="1"/>
    <col min="24" max="24" width="17.42578125" style="5" bestFit="1" customWidth="1"/>
    <col min="25" max="25" width="17.85546875" style="5" customWidth="1"/>
    <col min="26" max="26" width="15.5703125" style="5" customWidth="1"/>
    <col min="27" max="27" width="15.5703125" style="103" customWidth="1"/>
    <col min="28" max="28" width="15.5703125" style="181" customWidth="1"/>
    <col min="29" max="29" width="10.140625" style="5" bestFit="1" customWidth="1"/>
    <col min="30" max="30" width="29" style="5" bestFit="1" customWidth="1"/>
    <col min="31" max="31" width="29.5703125" style="5" bestFit="1" customWidth="1"/>
    <col min="32" max="32" width="17.85546875" style="5" customWidth="1"/>
    <col min="33" max="33" width="11.85546875" style="5" bestFit="1" customWidth="1"/>
    <col min="34" max="34" width="11.85546875" style="103" customWidth="1"/>
    <col min="35" max="35" width="11.85546875" style="181" bestFit="1" customWidth="1"/>
    <col min="36" max="36" width="10.140625" style="39" bestFit="1" customWidth="1"/>
    <col min="37" max="37" width="23.5703125" style="5" bestFit="1" customWidth="1"/>
    <col min="38" max="38" width="17.42578125" style="5" bestFit="1" customWidth="1"/>
    <col min="39" max="39" width="17.85546875" style="5" customWidth="1"/>
    <col min="40" max="40" width="15.5703125" style="5" customWidth="1"/>
    <col min="41" max="41" width="15.5703125" style="103" customWidth="1"/>
    <col min="42" max="42" width="15.5703125" style="181" customWidth="1"/>
    <col min="43" max="43" width="10.140625" style="5" bestFit="1" customWidth="1"/>
    <col min="44" max="44" width="29" style="5" bestFit="1" customWidth="1"/>
    <col min="45" max="45" width="29.5703125" style="5" bestFit="1" customWidth="1"/>
    <col min="46" max="46" width="17.85546875" style="5" customWidth="1"/>
    <col min="47" max="47" width="11.85546875" style="5" bestFit="1" customWidth="1"/>
    <col min="48" max="48" width="11.85546875" style="103" customWidth="1"/>
    <col min="49" max="49" width="11.85546875" style="181" bestFit="1" customWidth="1"/>
    <col min="50" max="50" width="10.140625" style="39" bestFit="1" customWidth="1"/>
    <col min="51" max="51" width="23.5703125" style="5" bestFit="1" customWidth="1"/>
    <col min="52" max="52" width="17.42578125" style="5" bestFit="1" customWidth="1"/>
    <col min="53" max="53" width="17.85546875" style="5" customWidth="1"/>
    <col min="54" max="54" width="15.5703125" style="5" customWidth="1"/>
    <col min="55" max="55" width="15.5703125" style="103" customWidth="1"/>
    <col min="56" max="56" width="15.5703125" style="181" customWidth="1"/>
    <col min="57" max="57" width="10.140625" style="5" bestFit="1" customWidth="1"/>
    <col min="58" max="58" width="29" style="5" bestFit="1" customWidth="1"/>
    <col min="59" max="59" width="29.5703125" style="5" bestFit="1" customWidth="1"/>
    <col min="60" max="60" width="17.85546875" style="5" customWidth="1"/>
    <col min="61" max="61" width="11.85546875" style="5" bestFit="1" customWidth="1"/>
    <col min="62" max="62" width="11.85546875" style="103" customWidth="1"/>
    <col min="63" max="63" width="11.85546875" style="181" bestFit="1" customWidth="1"/>
    <col min="64" max="64" width="10.140625" style="39" bestFit="1" customWidth="1"/>
    <col min="65" max="65" width="23.5703125" style="5" bestFit="1" customWidth="1"/>
    <col min="66" max="66" width="17.42578125" style="5" bestFit="1" customWidth="1"/>
    <col min="67" max="67" width="17.85546875" style="5" customWidth="1"/>
    <col min="68" max="68" width="15.5703125" style="5" customWidth="1"/>
    <col min="69" max="69" width="15.5703125" style="103" customWidth="1"/>
    <col min="70" max="70" width="15.5703125" style="181" customWidth="1"/>
    <col min="71" max="71" width="10.140625" style="5" bestFit="1" customWidth="1"/>
    <col min="72" max="72" width="29" style="5" bestFit="1" customWidth="1"/>
    <col min="73" max="73" width="29.5703125" style="5" bestFit="1" customWidth="1"/>
    <col min="74" max="74" width="17.85546875" style="5" customWidth="1"/>
    <col min="75" max="75" width="11.85546875" style="5" bestFit="1" customWidth="1"/>
    <col min="76" max="76" width="11.85546875" style="103" customWidth="1"/>
    <col min="77" max="77" width="11.85546875" style="181" bestFit="1" customWidth="1"/>
    <col min="78" max="78" width="10.140625" style="39" bestFit="1" customWidth="1"/>
    <col min="79" max="79" width="23.5703125" style="5" bestFit="1" customWidth="1"/>
    <col min="80" max="80" width="17.42578125" style="5" bestFit="1" customWidth="1"/>
    <col min="81" max="81" width="17.85546875" style="5" customWidth="1"/>
    <col min="82" max="82" width="15.5703125" style="5" customWidth="1"/>
    <col min="83" max="83" width="15.5703125" style="103" customWidth="1"/>
    <col min="84" max="84" width="15.5703125" style="181" customWidth="1"/>
    <col min="85" max="85" width="10.140625" style="5" bestFit="1" customWidth="1"/>
    <col min="86" max="86" width="29" style="5" bestFit="1" customWidth="1"/>
    <col min="87" max="87" width="29.5703125" style="5" bestFit="1" customWidth="1"/>
    <col min="88" max="88" width="17.85546875" style="5" customWidth="1"/>
    <col min="89" max="89" width="11.85546875" style="5" bestFit="1" customWidth="1"/>
    <col min="90" max="90" width="11.85546875" style="103" customWidth="1"/>
    <col min="91" max="91" width="11.85546875" style="181" bestFit="1" customWidth="1"/>
    <col min="92" max="92" width="10.140625" style="39" bestFit="1" customWidth="1"/>
    <col min="93" max="93" width="23.5703125" style="5" bestFit="1" customWidth="1"/>
    <col min="94" max="94" width="17.42578125" style="5" bestFit="1" customWidth="1"/>
    <col min="95" max="95" width="17.85546875" style="5" customWidth="1"/>
    <col min="96" max="96" width="15.5703125" style="5" customWidth="1"/>
    <col min="97" max="97" width="15.5703125" style="103" customWidth="1"/>
    <col min="98" max="98" width="15.5703125" style="181" customWidth="1"/>
    <col min="99" max="99" width="10.140625" style="5" bestFit="1" customWidth="1"/>
    <col min="100" max="100" width="29" style="5" bestFit="1" customWidth="1"/>
    <col min="101" max="101" width="29.5703125" style="5" bestFit="1" customWidth="1"/>
    <col min="102" max="102" width="17.85546875" style="5" customWidth="1"/>
    <col min="103" max="103" width="11.85546875" style="5" bestFit="1" customWidth="1"/>
    <col min="104" max="104" width="11.85546875" style="103" customWidth="1"/>
    <col min="105" max="105" width="11.85546875" style="181" bestFit="1" customWidth="1"/>
    <col min="106" max="106" width="10.140625" style="39" bestFit="1" customWidth="1"/>
    <col min="107" max="107" width="23.5703125" style="5" bestFit="1" customWidth="1"/>
    <col min="108" max="108" width="17.42578125" style="5" bestFit="1" customWidth="1"/>
    <col min="109" max="109" width="17.85546875" style="5" customWidth="1"/>
    <col min="110" max="110" width="15.5703125" style="5" customWidth="1"/>
    <col min="111" max="111" width="15.5703125" style="103" customWidth="1"/>
    <col min="112" max="112" width="15.5703125" style="181" customWidth="1"/>
    <col min="113" max="113" width="10.140625" style="5" bestFit="1" customWidth="1"/>
    <col min="114" max="114" width="29" style="5" bestFit="1" customWidth="1"/>
    <col min="115" max="115" width="29.5703125" style="5" bestFit="1" customWidth="1"/>
    <col min="116" max="116" width="17.85546875" style="5" customWidth="1"/>
    <col min="117" max="117" width="11.85546875" style="5" bestFit="1" customWidth="1"/>
    <col min="118" max="118" width="11.85546875" style="103" customWidth="1"/>
    <col min="119" max="119" width="11.85546875" style="181" bestFit="1" customWidth="1"/>
    <col min="120" max="120" width="10.140625" style="39" bestFit="1" customWidth="1"/>
    <col min="121" max="121" width="23.5703125" style="5" bestFit="1" customWidth="1"/>
    <col min="122" max="122" width="17.42578125" style="5" bestFit="1" customWidth="1"/>
    <col min="123" max="123" width="17.85546875" style="5" customWidth="1"/>
    <col min="124" max="124" width="15.5703125" style="5" customWidth="1"/>
    <col min="125" max="125" width="15.5703125" style="103" customWidth="1"/>
    <col min="126" max="126" width="15.5703125" style="181" customWidth="1"/>
  </cols>
  <sheetData>
    <row r="1" spans="1:126" s="172" customFormat="1" ht="26.25" customHeight="1">
      <c r="A1" s="541" t="s">
        <v>17</v>
      </c>
      <c r="B1" s="541"/>
      <c r="C1" s="541"/>
      <c r="D1" s="541"/>
      <c r="E1" s="541"/>
      <c r="F1" s="541"/>
      <c r="G1" s="541"/>
      <c r="H1" s="540" t="s">
        <v>26</v>
      </c>
      <c r="I1" s="540"/>
      <c r="J1" s="540"/>
      <c r="K1" s="540"/>
      <c r="L1" s="540"/>
      <c r="M1" s="540"/>
      <c r="N1" s="540"/>
      <c r="O1" s="541" t="s">
        <v>36</v>
      </c>
      <c r="P1" s="541"/>
      <c r="Q1" s="541"/>
      <c r="R1" s="541"/>
      <c r="S1" s="541"/>
      <c r="T1" s="541"/>
      <c r="U1" s="541"/>
      <c r="V1" s="540" t="s">
        <v>57</v>
      </c>
      <c r="W1" s="540"/>
      <c r="X1" s="540"/>
      <c r="Y1" s="540"/>
      <c r="Z1" s="540"/>
      <c r="AA1" s="540"/>
      <c r="AB1" s="540"/>
      <c r="AC1" s="541" t="s">
        <v>90</v>
      </c>
      <c r="AD1" s="541"/>
      <c r="AE1" s="541"/>
      <c r="AF1" s="541"/>
      <c r="AG1" s="541"/>
      <c r="AH1" s="541"/>
      <c r="AI1" s="541"/>
      <c r="AJ1" s="540" t="s">
        <v>39</v>
      </c>
      <c r="AK1" s="540"/>
      <c r="AL1" s="540"/>
      <c r="AM1" s="540"/>
      <c r="AN1" s="540"/>
      <c r="AO1" s="540"/>
      <c r="AP1" s="540"/>
      <c r="AQ1" s="541" t="s">
        <v>559</v>
      </c>
      <c r="AR1" s="541"/>
      <c r="AS1" s="541"/>
      <c r="AT1" s="541"/>
      <c r="AU1" s="541"/>
      <c r="AV1" s="541"/>
      <c r="AW1" s="541"/>
      <c r="AX1" s="540" t="s">
        <v>43</v>
      </c>
      <c r="AY1" s="540"/>
      <c r="AZ1" s="540"/>
      <c r="BA1" s="540"/>
      <c r="BB1" s="540"/>
      <c r="BC1" s="540"/>
      <c r="BD1" s="540"/>
      <c r="BE1" s="541" t="s">
        <v>51</v>
      </c>
      <c r="BF1" s="541"/>
      <c r="BG1" s="541"/>
      <c r="BH1" s="541"/>
      <c r="BI1" s="541"/>
      <c r="BJ1" s="541"/>
      <c r="BK1" s="541"/>
      <c r="BL1" s="540" t="s">
        <v>112</v>
      </c>
      <c r="BM1" s="540"/>
      <c r="BN1" s="540"/>
      <c r="BO1" s="540"/>
      <c r="BP1" s="540"/>
      <c r="BQ1" s="540"/>
      <c r="BR1" s="540"/>
      <c r="BS1" s="541" t="s">
        <v>393</v>
      </c>
      <c r="BT1" s="541"/>
      <c r="BU1" s="541"/>
      <c r="BV1" s="541"/>
      <c r="BW1" s="541"/>
      <c r="BX1" s="541"/>
      <c r="BY1" s="541"/>
      <c r="BZ1" s="540" t="s">
        <v>66</v>
      </c>
      <c r="CA1" s="540"/>
      <c r="CB1" s="540"/>
      <c r="CC1" s="540"/>
      <c r="CD1" s="540"/>
      <c r="CE1" s="540"/>
      <c r="CF1" s="540"/>
      <c r="CG1" s="541" t="s">
        <v>110</v>
      </c>
      <c r="CH1" s="541"/>
      <c r="CI1" s="541"/>
      <c r="CJ1" s="541"/>
      <c r="CK1" s="541"/>
      <c r="CL1" s="541"/>
      <c r="CM1" s="541"/>
      <c r="CN1" s="540" t="s">
        <v>93</v>
      </c>
      <c r="CO1" s="540"/>
      <c r="CP1" s="540"/>
      <c r="CQ1" s="540"/>
      <c r="CR1" s="540"/>
      <c r="CS1" s="540"/>
      <c r="CT1" s="540"/>
      <c r="CU1" s="541" t="s">
        <v>117</v>
      </c>
      <c r="CV1" s="541"/>
      <c r="CW1" s="541"/>
      <c r="CX1" s="541"/>
      <c r="CY1" s="541"/>
      <c r="CZ1" s="541"/>
      <c r="DA1" s="541"/>
      <c r="DB1" s="540" t="s">
        <v>560</v>
      </c>
      <c r="DC1" s="540"/>
      <c r="DD1" s="540"/>
      <c r="DE1" s="540"/>
      <c r="DF1" s="540"/>
      <c r="DG1" s="540"/>
      <c r="DH1" s="540"/>
      <c r="DI1" s="541" t="s">
        <v>71</v>
      </c>
      <c r="DJ1" s="541"/>
      <c r="DK1" s="541"/>
      <c r="DL1" s="541"/>
      <c r="DM1" s="541"/>
      <c r="DN1" s="541"/>
      <c r="DO1" s="541"/>
      <c r="DP1" s="540" t="s">
        <v>561</v>
      </c>
      <c r="DQ1" s="540"/>
      <c r="DR1" s="540"/>
      <c r="DS1" s="540"/>
      <c r="DT1" s="540"/>
      <c r="DU1" s="540"/>
      <c r="DV1" s="540"/>
    </row>
    <row r="2" spans="1:126" s="173" customFormat="1" ht="63" customHeight="1">
      <c r="A2" s="174" t="s">
        <v>157</v>
      </c>
      <c r="B2" s="174" t="s">
        <v>562</v>
      </c>
      <c r="C2" s="174" t="s">
        <v>563</v>
      </c>
      <c r="D2" s="175" t="s">
        <v>564</v>
      </c>
      <c r="E2" s="175" t="s">
        <v>565</v>
      </c>
      <c r="F2" s="188" t="s">
        <v>566</v>
      </c>
      <c r="G2" s="180" t="s">
        <v>567</v>
      </c>
      <c r="H2" s="179" t="s">
        <v>157</v>
      </c>
      <c r="I2" s="176" t="s">
        <v>562</v>
      </c>
      <c r="J2" s="176" t="s">
        <v>563</v>
      </c>
      <c r="K2" s="177" t="s">
        <v>564</v>
      </c>
      <c r="L2" s="177" t="s">
        <v>568</v>
      </c>
      <c r="M2" s="190" t="s">
        <v>569</v>
      </c>
      <c r="N2" s="182" t="s">
        <v>570</v>
      </c>
      <c r="O2" s="174" t="s">
        <v>157</v>
      </c>
      <c r="P2" s="174" t="s">
        <v>562</v>
      </c>
      <c r="Q2" s="174" t="s">
        <v>563</v>
      </c>
      <c r="R2" s="175" t="s">
        <v>564</v>
      </c>
      <c r="S2" s="175" t="s">
        <v>568</v>
      </c>
      <c r="T2" s="188" t="s">
        <v>569</v>
      </c>
      <c r="U2" s="180" t="s">
        <v>570</v>
      </c>
      <c r="V2" s="179" t="s">
        <v>157</v>
      </c>
      <c r="W2" s="176" t="s">
        <v>562</v>
      </c>
      <c r="X2" s="176" t="s">
        <v>563</v>
      </c>
      <c r="Y2" s="177" t="s">
        <v>564</v>
      </c>
      <c r="Z2" s="177" t="s">
        <v>568</v>
      </c>
      <c r="AA2" s="190" t="s">
        <v>569</v>
      </c>
      <c r="AB2" s="182" t="s">
        <v>570</v>
      </c>
      <c r="AC2" s="174" t="s">
        <v>157</v>
      </c>
      <c r="AD2" s="174" t="s">
        <v>562</v>
      </c>
      <c r="AE2" s="174" t="s">
        <v>563</v>
      </c>
      <c r="AF2" s="175" t="s">
        <v>564</v>
      </c>
      <c r="AG2" s="175" t="s">
        <v>568</v>
      </c>
      <c r="AH2" s="188" t="s">
        <v>569</v>
      </c>
      <c r="AI2" s="180" t="s">
        <v>570</v>
      </c>
      <c r="AJ2" s="179" t="s">
        <v>157</v>
      </c>
      <c r="AK2" s="176" t="s">
        <v>562</v>
      </c>
      <c r="AL2" s="176" t="s">
        <v>563</v>
      </c>
      <c r="AM2" s="177" t="s">
        <v>564</v>
      </c>
      <c r="AN2" s="177" t="s">
        <v>568</v>
      </c>
      <c r="AO2" s="190" t="s">
        <v>569</v>
      </c>
      <c r="AP2" s="182" t="s">
        <v>570</v>
      </c>
      <c r="AQ2" s="174" t="s">
        <v>157</v>
      </c>
      <c r="AR2" s="174" t="s">
        <v>562</v>
      </c>
      <c r="AS2" s="174" t="s">
        <v>563</v>
      </c>
      <c r="AT2" s="175" t="s">
        <v>564</v>
      </c>
      <c r="AU2" s="175" t="s">
        <v>568</v>
      </c>
      <c r="AV2" s="188" t="s">
        <v>569</v>
      </c>
      <c r="AW2" s="180" t="s">
        <v>570</v>
      </c>
      <c r="AX2" s="179" t="s">
        <v>157</v>
      </c>
      <c r="AY2" s="176" t="s">
        <v>562</v>
      </c>
      <c r="AZ2" s="176" t="s">
        <v>563</v>
      </c>
      <c r="BA2" s="177" t="s">
        <v>564</v>
      </c>
      <c r="BB2" s="177" t="s">
        <v>568</v>
      </c>
      <c r="BC2" s="190" t="s">
        <v>569</v>
      </c>
      <c r="BD2" s="182" t="s">
        <v>570</v>
      </c>
      <c r="BE2" s="174" t="s">
        <v>157</v>
      </c>
      <c r="BF2" s="174" t="s">
        <v>562</v>
      </c>
      <c r="BG2" s="174" t="s">
        <v>563</v>
      </c>
      <c r="BH2" s="175" t="s">
        <v>564</v>
      </c>
      <c r="BI2" s="175" t="s">
        <v>568</v>
      </c>
      <c r="BJ2" s="188" t="s">
        <v>569</v>
      </c>
      <c r="BK2" s="180" t="s">
        <v>570</v>
      </c>
      <c r="BL2" s="179" t="s">
        <v>157</v>
      </c>
      <c r="BM2" s="176" t="s">
        <v>562</v>
      </c>
      <c r="BN2" s="176" t="s">
        <v>563</v>
      </c>
      <c r="BO2" s="177" t="s">
        <v>564</v>
      </c>
      <c r="BP2" s="177" t="s">
        <v>568</v>
      </c>
      <c r="BQ2" s="190" t="s">
        <v>569</v>
      </c>
      <c r="BR2" s="182" t="s">
        <v>570</v>
      </c>
      <c r="BS2" s="174" t="s">
        <v>157</v>
      </c>
      <c r="BT2" s="174" t="s">
        <v>562</v>
      </c>
      <c r="BU2" s="174" t="s">
        <v>563</v>
      </c>
      <c r="BV2" s="175" t="s">
        <v>564</v>
      </c>
      <c r="BW2" s="175" t="s">
        <v>568</v>
      </c>
      <c r="BX2" s="188" t="s">
        <v>569</v>
      </c>
      <c r="BY2" s="180" t="s">
        <v>570</v>
      </c>
      <c r="BZ2" s="179" t="s">
        <v>157</v>
      </c>
      <c r="CA2" s="176" t="s">
        <v>562</v>
      </c>
      <c r="CB2" s="176" t="s">
        <v>563</v>
      </c>
      <c r="CC2" s="177" t="s">
        <v>564</v>
      </c>
      <c r="CD2" s="177" t="s">
        <v>568</v>
      </c>
      <c r="CE2" s="190" t="s">
        <v>569</v>
      </c>
      <c r="CF2" s="182" t="s">
        <v>570</v>
      </c>
      <c r="CG2" s="174" t="s">
        <v>157</v>
      </c>
      <c r="CH2" s="174" t="s">
        <v>562</v>
      </c>
      <c r="CI2" s="174" t="s">
        <v>563</v>
      </c>
      <c r="CJ2" s="175" t="s">
        <v>564</v>
      </c>
      <c r="CK2" s="175" t="s">
        <v>568</v>
      </c>
      <c r="CL2" s="188" t="s">
        <v>569</v>
      </c>
      <c r="CM2" s="180" t="s">
        <v>570</v>
      </c>
      <c r="CN2" s="179" t="s">
        <v>157</v>
      </c>
      <c r="CO2" s="176" t="s">
        <v>562</v>
      </c>
      <c r="CP2" s="176" t="s">
        <v>563</v>
      </c>
      <c r="CQ2" s="177" t="s">
        <v>564</v>
      </c>
      <c r="CR2" s="177" t="s">
        <v>568</v>
      </c>
      <c r="CS2" s="190" t="s">
        <v>569</v>
      </c>
      <c r="CT2" s="182" t="s">
        <v>570</v>
      </c>
      <c r="CU2" s="174" t="s">
        <v>157</v>
      </c>
      <c r="CV2" s="174" t="s">
        <v>562</v>
      </c>
      <c r="CW2" s="174" t="s">
        <v>563</v>
      </c>
      <c r="CX2" s="175" t="s">
        <v>564</v>
      </c>
      <c r="CY2" s="175" t="s">
        <v>568</v>
      </c>
      <c r="CZ2" s="188" t="s">
        <v>569</v>
      </c>
      <c r="DA2" s="180" t="s">
        <v>570</v>
      </c>
      <c r="DB2" s="179" t="s">
        <v>157</v>
      </c>
      <c r="DC2" s="176" t="s">
        <v>562</v>
      </c>
      <c r="DD2" s="176" t="s">
        <v>563</v>
      </c>
      <c r="DE2" s="177" t="s">
        <v>564</v>
      </c>
      <c r="DF2" s="177" t="s">
        <v>568</v>
      </c>
      <c r="DG2" s="190" t="s">
        <v>569</v>
      </c>
      <c r="DH2" s="182" t="s">
        <v>570</v>
      </c>
      <c r="DI2" s="174" t="s">
        <v>157</v>
      </c>
      <c r="DJ2" s="174" t="s">
        <v>562</v>
      </c>
      <c r="DK2" s="174" t="s">
        <v>563</v>
      </c>
      <c r="DL2" s="175" t="s">
        <v>564</v>
      </c>
      <c r="DM2" s="175" t="s">
        <v>568</v>
      </c>
      <c r="DN2" s="188" t="s">
        <v>569</v>
      </c>
      <c r="DO2" s="180" t="s">
        <v>570</v>
      </c>
      <c r="DP2" s="179" t="s">
        <v>157</v>
      </c>
      <c r="DQ2" s="176" t="s">
        <v>562</v>
      </c>
      <c r="DR2" s="176" t="s">
        <v>563</v>
      </c>
      <c r="DS2" s="177" t="s">
        <v>564</v>
      </c>
      <c r="DT2" s="177" t="s">
        <v>568</v>
      </c>
      <c r="DU2" s="190" t="s">
        <v>569</v>
      </c>
      <c r="DV2" s="182" t="s">
        <v>570</v>
      </c>
    </row>
    <row r="3" spans="1:126" ht="15" customHeight="1">
      <c r="A3" s="5" t="s">
        <v>571</v>
      </c>
      <c r="B3" s="183" t="s">
        <v>572</v>
      </c>
      <c r="C3" s="5" t="s">
        <v>573</v>
      </c>
      <c r="E3" s="178">
        <v>46387</v>
      </c>
      <c r="F3" s="189"/>
      <c r="H3" s="39" t="s">
        <v>571</v>
      </c>
      <c r="I3" s="192" t="s">
        <v>574</v>
      </c>
      <c r="J3" t="s">
        <v>575</v>
      </c>
      <c r="O3" s="5" t="s">
        <v>571</v>
      </c>
      <c r="P3" s="166" t="s">
        <v>576</v>
      </c>
      <c r="Q3" s="178">
        <v>46035</v>
      </c>
      <c r="S3" s="178">
        <v>46035</v>
      </c>
      <c r="T3" s="178">
        <v>46035</v>
      </c>
      <c r="V3" s="166" t="s">
        <v>577</v>
      </c>
      <c r="W3" s="164" t="s">
        <v>531</v>
      </c>
      <c r="Z3" s="178">
        <v>46038</v>
      </c>
      <c r="AA3" s="178"/>
      <c r="AB3" s="178"/>
      <c r="AG3" s="178"/>
      <c r="AH3" s="189"/>
      <c r="AJ3" s="166" t="s">
        <v>577</v>
      </c>
      <c r="AK3" s="194" t="s">
        <v>578</v>
      </c>
      <c r="AL3" s="5" t="s">
        <v>579</v>
      </c>
      <c r="AU3" s="178"/>
      <c r="AV3" s="189"/>
      <c r="AX3" s="39" t="s">
        <v>580</v>
      </c>
      <c r="AY3" s="5" t="s">
        <v>581</v>
      </c>
      <c r="BE3" s="160" t="s">
        <v>582</v>
      </c>
      <c r="BF3" s="164" t="s">
        <v>583</v>
      </c>
      <c r="BI3" s="178"/>
      <c r="BJ3" s="189"/>
      <c r="BL3" s="160" t="s">
        <v>577</v>
      </c>
      <c r="BM3" s="196" t="s">
        <v>547</v>
      </c>
      <c r="BS3" s="166" t="s">
        <v>582</v>
      </c>
      <c r="BT3" s="164" t="s">
        <v>584</v>
      </c>
      <c r="BW3" s="178"/>
      <c r="BX3" s="189"/>
      <c r="BZ3" s="39" t="s">
        <v>585</v>
      </c>
      <c r="CA3" s="5" t="s">
        <v>550</v>
      </c>
      <c r="CK3" s="178"/>
      <c r="CL3" s="189"/>
      <c r="CU3" s="166" t="s">
        <v>582</v>
      </c>
      <c r="CV3" s="164" t="s">
        <v>586</v>
      </c>
      <c r="CW3" s="5" t="s">
        <v>587</v>
      </c>
      <c r="CY3" s="178"/>
      <c r="CZ3" s="189"/>
      <c r="DI3" s="166" t="s">
        <v>588</v>
      </c>
      <c r="DJ3" s="164" t="s">
        <v>589</v>
      </c>
      <c r="DM3" s="178"/>
      <c r="DN3" s="189"/>
    </row>
    <row r="4" spans="1:126" ht="15" customHeight="1">
      <c r="A4" s="5" t="s">
        <v>571</v>
      </c>
      <c r="B4" s="5" t="s">
        <v>590</v>
      </c>
      <c r="C4" s="5" t="s">
        <v>591</v>
      </c>
      <c r="E4" s="178">
        <v>46387</v>
      </c>
      <c r="F4" s="189"/>
      <c r="H4" s="39" t="s">
        <v>571</v>
      </c>
      <c r="I4" s="6" t="s">
        <v>592</v>
      </c>
      <c r="J4" s="5" t="s">
        <v>593</v>
      </c>
      <c r="L4" s="178">
        <v>46030</v>
      </c>
      <c r="M4" s="189"/>
      <c r="O4" s="5" t="s">
        <v>585</v>
      </c>
      <c r="P4" s="157" t="s">
        <v>576</v>
      </c>
      <c r="S4" s="178"/>
      <c r="T4" s="189"/>
      <c r="V4" s="157" t="s">
        <v>577</v>
      </c>
      <c r="W4" s="185" t="s">
        <v>594</v>
      </c>
      <c r="AG4" s="178"/>
      <c r="AH4" s="189"/>
      <c r="AJ4" s="157" t="s">
        <v>577</v>
      </c>
      <c r="AK4" s="202" t="s">
        <v>595</v>
      </c>
      <c r="AU4" s="178"/>
      <c r="AV4" s="189"/>
      <c r="AX4" s="39" t="s">
        <v>580</v>
      </c>
      <c r="AY4" s="5" t="s">
        <v>596</v>
      </c>
      <c r="BE4" s="158" t="s">
        <v>582</v>
      </c>
      <c r="BF4" s="159" t="s">
        <v>597</v>
      </c>
      <c r="BI4" s="178"/>
      <c r="BJ4" s="189"/>
      <c r="BL4" s="160" t="s">
        <v>577</v>
      </c>
      <c r="BM4" s="161" t="s">
        <v>598</v>
      </c>
      <c r="BS4" s="157" t="s">
        <v>582</v>
      </c>
      <c r="BT4" s="159" t="s">
        <v>599</v>
      </c>
      <c r="BW4" s="178"/>
      <c r="BX4" s="189"/>
      <c r="CK4" s="178"/>
      <c r="CL4" s="189"/>
      <c r="CU4" s="157" t="s">
        <v>582</v>
      </c>
      <c r="CV4" s="159" t="s">
        <v>600</v>
      </c>
      <c r="CW4" s="5" t="s">
        <v>601</v>
      </c>
      <c r="CY4" s="178"/>
      <c r="CZ4" s="189"/>
      <c r="DI4" s="157" t="s">
        <v>588</v>
      </c>
      <c r="DJ4" s="159" t="s">
        <v>602</v>
      </c>
      <c r="DM4" s="178"/>
      <c r="DN4" s="189"/>
    </row>
    <row r="5" spans="1:126" ht="15" customHeight="1">
      <c r="A5" s="5" t="s">
        <v>571</v>
      </c>
      <c r="B5" s="183" t="s">
        <v>603</v>
      </c>
      <c r="C5" s="178" t="s">
        <v>604</v>
      </c>
      <c r="D5" s="178"/>
      <c r="E5" s="178"/>
      <c r="F5" s="189"/>
      <c r="H5" s="39" t="s">
        <v>585</v>
      </c>
      <c r="I5" s="6" t="s">
        <v>605</v>
      </c>
      <c r="J5" t="s">
        <v>606</v>
      </c>
      <c r="K5" s="178"/>
      <c r="O5" s="5" t="s">
        <v>580</v>
      </c>
      <c r="P5" s="157" t="s">
        <v>576</v>
      </c>
      <c r="R5" s="178"/>
      <c r="S5" s="178"/>
      <c r="T5" s="189"/>
      <c r="V5" s="157" t="s">
        <v>588</v>
      </c>
      <c r="W5" s="158" t="s">
        <v>531</v>
      </c>
      <c r="Y5" s="178"/>
      <c r="AF5" s="178"/>
      <c r="AG5" s="178"/>
      <c r="AH5" s="189"/>
      <c r="AJ5" s="157" t="s">
        <v>577</v>
      </c>
      <c r="AK5" s="159" t="s">
        <v>607</v>
      </c>
      <c r="AL5" s="5" t="s">
        <v>608</v>
      </c>
      <c r="AM5" s="178"/>
      <c r="AT5" s="178"/>
      <c r="AU5" s="178"/>
      <c r="AV5" s="189"/>
      <c r="AX5" s="39" t="s">
        <v>609</v>
      </c>
      <c r="AY5" s="5" t="s">
        <v>581</v>
      </c>
      <c r="BA5" s="178"/>
      <c r="BE5" s="158" t="s">
        <v>582</v>
      </c>
      <c r="BF5" s="159" t="s">
        <v>610</v>
      </c>
      <c r="BH5" s="178"/>
      <c r="BI5" s="178"/>
      <c r="BJ5" s="189"/>
      <c r="BL5" s="160" t="s">
        <v>577</v>
      </c>
      <c r="BM5" s="161" t="s">
        <v>611</v>
      </c>
      <c r="BO5" s="178"/>
      <c r="BS5" s="157" t="s">
        <v>582</v>
      </c>
      <c r="BT5" s="159" t="s">
        <v>612</v>
      </c>
      <c r="BV5" s="178"/>
      <c r="BW5" s="178"/>
      <c r="BX5" s="189"/>
      <c r="CC5" s="178"/>
      <c r="CJ5" s="178"/>
      <c r="CK5" s="178"/>
      <c r="CL5" s="189"/>
      <c r="CQ5" s="178"/>
      <c r="CX5" s="178"/>
      <c r="CY5" s="178"/>
      <c r="CZ5" s="189"/>
      <c r="DE5" s="178"/>
      <c r="DI5" s="157" t="s">
        <v>588</v>
      </c>
      <c r="DJ5" s="159" t="s">
        <v>613</v>
      </c>
      <c r="DL5" s="178"/>
      <c r="DM5" s="178"/>
      <c r="DN5" s="189"/>
      <c r="DS5" s="178"/>
    </row>
    <row r="6" spans="1:126" ht="15" customHeight="1">
      <c r="A6" s="5" t="s">
        <v>571</v>
      </c>
      <c r="B6" s="5" t="s">
        <v>614</v>
      </c>
      <c r="C6" s="5" t="s">
        <v>615</v>
      </c>
      <c r="E6" s="178">
        <v>46387</v>
      </c>
      <c r="F6" s="189"/>
      <c r="H6" s="39" t="s">
        <v>585</v>
      </c>
      <c r="I6" s="192" t="s">
        <v>574</v>
      </c>
      <c r="J6" s="5" t="s">
        <v>575</v>
      </c>
      <c r="S6" s="178"/>
      <c r="T6" s="189"/>
      <c r="AG6" s="178"/>
      <c r="AH6" s="189"/>
      <c r="AJ6" s="157" t="s">
        <v>588</v>
      </c>
      <c r="AK6" s="194" t="s">
        <v>578</v>
      </c>
      <c r="AL6" s="5" t="s">
        <v>579</v>
      </c>
      <c r="AU6" s="178"/>
      <c r="AV6" s="189"/>
      <c r="AX6" s="39" t="s">
        <v>609</v>
      </c>
      <c r="AY6" s="5" t="s">
        <v>596</v>
      </c>
      <c r="BI6" s="178"/>
      <c r="BJ6" s="189"/>
      <c r="BL6" s="160" t="s">
        <v>577</v>
      </c>
      <c r="BM6" s="161" t="s">
        <v>616</v>
      </c>
      <c r="BS6" s="157" t="s">
        <v>582</v>
      </c>
      <c r="BT6" s="159" t="s">
        <v>617</v>
      </c>
      <c r="BW6" s="178"/>
      <c r="BX6" s="189"/>
      <c r="CK6" s="178"/>
      <c r="CL6" s="189"/>
      <c r="CY6" s="178"/>
      <c r="CZ6" s="189"/>
      <c r="DI6" s="157" t="s">
        <v>582</v>
      </c>
      <c r="DJ6" s="159" t="s">
        <v>589</v>
      </c>
      <c r="DM6" s="178"/>
      <c r="DN6" s="189"/>
    </row>
    <row r="7" spans="1:126" ht="15" customHeight="1">
      <c r="A7" s="5" t="s">
        <v>571</v>
      </c>
      <c r="B7" s="183" t="s">
        <v>618</v>
      </c>
      <c r="C7" t="s">
        <v>619</v>
      </c>
      <c r="D7" s="178"/>
      <c r="E7" s="178"/>
      <c r="F7" s="189"/>
      <c r="H7" s="39" t="s">
        <v>585</v>
      </c>
      <c r="I7" s="6" t="s">
        <v>620</v>
      </c>
      <c r="J7" s="5" t="s">
        <v>621</v>
      </c>
      <c r="K7" s="178"/>
      <c r="L7" s="178">
        <v>46030</v>
      </c>
      <c r="M7" s="189"/>
      <c r="R7" s="178"/>
      <c r="S7" s="178"/>
      <c r="T7" s="189"/>
      <c r="Y7" s="178"/>
      <c r="AF7" s="178"/>
      <c r="AG7" s="178"/>
      <c r="AH7" s="189"/>
      <c r="AJ7" s="157" t="s">
        <v>588</v>
      </c>
      <c r="AK7" s="159" t="s">
        <v>607</v>
      </c>
      <c r="AL7" s="5" t="s">
        <v>608</v>
      </c>
      <c r="AM7" s="178"/>
      <c r="AT7" s="178"/>
      <c r="AU7" s="178"/>
      <c r="AV7" s="189"/>
      <c r="BA7" s="178"/>
      <c r="BH7" s="178"/>
      <c r="BI7" s="178"/>
      <c r="BJ7" s="189"/>
      <c r="BL7" s="160" t="s">
        <v>577</v>
      </c>
      <c r="BM7" s="161" t="s">
        <v>622</v>
      </c>
      <c r="BO7" s="178"/>
      <c r="BS7" s="157" t="s">
        <v>582</v>
      </c>
      <c r="BT7" s="159" t="s">
        <v>623</v>
      </c>
      <c r="BV7" s="178"/>
      <c r="BW7" s="178"/>
      <c r="BX7" s="189"/>
      <c r="CC7" s="178"/>
      <c r="CJ7" s="178"/>
      <c r="CK7" s="178"/>
      <c r="CL7" s="189"/>
      <c r="CQ7" s="178"/>
      <c r="CX7" s="178"/>
      <c r="CY7" s="178"/>
      <c r="CZ7" s="189"/>
      <c r="DE7" s="178"/>
      <c r="DI7" s="157" t="s">
        <v>582</v>
      </c>
      <c r="DJ7" s="159" t="s">
        <v>602</v>
      </c>
      <c r="DL7" s="178"/>
      <c r="DM7" s="178"/>
      <c r="DN7" s="189"/>
      <c r="DS7" s="178"/>
    </row>
    <row r="8" spans="1:126" ht="15" customHeight="1">
      <c r="A8" s="5" t="s">
        <v>571</v>
      </c>
      <c r="B8" s="5" t="s">
        <v>624</v>
      </c>
      <c r="C8" s="5" t="s">
        <v>625</v>
      </c>
      <c r="E8" s="178">
        <v>46024</v>
      </c>
      <c r="F8" s="189"/>
      <c r="H8" s="39" t="s">
        <v>585</v>
      </c>
      <c r="I8" s="6" t="s">
        <v>626</v>
      </c>
      <c r="J8" s="5" t="s">
        <v>627</v>
      </c>
      <c r="S8" s="178"/>
      <c r="T8" s="189"/>
      <c r="AG8" s="178"/>
      <c r="AH8" s="189"/>
      <c r="AJ8" s="157" t="s">
        <v>588</v>
      </c>
      <c r="AK8" s="159" t="s">
        <v>628</v>
      </c>
      <c r="AL8" s="5" t="s">
        <v>629</v>
      </c>
      <c r="AU8" s="178"/>
      <c r="AV8" s="189"/>
      <c r="BI8" s="178"/>
      <c r="BJ8" s="189"/>
      <c r="BL8" s="160" t="s">
        <v>577</v>
      </c>
      <c r="BM8" s="161" t="s">
        <v>630</v>
      </c>
      <c r="BS8" s="157" t="s">
        <v>582</v>
      </c>
      <c r="BT8" s="159" t="s">
        <v>631</v>
      </c>
      <c r="BW8" s="178"/>
      <c r="BX8" s="189"/>
      <c r="CK8" s="178"/>
      <c r="CL8" s="189"/>
      <c r="CY8" s="178"/>
      <c r="CZ8" s="189"/>
      <c r="DI8" s="157" t="s">
        <v>582</v>
      </c>
      <c r="DJ8" s="159" t="s">
        <v>613</v>
      </c>
      <c r="DM8" s="178"/>
      <c r="DN8" s="189"/>
    </row>
    <row r="9" spans="1:126" ht="15" customHeight="1">
      <c r="A9" s="5" t="s">
        <v>571</v>
      </c>
      <c r="B9" s="5" t="s">
        <v>632</v>
      </c>
      <c r="C9" s="5" t="s">
        <v>633</v>
      </c>
      <c r="E9" s="178">
        <v>46024</v>
      </c>
      <c r="F9" s="189"/>
      <c r="H9" s="39" t="s">
        <v>585</v>
      </c>
      <c r="I9" s="6" t="s">
        <v>634</v>
      </c>
      <c r="S9" s="178"/>
      <c r="T9" s="189"/>
      <c r="AG9" s="178"/>
      <c r="AH9" s="189"/>
      <c r="AJ9" s="157" t="s">
        <v>588</v>
      </c>
      <c r="AK9" s="202" t="s">
        <v>595</v>
      </c>
      <c r="AU9" s="178"/>
      <c r="AV9" s="189"/>
      <c r="BI9" s="178"/>
      <c r="BJ9" s="189"/>
      <c r="BL9" s="160" t="s">
        <v>577</v>
      </c>
      <c r="BM9" s="161" t="s">
        <v>635</v>
      </c>
      <c r="BS9" s="157" t="s">
        <v>582</v>
      </c>
      <c r="BT9" s="159" t="s">
        <v>636</v>
      </c>
      <c r="BW9" s="178"/>
      <c r="BX9" s="189"/>
      <c r="CK9" s="178"/>
      <c r="CL9" s="189"/>
      <c r="CY9" s="178"/>
      <c r="CZ9" s="189"/>
      <c r="DI9" s="157" t="s">
        <v>582</v>
      </c>
      <c r="DJ9" s="159" t="s">
        <v>637</v>
      </c>
      <c r="DM9" s="178"/>
      <c r="DN9" s="189"/>
    </row>
    <row r="10" spans="1:126" ht="15" customHeight="1">
      <c r="A10" s="5" t="s">
        <v>571</v>
      </c>
      <c r="B10" s="5" t="s">
        <v>638</v>
      </c>
      <c r="E10" s="178"/>
      <c r="F10" s="189"/>
      <c r="H10" s="39" t="s">
        <v>585</v>
      </c>
      <c r="I10" s="6" t="s">
        <v>639</v>
      </c>
      <c r="S10" s="178"/>
      <c r="T10" s="189"/>
      <c r="AG10" s="178"/>
      <c r="AH10" s="189"/>
      <c r="AJ10" s="157" t="s">
        <v>582</v>
      </c>
      <c r="AK10" s="194" t="s">
        <v>578</v>
      </c>
      <c r="AL10" s="5" t="s">
        <v>579</v>
      </c>
      <c r="AU10" s="178"/>
      <c r="AV10" s="189"/>
      <c r="BI10" s="178"/>
      <c r="BJ10" s="189"/>
      <c r="BL10" s="160" t="s">
        <v>577</v>
      </c>
      <c r="BM10" s="161" t="s">
        <v>640</v>
      </c>
      <c r="BS10" s="157" t="s">
        <v>582</v>
      </c>
      <c r="BT10" s="159" t="s">
        <v>641</v>
      </c>
      <c r="BW10" s="178"/>
      <c r="BX10" s="189"/>
      <c r="CK10" s="178"/>
      <c r="CL10" s="189"/>
      <c r="CY10" s="178"/>
      <c r="CZ10" s="189"/>
      <c r="DM10" s="178"/>
      <c r="DN10" s="189"/>
    </row>
    <row r="11" spans="1:126" ht="15" customHeight="1">
      <c r="A11" s="5" t="s">
        <v>585</v>
      </c>
      <c r="B11" s="183" t="s">
        <v>642</v>
      </c>
      <c r="C11" s="5" t="s">
        <v>573</v>
      </c>
      <c r="E11" s="178">
        <v>46387</v>
      </c>
      <c r="F11" s="189"/>
      <c r="H11" s="39" t="s">
        <v>585</v>
      </c>
      <c r="I11" s="6" t="s">
        <v>643</v>
      </c>
      <c r="J11" s="5" t="s">
        <v>644</v>
      </c>
      <c r="L11" s="178">
        <v>46030</v>
      </c>
      <c r="M11" s="189"/>
      <c r="S11" s="178"/>
      <c r="T11" s="189"/>
      <c r="AG11" s="178"/>
      <c r="AH11" s="189"/>
      <c r="AJ11" s="157" t="s">
        <v>582</v>
      </c>
      <c r="AK11" s="159" t="s">
        <v>595</v>
      </c>
      <c r="AL11" s="5" t="s">
        <v>645</v>
      </c>
      <c r="AU11" s="178"/>
      <c r="AV11" s="189"/>
      <c r="BI11" s="178"/>
      <c r="BJ11" s="189"/>
      <c r="BL11" s="160" t="s">
        <v>577</v>
      </c>
      <c r="BM11" s="161" t="s">
        <v>646</v>
      </c>
      <c r="BS11" s="157" t="s">
        <v>582</v>
      </c>
      <c r="BT11" s="159" t="s">
        <v>647</v>
      </c>
      <c r="BW11" s="178"/>
      <c r="BX11" s="189"/>
      <c r="CK11" s="178"/>
      <c r="CL11" s="189"/>
      <c r="CY11" s="178"/>
      <c r="CZ11" s="189"/>
      <c r="DM11" s="178"/>
      <c r="DN11" s="189"/>
    </row>
    <row r="12" spans="1:126" ht="15" customHeight="1">
      <c r="A12" s="5" t="s">
        <v>585</v>
      </c>
      <c r="B12" s="5" t="s">
        <v>648</v>
      </c>
      <c r="C12" s="5" t="s">
        <v>649</v>
      </c>
      <c r="E12" s="178">
        <v>46387</v>
      </c>
      <c r="F12" s="189"/>
      <c r="H12" s="39" t="s">
        <v>585</v>
      </c>
      <c r="I12" s="6" t="s">
        <v>592</v>
      </c>
      <c r="J12" s="5" t="s">
        <v>593</v>
      </c>
      <c r="L12" s="178">
        <v>46030</v>
      </c>
      <c r="M12" s="189"/>
      <c r="S12" s="178"/>
      <c r="T12" s="189"/>
      <c r="AG12" s="178"/>
      <c r="AH12" s="189"/>
      <c r="AJ12" s="157" t="s">
        <v>582</v>
      </c>
      <c r="AK12" s="159" t="s">
        <v>607</v>
      </c>
      <c r="AL12" s="5" t="s">
        <v>608</v>
      </c>
      <c r="AU12" s="178"/>
      <c r="AV12" s="189"/>
      <c r="BI12" s="178"/>
      <c r="BJ12" s="189"/>
      <c r="BL12" s="160" t="s">
        <v>577</v>
      </c>
      <c r="BM12" s="161" t="s">
        <v>650</v>
      </c>
      <c r="BW12" s="178"/>
      <c r="BX12" s="189"/>
      <c r="CK12" s="178"/>
      <c r="CL12" s="189"/>
      <c r="CY12" s="178"/>
      <c r="CZ12" s="189"/>
      <c r="DM12" s="178"/>
      <c r="DN12" s="189"/>
    </row>
    <row r="13" spans="1:126" ht="15" customHeight="1">
      <c r="A13" s="5" t="s">
        <v>585</v>
      </c>
      <c r="B13" s="183" t="s">
        <v>651</v>
      </c>
      <c r="C13" s="5" t="s">
        <v>652</v>
      </c>
      <c r="E13" s="178">
        <v>46025</v>
      </c>
      <c r="F13" s="189"/>
      <c r="H13" s="39" t="s">
        <v>585</v>
      </c>
      <c r="I13" s="198" t="s">
        <v>653</v>
      </c>
      <c r="S13" s="178"/>
      <c r="T13" s="189"/>
      <c r="AG13" s="178"/>
      <c r="AH13" s="189"/>
      <c r="AU13" s="178"/>
      <c r="AV13" s="189"/>
      <c r="BI13" s="178"/>
      <c r="BJ13" s="189"/>
      <c r="BL13" s="160" t="s">
        <v>577</v>
      </c>
      <c r="BM13" s="161" t="s">
        <v>654</v>
      </c>
      <c r="BW13" s="178"/>
      <c r="BX13" s="189"/>
      <c r="CK13" s="178"/>
      <c r="CL13" s="189"/>
      <c r="CY13" s="178"/>
      <c r="CZ13" s="189"/>
      <c r="DM13" s="178"/>
      <c r="DN13" s="189"/>
    </row>
    <row r="14" spans="1:126" ht="15" customHeight="1">
      <c r="A14" s="5" t="s">
        <v>585</v>
      </c>
      <c r="B14" s="5" t="s">
        <v>655</v>
      </c>
      <c r="C14" s="5" t="s">
        <v>591</v>
      </c>
      <c r="E14" s="178">
        <v>46387</v>
      </c>
      <c r="F14" s="189"/>
      <c r="H14" s="39" t="s">
        <v>585</v>
      </c>
      <c r="I14" s="6" t="s">
        <v>656</v>
      </c>
      <c r="J14" s="5" t="s">
        <v>657</v>
      </c>
      <c r="L14" s="178">
        <v>46030</v>
      </c>
      <c r="M14" s="189"/>
      <c r="S14" s="178"/>
      <c r="T14" s="189"/>
      <c r="AG14" s="178"/>
      <c r="AH14" s="189"/>
      <c r="AU14" s="178"/>
      <c r="AV14" s="189"/>
      <c r="BI14" s="178"/>
      <c r="BJ14" s="189"/>
      <c r="BL14" s="160" t="s">
        <v>577</v>
      </c>
      <c r="BM14" s="161" t="s">
        <v>658</v>
      </c>
      <c r="BW14" s="178"/>
      <c r="BX14" s="189"/>
      <c r="CK14" s="178"/>
      <c r="CL14" s="189"/>
      <c r="CY14" s="178"/>
      <c r="CZ14" s="189"/>
      <c r="DM14" s="178"/>
      <c r="DN14" s="189"/>
    </row>
    <row r="15" spans="1:126" ht="15" customHeight="1">
      <c r="A15" s="5" t="s">
        <v>585</v>
      </c>
      <c r="B15" s="183" t="s">
        <v>659</v>
      </c>
      <c r="C15" s="5" t="s">
        <v>660</v>
      </c>
      <c r="E15" s="178">
        <v>46387</v>
      </c>
      <c r="F15" s="189"/>
      <c r="H15" s="166" t="s">
        <v>582</v>
      </c>
      <c r="I15" s="199" t="s">
        <v>661</v>
      </c>
      <c r="S15" s="178"/>
      <c r="T15" s="189"/>
      <c r="AG15" s="178"/>
      <c r="AH15" s="189"/>
      <c r="AU15" s="178"/>
      <c r="AV15" s="189"/>
      <c r="BI15" s="178"/>
      <c r="BJ15" s="189"/>
      <c r="BL15" s="160" t="s">
        <v>577</v>
      </c>
      <c r="BM15" s="161" t="s">
        <v>662</v>
      </c>
      <c r="BW15" s="178"/>
      <c r="BX15" s="189"/>
      <c r="CK15" s="178"/>
      <c r="CL15" s="189"/>
      <c r="CY15" s="178"/>
      <c r="CZ15" s="189"/>
      <c r="DM15" s="178"/>
      <c r="DN15" s="189"/>
    </row>
    <row r="16" spans="1:126" ht="15" customHeight="1">
      <c r="A16" s="5" t="s">
        <v>585</v>
      </c>
      <c r="B16" s="5" t="s">
        <v>663</v>
      </c>
      <c r="C16" s="5" t="s">
        <v>664</v>
      </c>
      <c r="E16" s="178"/>
      <c r="F16" s="189"/>
      <c r="H16" s="157" t="s">
        <v>582</v>
      </c>
      <c r="I16" s="201" t="s">
        <v>665</v>
      </c>
      <c r="J16" s="5" t="s">
        <v>666</v>
      </c>
      <c r="K16" s="178"/>
      <c r="R16" s="178"/>
      <c r="S16" s="178"/>
      <c r="T16" s="189"/>
      <c r="Y16" s="178"/>
      <c r="AF16" s="178"/>
      <c r="AG16" s="178"/>
      <c r="AH16" s="189"/>
      <c r="AM16" s="178"/>
      <c r="AT16" s="178"/>
      <c r="AU16" s="178"/>
      <c r="AV16" s="189"/>
      <c r="BA16" s="178"/>
      <c r="BH16" s="178"/>
      <c r="BI16" s="178"/>
      <c r="BJ16" s="189"/>
      <c r="BL16" s="160" t="s">
        <v>577</v>
      </c>
      <c r="BM16" s="161" t="s">
        <v>667</v>
      </c>
      <c r="BO16" s="178"/>
      <c r="BT16" s="76"/>
      <c r="BV16" s="178"/>
      <c r="BW16" s="178"/>
      <c r="BX16" s="189"/>
      <c r="CC16" s="178"/>
      <c r="CJ16" s="178"/>
      <c r="CK16" s="178"/>
      <c r="CL16" s="189"/>
      <c r="CQ16" s="178"/>
      <c r="CX16" s="178"/>
      <c r="CY16" s="178"/>
      <c r="CZ16" s="189"/>
      <c r="DE16" s="178"/>
      <c r="DL16" s="178"/>
      <c r="DM16" s="178"/>
      <c r="DN16" s="189"/>
      <c r="DS16" s="178"/>
    </row>
    <row r="17" spans="1:121" ht="15" customHeight="1">
      <c r="A17" s="5" t="s">
        <v>585</v>
      </c>
      <c r="B17" s="184" t="s">
        <v>603</v>
      </c>
      <c r="C17" s="178" t="s">
        <v>604</v>
      </c>
      <c r="D17" s="178"/>
      <c r="E17" s="178"/>
      <c r="F17" s="189"/>
      <c r="H17" s="157" t="s">
        <v>582</v>
      </c>
      <c r="I17" s="200" t="s">
        <v>668</v>
      </c>
      <c r="P17" s="76"/>
      <c r="S17" s="178"/>
      <c r="T17" s="189"/>
      <c r="W17" s="76"/>
      <c r="AD17" s="76"/>
      <c r="AG17" s="178"/>
      <c r="AH17" s="189"/>
      <c r="AK17" s="76"/>
      <c r="AR17" s="76"/>
      <c r="AU17" s="178"/>
      <c r="AV17" s="189"/>
      <c r="AY17" s="76"/>
      <c r="BF17" s="76"/>
      <c r="BI17" s="178"/>
      <c r="BJ17" s="189"/>
      <c r="BL17" s="160" t="s">
        <v>577</v>
      </c>
      <c r="BM17" s="161" t="s">
        <v>669</v>
      </c>
      <c r="BW17" s="178"/>
      <c r="BX17" s="189"/>
      <c r="CA17" s="76"/>
      <c r="CH17" s="76"/>
      <c r="CK17" s="178"/>
      <c r="CL17" s="189"/>
      <c r="CO17" s="76"/>
      <c r="CV17" s="76"/>
      <c r="CY17" s="178"/>
      <c r="CZ17" s="189"/>
      <c r="DC17" s="76"/>
      <c r="DJ17" s="76"/>
      <c r="DM17" s="178"/>
      <c r="DN17" s="189"/>
      <c r="DQ17" s="76"/>
    </row>
    <row r="18" spans="1:121" ht="15" customHeight="1">
      <c r="A18" s="5" t="s">
        <v>585</v>
      </c>
      <c r="B18" s="5" t="s">
        <v>670</v>
      </c>
      <c r="E18" s="178"/>
      <c r="F18" s="189"/>
      <c r="H18" s="157" t="s">
        <v>582</v>
      </c>
      <c r="I18" s="200" t="s">
        <v>671</v>
      </c>
      <c r="S18" s="178"/>
      <c r="T18" s="189"/>
      <c r="AG18" s="178"/>
      <c r="AH18" s="189"/>
      <c r="AU18" s="178"/>
      <c r="AV18" s="189"/>
      <c r="BI18" s="178"/>
      <c r="BJ18" s="189"/>
      <c r="BL18" s="160" t="s">
        <v>577</v>
      </c>
      <c r="BM18" s="161" t="s">
        <v>672</v>
      </c>
      <c r="CK18" s="178"/>
      <c r="CL18" s="189"/>
      <c r="CY18" s="178"/>
      <c r="CZ18" s="189"/>
      <c r="DM18" s="178"/>
      <c r="DN18" s="189"/>
    </row>
    <row r="19" spans="1:121" ht="15" customHeight="1">
      <c r="A19" s="5" t="s">
        <v>585</v>
      </c>
      <c r="B19" s="191" t="s">
        <v>673</v>
      </c>
      <c r="C19" s="5" t="s">
        <v>674</v>
      </c>
      <c r="E19" s="178">
        <v>46027</v>
      </c>
      <c r="F19" s="189"/>
      <c r="H19" s="157" t="s">
        <v>582</v>
      </c>
      <c r="I19" s="200" t="s">
        <v>675</v>
      </c>
      <c r="BL19" s="160" t="s">
        <v>577</v>
      </c>
      <c r="BM19" s="161" t="s">
        <v>676</v>
      </c>
    </row>
    <row r="20" spans="1:121" ht="15" customHeight="1">
      <c r="A20" s="5" t="s">
        <v>585</v>
      </c>
      <c r="B20" s="183" t="s">
        <v>677</v>
      </c>
      <c r="C20" s="5" t="s">
        <v>678</v>
      </c>
      <c r="E20" s="178">
        <v>46028</v>
      </c>
      <c r="F20" s="189"/>
      <c r="H20" s="157" t="s">
        <v>582</v>
      </c>
      <c r="I20" s="186" t="s">
        <v>679</v>
      </c>
      <c r="J20" s="5" t="s">
        <v>680</v>
      </c>
      <c r="BL20" s="160" t="s">
        <v>577</v>
      </c>
      <c r="BM20" s="161" t="s">
        <v>681</v>
      </c>
    </row>
    <row r="21" spans="1:121" ht="15" customHeight="1">
      <c r="A21" s="5" t="s">
        <v>585</v>
      </c>
      <c r="B21" s="5" t="s">
        <v>614</v>
      </c>
      <c r="C21" s="5" t="s">
        <v>615</v>
      </c>
      <c r="E21" s="178">
        <v>46387</v>
      </c>
      <c r="F21" s="189"/>
      <c r="H21" s="157" t="s">
        <v>582</v>
      </c>
      <c r="I21" s="186" t="s">
        <v>682</v>
      </c>
      <c r="J21" s="5" t="s">
        <v>627</v>
      </c>
      <c r="BL21" s="160" t="s">
        <v>577</v>
      </c>
      <c r="BM21" s="161" t="s">
        <v>683</v>
      </c>
    </row>
    <row r="22" spans="1:121" ht="15" customHeight="1">
      <c r="A22" s="5" t="s">
        <v>585</v>
      </c>
      <c r="B22" s="183" t="s">
        <v>618</v>
      </c>
      <c r="C22" s="5" t="s">
        <v>619</v>
      </c>
      <c r="H22" s="157" t="s">
        <v>582</v>
      </c>
      <c r="I22" s="186" t="s">
        <v>684</v>
      </c>
      <c r="J22" s="5" t="s">
        <v>621</v>
      </c>
      <c r="BL22" s="160" t="s">
        <v>577</v>
      </c>
      <c r="BM22" s="161" t="s">
        <v>685</v>
      </c>
    </row>
    <row r="23" spans="1:121" ht="15" customHeight="1">
      <c r="A23" s="5" t="s">
        <v>585</v>
      </c>
      <c r="B23" s="5" t="s">
        <v>686</v>
      </c>
      <c r="C23" s="5" t="s">
        <v>687</v>
      </c>
      <c r="H23" s="157" t="s">
        <v>582</v>
      </c>
      <c r="I23" s="186" t="s">
        <v>688</v>
      </c>
      <c r="J23" s="5" t="s">
        <v>689</v>
      </c>
      <c r="BL23" s="160" t="s">
        <v>577</v>
      </c>
      <c r="BM23" s="161" t="s">
        <v>690</v>
      </c>
    </row>
    <row r="24" spans="1:121" ht="15" customHeight="1">
      <c r="A24" s="5" t="s">
        <v>585</v>
      </c>
      <c r="B24" s="5" t="s">
        <v>691</v>
      </c>
      <c r="C24" s="5" t="s">
        <v>692</v>
      </c>
      <c r="E24" s="178">
        <v>46027</v>
      </c>
      <c r="F24" s="189"/>
      <c r="H24" s="157" t="s">
        <v>582</v>
      </c>
      <c r="I24" s="186" t="s">
        <v>693</v>
      </c>
      <c r="J24" s="5" t="s">
        <v>694</v>
      </c>
      <c r="BL24" s="160" t="s">
        <v>577</v>
      </c>
      <c r="BM24" s="161" t="s">
        <v>695</v>
      </c>
    </row>
    <row r="25" spans="1:121" ht="15" customHeight="1">
      <c r="A25" s="5" t="s">
        <v>580</v>
      </c>
      <c r="B25" s="5" t="s">
        <v>696</v>
      </c>
      <c r="C25" s="5" t="s">
        <v>697</v>
      </c>
      <c r="E25" s="178">
        <v>46027</v>
      </c>
      <c r="F25" s="189"/>
      <c r="H25" s="157" t="s">
        <v>582</v>
      </c>
      <c r="I25" s="186" t="s">
        <v>698</v>
      </c>
      <c r="J25" s="5" t="s">
        <v>699</v>
      </c>
      <c r="BL25" s="160" t="s">
        <v>577</v>
      </c>
      <c r="BM25" s="161" t="s">
        <v>700</v>
      </c>
    </row>
    <row r="26" spans="1:121" ht="15" customHeight="1">
      <c r="A26" s="5" t="s">
        <v>580</v>
      </c>
      <c r="B26" s="183" t="s">
        <v>642</v>
      </c>
      <c r="C26" s="5" t="s">
        <v>573</v>
      </c>
      <c r="E26" s="178">
        <v>46387</v>
      </c>
      <c r="F26" s="189"/>
      <c r="H26" s="157" t="s">
        <v>582</v>
      </c>
      <c r="I26" s="200" t="s">
        <v>600</v>
      </c>
      <c r="BL26" s="160" t="s">
        <v>577</v>
      </c>
      <c r="BM26" s="161" t="s">
        <v>701</v>
      </c>
    </row>
    <row r="27" spans="1:121" ht="15" customHeight="1">
      <c r="A27" s="5" t="s">
        <v>580</v>
      </c>
      <c r="B27" s="5" t="s">
        <v>702</v>
      </c>
      <c r="C27" s="5" t="s">
        <v>703</v>
      </c>
      <c r="E27" s="178">
        <v>46028</v>
      </c>
      <c r="F27" s="189"/>
      <c r="H27" s="157" t="s">
        <v>582</v>
      </c>
      <c r="I27" s="200" t="s">
        <v>704</v>
      </c>
      <c r="BL27" s="160" t="s">
        <v>577</v>
      </c>
      <c r="BM27" s="161" t="s">
        <v>705</v>
      </c>
    </row>
    <row r="28" spans="1:121" ht="15" customHeight="1">
      <c r="A28" s="5" t="s">
        <v>580</v>
      </c>
      <c r="B28" s="5" t="s">
        <v>648</v>
      </c>
      <c r="C28" s="5" t="s">
        <v>649</v>
      </c>
      <c r="E28" s="178">
        <v>46387</v>
      </c>
      <c r="F28" s="189"/>
      <c r="H28" s="157" t="s">
        <v>582</v>
      </c>
      <c r="I28" s="193" t="s">
        <v>706</v>
      </c>
      <c r="J28" s="5" t="s">
        <v>575</v>
      </c>
      <c r="BL28" s="160" t="s">
        <v>577</v>
      </c>
      <c r="BM28" s="161" t="s">
        <v>707</v>
      </c>
    </row>
    <row r="29" spans="1:121" ht="15" customHeight="1">
      <c r="A29" s="5" t="s">
        <v>580</v>
      </c>
      <c r="B29" s="5" t="s">
        <v>708</v>
      </c>
      <c r="H29" s="157" t="s">
        <v>582</v>
      </c>
      <c r="I29" s="186" t="s">
        <v>709</v>
      </c>
      <c r="J29" s="5" t="s">
        <v>710</v>
      </c>
      <c r="BL29" s="160" t="s">
        <v>577</v>
      </c>
      <c r="BM29" s="161" t="s">
        <v>711</v>
      </c>
    </row>
    <row r="30" spans="1:121" ht="15" customHeight="1">
      <c r="A30" s="5" t="s">
        <v>580</v>
      </c>
      <c r="B30" s="5" t="s">
        <v>712</v>
      </c>
      <c r="C30" s="5" t="s">
        <v>713</v>
      </c>
      <c r="E30" s="178">
        <v>46029</v>
      </c>
      <c r="F30" s="189"/>
      <c r="H30" s="157" t="s">
        <v>582</v>
      </c>
      <c r="I30" s="200" t="s">
        <v>714</v>
      </c>
      <c r="BL30" s="160" t="s">
        <v>577</v>
      </c>
      <c r="BM30" s="161" t="s">
        <v>715</v>
      </c>
    </row>
    <row r="31" spans="1:121" ht="15" customHeight="1">
      <c r="A31" s="5" t="s">
        <v>580</v>
      </c>
      <c r="B31" s="5" t="s">
        <v>651</v>
      </c>
      <c r="C31" s="5" t="s">
        <v>652</v>
      </c>
      <c r="E31" s="178">
        <v>46387</v>
      </c>
      <c r="F31" s="189"/>
      <c r="H31" s="157" t="s">
        <v>582</v>
      </c>
      <c r="I31" s="186" t="s">
        <v>716</v>
      </c>
      <c r="J31" s="5" t="s">
        <v>644</v>
      </c>
      <c r="BL31" s="160" t="s">
        <v>577</v>
      </c>
      <c r="BM31" s="161" t="s">
        <v>717</v>
      </c>
    </row>
    <row r="32" spans="1:121" ht="15" customHeight="1">
      <c r="A32" s="5" t="s">
        <v>580</v>
      </c>
      <c r="B32" s="5" t="s">
        <v>718</v>
      </c>
      <c r="H32" s="157" t="s">
        <v>582</v>
      </c>
      <c r="I32" s="200" t="s">
        <v>719</v>
      </c>
      <c r="BL32" s="160" t="s">
        <v>577</v>
      </c>
      <c r="BM32" s="161" t="s">
        <v>720</v>
      </c>
    </row>
    <row r="33" spans="1:123" ht="15" customHeight="1">
      <c r="A33" s="5" t="s">
        <v>580</v>
      </c>
      <c r="B33" s="5" t="s">
        <v>721</v>
      </c>
      <c r="H33" s="157" t="s">
        <v>582</v>
      </c>
      <c r="I33" s="186" t="s">
        <v>722</v>
      </c>
      <c r="J33" s="5" t="s">
        <v>723</v>
      </c>
      <c r="BL33" s="160" t="s">
        <v>577</v>
      </c>
      <c r="BM33" s="161" t="s">
        <v>724</v>
      </c>
    </row>
    <row r="34" spans="1:123" ht="15" customHeight="1">
      <c r="A34" s="5" t="s">
        <v>580</v>
      </c>
      <c r="B34" s="5" t="s">
        <v>725</v>
      </c>
      <c r="H34" s="157" t="s">
        <v>582</v>
      </c>
      <c r="I34" s="186" t="s">
        <v>726</v>
      </c>
      <c r="J34" s="5" t="s">
        <v>727</v>
      </c>
      <c r="BL34" s="160" t="s">
        <v>577</v>
      </c>
      <c r="BM34" s="161" t="s">
        <v>728</v>
      </c>
    </row>
    <row r="35" spans="1:123" ht="15" customHeight="1">
      <c r="A35" s="5" t="s">
        <v>580</v>
      </c>
      <c r="B35" s="166" t="s">
        <v>729</v>
      </c>
      <c r="H35" s="157" t="s">
        <v>582</v>
      </c>
      <c r="I35" s="187" t="s">
        <v>730</v>
      </c>
      <c r="J35" s="5" t="s">
        <v>731</v>
      </c>
      <c r="BL35" s="160" t="s">
        <v>577</v>
      </c>
      <c r="BM35" s="161" t="s">
        <v>732</v>
      </c>
    </row>
    <row r="36" spans="1:123" ht="15" customHeight="1">
      <c r="A36" s="5" t="s">
        <v>580</v>
      </c>
      <c r="B36" s="5" t="s">
        <v>733</v>
      </c>
      <c r="H36" s="157" t="s">
        <v>582</v>
      </c>
      <c r="I36" s="186" t="s">
        <v>734</v>
      </c>
      <c r="J36" s="5" t="s">
        <v>735</v>
      </c>
      <c r="BL36" s="160" t="s">
        <v>577</v>
      </c>
      <c r="BM36" s="161" t="s">
        <v>736</v>
      </c>
    </row>
    <row r="37" spans="1:123" ht="15" customHeight="1">
      <c r="A37" s="5" t="s">
        <v>580</v>
      </c>
      <c r="B37" s="5" t="s">
        <v>737</v>
      </c>
      <c r="H37" s="157" t="s">
        <v>582</v>
      </c>
      <c r="I37" s="200" t="s">
        <v>738</v>
      </c>
      <c r="BL37" s="160" t="s">
        <v>577</v>
      </c>
      <c r="BM37" s="161" t="s">
        <v>739</v>
      </c>
    </row>
    <row r="38" spans="1:123" ht="15" customHeight="1">
      <c r="A38" s="5" t="s">
        <v>580</v>
      </c>
      <c r="B38" s="5" t="s">
        <v>655</v>
      </c>
      <c r="C38" s="5" t="s">
        <v>591</v>
      </c>
      <c r="E38" s="178">
        <v>46387</v>
      </c>
      <c r="F38" s="189"/>
      <c r="H38" s="157" t="s">
        <v>582</v>
      </c>
      <c r="I38" s="186" t="s">
        <v>740</v>
      </c>
      <c r="J38" s="5" t="s">
        <v>741</v>
      </c>
      <c r="BL38" s="160" t="s">
        <v>577</v>
      </c>
      <c r="BM38" s="161" t="s">
        <v>742</v>
      </c>
    </row>
    <row r="39" spans="1:123" ht="15" customHeight="1">
      <c r="A39" s="5" t="s">
        <v>580</v>
      </c>
      <c r="B39" s="5" t="s">
        <v>743</v>
      </c>
      <c r="H39" s="157" t="s">
        <v>582</v>
      </c>
      <c r="I39" s="200" t="s">
        <v>744</v>
      </c>
      <c r="BL39" s="160" t="s">
        <v>577</v>
      </c>
      <c r="BM39" s="161" t="s">
        <v>611</v>
      </c>
    </row>
    <row r="40" spans="1:123" ht="15" customHeight="1">
      <c r="A40" s="5" t="s">
        <v>580</v>
      </c>
      <c r="B40" s="5" t="s">
        <v>659</v>
      </c>
      <c r="C40" s="5" t="s">
        <v>660</v>
      </c>
      <c r="E40" s="178">
        <v>46024</v>
      </c>
      <c r="F40" s="189"/>
      <c r="H40" s="157" t="s">
        <v>582</v>
      </c>
      <c r="I40" s="200" t="s">
        <v>745</v>
      </c>
      <c r="BL40" s="160" t="s">
        <v>577</v>
      </c>
      <c r="BM40" s="161" t="s">
        <v>746</v>
      </c>
    </row>
    <row r="41" spans="1:123" ht="15" customHeight="1">
      <c r="A41" s="5" t="s">
        <v>580</v>
      </c>
      <c r="B41" s="5" t="s">
        <v>747</v>
      </c>
      <c r="C41" s="5" t="s">
        <v>748</v>
      </c>
      <c r="E41" s="178">
        <v>46029</v>
      </c>
      <c r="F41" s="189"/>
      <c r="H41" s="157" t="s">
        <v>582</v>
      </c>
      <c r="I41" s="186" t="s">
        <v>749</v>
      </c>
      <c r="J41" t="s">
        <v>750</v>
      </c>
      <c r="K41" s="178"/>
      <c r="BL41" s="160" t="s">
        <v>577</v>
      </c>
      <c r="BM41" s="161" t="s">
        <v>751</v>
      </c>
    </row>
    <row r="42" spans="1:123" ht="15" customHeight="1">
      <c r="A42" s="5" t="s">
        <v>580</v>
      </c>
      <c r="B42" s="5" t="s">
        <v>663</v>
      </c>
      <c r="C42" s="5" t="s">
        <v>664</v>
      </c>
      <c r="E42" s="178">
        <v>46029</v>
      </c>
      <c r="F42" s="189"/>
      <c r="H42" s="157" t="s">
        <v>582</v>
      </c>
      <c r="I42" s="200" t="s">
        <v>752</v>
      </c>
      <c r="R42" s="178"/>
      <c r="Y42" s="178"/>
      <c r="AF42" s="178"/>
      <c r="AM42" s="178"/>
      <c r="AT42" s="178"/>
      <c r="BA42" s="178"/>
      <c r="BH42" s="178"/>
      <c r="BL42" s="160" t="s">
        <v>577</v>
      </c>
      <c r="BM42" s="161" t="s">
        <v>753</v>
      </c>
      <c r="BO42" s="178"/>
      <c r="BV42" s="178"/>
      <c r="CC42" s="178"/>
      <c r="CJ42" s="178"/>
      <c r="CQ42" s="178"/>
      <c r="CX42" s="178"/>
      <c r="DE42" s="178"/>
      <c r="DL42" s="178"/>
      <c r="DS42" s="178"/>
    </row>
    <row r="43" spans="1:123" ht="15" customHeight="1">
      <c r="A43" s="5" t="s">
        <v>580</v>
      </c>
      <c r="B43" s="5" t="s">
        <v>603</v>
      </c>
      <c r="C43" s="178" t="s">
        <v>604</v>
      </c>
      <c r="D43" s="178"/>
      <c r="H43" s="157" t="s">
        <v>582</v>
      </c>
      <c r="I43" s="186" t="s">
        <v>754</v>
      </c>
      <c r="J43" s="5" t="s">
        <v>755</v>
      </c>
      <c r="BL43" s="160" t="s">
        <v>577</v>
      </c>
      <c r="BM43" s="161" t="s">
        <v>756</v>
      </c>
    </row>
    <row r="44" spans="1:123" ht="15" customHeight="1">
      <c r="A44" s="5" t="s">
        <v>580</v>
      </c>
      <c r="B44" s="5" t="s">
        <v>757</v>
      </c>
      <c r="C44" s="5" t="s">
        <v>758</v>
      </c>
      <c r="E44" s="178">
        <v>46024</v>
      </c>
      <c r="F44" s="189"/>
      <c r="H44" s="157" t="s">
        <v>582</v>
      </c>
      <c r="I44" s="200" t="s">
        <v>759</v>
      </c>
      <c r="BL44" s="160" t="s">
        <v>577</v>
      </c>
      <c r="BM44" s="161" t="s">
        <v>760</v>
      </c>
    </row>
    <row r="45" spans="1:123" ht="15" customHeight="1">
      <c r="A45" s="5" t="s">
        <v>580</v>
      </c>
      <c r="B45" s="5" t="s">
        <v>761</v>
      </c>
      <c r="H45" s="157" t="s">
        <v>582</v>
      </c>
      <c r="I45" s="186" t="s">
        <v>762</v>
      </c>
      <c r="J45" s="5" t="s">
        <v>657</v>
      </c>
      <c r="BL45" s="160" t="s">
        <v>577</v>
      </c>
      <c r="BM45" s="161" t="s">
        <v>763</v>
      </c>
    </row>
    <row r="46" spans="1:123" ht="15" customHeight="1">
      <c r="A46" s="5" t="s">
        <v>580</v>
      </c>
      <c r="B46" s="5" t="s">
        <v>764</v>
      </c>
      <c r="C46" s="5" t="s">
        <v>765</v>
      </c>
      <c r="E46" s="178">
        <v>46029</v>
      </c>
      <c r="F46" s="189"/>
      <c r="H46" s="157" t="s">
        <v>582</v>
      </c>
      <c r="I46" s="186" t="s">
        <v>766</v>
      </c>
      <c r="J46" s="5" t="s">
        <v>767</v>
      </c>
      <c r="BL46" s="160" t="s">
        <v>577</v>
      </c>
      <c r="BM46" s="161" t="s">
        <v>768</v>
      </c>
    </row>
    <row r="47" spans="1:123" ht="15" customHeight="1">
      <c r="A47" s="5" t="s">
        <v>580</v>
      </c>
      <c r="B47" s="191" t="s">
        <v>673</v>
      </c>
      <c r="C47" s="5" t="s">
        <v>674</v>
      </c>
      <c r="E47" s="178">
        <v>46030</v>
      </c>
      <c r="F47" s="189"/>
      <c r="I47" s="6"/>
      <c r="BL47" s="160" t="s">
        <v>582</v>
      </c>
      <c r="BM47" s="196" t="s">
        <v>547</v>
      </c>
    </row>
    <row r="48" spans="1:123" ht="15" customHeight="1">
      <c r="A48" s="5" t="s">
        <v>580</v>
      </c>
      <c r="B48" s="5" t="s">
        <v>769</v>
      </c>
      <c r="C48" s="5" t="s">
        <v>770</v>
      </c>
      <c r="E48" s="178">
        <v>46030</v>
      </c>
      <c r="F48" s="189"/>
      <c r="BL48" s="160" t="s">
        <v>582</v>
      </c>
      <c r="BM48" s="161" t="s">
        <v>598</v>
      </c>
    </row>
    <row r="49" spans="1:65" ht="15" customHeight="1">
      <c r="A49" s="5" t="s">
        <v>580</v>
      </c>
      <c r="B49" s="5" t="s">
        <v>771</v>
      </c>
      <c r="C49" s="5" t="s">
        <v>772</v>
      </c>
      <c r="E49" s="178">
        <v>46030</v>
      </c>
      <c r="F49" s="189"/>
      <c r="BL49" s="160" t="s">
        <v>582</v>
      </c>
      <c r="BM49" s="161" t="s">
        <v>611</v>
      </c>
    </row>
    <row r="50" spans="1:65" ht="15" customHeight="1">
      <c r="A50" s="5" t="s">
        <v>580</v>
      </c>
      <c r="B50" s="5" t="s">
        <v>773</v>
      </c>
      <c r="C50" s="5" t="s">
        <v>774</v>
      </c>
      <c r="E50" s="178">
        <v>46024</v>
      </c>
      <c r="F50" s="189"/>
      <c r="BL50" s="160" t="s">
        <v>582</v>
      </c>
      <c r="BM50" s="161" t="s">
        <v>616</v>
      </c>
    </row>
    <row r="51" spans="1:65" ht="15" customHeight="1">
      <c r="A51" s="5" t="s">
        <v>580</v>
      </c>
      <c r="B51" s="5" t="s">
        <v>775</v>
      </c>
      <c r="C51" s="5" t="s">
        <v>776</v>
      </c>
      <c r="E51" s="178">
        <v>46024</v>
      </c>
      <c r="F51" s="189"/>
      <c r="BL51" s="160" t="s">
        <v>582</v>
      </c>
      <c r="BM51" s="161" t="s">
        <v>622</v>
      </c>
    </row>
    <row r="52" spans="1:65" ht="15" customHeight="1">
      <c r="A52" s="5" t="s">
        <v>580</v>
      </c>
      <c r="B52" s="5" t="s">
        <v>677</v>
      </c>
      <c r="C52" s="5" t="s">
        <v>678</v>
      </c>
      <c r="E52" s="178">
        <v>46030</v>
      </c>
      <c r="F52" s="189"/>
      <c r="BL52" s="160" t="s">
        <v>582</v>
      </c>
      <c r="BM52" s="161" t="s">
        <v>630</v>
      </c>
    </row>
    <row r="53" spans="1:65" ht="15" customHeight="1">
      <c r="A53" s="5" t="s">
        <v>580</v>
      </c>
      <c r="B53" s="5" t="s">
        <v>777</v>
      </c>
      <c r="C53" s="5" t="s">
        <v>778</v>
      </c>
      <c r="E53" s="178">
        <v>46024</v>
      </c>
      <c r="F53" s="189"/>
      <c r="BL53" s="160" t="s">
        <v>582</v>
      </c>
      <c r="BM53" s="161" t="s">
        <v>635</v>
      </c>
    </row>
    <row r="54" spans="1:65" ht="15" customHeight="1">
      <c r="A54" s="5" t="s">
        <v>580</v>
      </c>
      <c r="B54" s="5" t="s">
        <v>779</v>
      </c>
      <c r="C54" s="5" t="s">
        <v>780</v>
      </c>
      <c r="E54" s="178">
        <v>46030</v>
      </c>
      <c r="F54" s="189"/>
      <c r="BL54" s="160" t="s">
        <v>582</v>
      </c>
      <c r="BM54" s="161" t="s">
        <v>640</v>
      </c>
    </row>
    <row r="55" spans="1:65" ht="15" customHeight="1">
      <c r="A55" s="5" t="s">
        <v>580</v>
      </c>
      <c r="B55" s="197" t="s">
        <v>781</v>
      </c>
      <c r="BL55" s="160" t="s">
        <v>582</v>
      </c>
      <c r="BM55" s="161" t="s">
        <v>646</v>
      </c>
    </row>
    <row r="56" spans="1:65" ht="15" customHeight="1">
      <c r="A56" s="5" t="s">
        <v>580</v>
      </c>
      <c r="B56" s="5" t="s">
        <v>614</v>
      </c>
      <c r="C56" s="5" t="s">
        <v>615</v>
      </c>
      <c r="E56" s="178">
        <v>46387</v>
      </c>
      <c r="F56" s="189"/>
      <c r="BL56" s="160" t="s">
        <v>582</v>
      </c>
      <c r="BM56" s="161" t="s">
        <v>650</v>
      </c>
    </row>
    <row r="57" spans="1:65" ht="15" customHeight="1">
      <c r="A57" s="5" t="s">
        <v>580</v>
      </c>
      <c r="B57" s="5" t="s">
        <v>618</v>
      </c>
      <c r="C57" s="5" t="s">
        <v>619</v>
      </c>
      <c r="BL57" s="160" t="s">
        <v>582</v>
      </c>
      <c r="BM57" s="161" t="s">
        <v>654</v>
      </c>
    </row>
    <row r="58" spans="1:65" ht="15" customHeight="1">
      <c r="A58" s="5" t="s">
        <v>580</v>
      </c>
      <c r="B58" s="5" t="s">
        <v>782</v>
      </c>
      <c r="BL58" s="160" t="s">
        <v>582</v>
      </c>
      <c r="BM58" s="161" t="s">
        <v>658</v>
      </c>
    </row>
    <row r="59" spans="1:65" ht="15" customHeight="1">
      <c r="A59" s="5" t="s">
        <v>580</v>
      </c>
      <c r="B59" s="5" t="s">
        <v>783</v>
      </c>
      <c r="BL59" s="160" t="s">
        <v>582</v>
      </c>
      <c r="BM59" s="161" t="s">
        <v>662</v>
      </c>
    </row>
    <row r="60" spans="1:65" ht="15" customHeight="1">
      <c r="A60" s="5" t="s">
        <v>580</v>
      </c>
      <c r="B60" s="5" t="s">
        <v>784</v>
      </c>
      <c r="C60" s="5" t="s">
        <v>785</v>
      </c>
      <c r="E60" s="178">
        <v>46025</v>
      </c>
      <c r="F60" s="189"/>
      <c r="BL60" s="160" t="s">
        <v>582</v>
      </c>
      <c r="BM60" s="161" t="s">
        <v>667</v>
      </c>
    </row>
    <row r="61" spans="1:65" ht="15" customHeight="1">
      <c r="A61" s="5" t="s">
        <v>580</v>
      </c>
      <c r="B61" s="5" t="s">
        <v>786</v>
      </c>
      <c r="C61" s="5" t="s">
        <v>787</v>
      </c>
      <c r="E61" s="178">
        <v>46025</v>
      </c>
      <c r="F61" s="189"/>
      <c r="BL61" s="160" t="s">
        <v>582</v>
      </c>
      <c r="BM61" s="161" t="s">
        <v>669</v>
      </c>
    </row>
    <row r="62" spans="1:65" ht="15" customHeight="1">
      <c r="A62" s="5" t="s">
        <v>580</v>
      </c>
      <c r="B62" s="5" t="s">
        <v>788</v>
      </c>
      <c r="BL62" s="160" t="s">
        <v>582</v>
      </c>
      <c r="BM62" s="161" t="s">
        <v>672</v>
      </c>
    </row>
    <row r="63" spans="1:65" ht="15" customHeight="1">
      <c r="A63" s="103" t="s">
        <v>580</v>
      </c>
      <c r="B63" s="162" t="s">
        <v>789</v>
      </c>
      <c r="BL63" s="160" t="s">
        <v>582</v>
      </c>
      <c r="BM63" s="161" t="s">
        <v>676</v>
      </c>
    </row>
    <row r="64" spans="1:65" ht="15" customHeight="1">
      <c r="A64" s="5" t="s">
        <v>580</v>
      </c>
      <c r="B64" s="87" t="s">
        <v>686</v>
      </c>
      <c r="C64" s="5" t="s">
        <v>687</v>
      </c>
      <c r="BL64" s="160" t="s">
        <v>582</v>
      </c>
      <c r="BM64" s="161" t="s">
        <v>681</v>
      </c>
    </row>
    <row r="65" spans="1:65" ht="15" customHeight="1">
      <c r="A65" s="5" t="s">
        <v>580</v>
      </c>
      <c r="B65" s="5" t="s">
        <v>790</v>
      </c>
      <c r="C65" s="5" t="s">
        <v>791</v>
      </c>
      <c r="E65" s="178">
        <v>46030</v>
      </c>
      <c r="F65" s="189"/>
      <c r="BL65" s="160" t="s">
        <v>582</v>
      </c>
      <c r="BM65" s="161" t="s">
        <v>683</v>
      </c>
    </row>
    <row r="66" spans="1:65" ht="15" customHeight="1">
      <c r="A66" s="5" t="s">
        <v>580</v>
      </c>
      <c r="B66" s="5" t="s">
        <v>792</v>
      </c>
      <c r="C66" s="5" t="s">
        <v>793</v>
      </c>
      <c r="E66" s="178">
        <v>46025</v>
      </c>
      <c r="F66" s="189"/>
      <c r="BL66" s="160" t="s">
        <v>582</v>
      </c>
      <c r="BM66" s="161" t="s">
        <v>685</v>
      </c>
    </row>
    <row r="67" spans="1:65" ht="15" customHeight="1">
      <c r="A67" s="5" t="s">
        <v>609</v>
      </c>
      <c r="B67" s="5" t="s">
        <v>572</v>
      </c>
      <c r="C67" s="5" t="s">
        <v>573</v>
      </c>
      <c r="BL67" s="160" t="s">
        <v>582</v>
      </c>
      <c r="BM67" s="161" t="s">
        <v>690</v>
      </c>
    </row>
    <row r="68" spans="1:65" ht="15" customHeight="1">
      <c r="A68" s="5" t="s">
        <v>609</v>
      </c>
      <c r="B68" s="5" t="s">
        <v>696</v>
      </c>
      <c r="C68" s="5" t="s">
        <v>697</v>
      </c>
      <c r="E68" s="178">
        <v>46030</v>
      </c>
      <c r="F68" s="189"/>
      <c r="BL68" s="160" t="s">
        <v>582</v>
      </c>
      <c r="BM68" s="161" t="s">
        <v>695</v>
      </c>
    </row>
    <row r="69" spans="1:65" ht="15" customHeight="1">
      <c r="A69" s="5" t="s">
        <v>609</v>
      </c>
      <c r="B69" s="5" t="s">
        <v>794</v>
      </c>
      <c r="BL69" s="160" t="s">
        <v>582</v>
      </c>
      <c r="BM69" s="161" t="s">
        <v>700</v>
      </c>
    </row>
    <row r="70" spans="1:65" ht="15" customHeight="1">
      <c r="A70" s="5" t="s">
        <v>609</v>
      </c>
      <c r="B70" s="5" t="s">
        <v>795</v>
      </c>
      <c r="BL70" s="160" t="s">
        <v>582</v>
      </c>
      <c r="BM70" s="161" t="s">
        <v>701</v>
      </c>
    </row>
    <row r="71" spans="1:65" ht="15" customHeight="1">
      <c r="A71" s="5" t="s">
        <v>609</v>
      </c>
      <c r="B71" s="5" t="s">
        <v>796</v>
      </c>
      <c r="BL71" s="160" t="s">
        <v>582</v>
      </c>
      <c r="BM71" s="161" t="s">
        <v>705</v>
      </c>
    </row>
    <row r="72" spans="1:65" ht="15" customHeight="1">
      <c r="A72" s="5" t="s">
        <v>609</v>
      </c>
      <c r="B72" s="5" t="s">
        <v>797</v>
      </c>
      <c r="BL72" s="160" t="s">
        <v>582</v>
      </c>
      <c r="BM72" s="161" t="s">
        <v>707</v>
      </c>
    </row>
    <row r="73" spans="1:65" ht="15" customHeight="1">
      <c r="A73" s="5" t="s">
        <v>609</v>
      </c>
      <c r="B73" s="5" t="s">
        <v>798</v>
      </c>
      <c r="BL73" s="160" t="s">
        <v>582</v>
      </c>
      <c r="BM73" s="161" t="s">
        <v>711</v>
      </c>
    </row>
    <row r="74" spans="1:65" ht="15" customHeight="1">
      <c r="A74" s="5" t="s">
        <v>609</v>
      </c>
      <c r="B74" s="5" t="s">
        <v>799</v>
      </c>
      <c r="BL74" s="160" t="s">
        <v>582</v>
      </c>
      <c r="BM74" s="161" t="s">
        <v>715</v>
      </c>
    </row>
    <row r="75" spans="1:65" ht="15" customHeight="1">
      <c r="A75" s="5" t="s">
        <v>609</v>
      </c>
      <c r="B75" s="5" t="s">
        <v>800</v>
      </c>
      <c r="BL75" s="160" t="s">
        <v>582</v>
      </c>
      <c r="BM75" s="161" t="s">
        <v>717</v>
      </c>
    </row>
    <row r="76" spans="1:65" ht="15" customHeight="1">
      <c r="A76" s="5" t="s">
        <v>609</v>
      </c>
      <c r="B76" s="5" t="s">
        <v>801</v>
      </c>
      <c r="BL76" s="160" t="s">
        <v>582</v>
      </c>
      <c r="BM76" s="161" t="s">
        <v>720</v>
      </c>
    </row>
    <row r="77" spans="1:65" ht="15" customHeight="1">
      <c r="A77" s="5" t="s">
        <v>609</v>
      </c>
      <c r="B77" s="5" t="s">
        <v>590</v>
      </c>
      <c r="C77" s="5" t="s">
        <v>591</v>
      </c>
      <c r="E77" s="178">
        <v>46025</v>
      </c>
      <c r="F77" s="189"/>
      <c r="BL77" s="160" t="s">
        <v>582</v>
      </c>
      <c r="BM77" s="161" t="s">
        <v>724</v>
      </c>
    </row>
    <row r="78" spans="1:65" ht="15" customHeight="1">
      <c r="A78" s="5" t="s">
        <v>609</v>
      </c>
      <c r="B78" s="5" t="s">
        <v>802</v>
      </c>
      <c r="BL78" s="160" t="s">
        <v>582</v>
      </c>
      <c r="BM78" s="161" t="s">
        <v>728</v>
      </c>
    </row>
    <row r="79" spans="1:65" ht="15" customHeight="1">
      <c r="A79" s="5" t="s">
        <v>609</v>
      </c>
      <c r="B79" s="5" t="s">
        <v>803</v>
      </c>
      <c r="BL79" s="160" t="s">
        <v>582</v>
      </c>
      <c r="BM79" s="161" t="s">
        <v>732</v>
      </c>
    </row>
    <row r="80" spans="1:65" ht="15" customHeight="1">
      <c r="A80" s="5" t="s">
        <v>609</v>
      </c>
      <c r="B80" s="5" t="s">
        <v>757</v>
      </c>
      <c r="C80" s="5" t="s">
        <v>758</v>
      </c>
      <c r="BL80" s="160" t="s">
        <v>582</v>
      </c>
      <c r="BM80" s="161" t="s">
        <v>736</v>
      </c>
    </row>
    <row r="81" spans="1:65" ht="15" customHeight="1">
      <c r="A81" s="5" t="s">
        <v>609</v>
      </c>
      <c r="B81" s="5" t="s">
        <v>670</v>
      </c>
      <c r="BL81" s="160" t="s">
        <v>582</v>
      </c>
      <c r="BM81" s="161" t="s">
        <v>739</v>
      </c>
    </row>
    <row r="82" spans="1:65" ht="15" customHeight="1">
      <c r="A82" s="5" t="s">
        <v>609</v>
      </c>
      <c r="B82" s="5" t="s">
        <v>804</v>
      </c>
      <c r="BL82" s="160" t="s">
        <v>582</v>
      </c>
      <c r="BM82" s="161" t="s">
        <v>742</v>
      </c>
    </row>
    <row r="83" spans="1:65" ht="15" customHeight="1">
      <c r="A83" s="5" t="s">
        <v>609</v>
      </c>
      <c r="B83" s="5" t="s">
        <v>805</v>
      </c>
      <c r="BL83" s="160" t="s">
        <v>582</v>
      </c>
      <c r="BM83" s="161" t="s">
        <v>611</v>
      </c>
    </row>
    <row r="84" spans="1:65" ht="15" customHeight="1">
      <c r="A84" s="5" t="s">
        <v>609</v>
      </c>
      <c r="B84" s="191" t="s">
        <v>806</v>
      </c>
      <c r="BL84" s="160" t="s">
        <v>582</v>
      </c>
      <c r="BM84" s="161" t="s">
        <v>746</v>
      </c>
    </row>
    <row r="85" spans="1:65" ht="15" customHeight="1">
      <c r="A85" s="5" t="s">
        <v>609</v>
      </c>
      <c r="B85" s="5" t="s">
        <v>807</v>
      </c>
      <c r="BL85" s="160" t="s">
        <v>582</v>
      </c>
      <c r="BM85" s="161" t="s">
        <v>751</v>
      </c>
    </row>
    <row r="86" spans="1:65" ht="15" customHeight="1">
      <c r="A86" s="5" t="s">
        <v>609</v>
      </c>
      <c r="B86" s="5" t="s">
        <v>638</v>
      </c>
      <c r="C86" s="5" t="s">
        <v>808</v>
      </c>
      <c r="E86" s="178">
        <v>46030</v>
      </c>
      <c r="F86" s="189"/>
      <c r="BL86" s="160" t="s">
        <v>582</v>
      </c>
      <c r="BM86" s="161" t="s">
        <v>753</v>
      </c>
    </row>
    <row r="87" spans="1:65" ht="15" customHeight="1">
      <c r="A87" s="5" t="s">
        <v>609</v>
      </c>
      <c r="B87" s="5" t="s">
        <v>809</v>
      </c>
      <c r="BL87" s="160" t="s">
        <v>582</v>
      </c>
      <c r="BM87" s="161" t="s">
        <v>756</v>
      </c>
    </row>
    <row r="88" spans="1:65" ht="15" customHeight="1">
      <c r="A88" s="5" t="s">
        <v>609</v>
      </c>
      <c r="B88" s="5" t="s">
        <v>810</v>
      </c>
      <c r="BL88" s="160" t="s">
        <v>582</v>
      </c>
      <c r="BM88" s="161" t="s">
        <v>760</v>
      </c>
    </row>
    <row r="89" spans="1:65" ht="15" customHeight="1">
      <c r="A89" s="5" t="s">
        <v>609</v>
      </c>
      <c r="B89" s="5" t="s">
        <v>811</v>
      </c>
      <c r="BL89" s="160" t="s">
        <v>582</v>
      </c>
      <c r="BM89" s="161" t="s">
        <v>763</v>
      </c>
    </row>
    <row r="90" spans="1:65" ht="15" customHeight="1">
      <c r="A90" s="5" t="s">
        <v>609</v>
      </c>
      <c r="B90" s="5" t="s">
        <v>812</v>
      </c>
      <c r="BL90" s="160" t="s">
        <v>582</v>
      </c>
      <c r="BM90" s="161" t="s">
        <v>768</v>
      </c>
    </row>
    <row r="91" spans="1:65" ht="15" customHeight="1">
      <c r="A91" s="5" t="s">
        <v>609</v>
      </c>
      <c r="B91" s="5" t="s">
        <v>813</v>
      </c>
    </row>
    <row r="92" spans="1:65" ht="15" customHeight="1">
      <c r="A92" s="5" t="s">
        <v>609</v>
      </c>
      <c r="B92" s="5" t="s">
        <v>814</v>
      </c>
    </row>
    <row r="93" spans="1:65" ht="15" customHeight="1">
      <c r="A93" s="5" t="s">
        <v>609</v>
      </c>
      <c r="B93" s="5" t="s">
        <v>815</v>
      </c>
    </row>
    <row r="94" spans="1:65" ht="15" customHeight="1">
      <c r="A94" s="5" t="s">
        <v>609</v>
      </c>
      <c r="B94" s="5" t="s">
        <v>816</v>
      </c>
    </row>
    <row r="95" spans="1:65" ht="15" customHeight="1">
      <c r="A95" s="5" t="s">
        <v>609</v>
      </c>
      <c r="B95" s="5" t="s">
        <v>817</v>
      </c>
    </row>
    <row r="96" spans="1:65" ht="15" customHeight="1">
      <c r="A96" s="5" t="s">
        <v>609</v>
      </c>
      <c r="B96" s="5" t="s">
        <v>818</v>
      </c>
    </row>
  </sheetData>
  <autoFilter ref="A2:DV96" xr:uid="{A876FA19-E3C0-46F3-82C1-226222E4B2DE}"/>
  <mergeCells count="18">
    <mergeCell ref="AJ1:AP1"/>
    <mergeCell ref="AQ1:AW1"/>
    <mergeCell ref="A1:G1"/>
    <mergeCell ref="H1:N1"/>
    <mergeCell ref="O1:U1"/>
    <mergeCell ref="V1:AB1"/>
    <mergeCell ref="AC1:AI1"/>
    <mergeCell ref="AX1:BD1"/>
    <mergeCell ref="BE1:BK1"/>
    <mergeCell ref="BL1:BR1"/>
    <mergeCell ref="BS1:BY1"/>
    <mergeCell ref="BZ1:CF1"/>
    <mergeCell ref="DP1:DV1"/>
    <mergeCell ref="CG1:CM1"/>
    <mergeCell ref="CN1:CT1"/>
    <mergeCell ref="CU1:DA1"/>
    <mergeCell ref="DB1:DH1"/>
    <mergeCell ref="DI1:DO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CAA75-63BB-432F-99B4-324BA9B66737}">
  <dimension ref="B3:H9"/>
  <sheetViews>
    <sheetView workbookViewId="0">
      <selection activeCell="F4" sqref="F4:F7"/>
    </sheetView>
  </sheetViews>
  <sheetFormatPr defaultRowHeight="15"/>
  <cols>
    <col min="2" max="2" width="17.140625" bestFit="1" customWidth="1"/>
    <col min="3" max="3" width="36.5703125" bestFit="1" customWidth="1"/>
    <col min="4" max="4" width="12.140625" bestFit="1" customWidth="1"/>
    <col min="5" max="5" width="13.5703125" bestFit="1" customWidth="1"/>
    <col min="6" max="6" width="16.5703125" customWidth="1"/>
    <col min="7" max="7" width="57.85546875" customWidth="1"/>
    <col min="8" max="8" width="36.140625" style="12" customWidth="1"/>
  </cols>
  <sheetData>
    <row r="3" spans="2:8" ht="45">
      <c r="B3" s="183" t="s">
        <v>819</v>
      </c>
      <c r="C3" s="183" t="s">
        <v>820</v>
      </c>
      <c r="D3" s="183" t="s">
        <v>821</v>
      </c>
      <c r="E3" s="183" t="s">
        <v>822</v>
      </c>
      <c r="F3" s="184" t="s">
        <v>823</v>
      </c>
      <c r="G3" s="183" t="s">
        <v>16</v>
      </c>
      <c r="H3" s="184" t="s">
        <v>824</v>
      </c>
    </row>
    <row r="4" spans="2:8" ht="15" customHeight="1">
      <c r="B4" s="5" t="s">
        <v>825</v>
      </c>
      <c r="C4" s="262" t="s">
        <v>826</v>
      </c>
      <c r="D4" s="5" t="s">
        <v>827</v>
      </c>
      <c r="E4" s="530" t="s">
        <v>828</v>
      </c>
      <c r="F4" s="542" t="s">
        <v>829</v>
      </c>
      <c r="G4" s="76" t="s">
        <v>830</v>
      </c>
      <c r="H4" s="543" t="s">
        <v>831</v>
      </c>
    </row>
    <row r="5" spans="2:8" ht="60">
      <c r="B5" s="263" t="s">
        <v>832</v>
      </c>
      <c r="C5" s="264" t="s">
        <v>833</v>
      </c>
      <c r="D5" s="263" t="s">
        <v>834</v>
      </c>
      <c r="E5" s="531"/>
      <c r="F5" s="531"/>
      <c r="G5" s="76" t="s">
        <v>835</v>
      </c>
      <c r="H5" s="543"/>
    </row>
    <row r="6" spans="2:8" ht="45">
      <c r="B6" s="5" t="s">
        <v>836</v>
      </c>
      <c r="C6" s="262" t="s">
        <v>837</v>
      </c>
      <c r="D6" s="5" t="s">
        <v>838</v>
      </c>
      <c r="E6" s="532"/>
      <c r="F6" s="531"/>
      <c r="G6" s="76" t="s">
        <v>839</v>
      </c>
      <c r="H6" s="543"/>
    </row>
    <row r="7" spans="2:8" ht="45">
      <c r="B7" s="76" t="s">
        <v>840</v>
      </c>
      <c r="C7" s="262" t="s">
        <v>841</v>
      </c>
      <c r="D7" s="5" t="s">
        <v>842</v>
      </c>
      <c r="E7" s="5" t="s">
        <v>843</v>
      </c>
      <c r="F7" s="532"/>
      <c r="G7" s="76" t="s">
        <v>844</v>
      </c>
      <c r="H7" s="167"/>
    </row>
    <row r="8" spans="2:8" ht="45">
      <c r="B8" s="5" t="s">
        <v>845</v>
      </c>
      <c r="C8" s="262" t="s">
        <v>846</v>
      </c>
      <c r="D8" s="5" t="s">
        <v>847</v>
      </c>
      <c r="E8" s="5" t="s">
        <v>848</v>
      </c>
      <c r="F8" s="336" t="s">
        <v>849</v>
      </c>
      <c r="G8" s="265"/>
      <c r="H8" s="76" t="s">
        <v>831</v>
      </c>
    </row>
    <row r="9" spans="2:8" ht="45">
      <c r="B9" s="5" t="s">
        <v>850</v>
      </c>
      <c r="C9" s="262" t="s">
        <v>851</v>
      </c>
      <c r="D9" s="5" t="s">
        <v>852</v>
      </c>
      <c r="E9" s="5" t="s">
        <v>853</v>
      </c>
      <c r="F9" s="336" t="s">
        <v>854</v>
      </c>
      <c r="G9" s="5"/>
      <c r="H9" s="76" t="s">
        <v>831</v>
      </c>
    </row>
  </sheetData>
  <mergeCells count="3">
    <mergeCell ref="E4:E6"/>
    <mergeCell ref="F4:F7"/>
    <mergeCell ref="H4:H6"/>
  </mergeCells>
  <hyperlinks>
    <hyperlink ref="C5" r:id="rId1" xr:uid="{1C958332-17F0-44DA-BE37-B86506D523F1}"/>
    <hyperlink ref="C6" r:id="rId2" xr:uid="{CCE002D5-C391-462D-BF7E-B9FC18B0C0D8}"/>
    <hyperlink ref="C8" r:id="rId3" xr:uid="{05839C41-3225-4CC1-B32C-E1D3ED5728B4}"/>
    <hyperlink ref="C4" r:id="rId4" xr:uid="{664837BF-4BB6-4214-BAFF-3C5206011CBF}"/>
    <hyperlink ref="C9" r:id="rId5" xr:uid="{03CFDBE3-5D50-44FB-BC60-F0196D34CAFC}"/>
    <hyperlink ref="C7" r:id="rId6" xr:uid="{00452D7D-92CE-4B15-BA1E-F8BA36BA07F4}"/>
  </hyperlinks>
  <pageMargins left="0.7" right="0.7" top="0.75" bottom="0.75" header="0.3" footer="0.3"/>
  <pageSetup paperSize="9" orientation="portrait" r:id="rId7"/>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BFB70-A238-47F2-AC74-C2334683EA9C}">
  <dimension ref="A1:I21"/>
  <sheetViews>
    <sheetView topLeftCell="A11" workbookViewId="0">
      <selection activeCell="H6" sqref="H6"/>
    </sheetView>
  </sheetViews>
  <sheetFormatPr defaultColWidth="9.140625" defaultRowHeight="13.5" customHeight="1"/>
  <cols>
    <col min="1" max="1" width="9.140625" style="16" bestFit="1" customWidth="1"/>
    <col min="2" max="2" width="11.42578125" style="16" bestFit="1" customWidth="1"/>
    <col min="3" max="3" width="8.85546875" style="16" bestFit="1" customWidth="1"/>
    <col min="4" max="4" width="20.5703125" style="251" customWidth="1"/>
    <col min="5" max="5" width="49" style="16" bestFit="1" customWidth="1"/>
    <col min="6" max="6" width="8.42578125" style="16" bestFit="1" customWidth="1"/>
    <col min="7" max="7" width="30.85546875" style="260" customWidth="1"/>
    <col min="8" max="8" width="23.85546875" style="16" customWidth="1"/>
    <col min="9" max="9" width="61.85546875" style="16" customWidth="1"/>
    <col min="10" max="16384" width="9.140625" style="16"/>
  </cols>
  <sheetData>
    <row r="1" spans="1:9">
      <c r="A1" s="61" t="s">
        <v>855</v>
      </c>
      <c r="B1" s="61" t="s">
        <v>856</v>
      </c>
      <c r="C1" s="61" t="s">
        <v>857</v>
      </c>
      <c r="D1" s="261" t="s">
        <v>858</v>
      </c>
      <c r="E1" s="254" t="s">
        <v>859</v>
      </c>
      <c r="F1" s="254" t="s">
        <v>860</v>
      </c>
      <c r="G1" s="254" t="s">
        <v>861</v>
      </c>
      <c r="H1" s="255" t="s">
        <v>862</v>
      </c>
      <c r="I1" s="254" t="s">
        <v>16</v>
      </c>
    </row>
    <row r="2" spans="1:9" ht="27">
      <c r="A2" s="20" t="s">
        <v>326</v>
      </c>
      <c r="B2" s="20" t="s">
        <v>326</v>
      </c>
      <c r="C2" s="20" t="s">
        <v>326</v>
      </c>
      <c r="D2" s="252" t="s">
        <v>326</v>
      </c>
      <c r="E2" s="24" t="s">
        <v>863</v>
      </c>
      <c r="F2" s="256">
        <v>1</v>
      </c>
      <c r="G2" s="256" t="s">
        <v>864</v>
      </c>
      <c r="H2" s="257"/>
      <c r="I2" s="20"/>
    </row>
    <row r="3" spans="1:9" ht="81">
      <c r="A3" s="24" t="s">
        <v>326</v>
      </c>
      <c r="B3" s="24" t="s">
        <v>326</v>
      </c>
      <c r="C3" s="24" t="s">
        <v>326</v>
      </c>
      <c r="D3" s="253" t="s">
        <v>326</v>
      </c>
      <c r="E3" s="24" t="s">
        <v>865</v>
      </c>
      <c r="F3" s="24">
        <v>1</v>
      </c>
      <c r="G3" s="256" t="s">
        <v>866</v>
      </c>
      <c r="H3" s="258" t="s">
        <v>867</v>
      </c>
      <c r="I3" s="24" t="s">
        <v>868</v>
      </c>
    </row>
    <row r="4" spans="1:9" ht="27" customHeight="1">
      <c r="A4" s="24" t="s">
        <v>326</v>
      </c>
      <c r="B4" s="24" t="s">
        <v>326</v>
      </c>
      <c r="C4" s="24" t="s">
        <v>326</v>
      </c>
      <c r="D4" s="253" t="s">
        <v>326</v>
      </c>
      <c r="E4" s="24" t="s">
        <v>869</v>
      </c>
      <c r="F4" s="24">
        <v>1</v>
      </c>
      <c r="G4" s="24" t="s">
        <v>870</v>
      </c>
      <c r="H4" s="258" t="s">
        <v>871</v>
      </c>
      <c r="I4" s="20" t="s">
        <v>872</v>
      </c>
    </row>
    <row r="5" spans="1:9" ht="44.1" customHeight="1">
      <c r="A5" s="24" t="s">
        <v>326</v>
      </c>
      <c r="B5" s="24" t="s">
        <v>326</v>
      </c>
      <c r="C5" s="24" t="s">
        <v>326</v>
      </c>
      <c r="D5" s="253" t="s">
        <v>326</v>
      </c>
      <c r="E5" s="24" t="s">
        <v>873</v>
      </c>
      <c r="F5" s="24">
        <v>1</v>
      </c>
      <c r="G5" s="24" t="s">
        <v>874</v>
      </c>
      <c r="H5" s="258"/>
      <c r="I5" s="24" t="s">
        <v>875</v>
      </c>
    </row>
    <row r="6" spans="1:9" ht="81">
      <c r="A6" s="20" t="s">
        <v>876</v>
      </c>
      <c r="B6" s="20" t="s">
        <v>877</v>
      </c>
      <c r="C6" s="20" t="s">
        <v>878</v>
      </c>
      <c r="D6" s="253" t="s">
        <v>879</v>
      </c>
      <c r="E6" s="24" t="s">
        <v>880</v>
      </c>
      <c r="F6" s="256">
        <v>1</v>
      </c>
      <c r="G6" s="256" t="s">
        <v>866</v>
      </c>
      <c r="H6" s="258" t="s">
        <v>867</v>
      </c>
      <c r="I6" s="24" t="s">
        <v>881</v>
      </c>
    </row>
    <row r="7" spans="1:9" ht="27">
      <c r="A7" s="20" t="s">
        <v>876</v>
      </c>
      <c r="B7" s="20" t="s">
        <v>877</v>
      </c>
      <c r="C7" s="20" t="s">
        <v>882</v>
      </c>
      <c r="D7" s="253" t="s">
        <v>883</v>
      </c>
      <c r="E7" s="24" t="s">
        <v>884</v>
      </c>
      <c r="F7" s="256">
        <v>1</v>
      </c>
      <c r="G7" s="256" t="s">
        <v>870</v>
      </c>
      <c r="H7" s="259" t="s">
        <v>885</v>
      </c>
      <c r="I7" s="20"/>
    </row>
    <row r="8" spans="1:9" ht="27">
      <c r="A8" s="24" t="s">
        <v>821</v>
      </c>
      <c r="B8" s="24" t="s">
        <v>838</v>
      </c>
      <c r="C8" s="24" t="s">
        <v>878</v>
      </c>
      <c r="D8" s="253" t="s">
        <v>886</v>
      </c>
      <c r="E8" s="24" t="s">
        <v>887</v>
      </c>
      <c r="F8" s="24">
        <v>1</v>
      </c>
      <c r="G8" s="24" t="s">
        <v>888</v>
      </c>
      <c r="H8" s="258" t="s">
        <v>889</v>
      </c>
      <c r="I8" s="20" t="s">
        <v>890</v>
      </c>
    </row>
    <row r="9" spans="1:9" ht="27">
      <c r="A9" s="24" t="s">
        <v>821</v>
      </c>
      <c r="B9" s="24" t="s">
        <v>838</v>
      </c>
      <c r="C9" s="24" t="s">
        <v>882</v>
      </c>
      <c r="D9" s="253" t="s">
        <v>883</v>
      </c>
      <c r="E9" s="24" t="s">
        <v>887</v>
      </c>
      <c r="F9" s="24">
        <v>1</v>
      </c>
      <c r="G9" s="24" t="s">
        <v>891</v>
      </c>
      <c r="H9" s="258"/>
      <c r="I9" s="20" t="s">
        <v>892</v>
      </c>
    </row>
    <row r="10" spans="1:9" ht="40.5">
      <c r="A10" s="24" t="s">
        <v>876</v>
      </c>
      <c r="B10" s="24" t="s">
        <v>893</v>
      </c>
      <c r="C10" s="24" t="s">
        <v>878</v>
      </c>
      <c r="D10" s="253" t="s">
        <v>879</v>
      </c>
      <c r="E10" s="24" t="s">
        <v>894</v>
      </c>
      <c r="F10" s="24">
        <v>2</v>
      </c>
      <c r="G10" s="24" t="s">
        <v>891</v>
      </c>
      <c r="H10" s="266">
        <v>46131</v>
      </c>
      <c r="I10" s="33" t="s">
        <v>895</v>
      </c>
    </row>
    <row r="11" spans="1:9">
      <c r="A11" s="24" t="s">
        <v>135</v>
      </c>
      <c r="B11" s="24" t="s">
        <v>893</v>
      </c>
      <c r="C11" s="24" t="s">
        <v>882</v>
      </c>
      <c r="D11" s="253" t="s">
        <v>883</v>
      </c>
      <c r="E11" s="24" t="s">
        <v>894</v>
      </c>
      <c r="F11" s="24">
        <v>2</v>
      </c>
      <c r="G11" s="24" t="s">
        <v>891</v>
      </c>
      <c r="H11" s="266">
        <v>46131</v>
      </c>
      <c r="I11" s="16" t="s">
        <v>896</v>
      </c>
    </row>
    <row r="12" spans="1:9">
      <c r="A12" s="24" t="s">
        <v>821</v>
      </c>
      <c r="B12" s="24" t="s">
        <v>893</v>
      </c>
      <c r="C12" s="24" t="s">
        <v>878</v>
      </c>
      <c r="D12" s="253" t="s">
        <v>897</v>
      </c>
      <c r="E12" s="24" t="s">
        <v>894</v>
      </c>
      <c r="F12" s="24">
        <v>2</v>
      </c>
      <c r="G12" s="24" t="s">
        <v>891</v>
      </c>
      <c r="H12" s="266">
        <v>46131</v>
      </c>
      <c r="I12" s="16" t="s">
        <v>896</v>
      </c>
    </row>
    <row r="13" spans="1:9">
      <c r="A13" s="24" t="s">
        <v>821</v>
      </c>
      <c r="B13" s="24" t="s">
        <v>893</v>
      </c>
      <c r="C13" s="24" t="s">
        <v>882</v>
      </c>
      <c r="D13" s="253" t="s">
        <v>883</v>
      </c>
      <c r="E13" s="24" t="s">
        <v>894</v>
      </c>
      <c r="F13" s="24">
        <v>2</v>
      </c>
      <c r="G13" s="24" t="s">
        <v>891</v>
      </c>
      <c r="H13" s="266">
        <v>46131</v>
      </c>
      <c r="I13" s="16" t="s">
        <v>896</v>
      </c>
    </row>
    <row r="14" spans="1:9" ht="24.75">
      <c r="A14" s="24" t="s">
        <v>876</v>
      </c>
      <c r="B14" s="24" t="s">
        <v>898</v>
      </c>
      <c r="C14" s="24" t="s">
        <v>878</v>
      </c>
      <c r="D14" s="253" t="s">
        <v>899</v>
      </c>
      <c r="E14" s="24" t="s">
        <v>894</v>
      </c>
      <c r="F14" s="24">
        <v>3</v>
      </c>
      <c r="G14" s="24" t="s">
        <v>891</v>
      </c>
      <c r="H14" s="266">
        <v>46131</v>
      </c>
      <c r="I14" s="20" t="s">
        <v>900</v>
      </c>
    </row>
    <row r="15" spans="1:9">
      <c r="A15" s="24" t="s">
        <v>876</v>
      </c>
      <c r="B15" s="24" t="s">
        <v>898</v>
      </c>
      <c r="C15" s="24" t="s">
        <v>882</v>
      </c>
      <c r="D15" s="253" t="s">
        <v>901</v>
      </c>
      <c r="E15" s="24" t="s">
        <v>894</v>
      </c>
      <c r="F15" s="24">
        <v>3</v>
      </c>
      <c r="G15" s="24" t="s">
        <v>891</v>
      </c>
      <c r="H15" s="266">
        <v>46131</v>
      </c>
      <c r="I15" s="20" t="s">
        <v>900</v>
      </c>
    </row>
    <row r="16" spans="1:9">
      <c r="A16" s="24" t="s">
        <v>821</v>
      </c>
      <c r="B16" s="24" t="s">
        <v>898</v>
      </c>
      <c r="C16" s="24" t="s">
        <v>878</v>
      </c>
      <c r="D16" s="253" t="s">
        <v>902</v>
      </c>
      <c r="E16" s="24" t="s">
        <v>894</v>
      </c>
      <c r="F16" s="24">
        <v>3</v>
      </c>
      <c r="G16" s="24" t="s">
        <v>891</v>
      </c>
      <c r="H16" s="266">
        <v>46131</v>
      </c>
      <c r="I16" s="20" t="s">
        <v>900</v>
      </c>
    </row>
    <row r="17" spans="1:9">
      <c r="A17" s="24" t="s">
        <v>821</v>
      </c>
      <c r="B17" s="24" t="s">
        <v>898</v>
      </c>
      <c r="C17" s="24" t="s">
        <v>882</v>
      </c>
      <c r="D17" s="253" t="s">
        <v>901</v>
      </c>
      <c r="E17" s="24" t="s">
        <v>894</v>
      </c>
      <c r="F17" s="24">
        <v>3</v>
      </c>
      <c r="G17" s="24" t="s">
        <v>891</v>
      </c>
      <c r="H17" s="266">
        <v>46131</v>
      </c>
      <c r="I17" s="20" t="s">
        <v>900</v>
      </c>
    </row>
    <row r="21" spans="1:9" ht="13.5" customHeight="1">
      <c r="A21" s="206"/>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C7E94-43C4-419D-AB9E-962943C2739A}">
  <dimension ref="B4:M10"/>
  <sheetViews>
    <sheetView showGridLines="0" topLeftCell="A6" zoomScale="80" zoomScaleNormal="80" workbookViewId="0">
      <selection activeCell="B9" sqref="B9:C10"/>
    </sheetView>
  </sheetViews>
  <sheetFormatPr defaultColWidth="8.85546875" defaultRowHeight="15"/>
  <cols>
    <col min="1" max="1" width="8.85546875" style="283"/>
    <col min="2" max="2" width="17.7109375" style="283" bestFit="1" customWidth="1"/>
    <col min="3" max="3" width="54.7109375" style="283" customWidth="1"/>
    <col min="4" max="4" width="15.42578125" style="283" customWidth="1"/>
    <col min="5" max="5" width="14.28515625" style="283" bestFit="1" customWidth="1"/>
    <col min="6" max="6" width="17.28515625" style="283" customWidth="1"/>
    <col min="7" max="7" width="9.85546875" style="283" customWidth="1"/>
    <col min="8" max="8" width="15.7109375" style="283" bestFit="1" customWidth="1"/>
    <col min="9" max="10" width="15.140625" style="283" customWidth="1"/>
    <col min="11" max="11" width="13.7109375" style="283" customWidth="1"/>
    <col min="12" max="12" width="15.42578125" style="283" customWidth="1"/>
    <col min="13" max="13" width="51.5703125" style="283" bestFit="1" customWidth="1"/>
    <col min="14" max="16384" width="8.85546875" style="283"/>
  </cols>
  <sheetData>
    <row r="4" spans="2:13" ht="15.75" thickBot="1">
      <c r="D4" s="544" t="s">
        <v>903</v>
      </c>
      <c r="E4" s="544"/>
      <c r="F4" s="544"/>
      <c r="G4" s="544"/>
      <c r="H4" s="544"/>
      <c r="I4" s="545" t="s">
        <v>904</v>
      </c>
      <c r="J4" s="545"/>
      <c r="K4" s="545"/>
      <c r="L4" s="545"/>
    </row>
    <row r="5" spans="2:13" ht="52.15" customHeight="1">
      <c r="B5" s="284" t="s">
        <v>356</v>
      </c>
      <c r="C5" s="284" t="s">
        <v>905</v>
      </c>
      <c r="D5" s="285" t="s">
        <v>906</v>
      </c>
      <c r="E5" s="286" t="s">
        <v>907</v>
      </c>
      <c r="F5" s="286" t="s">
        <v>908</v>
      </c>
      <c r="G5" s="286" t="s">
        <v>909</v>
      </c>
      <c r="H5" s="287" t="s">
        <v>910</v>
      </c>
      <c r="I5" s="288" t="s">
        <v>911</v>
      </c>
      <c r="J5" s="289" t="s">
        <v>912</v>
      </c>
      <c r="K5" s="289" t="s">
        <v>913</v>
      </c>
      <c r="L5" s="290" t="s">
        <v>914</v>
      </c>
      <c r="M5" s="291" t="s">
        <v>16</v>
      </c>
    </row>
    <row r="6" spans="2:13" ht="90">
      <c r="B6" s="292" t="s">
        <v>915</v>
      </c>
      <c r="C6" s="293" t="s">
        <v>916</v>
      </c>
      <c r="D6" s="329" t="s">
        <v>917</v>
      </c>
      <c r="E6" s="330" t="s">
        <v>918</v>
      </c>
      <c r="F6" s="330" t="s">
        <v>919</v>
      </c>
      <c r="G6" s="96" t="s">
        <v>49</v>
      </c>
      <c r="H6" s="304" t="s">
        <v>49</v>
      </c>
      <c r="I6" s="327" t="s">
        <v>920</v>
      </c>
      <c r="J6" s="96" t="s">
        <v>49</v>
      </c>
      <c r="K6" s="328" t="s">
        <v>920</v>
      </c>
      <c r="L6" s="294"/>
      <c r="M6" s="302" t="s">
        <v>921</v>
      </c>
    </row>
    <row r="7" spans="2:13" ht="49.9" customHeight="1">
      <c r="B7" s="292" t="s">
        <v>922</v>
      </c>
      <c r="C7" s="293" t="s">
        <v>923</v>
      </c>
      <c r="D7" s="303" t="s">
        <v>49</v>
      </c>
      <c r="E7" s="282" t="s">
        <v>49</v>
      </c>
      <c r="F7" s="331" t="s">
        <v>924</v>
      </c>
      <c r="G7" s="96" t="s">
        <v>49</v>
      </c>
      <c r="H7" s="304" t="s">
        <v>49</v>
      </c>
      <c r="I7" s="306" t="s">
        <v>925</v>
      </c>
      <c r="J7" s="96" t="s">
        <v>49</v>
      </c>
      <c r="K7" s="301" t="s">
        <v>925</v>
      </c>
      <c r="L7" s="294"/>
      <c r="M7" s="296" t="s">
        <v>926</v>
      </c>
    </row>
    <row r="8" spans="2:13" ht="49.9" customHeight="1">
      <c r="B8" s="297" t="s">
        <v>927</v>
      </c>
      <c r="C8" s="293" t="s">
        <v>928</v>
      </c>
      <c r="D8" s="303" t="s">
        <v>49</v>
      </c>
      <c r="E8" s="282" t="s">
        <v>49</v>
      </c>
      <c r="F8" s="96" t="s">
        <v>49</v>
      </c>
      <c r="G8" s="330" t="s">
        <v>929</v>
      </c>
      <c r="H8" s="304" t="s">
        <v>49</v>
      </c>
      <c r="I8" s="307" t="s">
        <v>929</v>
      </c>
      <c r="J8" s="96" t="s">
        <v>49</v>
      </c>
      <c r="K8" s="301" t="s">
        <v>930</v>
      </c>
      <c r="L8" s="294"/>
      <c r="M8" s="295" t="s">
        <v>931</v>
      </c>
    </row>
    <row r="9" spans="2:13" ht="75">
      <c r="B9" s="292" t="s">
        <v>932</v>
      </c>
      <c r="C9" s="293" t="s">
        <v>933</v>
      </c>
      <c r="D9" s="329" t="s">
        <v>917</v>
      </c>
      <c r="E9" s="330" t="s">
        <v>919</v>
      </c>
      <c r="F9" s="332" t="s">
        <v>934</v>
      </c>
      <c r="G9" s="96" t="s">
        <v>49</v>
      </c>
      <c r="H9" s="304" t="s">
        <v>49</v>
      </c>
      <c r="I9" s="307" t="s">
        <v>935</v>
      </c>
      <c r="J9" s="282" t="s">
        <v>936</v>
      </c>
      <c r="K9" s="282" t="s">
        <v>936</v>
      </c>
      <c r="L9" s="294"/>
      <c r="M9" s="302" t="s">
        <v>937</v>
      </c>
    </row>
    <row r="10" spans="2:13" ht="75" customHeight="1" thickBot="1">
      <c r="B10" s="298" t="s">
        <v>938</v>
      </c>
      <c r="C10" s="299" t="s">
        <v>939</v>
      </c>
      <c r="D10" s="329" t="s">
        <v>917</v>
      </c>
      <c r="E10" s="334" t="s">
        <v>920</v>
      </c>
      <c r="F10" s="308" t="s">
        <v>49</v>
      </c>
      <c r="G10" s="305" t="s">
        <v>49</v>
      </c>
      <c r="H10" s="333" t="s">
        <v>940</v>
      </c>
      <c r="I10" s="309" t="s">
        <v>941</v>
      </c>
      <c r="J10" s="308" t="s">
        <v>942</v>
      </c>
      <c r="K10" s="308" t="s">
        <v>942</v>
      </c>
      <c r="L10" s="300"/>
      <c r="M10" s="322" t="s">
        <v>943</v>
      </c>
    </row>
  </sheetData>
  <mergeCells count="2">
    <mergeCell ref="D4:H4"/>
    <mergeCell ref="I4:L4"/>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404BA-DA99-4519-A406-8BAFC304454E}">
  <dimension ref="A1:Q23"/>
  <sheetViews>
    <sheetView showGridLines="0" topLeftCell="F1" workbookViewId="0">
      <selection activeCell="F3" sqref="F3"/>
    </sheetView>
  </sheetViews>
  <sheetFormatPr defaultRowHeight="15"/>
  <cols>
    <col min="1" max="1" width="60.85546875" customWidth="1"/>
    <col min="2" max="2" width="17.7109375" customWidth="1"/>
    <col min="3" max="3" width="4.28515625" bestFit="1" customWidth="1"/>
    <col min="4" max="4" width="11.42578125" bestFit="1" customWidth="1"/>
    <col min="6" max="6" width="57.42578125" customWidth="1"/>
    <col min="7" max="7" width="17.7109375" customWidth="1"/>
    <col min="8" max="8" width="4.140625" bestFit="1" customWidth="1"/>
    <col min="9" max="9" width="11.42578125" bestFit="1" customWidth="1"/>
    <col min="12" max="12" width="23.140625" bestFit="1" customWidth="1"/>
    <col min="13" max="13" width="10.42578125" bestFit="1" customWidth="1"/>
  </cols>
  <sheetData>
    <row r="1" spans="1:17">
      <c r="N1" s="546" t="s">
        <v>944</v>
      </c>
      <c r="O1" s="547"/>
      <c r="P1" s="552" t="s">
        <v>945</v>
      </c>
      <c r="Q1" s="553"/>
    </row>
    <row r="2" spans="1:17">
      <c r="N2" s="548"/>
      <c r="O2" s="549"/>
      <c r="P2" s="554"/>
      <c r="Q2" s="555"/>
    </row>
    <row r="3" spans="1:17" ht="14.45" customHeight="1" thickBot="1">
      <c r="A3" s="373" t="s">
        <v>946</v>
      </c>
      <c r="B3" s="373" t="s">
        <v>947</v>
      </c>
      <c r="F3" s="373" t="s">
        <v>948</v>
      </c>
      <c r="G3" s="373" t="s">
        <v>947</v>
      </c>
      <c r="N3" s="550"/>
      <c r="O3" s="551"/>
      <c r="P3" s="556"/>
      <c r="Q3" s="557"/>
    </row>
    <row r="4" spans="1:17">
      <c r="A4" s="373" t="s">
        <v>949</v>
      </c>
      <c r="B4" t="s">
        <v>203</v>
      </c>
      <c r="C4" t="s">
        <v>182</v>
      </c>
      <c r="D4" t="s">
        <v>950</v>
      </c>
      <c r="F4" s="373" t="s">
        <v>949</v>
      </c>
      <c r="G4" t="s">
        <v>203</v>
      </c>
      <c r="H4" t="s">
        <v>951</v>
      </c>
      <c r="I4" t="s">
        <v>950</v>
      </c>
      <c r="L4" s="385" t="s">
        <v>949</v>
      </c>
      <c r="M4" s="385" t="s">
        <v>950</v>
      </c>
      <c r="N4" s="379" t="s">
        <v>203</v>
      </c>
      <c r="O4" s="380" t="s">
        <v>182</v>
      </c>
      <c r="P4" s="381" t="s">
        <v>203</v>
      </c>
      <c r="Q4" s="382" t="s">
        <v>182</v>
      </c>
    </row>
    <row r="5" spans="1:17">
      <c r="A5" s="374" t="s">
        <v>117</v>
      </c>
      <c r="B5">
        <v>5</v>
      </c>
      <c r="D5">
        <v>5</v>
      </c>
      <c r="F5" s="374" t="s">
        <v>117</v>
      </c>
      <c r="G5">
        <v>5</v>
      </c>
      <c r="I5">
        <v>5</v>
      </c>
      <c r="L5" s="388" t="s">
        <v>117</v>
      </c>
      <c r="M5" s="386">
        <v>5</v>
      </c>
      <c r="N5" s="375">
        <v>5</v>
      </c>
      <c r="O5" s="376"/>
      <c r="P5" s="375">
        <v>5</v>
      </c>
      <c r="Q5" s="376"/>
    </row>
    <row r="6" spans="1:17">
      <c r="A6" s="374" t="s">
        <v>43</v>
      </c>
      <c r="B6">
        <v>8</v>
      </c>
      <c r="D6">
        <v>8</v>
      </c>
      <c r="F6" s="374" t="s">
        <v>43</v>
      </c>
      <c r="G6">
        <v>6</v>
      </c>
      <c r="H6">
        <v>2</v>
      </c>
      <c r="I6">
        <v>8</v>
      </c>
      <c r="L6" s="388" t="s">
        <v>43</v>
      </c>
      <c r="M6" s="386">
        <v>8</v>
      </c>
      <c r="N6" s="375">
        <v>8</v>
      </c>
      <c r="O6" s="376"/>
      <c r="P6" s="375">
        <v>6</v>
      </c>
      <c r="Q6" s="376">
        <v>2</v>
      </c>
    </row>
    <row r="7" spans="1:17">
      <c r="A7" s="374" t="s">
        <v>66</v>
      </c>
      <c r="B7">
        <v>5</v>
      </c>
      <c r="C7">
        <v>1</v>
      </c>
      <c r="D7">
        <v>6</v>
      </c>
      <c r="F7" s="374" t="s">
        <v>66</v>
      </c>
      <c r="G7">
        <v>5</v>
      </c>
      <c r="H7">
        <v>1</v>
      </c>
      <c r="I7">
        <v>6</v>
      </c>
      <c r="L7" s="388" t="s">
        <v>66</v>
      </c>
      <c r="M7" s="386">
        <v>6</v>
      </c>
      <c r="N7" s="375">
        <v>5</v>
      </c>
      <c r="O7" s="376">
        <v>1</v>
      </c>
      <c r="P7" s="375">
        <v>5</v>
      </c>
      <c r="Q7" s="376">
        <v>1</v>
      </c>
    </row>
    <row r="8" spans="1:17">
      <c r="A8" s="374" t="s">
        <v>71</v>
      </c>
      <c r="B8">
        <v>4</v>
      </c>
      <c r="D8">
        <v>4</v>
      </c>
      <c r="F8" s="374" t="s">
        <v>71</v>
      </c>
      <c r="H8">
        <v>4</v>
      </c>
      <c r="I8">
        <v>4</v>
      </c>
      <c r="L8" s="388" t="s">
        <v>71</v>
      </c>
      <c r="M8" s="386">
        <v>4</v>
      </c>
      <c r="N8" s="375">
        <v>4</v>
      </c>
      <c r="O8" s="376"/>
      <c r="P8" s="375"/>
      <c r="Q8" s="376">
        <v>4</v>
      </c>
    </row>
    <row r="9" spans="1:17">
      <c r="A9" s="374" t="s">
        <v>93</v>
      </c>
      <c r="B9">
        <v>3</v>
      </c>
      <c r="D9">
        <v>3</v>
      </c>
      <c r="F9" s="374" t="s">
        <v>93</v>
      </c>
      <c r="G9">
        <v>3</v>
      </c>
      <c r="I9">
        <v>3</v>
      </c>
      <c r="L9" s="388" t="s">
        <v>93</v>
      </c>
      <c r="M9" s="386">
        <v>3</v>
      </c>
      <c r="N9" s="375">
        <v>3</v>
      </c>
      <c r="O9" s="376"/>
      <c r="P9" s="375">
        <v>3</v>
      </c>
      <c r="Q9" s="376"/>
    </row>
    <row r="10" spans="1:17">
      <c r="A10" s="374" t="s">
        <v>57</v>
      </c>
      <c r="B10">
        <v>7</v>
      </c>
      <c r="D10">
        <v>7</v>
      </c>
      <c r="F10" s="374" t="s">
        <v>57</v>
      </c>
      <c r="G10">
        <v>7</v>
      </c>
      <c r="I10">
        <v>7</v>
      </c>
      <c r="L10" s="388" t="s">
        <v>57</v>
      </c>
      <c r="M10" s="386">
        <v>7</v>
      </c>
      <c r="N10" s="375">
        <v>7</v>
      </c>
      <c r="O10" s="376"/>
      <c r="P10" s="375">
        <v>7</v>
      </c>
      <c r="Q10" s="376"/>
    </row>
    <row r="11" spans="1:17">
      <c r="A11" s="374" t="s">
        <v>952</v>
      </c>
      <c r="B11">
        <v>8</v>
      </c>
      <c r="D11">
        <v>8</v>
      </c>
      <c r="F11" s="374" t="s">
        <v>952</v>
      </c>
      <c r="G11">
        <v>8</v>
      </c>
      <c r="I11">
        <v>8</v>
      </c>
      <c r="L11" s="388" t="s">
        <v>952</v>
      </c>
      <c r="M11" s="386">
        <v>8</v>
      </c>
      <c r="N11" s="375">
        <v>8</v>
      </c>
      <c r="O11" s="376"/>
      <c r="P11" s="375">
        <v>8</v>
      </c>
      <c r="Q11" s="376"/>
    </row>
    <row r="12" spans="1:17">
      <c r="A12" s="374" t="s">
        <v>17</v>
      </c>
      <c r="B12">
        <v>105</v>
      </c>
      <c r="C12">
        <v>2</v>
      </c>
      <c r="D12">
        <v>107</v>
      </c>
      <c r="F12" s="374" t="s">
        <v>17</v>
      </c>
      <c r="G12">
        <v>63</v>
      </c>
      <c r="H12">
        <v>44</v>
      </c>
      <c r="I12">
        <v>107</v>
      </c>
      <c r="L12" s="388" t="s">
        <v>17</v>
      </c>
      <c r="M12" s="386">
        <v>107</v>
      </c>
      <c r="N12" s="375">
        <v>105</v>
      </c>
      <c r="O12" s="376">
        <v>2</v>
      </c>
      <c r="P12" s="375">
        <v>63</v>
      </c>
      <c r="Q12" s="376">
        <v>44</v>
      </c>
    </row>
    <row r="13" spans="1:17">
      <c r="A13" s="374" t="s">
        <v>112</v>
      </c>
      <c r="B13">
        <v>44</v>
      </c>
      <c r="D13">
        <v>44</v>
      </c>
      <c r="F13" s="374" t="s">
        <v>112</v>
      </c>
      <c r="G13">
        <v>31</v>
      </c>
      <c r="H13">
        <v>13</v>
      </c>
      <c r="I13">
        <v>44</v>
      </c>
      <c r="L13" s="388" t="s">
        <v>112</v>
      </c>
      <c r="M13" s="386">
        <v>44</v>
      </c>
      <c r="N13" s="375">
        <v>44</v>
      </c>
      <c r="O13" s="376"/>
      <c r="P13" s="375">
        <v>31</v>
      </c>
      <c r="Q13" s="376">
        <v>13</v>
      </c>
    </row>
    <row r="14" spans="1:17">
      <c r="A14" s="374" t="s">
        <v>953</v>
      </c>
      <c r="B14">
        <v>4</v>
      </c>
      <c r="D14">
        <v>4</v>
      </c>
      <c r="F14" s="374" t="s">
        <v>953</v>
      </c>
      <c r="G14">
        <v>4</v>
      </c>
      <c r="I14">
        <v>4</v>
      </c>
      <c r="L14" s="388" t="s">
        <v>953</v>
      </c>
      <c r="M14" s="386">
        <v>4</v>
      </c>
      <c r="N14" s="375">
        <v>4</v>
      </c>
      <c r="O14" s="376"/>
      <c r="P14" s="375">
        <v>4</v>
      </c>
      <c r="Q14" s="376"/>
    </row>
    <row r="15" spans="1:17">
      <c r="A15" s="374" t="s">
        <v>47</v>
      </c>
      <c r="B15">
        <v>1</v>
      </c>
      <c r="D15">
        <v>1</v>
      </c>
      <c r="F15" s="374" t="s">
        <v>47</v>
      </c>
      <c r="G15">
        <v>1</v>
      </c>
      <c r="I15">
        <v>1</v>
      </c>
      <c r="L15" s="388" t="s">
        <v>47</v>
      </c>
      <c r="M15" s="386">
        <v>1</v>
      </c>
      <c r="N15" s="375">
        <v>1</v>
      </c>
      <c r="O15" s="376"/>
      <c r="P15" s="375">
        <v>1</v>
      </c>
      <c r="Q15" s="376"/>
    </row>
    <row r="16" spans="1:17">
      <c r="A16" s="374" t="s">
        <v>110</v>
      </c>
      <c r="B16">
        <v>1</v>
      </c>
      <c r="D16">
        <v>1</v>
      </c>
      <c r="F16" s="374" t="s">
        <v>110</v>
      </c>
      <c r="G16">
        <v>1</v>
      </c>
      <c r="I16">
        <v>1</v>
      </c>
      <c r="L16" s="388" t="s">
        <v>110</v>
      </c>
      <c r="M16" s="386">
        <v>1</v>
      </c>
      <c r="N16" s="375">
        <v>1</v>
      </c>
      <c r="O16" s="376"/>
      <c r="P16" s="375">
        <v>1</v>
      </c>
      <c r="Q16" s="376"/>
    </row>
    <row r="17" spans="1:17">
      <c r="A17" s="374" t="s">
        <v>954</v>
      </c>
      <c r="B17">
        <v>6</v>
      </c>
      <c r="D17">
        <v>6</v>
      </c>
      <c r="F17" s="374" t="s">
        <v>954</v>
      </c>
      <c r="G17">
        <v>6</v>
      </c>
      <c r="I17">
        <v>6</v>
      </c>
      <c r="L17" s="388" t="s">
        <v>954</v>
      </c>
      <c r="M17" s="386">
        <v>6</v>
      </c>
      <c r="N17" s="375">
        <v>6</v>
      </c>
      <c r="O17" s="376"/>
      <c r="P17" s="375">
        <v>6</v>
      </c>
      <c r="Q17" s="376"/>
    </row>
    <row r="18" spans="1:17">
      <c r="A18" s="374" t="s">
        <v>393</v>
      </c>
      <c r="B18">
        <v>10</v>
      </c>
      <c r="D18">
        <v>10</v>
      </c>
      <c r="F18" s="374" t="s">
        <v>393</v>
      </c>
      <c r="G18">
        <v>7</v>
      </c>
      <c r="H18">
        <v>3</v>
      </c>
      <c r="I18">
        <v>10</v>
      </c>
      <c r="L18" s="388" t="s">
        <v>393</v>
      </c>
      <c r="M18" s="386">
        <v>10</v>
      </c>
      <c r="N18" s="375">
        <v>10</v>
      </c>
      <c r="O18" s="376"/>
      <c r="P18" s="375">
        <v>7</v>
      </c>
      <c r="Q18" s="376">
        <v>3</v>
      </c>
    </row>
    <row r="19" spans="1:17">
      <c r="A19" s="374" t="s">
        <v>955</v>
      </c>
      <c r="B19">
        <v>38</v>
      </c>
      <c r="C19">
        <v>2</v>
      </c>
      <c r="D19">
        <v>40</v>
      </c>
      <c r="F19" s="374" t="s">
        <v>955</v>
      </c>
      <c r="G19">
        <v>40</v>
      </c>
      <c r="I19">
        <v>40</v>
      </c>
      <c r="L19" s="388" t="s">
        <v>955</v>
      </c>
      <c r="M19" s="386">
        <v>40</v>
      </c>
      <c r="N19" s="375">
        <v>38</v>
      </c>
      <c r="O19" s="376">
        <v>2</v>
      </c>
      <c r="P19" s="375">
        <v>40</v>
      </c>
      <c r="Q19" s="376"/>
    </row>
    <row r="20" spans="1:17">
      <c r="A20" s="374" t="s">
        <v>113</v>
      </c>
      <c r="B20">
        <v>1</v>
      </c>
      <c r="D20">
        <v>1</v>
      </c>
      <c r="F20" s="374" t="s">
        <v>113</v>
      </c>
      <c r="G20">
        <v>1</v>
      </c>
      <c r="I20">
        <v>1</v>
      </c>
      <c r="L20" s="388" t="s">
        <v>113</v>
      </c>
      <c r="M20" s="386">
        <v>1</v>
      </c>
      <c r="N20" s="375">
        <v>1</v>
      </c>
      <c r="O20" s="376"/>
      <c r="P20" s="375">
        <v>1</v>
      </c>
      <c r="Q20" s="376"/>
    </row>
    <row r="21" spans="1:17">
      <c r="A21" s="374" t="s">
        <v>39</v>
      </c>
      <c r="B21">
        <v>23</v>
      </c>
      <c r="D21">
        <v>23</v>
      </c>
      <c r="F21" s="374" t="s">
        <v>39</v>
      </c>
      <c r="G21">
        <v>20</v>
      </c>
      <c r="H21">
        <v>3</v>
      </c>
      <c r="I21">
        <v>23</v>
      </c>
      <c r="L21" s="388" t="s">
        <v>39</v>
      </c>
      <c r="M21" s="386">
        <v>23</v>
      </c>
      <c r="N21" s="375">
        <v>23</v>
      </c>
      <c r="O21" s="376"/>
      <c r="P21" s="375">
        <v>20</v>
      </c>
      <c r="Q21" s="376">
        <v>3</v>
      </c>
    </row>
    <row r="22" spans="1:17">
      <c r="A22" s="374" t="s">
        <v>36</v>
      </c>
      <c r="B22">
        <v>23</v>
      </c>
      <c r="D22">
        <v>23</v>
      </c>
      <c r="F22" s="374" t="s">
        <v>36</v>
      </c>
      <c r="G22">
        <v>20</v>
      </c>
      <c r="H22">
        <v>3</v>
      </c>
      <c r="I22">
        <v>23</v>
      </c>
      <c r="L22" s="388" t="s">
        <v>36</v>
      </c>
      <c r="M22" s="386">
        <v>23</v>
      </c>
      <c r="N22" s="375">
        <v>23</v>
      </c>
      <c r="O22" s="376"/>
      <c r="P22" s="375">
        <v>20</v>
      </c>
      <c r="Q22" s="376">
        <v>3</v>
      </c>
    </row>
    <row r="23" spans="1:17" ht="15.75" thickBot="1">
      <c r="A23" s="374" t="s">
        <v>950</v>
      </c>
      <c r="B23">
        <v>296</v>
      </c>
      <c r="C23">
        <v>5</v>
      </c>
      <c r="D23">
        <v>301</v>
      </c>
      <c r="F23" s="374" t="s">
        <v>950</v>
      </c>
      <c r="G23">
        <v>228</v>
      </c>
      <c r="H23">
        <v>73</v>
      </c>
      <c r="I23">
        <v>301</v>
      </c>
      <c r="L23" s="389" t="s">
        <v>950</v>
      </c>
      <c r="M23" s="387">
        <v>301</v>
      </c>
      <c r="N23" s="377">
        <v>296</v>
      </c>
      <c r="O23" s="378">
        <v>5</v>
      </c>
      <c r="P23" s="383">
        <v>228</v>
      </c>
      <c r="Q23" s="384">
        <v>73</v>
      </c>
    </row>
  </sheetData>
  <mergeCells count="2">
    <mergeCell ref="N1:O3"/>
    <mergeCell ref="P1:Q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8CA3E-D8B0-4BC5-866B-4F70613618F7}">
  <dimension ref="B3:O136"/>
  <sheetViews>
    <sheetView workbookViewId="0">
      <pane xSplit="1" ySplit="3" topLeftCell="B4" activePane="bottomRight" state="frozen"/>
      <selection pane="topRight"/>
      <selection pane="bottomLeft"/>
      <selection pane="bottomRight" activeCell="F15" sqref="F15"/>
    </sheetView>
  </sheetViews>
  <sheetFormatPr defaultColWidth="8.7109375" defaultRowHeight="12.75"/>
  <cols>
    <col min="1" max="1" width="4.85546875" style="86" customWidth="1"/>
    <col min="2" max="2" width="53.140625" style="86" bestFit="1" customWidth="1"/>
    <col min="3" max="3" width="8.85546875" style="86" bestFit="1" customWidth="1"/>
    <col min="4" max="4" width="10.85546875" style="86" customWidth="1"/>
    <col min="5" max="5" width="11.42578125" style="86" customWidth="1"/>
    <col min="6" max="6" width="9.85546875" style="86" bestFit="1" customWidth="1"/>
    <col min="7" max="7" width="13.7109375" style="86" customWidth="1"/>
    <col min="8" max="8" width="58.140625" style="86" customWidth="1"/>
    <col min="9" max="9" width="4.7109375" style="86" customWidth="1"/>
    <col min="10" max="10" width="4.140625" style="86" customWidth="1"/>
    <col min="11" max="11" width="53.140625" style="86" bestFit="1" customWidth="1"/>
    <col min="12" max="12" width="8.5703125" style="86" bestFit="1" customWidth="1"/>
    <col min="13" max="14" width="11.85546875" style="86" bestFit="1" customWidth="1"/>
    <col min="15" max="15" width="14.28515625" style="86" bestFit="1" customWidth="1"/>
    <col min="16" max="16384" width="8.7109375" style="86"/>
  </cols>
  <sheetData>
    <row r="3" spans="2:15" ht="25.5">
      <c r="B3" s="344" t="s">
        <v>956</v>
      </c>
      <c r="C3" s="344" t="s">
        <v>861</v>
      </c>
      <c r="D3" s="344" t="s">
        <v>571</v>
      </c>
      <c r="E3" s="344" t="s">
        <v>585</v>
      </c>
      <c r="F3" s="344" t="s">
        <v>580</v>
      </c>
      <c r="G3" s="344" t="s">
        <v>609</v>
      </c>
      <c r="H3" s="348" t="s">
        <v>16</v>
      </c>
      <c r="K3" s="344" t="s">
        <v>956</v>
      </c>
      <c r="L3" s="344" t="s">
        <v>957</v>
      </c>
      <c r="M3" s="344" t="s">
        <v>958</v>
      </c>
      <c r="N3" s="344" t="s">
        <v>959</v>
      </c>
      <c r="O3" s="344" t="s">
        <v>960</v>
      </c>
    </row>
    <row r="4" spans="2:15" ht="25.5">
      <c r="B4" s="343" t="s">
        <v>961</v>
      </c>
      <c r="C4" s="86" t="s">
        <v>962</v>
      </c>
      <c r="D4" s="350">
        <v>46093</v>
      </c>
      <c r="E4" s="350">
        <v>46093</v>
      </c>
      <c r="F4" s="346">
        <v>46105</v>
      </c>
      <c r="G4" s="346">
        <v>46105</v>
      </c>
      <c r="H4" s="349" t="s">
        <v>963</v>
      </c>
      <c r="K4" s="343" t="s">
        <v>961</v>
      </c>
      <c r="L4" s="343" t="s">
        <v>964</v>
      </c>
      <c r="M4" s="343" t="s">
        <v>965</v>
      </c>
      <c r="N4" s="343" t="s">
        <v>966</v>
      </c>
    </row>
    <row r="5" spans="2:15">
      <c r="B5" s="343" t="s">
        <v>967</v>
      </c>
      <c r="C5" s="86" t="s">
        <v>962</v>
      </c>
      <c r="D5" s="350">
        <v>46093</v>
      </c>
      <c r="E5" s="350">
        <v>46093</v>
      </c>
      <c r="F5" s="346">
        <v>46108</v>
      </c>
      <c r="G5" s="346">
        <v>46107</v>
      </c>
      <c r="H5" s="346"/>
      <c r="K5" s="345" t="s">
        <v>968</v>
      </c>
      <c r="L5" s="345" t="s">
        <v>969</v>
      </c>
      <c r="M5" s="345" t="s">
        <v>965</v>
      </c>
      <c r="N5" s="345" t="s">
        <v>970</v>
      </c>
    </row>
    <row r="6" spans="2:15">
      <c r="B6" s="343" t="s">
        <v>971</v>
      </c>
      <c r="C6" s="86" t="s">
        <v>972</v>
      </c>
      <c r="D6" s="350">
        <v>46093</v>
      </c>
      <c r="E6" s="350">
        <v>46093</v>
      </c>
      <c r="F6" s="346">
        <v>46108</v>
      </c>
      <c r="G6" s="346">
        <v>46108</v>
      </c>
      <c r="H6" s="346"/>
      <c r="K6" s="345" t="s">
        <v>973</v>
      </c>
      <c r="L6" s="345" t="s">
        <v>969</v>
      </c>
      <c r="M6" s="345" t="s">
        <v>965</v>
      </c>
      <c r="N6" s="345" t="s">
        <v>970</v>
      </c>
    </row>
    <row r="7" spans="2:15">
      <c r="B7" s="343" t="s">
        <v>974</v>
      </c>
      <c r="C7" s="86" t="s">
        <v>972</v>
      </c>
      <c r="D7" s="350">
        <v>46093</v>
      </c>
      <c r="E7" s="350">
        <v>46093</v>
      </c>
      <c r="F7" s="346">
        <v>46112</v>
      </c>
      <c r="G7" s="346">
        <v>46114</v>
      </c>
      <c r="H7" s="346"/>
      <c r="K7" s="345" t="s">
        <v>975</v>
      </c>
      <c r="L7" s="345" t="s">
        <v>976</v>
      </c>
      <c r="M7" s="345" t="s">
        <v>977</v>
      </c>
      <c r="N7" s="345" t="s">
        <v>966</v>
      </c>
    </row>
    <row r="8" spans="2:15">
      <c r="B8" s="343" t="s">
        <v>978</v>
      </c>
      <c r="C8" s="86" t="s">
        <v>962</v>
      </c>
      <c r="D8" s="350">
        <v>46093</v>
      </c>
      <c r="E8" s="350">
        <v>46093</v>
      </c>
      <c r="F8" s="346">
        <v>46105</v>
      </c>
      <c r="G8" s="346">
        <v>46104</v>
      </c>
      <c r="H8" s="346"/>
      <c r="K8" s="345" t="s">
        <v>979</v>
      </c>
      <c r="L8" s="345" t="s">
        <v>976</v>
      </c>
      <c r="M8" s="345" t="s">
        <v>977</v>
      </c>
      <c r="N8" s="345" t="s">
        <v>966</v>
      </c>
    </row>
    <row r="9" spans="2:15" ht="25.5">
      <c r="B9" s="343" t="s">
        <v>980</v>
      </c>
      <c r="C9" s="86" t="s">
        <v>981</v>
      </c>
      <c r="D9" s="352">
        <v>46098</v>
      </c>
      <c r="E9" s="352">
        <v>46098</v>
      </c>
      <c r="F9" s="347" t="s">
        <v>326</v>
      </c>
      <c r="G9" s="347" t="s">
        <v>326</v>
      </c>
      <c r="H9" s="353" t="s">
        <v>982</v>
      </c>
      <c r="K9" s="343" t="s">
        <v>967</v>
      </c>
      <c r="L9" s="343" t="s">
        <v>983</v>
      </c>
      <c r="M9" s="343" t="s">
        <v>984</v>
      </c>
      <c r="N9" s="343" t="s">
        <v>985</v>
      </c>
    </row>
    <row r="10" spans="2:15">
      <c r="B10" s="343" t="s">
        <v>986</v>
      </c>
      <c r="C10" s="86" t="s">
        <v>981</v>
      </c>
      <c r="D10" s="352">
        <v>46099</v>
      </c>
      <c r="E10" s="352">
        <v>46099</v>
      </c>
      <c r="F10" s="347" t="s">
        <v>326</v>
      </c>
      <c r="G10" s="347" t="s">
        <v>326</v>
      </c>
      <c r="H10" s="351" t="s">
        <v>987</v>
      </c>
      <c r="K10" s="345" t="s">
        <v>968</v>
      </c>
      <c r="L10" s="345" t="s">
        <v>988</v>
      </c>
      <c r="M10" s="345" t="s">
        <v>984</v>
      </c>
      <c r="N10" s="345" t="s">
        <v>970</v>
      </c>
    </row>
    <row r="11" spans="2:15">
      <c r="B11" s="354" t="s">
        <v>989</v>
      </c>
      <c r="C11" s="86" t="s">
        <v>972</v>
      </c>
      <c r="D11" s="346">
        <v>46099</v>
      </c>
      <c r="E11" s="346">
        <v>46101</v>
      </c>
      <c r="F11" s="346">
        <v>46121</v>
      </c>
      <c r="G11" s="346">
        <v>46121</v>
      </c>
      <c r="H11" s="346"/>
      <c r="K11" s="345" t="s">
        <v>973</v>
      </c>
      <c r="L11" s="345" t="s">
        <v>990</v>
      </c>
      <c r="M11" s="345" t="s">
        <v>991</v>
      </c>
      <c r="N11" s="345" t="s">
        <v>970</v>
      </c>
    </row>
    <row r="12" spans="2:15">
      <c r="B12" s="354" t="s">
        <v>992</v>
      </c>
      <c r="C12" s="86" t="s">
        <v>962</v>
      </c>
      <c r="D12" s="346">
        <v>46107</v>
      </c>
      <c r="E12" s="346">
        <v>46111</v>
      </c>
      <c r="F12" s="346">
        <v>46129</v>
      </c>
      <c r="G12" s="346">
        <v>46129</v>
      </c>
      <c r="H12" s="346"/>
      <c r="K12" s="345" t="s">
        <v>975</v>
      </c>
      <c r="L12" s="345" t="s">
        <v>990</v>
      </c>
      <c r="M12" s="345" t="s">
        <v>993</v>
      </c>
      <c r="N12" s="345" t="s">
        <v>985</v>
      </c>
    </row>
    <row r="13" spans="2:15">
      <c r="B13" s="354" t="s">
        <v>994</v>
      </c>
      <c r="C13" s="86" t="s">
        <v>972</v>
      </c>
      <c r="D13" s="346">
        <v>46098</v>
      </c>
      <c r="E13" s="346">
        <v>46098</v>
      </c>
      <c r="F13" s="346">
        <v>46118</v>
      </c>
      <c r="G13" s="346">
        <v>46120</v>
      </c>
      <c r="H13" s="346"/>
      <c r="K13" s="345" t="s">
        <v>979</v>
      </c>
      <c r="L13" s="345" t="s">
        <v>995</v>
      </c>
      <c r="M13" s="345" t="s">
        <v>993</v>
      </c>
      <c r="N13" s="345" t="s">
        <v>996</v>
      </c>
    </row>
    <row r="14" spans="2:15">
      <c r="B14" s="354" t="s">
        <v>997</v>
      </c>
      <c r="C14" s="86" t="s">
        <v>981</v>
      </c>
      <c r="D14" s="346">
        <v>46106</v>
      </c>
      <c r="E14" s="346">
        <v>46106</v>
      </c>
      <c r="F14" s="347" t="s">
        <v>326</v>
      </c>
      <c r="G14" s="347" t="s">
        <v>326</v>
      </c>
      <c r="H14" s="347" t="s">
        <v>998</v>
      </c>
      <c r="K14" s="343" t="s">
        <v>971</v>
      </c>
      <c r="L14" s="343" t="s">
        <v>983</v>
      </c>
      <c r="M14" s="343" t="s">
        <v>984</v>
      </c>
      <c r="N14" s="343" t="s">
        <v>985</v>
      </c>
    </row>
    <row r="15" spans="2:15">
      <c r="B15" s="354" t="s">
        <v>999</v>
      </c>
      <c r="C15" s="86" t="s">
        <v>981</v>
      </c>
      <c r="D15" s="346">
        <v>46107</v>
      </c>
      <c r="E15" s="346">
        <v>46107</v>
      </c>
      <c r="F15" s="347" t="s">
        <v>326</v>
      </c>
      <c r="G15" s="347" t="s">
        <v>326</v>
      </c>
      <c r="H15" s="347"/>
      <c r="K15" s="345" t="s">
        <v>968</v>
      </c>
      <c r="L15" s="345" t="s">
        <v>988</v>
      </c>
      <c r="M15" s="345" t="s">
        <v>984</v>
      </c>
      <c r="N15" s="345" t="s">
        <v>970</v>
      </c>
    </row>
    <row r="16" spans="2:15" ht="39.75" customHeight="1">
      <c r="B16" s="343" t="s">
        <v>1000</v>
      </c>
      <c r="C16" s="86" t="s">
        <v>1001</v>
      </c>
      <c r="D16" s="346">
        <v>46108</v>
      </c>
      <c r="E16" s="346">
        <v>46113</v>
      </c>
      <c r="F16" s="346">
        <v>46139</v>
      </c>
      <c r="G16" s="346">
        <v>46139</v>
      </c>
      <c r="H16" s="349" t="s">
        <v>1002</v>
      </c>
      <c r="K16" s="345" t="s">
        <v>973</v>
      </c>
      <c r="L16" s="345" t="s">
        <v>990</v>
      </c>
      <c r="M16" s="345" t="s">
        <v>991</v>
      </c>
      <c r="N16" s="345" t="s">
        <v>970</v>
      </c>
    </row>
    <row r="17" spans="2:14" ht="25.5">
      <c r="B17" s="343" t="s">
        <v>1003</v>
      </c>
      <c r="C17" s="86" t="s">
        <v>1004</v>
      </c>
      <c r="D17" s="346">
        <v>46111</v>
      </c>
      <c r="E17" s="346">
        <v>46111</v>
      </c>
      <c r="F17" s="347" t="s">
        <v>326</v>
      </c>
      <c r="G17" s="347" t="s">
        <v>326</v>
      </c>
      <c r="H17" s="347"/>
      <c r="K17" s="345" t="s">
        <v>975</v>
      </c>
      <c r="L17" s="345" t="s">
        <v>990</v>
      </c>
      <c r="M17" s="345" t="s">
        <v>993</v>
      </c>
      <c r="N17" s="345" t="s">
        <v>985</v>
      </c>
    </row>
    <row r="18" spans="2:14">
      <c r="B18" s="343" t="s">
        <v>1005</v>
      </c>
      <c r="C18" s="86" t="s">
        <v>972</v>
      </c>
      <c r="D18" s="346">
        <v>46115</v>
      </c>
      <c r="E18" s="346">
        <v>46120</v>
      </c>
      <c r="F18" s="346">
        <v>46149</v>
      </c>
      <c r="G18" s="346">
        <v>46148</v>
      </c>
      <c r="H18" s="346"/>
      <c r="K18" s="345" t="s">
        <v>979</v>
      </c>
      <c r="L18" s="345" t="s">
        <v>990</v>
      </c>
      <c r="M18" s="345" t="s">
        <v>993</v>
      </c>
      <c r="N18" s="345" t="s">
        <v>985</v>
      </c>
    </row>
    <row r="19" spans="2:14">
      <c r="B19" s="343" t="s">
        <v>1006</v>
      </c>
      <c r="C19" s="86" t="s">
        <v>962</v>
      </c>
      <c r="D19" s="346">
        <v>46122</v>
      </c>
      <c r="E19" s="346">
        <v>46127</v>
      </c>
      <c r="F19" s="346">
        <v>46156</v>
      </c>
      <c r="G19" s="346">
        <v>46155</v>
      </c>
      <c r="H19" s="346"/>
      <c r="K19" s="343" t="s">
        <v>974</v>
      </c>
      <c r="L19" s="343" t="s">
        <v>1007</v>
      </c>
      <c r="M19" s="343" t="s">
        <v>991</v>
      </c>
      <c r="N19" s="343" t="s">
        <v>1008</v>
      </c>
    </row>
    <row r="20" spans="2:14">
      <c r="B20" s="343" t="s">
        <v>1009</v>
      </c>
      <c r="C20" s="86" t="s">
        <v>972</v>
      </c>
      <c r="D20" s="346">
        <v>46113</v>
      </c>
      <c r="E20" s="346">
        <v>46118</v>
      </c>
      <c r="F20" s="346">
        <v>46143</v>
      </c>
      <c r="G20" s="346">
        <v>46143</v>
      </c>
      <c r="H20" s="346"/>
      <c r="K20" s="345" t="s">
        <v>968</v>
      </c>
      <c r="L20" s="345" t="s">
        <v>990</v>
      </c>
      <c r="M20" s="345" t="s">
        <v>991</v>
      </c>
      <c r="N20" s="345" t="s">
        <v>970</v>
      </c>
    </row>
    <row r="21" spans="2:14">
      <c r="B21" s="343" t="s">
        <v>1010</v>
      </c>
      <c r="C21" s="86" t="s">
        <v>981</v>
      </c>
      <c r="D21" s="346">
        <v>46119</v>
      </c>
      <c r="E21" s="346">
        <v>46119</v>
      </c>
      <c r="F21" s="347" t="s">
        <v>326</v>
      </c>
      <c r="G21" s="347" t="s">
        <v>326</v>
      </c>
      <c r="H21" s="347"/>
      <c r="K21" s="345" t="s">
        <v>973</v>
      </c>
      <c r="L21" s="345" t="s">
        <v>995</v>
      </c>
      <c r="M21" s="345" t="s">
        <v>1011</v>
      </c>
      <c r="N21" s="345" t="s">
        <v>970</v>
      </c>
    </row>
    <row r="22" spans="2:14">
      <c r="B22" s="343" t="s">
        <v>1012</v>
      </c>
      <c r="C22" s="86" t="s">
        <v>981</v>
      </c>
      <c r="D22" s="346">
        <v>46121</v>
      </c>
      <c r="E22" s="346">
        <v>46121</v>
      </c>
      <c r="F22" s="347" t="s">
        <v>326</v>
      </c>
      <c r="G22" s="347" t="s">
        <v>326</v>
      </c>
      <c r="H22" s="347"/>
      <c r="K22" s="345" t="s">
        <v>975</v>
      </c>
      <c r="L22" s="345" t="s">
        <v>1013</v>
      </c>
      <c r="M22" s="345" t="s">
        <v>993</v>
      </c>
      <c r="N22" s="345" t="s">
        <v>1014</v>
      </c>
    </row>
    <row r="23" spans="2:14">
      <c r="B23" s="343" t="s">
        <v>1015</v>
      </c>
      <c r="C23" s="86" t="s">
        <v>972</v>
      </c>
      <c r="D23" s="346">
        <v>46120</v>
      </c>
      <c r="E23" s="346">
        <v>46122</v>
      </c>
      <c r="F23" s="346">
        <v>46151</v>
      </c>
      <c r="G23" s="346">
        <v>46150</v>
      </c>
      <c r="H23" s="346"/>
      <c r="K23" s="345" t="s">
        <v>979</v>
      </c>
      <c r="L23" s="345" t="s">
        <v>1016</v>
      </c>
      <c r="M23" s="345" t="s">
        <v>993</v>
      </c>
      <c r="N23" s="345" t="s">
        <v>1008</v>
      </c>
    </row>
    <row r="24" spans="2:14">
      <c r="B24" s="343" t="s">
        <v>1017</v>
      </c>
      <c r="C24" s="86" t="s">
        <v>962</v>
      </c>
      <c r="D24" s="346">
        <v>46128</v>
      </c>
      <c r="E24" s="346">
        <v>46132</v>
      </c>
      <c r="F24" s="346">
        <v>46160</v>
      </c>
      <c r="G24" s="346">
        <v>46157</v>
      </c>
      <c r="H24" s="346"/>
      <c r="K24" s="343" t="s">
        <v>978</v>
      </c>
      <c r="L24" s="343" t="s">
        <v>1018</v>
      </c>
      <c r="M24" s="343" t="s">
        <v>1019</v>
      </c>
      <c r="N24" s="343" t="s">
        <v>966</v>
      </c>
    </row>
    <row r="25" spans="2:14">
      <c r="B25" s="343" t="s">
        <v>1020</v>
      </c>
      <c r="C25" s="86" t="s">
        <v>972</v>
      </c>
      <c r="D25" s="346">
        <v>46118</v>
      </c>
      <c r="E25" s="346">
        <v>46120</v>
      </c>
      <c r="F25" s="346">
        <v>46147</v>
      </c>
      <c r="G25" s="346">
        <v>46146</v>
      </c>
      <c r="H25" s="346"/>
      <c r="K25" s="345" t="s">
        <v>968</v>
      </c>
      <c r="L25" s="345" t="s">
        <v>1021</v>
      </c>
      <c r="M25" s="345" t="s">
        <v>1019</v>
      </c>
      <c r="N25" s="345" t="s">
        <v>970</v>
      </c>
    </row>
    <row r="26" spans="2:14" ht="25.5">
      <c r="B26" s="343" t="s">
        <v>1022</v>
      </c>
      <c r="C26" s="86" t="s">
        <v>981</v>
      </c>
      <c r="D26" s="346">
        <v>46121</v>
      </c>
      <c r="E26" s="346">
        <v>46121</v>
      </c>
      <c r="F26" s="347" t="s">
        <v>326</v>
      </c>
      <c r="G26" s="347" t="s">
        <v>326</v>
      </c>
      <c r="H26" s="347"/>
      <c r="K26" s="345" t="s">
        <v>973</v>
      </c>
      <c r="L26" s="345" t="s">
        <v>976</v>
      </c>
      <c r="M26" s="345" t="s">
        <v>1023</v>
      </c>
      <c r="N26" s="345" t="s">
        <v>970</v>
      </c>
    </row>
    <row r="27" spans="2:14">
      <c r="B27" s="343" t="s">
        <v>1024</v>
      </c>
      <c r="C27" s="86" t="s">
        <v>981</v>
      </c>
      <c r="D27" s="346">
        <v>46132</v>
      </c>
      <c r="E27" s="346">
        <v>46132</v>
      </c>
      <c r="F27" s="347" t="s">
        <v>326</v>
      </c>
      <c r="G27" s="347" t="s">
        <v>326</v>
      </c>
      <c r="H27" s="347"/>
      <c r="K27" s="345" t="s">
        <v>975</v>
      </c>
      <c r="L27" s="345" t="s">
        <v>976</v>
      </c>
      <c r="M27" s="345" t="s">
        <v>977</v>
      </c>
      <c r="N27" s="345" t="s">
        <v>966</v>
      </c>
    </row>
    <row r="28" spans="2:14">
      <c r="B28" s="343" t="s">
        <v>1025</v>
      </c>
      <c r="C28" s="86" t="s">
        <v>972</v>
      </c>
      <c r="D28" s="346">
        <v>46122</v>
      </c>
      <c r="E28" s="346">
        <v>46125</v>
      </c>
      <c r="F28" s="346">
        <v>46149</v>
      </c>
      <c r="G28" s="346">
        <v>46147</v>
      </c>
      <c r="H28" s="346"/>
      <c r="K28" s="345" t="s">
        <v>979</v>
      </c>
      <c r="L28" s="345" t="s">
        <v>1016</v>
      </c>
      <c r="M28" s="345" t="s">
        <v>977</v>
      </c>
      <c r="N28" s="345" t="s">
        <v>1026</v>
      </c>
    </row>
    <row r="29" spans="2:14">
      <c r="B29" s="343" t="s">
        <v>1027</v>
      </c>
      <c r="C29" s="86" t="s">
        <v>962</v>
      </c>
      <c r="D29" s="346">
        <v>46129</v>
      </c>
      <c r="E29" s="346">
        <v>46132</v>
      </c>
      <c r="F29" s="346">
        <v>46155</v>
      </c>
      <c r="G29" s="346">
        <v>46155</v>
      </c>
      <c r="H29" s="346"/>
      <c r="K29" s="343" t="s">
        <v>980</v>
      </c>
      <c r="L29" s="343" t="s">
        <v>1028</v>
      </c>
      <c r="M29" s="343" t="s">
        <v>1029</v>
      </c>
      <c r="N29" s="343" t="s">
        <v>1030</v>
      </c>
    </row>
    <row r="30" spans="2:14">
      <c r="B30" s="343" t="s">
        <v>1031</v>
      </c>
      <c r="C30" s="86" t="s">
        <v>972</v>
      </c>
      <c r="D30" s="346">
        <v>46119</v>
      </c>
      <c r="E30" s="346">
        <v>46120</v>
      </c>
      <c r="F30" s="346">
        <v>46146</v>
      </c>
      <c r="G30" s="346">
        <v>46146</v>
      </c>
      <c r="H30" s="346"/>
      <c r="K30" s="345" t="s">
        <v>968</v>
      </c>
      <c r="L30" s="345" t="s">
        <v>1028</v>
      </c>
      <c r="M30" s="345" t="s">
        <v>1029</v>
      </c>
      <c r="N30" s="345" t="s">
        <v>1030</v>
      </c>
    </row>
    <row r="31" spans="2:14">
      <c r="B31" s="343" t="s">
        <v>1032</v>
      </c>
      <c r="C31" s="86" t="s">
        <v>981</v>
      </c>
      <c r="D31" s="346">
        <v>46126</v>
      </c>
      <c r="E31" s="346">
        <v>46126</v>
      </c>
      <c r="F31" s="347" t="s">
        <v>326</v>
      </c>
      <c r="G31" s="347" t="s">
        <v>326</v>
      </c>
      <c r="H31" s="347"/>
      <c r="K31" s="345" t="s">
        <v>973</v>
      </c>
      <c r="L31" s="345" t="s">
        <v>1028</v>
      </c>
      <c r="M31" s="345" t="s">
        <v>1029</v>
      </c>
      <c r="N31" s="345" t="s">
        <v>1030</v>
      </c>
    </row>
    <row r="32" spans="2:14">
      <c r="B32" s="343" t="s">
        <v>1033</v>
      </c>
      <c r="C32" s="86" t="s">
        <v>981</v>
      </c>
      <c r="D32" s="346">
        <v>46129</v>
      </c>
      <c r="E32" s="346">
        <v>46129</v>
      </c>
      <c r="F32" s="347" t="s">
        <v>326</v>
      </c>
      <c r="G32" s="347" t="s">
        <v>326</v>
      </c>
      <c r="H32" s="347"/>
      <c r="K32" s="343" t="s">
        <v>986</v>
      </c>
      <c r="L32" s="343" t="s">
        <v>1034</v>
      </c>
      <c r="M32" s="343" t="s">
        <v>1029</v>
      </c>
      <c r="N32" s="343" t="s">
        <v>1035</v>
      </c>
    </row>
    <row r="33" spans="2:14">
      <c r="B33" s="343" t="s">
        <v>1036</v>
      </c>
      <c r="C33" s="86" t="s">
        <v>1001</v>
      </c>
      <c r="D33" s="346">
        <v>46133</v>
      </c>
      <c r="E33" s="346">
        <v>46139</v>
      </c>
      <c r="F33" s="346">
        <v>46163</v>
      </c>
      <c r="G33" s="346">
        <v>46163</v>
      </c>
      <c r="H33" s="346"/>
      <c r="K33" s="345" t="s">
        <v>968</v>
      </c>
      <c r="L33" s="345" t="s">
        <v>1034</v>
      </c>
      <c r="M33" s="345" t="s">
        <v>1029</v>
      </c>
      <c r="N33" s="345" t="s">
        <v>1035</v>
      </c>
    </row>
    <row r="34" spans="2:14" ht="25.5">
      <c r="B34" s="343" t="s">
        <v>1037</v>
      </c>
      <c r="C34" s="86" t="s">
        <v>1004</v>
      </c>
      <c r="D34" s="346">
        <v>46134</v>
      </c>
      <c r="E34" s="346">
        <v>46134</v>
      </c>
      <c r="F34" s="347" t="s">
        <v>326</v>
      </c>
      <c r="G34" s="347" t="s">
        <v>326</v>
      </c>
      <c r="H34" s="347"/>
      <c r="K34" s="345" t="s">
        <v>973</v>
      </c>
      <c r="L34" s="345" t="s">
        <v>1034</v>
      </c>
      <c r="M34" s="345" t="s">
        <v>1029</v>
      </c>
      <c r="N34" s="345" t="s">
        <v>1035</v>
      </c>
    </row>
    <row r="35" spans="2:14">
      <c r="K35" s="343" t="s">
        <v>989</v>
      </c>
      <c r="L35" s="343" t="s">
        <v>1038</v>
      </c>
      <c r="M35" s="343" t="s">
        <v>970</v>
      </c>
      <c r="N35" s="343" t="s">
        <v>1039</v>
      </c>
    </row>
    <row r="36" spans="2:14">
      <c r="K36" s="345" t="s">
        <v>968</v>
      </c>
      <c r="L36" s="345" t="s">
        <v>988</v>
      </c>
      <c r="M36" s="345" t="s">
        <v>970</v>
      </c>
      <c r="N36" s="345" t="s">
        <v>1035</v>
      </c>
    </row>
    <row r="37" spans="2:14">
      <c r="K37" s="345" t="s">
        <v>973</v>
      </c>
      <c r="L37" s="345" t="s">
        <v>1040</v>
      </c>
      <c r="M37" s="345" t="s">
        <v>970</v>
      </c>
      <c r="N37" s="345" t="s">
        <v>1041</v>
      </c>
    </row>
    <row r="38" spans="2:14">
      <c r="K38" s="345" t="s">
        <v>975</v>
      </c>
      <c r="L38" s="345" t="s">
        <v>1021</v>
      </c>
      <c r="M38" s="345" t="s">
        <v>1042</v>
      </c>
      <c r="N38" s="345" t="s">
        <v>1039</v>
      </c>
    </row>
    <row r="39" spans="2:14">
      <c r="K39" s="345" t="s">
        <v>979</v>
      </c>
      <c r="L39" s="345" t="s">
        <v>1021</v>
      </c>
      <c r="M39" s="345" t="s">
        <v>1042</v>
      </c>
      <c r="N39" s="345" t="s">
        <v>1039</v>
      </c>
    </row>
    <row r="40" spans="2:14">
      <c r="K40" s="343" t="s">
        <v>992</v>
      </c>
      <c r="L40" s="343" t="s">
        <v>1043</v>
      </c>
      <c r="M40" s="343" t="s">
        <v>1035</v>
      </c>
      <c r="N40" s="343" t="s">
        <v>1044</v>
      </c>
    </row>
    <row r="41" spans="2:14">
      <c r="K41" s="345" t="s">
        <v>968</v>
      </c>
      <c r="L41" s="345" t="s">
        <v>1040</v>
      </c>
      <c r="M41" s="345" t="s">
        <v>1035</v>
      </c>
      <c r="N41" s="345" t="s">
        <v>996</v>
      </c>
    </row>
    <row r="42" spans="2:14">
      <c r="K42" s="345" t="s">
        <v>973</v>
      </c>
      <c r="L42" s="345" t="s">
        <v>1040</v>
      </c>
      <c r="M42" s="345" t="s">
        <v>1041</v>
      </c>
      <c r="N42" s="345" t="s">
        <v>1042</v>
      </c>
    </row>
    <row r="43" spans="2:14">
      <c r="K43" s="345" t="s">
        <v>975</v>
      </c>
      <c r="L43" s="345" t="s">
        <v>1040</v>
      </c>
      <c r="M43" s="345" t="s">
        <v>1045</v>
      </c>
      <c r="N43" s="345" t="s">
        <v>1044</v>
      </c>
    </row>
    <row r="44" spans="2:14">
      <c r="K44" s="345" t="s">
        <v>979</v>
      </c>
      <c r="L44" s="345" t="s">
        <v>1040</v>
      </c>
      <c r="M44" s="345" t="s">
        <v>1045</v>
      </c>
      <c r="N44" s="345" t="s">
        <v>1044</v>
      </c>
    </row>
    <row r="45" spans="2:14">
      <c r="K45" s="343" t="s">
        <v>994</v>
      </c>
      <c r="L45" s="343" t="s">
        <v>1046</v>
      </c>
      <c r="M45" s="343" t="s">
        <v>977</v>
      </c>
      <c r="N45" s="343" t="s">
        <v>1047</v>
      </c>
    </row>
    <row r="46" spans="2:14">
      <c r="K46" s="345" t="s">
        <v>968</v>
      </c>
      <c r="L46" s="345" t="s">
        <v>990</v>
      </c>
      <c r="M46" s="345" t="s">
        <v>977</v>
      </c>
      <c r="N46" s="345" t="s">
        <v>1030</v>
      </c>
    </row>
    <row r="47" spans="2:14">
      <c r="K47" s="345" t="s">
        <v>973</v>
      </c>
      <c r="L47" s="345" t="s">
        <v>990</v>
      </c>
      <c r="M47" s="345" t="s">
        <v>977</v>
      </c>
      <c r="N47" s="345" t="s">
        <v>1030</v>
      </c>
    </row>
    <row r="48" spans="2:14">
      <c r="K48" s="345" t="s">
        <v>975</v>
      </c>
      <c r="L48" s="345" t="s">
        <v>988</v>
      </c>
      <c r="M48" s="345" t="s">
        <v>1048</v>
      </c>
      <c r="N48" s="345" t="s">
        <v>1049</v>
      </c>
    </row>
    <row r="49" spans="11:14">
      <c r="K49" s="345" t="s">
        <v>979</v>
      </c>
      <c r="L49" s="345" t="s">
        <v>988</v>
      </c>
      <c r="M49" s="345" t="s">
        <v>1050</v>
      </c>
      <c r="N49" s="345" t="s">
        <v>1047</v>
      </c>
    </row>
    <row r="50" spans="11:14">
      <c r="K50" s="343" t="s">
        <v>997</v>
      </c>
      <c r="L50" s="343" t="s">
        <v>1040</v>
      </c>
      <c r="M50" s="343" t="s">
        <v>1035</v>
      </c>
      <c r="N50" s="343" t="s">
        <v>993</v>
      </c>
    </row>
    <row r="51" spans="11:14">
      <c r="K51" s="345" t="s">
        <v>968</v>
      </c>
      <c r="L51" s="345" t="s">
        <v>1040</v>
      </c>
      <c r="M51" s="345" t="s">
        <v>1035</v>
      </c>
      <c r="N51" s="345" t="s">
        <v>993</v>
      </c>
    </row>
    <row r="52" spans="11:14">
      <c r="K52" s="345" t="s">
        <v>973</v>
      </c>
      <c r="L52" s="345" t="s">
        <v>1040</v>
      </c>
      <c r="M52" s="345" t="s">
        <v>1035</v>
      </c>
      <c r="N52" s="345" t="s">
        <v>993</v>
      </c>
    </row>
    <row r="53" spans="11:14">
      <c r="K53" s="343" t="s">
        <v>999</v>
      </c>
      <c r="L53" s="343" t="s">
        <v>1040</v>
      </c>
      <c r="M53" s="343" t="s">
        <v>1051</v>
      </c>
      <c r="N53" s="343" t="s">
        <v>996</v>
      </c>
    </row>
    <row r="54" spans="11:14">
      <c r="K54" s="345" t="s">
        <v>968</v>
      </c>
      <c r="L54" s="345" t="s">
        <v>1040</v>
      </c>
      <c r="M54" s="345" t="s">
        <v>1051</v>
      </c>
      <c r="N54" s="345" t="s">
        <v>996</v>
      </c>
    </row>
    <row r="55" spans="11:14">
      <c r="K55" s="345" t="s">
        <v>973</v>
      </c>
      <c r="L55" s="345" t="s">
        <v>1040</v>
      </c>
      <c r="M55" s="345" t="s">
        <v>1051</v>
      </c>
      <c r="N55" s="345" t="s">
        <v>996</v>
      </c>
    </row>
    <row r="56" spans="11:14">
      <c r="K56" s="343" t="s">
        <v>1052</v>
      </c>
      <c r="L56" s="343" t="s">
        <v>1043</v>
      </c>
      <c r="M56" s="343" t="s">
        <v>996</v>
      </c>
      <c r="N56" s="343" t="s">
        <v>1053</v>
      </c>
    </row>
    <row r="57" spans="11:14">
      <c r="K57" s="343" t="s">
        <v>1054</v>
      </c>
      <c r="L57" s="343" t="s">
        <v>1043</v>
      </c>
      <c r="M57" s="343" t="s">
        <v>996</v>
      </c>
      <c r="N57" s="343" t="s">
        <v>1053</v>
      </c>
    </row>
    <row r="58" spans="11:14">
      <c r="K58" s="345" t="s">
        <v>1055</v>
      </c>
      <c r="L58" s="345" t="s">
        <v>1056</v>
      </c>
      <c r="M58" s="345" t="s">
        <v>996</v>
      </c>
      <c r="N58" s="345" t="s">
        <v>985</v>
      </c>
    </row>
    <row r="59" spans="11:14">
      <c r="K59" s="345" t="s">
        <v>1057</v>
      </c>
      <c r="L59" s="345" t="s">
        <v>995</v>
      </c>
      <c r="M59" s="345" t="s">
        <v>1042</v>
      </c>
      <c r="N59" s="345" t="s">
        <v>1048</v>
      </c>
    </row>
    <row r="60" spans="11:14">
      <c r="K60" s="345" t="s">
        <v>1058</v>
      </c>
      <c r="L60" s="345" t="s">
        <v>1040</v>
      </c>
      <c r="M60" s="345" t="s">
        <v>1059</v>
      </c>
      <c r="N60" s="345" t="s">
        <v>1053</v>
      </c>
    </row>
    <row r="61" spans="11:14">
      <c r="K61" s="345" t="s">
        <v>1060</v>
      </c>
      <c r="L61" s="345" t="s">
        <v>1040</v>
      </c>
      <c r="M61" s="345" t="s">
        <v>1059</v>
      </c>
      <c r="N61" s="345" t="s">
        <v>1053</v>
      </c>
    </row>
    <row r="62" spans="11:14">
      <c r="K62" s="343" t="s">
        <v>1061</v>
      </c>
      <c r="L62" s="343" t="s">
        <v>995</v>
      </c>
      <c r="M62" s="343" t="s">
        <v>985</v>
      </c>
      <c r="N62" s="343" t="s">
        <v>1042</v>
      </c>
    </row>
    <row r="63" spans="11:14">
      <c r="K63" s="345" t="s">
        <v>1055</v>
      </c>
      <c r="L63" s="345" t="s">
        <v>995</v>
      </c>
      <c r="M63" s="345" t="s">
        <v>985</v>
      </c>
      <c r="N63" s="345" t="s">
        <v>1042</v>
      </c>
    </row>
    <row r="64" spans="11:14">
      <c r="K64" s="345" t="s">
        <v>1057</v>
      </c>
      <c r="L64" s="345" t="s">
        <v>995</v>
      </c>
      <c r="M64" s="345" t="s">
        <v>985</v>
      </c>
      <c r="N64" s="345" t="s">
        <v>1042</v>
      </c>
    </row>
    <row r="65" spans="11:14">
      <c r="K65" s="343" t="s">
        <v>1005</v>
      </c>
      <c r="L65" s="343" t="s">
        <v>1062</v>
      </c>
      <c r="M65" s="343" t="s">
        <v>985</v>
      </c>
      <c r="N65" s="343" t="s">
        <v>1063</v>
      </c>
    </row>
    <row r="66" spans="11:14">
      <c r="K66" s="345" t="s">
        <v>968</v>
      </c>
      <c r="L66" s="345" t="s">
        <v>1013</v>
      </c>
      <c r="M66" s="345" t="s">
        <v>985</v>
      </c>
      <c r="N66" s="345" t="s">
        <v>1050</v>
      </c>
    </row>
    <row r="67" spans="11:14">
      <c r="K67" s="345" t="s">
        <v>973</v>
      </c>
      <c r="L67" s="345" t="s">
        <v>1013</v>
      </c>
      <c r="M67" s="345" t="s">
        <v>1048</v>
      </c>
      <c r="N67" s="345" t="s">
        <v>1047</v>
      </c>
    </row>
    <row r="68" spans="11:14">
      <c r="K68" s="345" t="s">
        <v>975</v>
      </c>
      <c r="L68" s="345" t="s">
        <v>976</v>
      </c>
      <c r="M68" s="345" t="s">
        <v>1064</v>
      </c>
      <c r="N68" s="345" t="s">
        <v>1063</v>
      </c>
    </row>
    <row r="69" spans="11:14">
      <c r="K69" s="345" t="s">
        <v>979</v>
      </c>
      <c r="L69" s="345" t="s">
        <v>1016</v>
      </c>
      <c r="M69" s="345" t="s">
        <v>1064</v>
      </c>
      <c r="N69" s="345" t="s">
        <v>1065</v>
      </c>
    </row>
    <row r="70" spans="11:14">
      <c r="K70" s="343" t="s">
        <v>1006</v>
      </c>
      <c r="L70" s="343" t="s">
        <v>1066</v>
      </c>
      <c r="M70" s="343" t="s">
        <v>1050</v>
      </c>
      <c r="N70" s="343" t="s">
        <v>1067</v>
      </c>
    </row>
    <row r="71" spans="11:14">
      <c r="K71" s="345" t="s">
        <v>968</v>
      </c>
      <c r="L71" s="345" t="s">
        <v>1013</v>
      </c>
      <c r="M71" s="345" t="s">
        <v>1050</v>
      </c>
      <c r="N71" s="345" t="s">
        <v>1045</v>
      </c>
    </row>
    <row r="72" spans="11:14">
      <c r="K72" s="345" t="s">
        <v>973</v>
      </c>
      <c r="L72" s="345" t="s">
        <v>1013</v>
      </c>
      <c r="M72" s="345" t="s">
        <v>1047</v>
      </c>
      <c r="N72" s="345" t="s">
        <v>1068</v>
      </c>
    </row>
    <row r="73" spans="11:14">
      <c r="K73" s="345" t="s">
        <v>975</v>
      </c>
      <c r="L73" s="345" t="s">
        <v>1040</v>
      </c>
      <c r="M73" s="345" t="s">
        <v>1069</v>
      </c>
      <c r="N73" s="345" t="s">
        <v>1067</v>
      </c>
    </row>
    <row r="74" spans="11:14">
      <c r="K74" s="345" t="s">
        <v>979</v>
      </c>
      <c r="L74" s="345" t="s">
        <v>1040</v>
      </c>
      <c r="M74" s="345" t="s">
        <v>1063</v>
      </c>
      <c r="N74" s="345" t="s">
        <v>1070</v>
      </c>
    </row>
    <row r="75" spans="11:14">
      <c r="K75" s="343" t="s">
        <v>1009</v>
      </c>
      <c r="L75" s="343" t="s">
        <v>1071</v>
      </c>
      <c r="M75" s="343" t="s">
        <v>985</v>
      </c>
      <c r="N75" s="343" t="s">
        <v>1072</v>
      </c>
    </row>
    <row r="76" spans="11:14">
      <c r="K76" s="345" t="s">
        <v>968</v>
      </c>
      <c r="L76" s="345" t="s">
        <v>990</v>
      </c>
      <c r="M76" s="345" t="s">
        <v>985</v>
      </c>
      <c r="N76" s="345" t="s">
        <v>1048</v>
      </c>
    </row>
    <row r="77" spans="11:14">
      <c r="K77" s="345" t="s">
        <v>973</v>
      </c>
      <c r="L77" s="345" t="s">
        <v>990</v>
      </c>
      <c r="M77" s="345" t="s">
        <v>1048</v>
      </c>
      <c r="N77" s="345" t="s">
        <v>1049</v>
      </c>
    </row>
    <row r="78" spans="11:14">
      <c r="K78" s="345" t="s">
        <v>975</v>
      </c>
      <c r="L78" s="345" t="s">
        <v>988</v>
      </c>
      <c r="M78" s="345" t="s">
        <v>1064</v>
      </c>
      <c r="N78" s="345" t="s">
        <v>1072</v>
      </c>
    </row>
    <row r="79" spans="11:14">
      <c r="K79" s="345" t="s">
        <v>979</v>
      </c>
      <c r="L79" s="345" t="s">
        <v>988</v>
      </c>
      <c r="M79" s="345" t="s">
        <v>1064</v>
      </c>
      <c r="N79" s="345" t="s">
        <v>1072</v>
      </c>
    </row>
    <row r="80" spans="11:14">
      <c r="K80" s="343" t="s">
        <v>1010</v>
      </c>
      <c r="L80" s="343" t="s">
        <v>1040</v>
      </c>
      <c r="M80" s="343" t="s">
        <v>1014</v>
      </c>
      <c r="N80" s="343" t="s">
        <v>1073</v>
      </c>
    </row>
    <row r="81" spans="11:14">
      <c r="K81" s="345" t="s">
        <v>968</v>
      </c>
      <c r="L81" s="345" t="s">
        <v>1040</v>
      </c>
      <c r="M81" s="345" t="s">
        <v>1014</v>
      </c>
      <c r="N81" s="345" t="s">
        <v>1073</v>
      </c>
    </row>
    <row r="82" spans="11:14">
      <c r="K82" s="345" t="s">
        <v>973</v>
      </c>
      <c r="L82" s="345" t="s">
        <v>1040</v>
      </c>
      <c r="M82" s="345" t="s">
        <v>1014</v>
      </c>
      <c r="N82" s="345" t="s">
        <v>1073</v>
      </c>
    </row>
    <row r="83" spans="11:14">
      <c r="K83" s="343" t="s">
        <v>1012</v>
      </c>
      <c r="L83" s="343" t="s">
        <v>995</v>
      </c>
      <c r="M83" s="343" t="s">
        <v>1047</v>
      </c>
      <c r="N83" s="343" t="s">
        <v>1039</v>
      </c>
    </row>
    <row r="84" spans="11:14">
      <c r="K84" s="345" t="s">
        <v>968</v>
      </c>
      <c r="L84" s="345" t="s">
        <v>995</v>
      </c>
      <c r="M84" s="345" t="s">
        <v>1047</v>
      </c>
      <c r="N84" s="345" t="s">
        <v>1039</v>
      </c>
    </row>
    <row r="85" spans="11:14">
      <c r="K85" s="345" t="s">
        <v>973</v>
      </c>
      <c r="L85" s="345" t="s">
        <v>995</v>
      </c>
      <c r="M85" s="345" t="s">
        <v>1047</v>
      </c>
      <c r="N85" s="345" t="s">
        <v>1039</v>
      </c>
    </row>
    <row r="86" spans="11:14">
      <c r="K86" s="343" t="s">
        <v>1015</v>
      </c>
      <c r="L86" s="343" t="s">
        <v>1074</v>
      </c>
      <c r="M86" s="343" t="s">
        <v>1014</v>
      </c>
      <c r="N86" s="343" t="s">
        <v>1075</v>
      </c>
    </row>
    <row r="87" spans="11:14">
      <c r="K87" s="345" t="s">
        <v>968</v>
      </c>
      <c r="L87" s="345" t="s">
        <v>1016</v>
      </c>
      <c r="M87" s="345" t="s">
        <v>1014</v>
      </c>
      <c r="N87" s="345" t="s">
        <v>1047</v>
      </c>
    </row>
    <row r="88" spans="11:14">
      <c r="K88" s="345" t="s">
        <v>973</v>
      </c>
      <c r="L88" s="345" t="s">
        <v>1016</v>
      </c>
      <c r="M88" s="345" t="s">
        <v>1048</v>
      </c>
      <c r="N88" s="345" t="s">
        <v>1045</v>
      </c>
    </row>
    <row r="89" spans="11:14">
      <c r="K89" s="345" t="s">
        <v>975</v>
      </c>
      <c r="L89" s="345" t="s">
        <v>1028</v>
      </c>
      <c r="M89" s="345" t="s">
        <v>1064</v>
      </c>
      <c r="N89" s="345" t="s">
        <v>1075</v>
      </c>
    </row>
    <row r="90" spans="11:14">
      <c r="K90" s="345" t="s">
        <v>979</v>
      </c>
      <c r="L90" s="345" t="s">
        <v>1021</v>
      </c>
      <c r="M90" s="345" t="s">
        <v>1064</v>
      </c>
      <c r="N90" s="345" t="s">
        <v>1069</v>
      </c>
    </row>
    <row r="91" spans="11:14">
      <c r="K91" s="343" t="s">
        <v>1017</v>
      </c>
      <c r="L91" s="343" t="s">
        <v>1076</v>
      </c>
      <c r="M91" s="343" t="s">
        <v>1039</v>
      </c>
      <c r="N91" s="343" t="s">
        <v>1077</v>
      </c>
    </row>
    <row r="92" spans="11:14">
      <c r="K92" s="345" t="s">
        <v>968</v>
      </c>
      <c r="L92" s="345" t="s">
        <v>1040</v>
      </c>
      <c r="M92" s="345" t="s">
        <v>1039</v>
      </c>
      <c r="N92" s="345" t="s">
        <v>1078</v>
      </c>
    </row>
    <row r="93" spans="11:14">
      <c r="K93" s="345" t="s">
        <v>973</v>
      </c>
      <c r="L93" s="345" t="s">
        <v>1040</v>
      </c>
      <c r="M93" s="345" t="s">
        <v>1045</v>
      </c>
      <c r="N93" s="345" t="s">
        <v>1059</v>
      </c>
    </row>
    <row r="94" spans="11:14">
      <c r="K94" s="345" t="s">
        <v>975</v>
      </c>
      <c r="L94" s="345" t="s">
        <v>1040</v>
      </c>
      <c r="M94" s="345" t="s">
        <v>1079</v>
      </c>
      <c r="N94" s="345" t="s">
        <v>1077</v>
      </c>
    </row>
    <row r="95" spans="11:14">
      <c r="K95" s="345" t="s">
        <v>979</v>
      </c>
      <c r="L95" s="345" t="s">
        <v>1040</v>
      </c>
      <c r="M95" s="345" t="s">
        <v>1075</v>
      </c>
      <c r="N95" s="345" t="s">
        <v>1080</v>
      </c>
    </row>
    <row r="96" spans="11:14">
      <c r="K96" s="343" t="s">
        <v>1020</v>
      </c>
      <c r="L96" s="343" t="s">
        <v>1081</v>
      </c>
      <c r="M96" s="343" t="s">
        <v>1014</v>
      </c>
      <c r="N96" s="343" t="s">
        <v>1082</v>
      </c>
    </row>
    <row r="97" spans="11:14">
      <c r="K97" s="345" t="s">
        <v>968</v>
      </c>
      <c r="L97" s="345" t="s">
        <v>1013</v>
      </c>
      <c r="M97" s="345" t="s">
        <v>1014</v>
      </c>
      <c r="N97" s="345" t="s">
        <v>1049</v>
      </c>
    </row>
    <row r="98" spans="11:14">
      <c r="K98" s="345" t="s">
        <v>973</v>
      </c>
      <c r="L98" s="345" t="s">
        <v>1013</v>
      </c>
      <c r="M98" s="345" t="s">
        <v>1048</v>
      </c>
      <c r="N98" s="345" t="s">
        <v>1047</v>
      </c>
    </row>
    <row r="99" spans="11:14">
      <c r="K99" s="345" t="s">
        <v>975</v>
      </c>
      <c r="L99" s="345" t="s">
        <v>1040</v>
      </c>
      <c r="M99" s="345" t="s">
        <v>1064</v>
      </c>
      <c r="N99" s="345" t="s">
        <v>1082</v>
      </c>
    </row>
    <row r="100" spans="11:14">
      <c r="K100" s="345" t="s">
        <v>979</v>
      </c>
      <c r="L100" s="345" t="s">
        <v>1013</v>
      </c>
      <c r="M100" s="345" t="s">
        <v>1064</v>
      </c>
      <c r="N100" s="345" t="s">
        <v>1083</v>
      </c>
    </row>
    <row r="101" spans="11:14" ht="25.5">
      <c r="K101" s="343" t="s">
        <v>1022</v>
      </c>
      <c r="L101" s="343" t="s">
        <v>976</v>
      </c>
      <c r="M101" s="343" t="s">
        <v>1014</v>
      </c>
      <c r="N101" s="343" t="s">
        <v>1039</v>
      </c>
    </row>
    <row r="102" spans="11:14">
      <c r="K102" s="345" t="s">
        <v>968</v>
      </c>
      <c r="L102" s="345" t="s">
        <v>976</v>
      </c>
      <c r="M102" s="345" t="s">
        <v>1014</v>
      </c>
      <c r="N102" s="345" t="s">
        <v>1039</v>
      </c>
    </row>
    <row r="103" spans="11:14">
      <c r="K103" s="345" t="s">
        <v>973</v>
      </c>
      <c r="L103" s="345" t="s">
        <v>976</v>
      </c>
      <c r="M103" s="345" t="s">
        <v>1014</v>
      </c>
      <c r="N103" s="345" t="s">
        <v>1039</v>
      </c>
    </row>
    <row r="104" spans="11:14">
      <c r="K104" s="343" t="s">
        <v>1024</v>
      </c>
      <c r="L104" s="343" t="s">
        <v>1016</v>
      </c>
      <c r="M104" s="343" t="s">
        <v>1045</v>
      </c>
      <c r="N104" s="343" t="s">
        <v>1059</v>
      </c>
    </row>
    <row r="105" spans="11:14">
      <c r="K105" s="345" t="s">
        <v>968</v>
      </c>
      <c r="L105" s="345" t="s">
        <v>1016</v>
      </c>
      <c r="M105" s="345" t="s">
        <v>1045</v>
      </c>
      <c r="N105" s="345" t="s">
        <v>1059</v>
      </c>
    </row>
    <row r="106" spans="11:14">
      <c r="K106" s="345" t="s">
        <v>973</v>
      </c>
      <c r="L106" s="345" t="s">
        <v>1016</v>
      </c>
      <c r="M106" s="345" t="s">
        <v>1045</v>
      </c>
      <c r="N106" s="345" t="s">
        <v>1059</v>
      </c>
    </row>
    <row r="107" spans="11:14">
      <c r="K107" s="343" t="s">
        <v>1025</v>
      </c>
      <c r="L107" s="343" t="s">
        <v>1084</v>
      </c>
      <c r="M107" s="343" t="s">
        <v>1049</v>
      </c>
      <c r="N107" s="343" t="s">
        <v>1063</v>
      </c>
    </row>
    <row r="108" spans="11:14">
      <c r="K108" s="345" t="s">
        <v>968</v>
      </c>
      <c r="L108" s="345" t="s">
        <v>1013</v>
      </c>
      <c r="M108" s="345" t="s">
        <v>1049</v>
      </c>
      <c r="N108" s="345" t="s">
        <v>1045</v>
      </c>
    </row>
    <row r="109" spans="11:14">
      <c r="K109" s="345" t="s">
        <v>973</v>
      </c>
      <c r="L109" s="345" t="s">
        <v>1040</v>
      </c>
      <c r="M109" s="345" t="s">
        <v>1049</v>
      </c>
      <c r="N109" s="345" t="s">
        <v>1085</v>
      </c>
    </row>
    <row r="110" spans="11:14">
      <c r="K110" s="345" t="s">
        <v>975</v>
      </c>
      <c r="L110" s="345" t="s">
        <v>976</v>
      </c>
      <c r="M110" s="345" t="s">
        <v>1064</v>
      </c>
      <c r="N110" s="345" t="s">
        <v>1063</v>
      </c>
    </row>
    <row r="111" spans="11:14">
      <c r="K111" s="345" t="s">
        <v>979</v>
      </c>
      <c r="L111" s="345" t="s">
        <v>1040</v>
      </c>
      <c r="M111" s="345" t="s">
        <v>1064</v>
      </c>
      <c r="N111" s="345" t="s">
        <v>1082</v>
      </c>
    </row>
    <row r="112" spans="11:14">
      <c r="K112" s="343" t="s">
        <v>1027</v>
      </c>
      <c r="L112" s="343" t="s">
        <v>1084</v>
      </c>
      <c r="M112" s="343" t="s">
        <v>1085</v>
      </c>
      <c r="N112" s="343" t="s">
        <v>1070</v>
      </c>
    </row>
    <row r="113" spans="11:14">
      <c r="K113" s="345" t="s">
        <v>968</v>
      </c>
      <c r="L113" s="345" t="s">
        <v>1013</v>
      </c>
      <c r="M113" s="345" t="s">
        <v>1085</v>
      </c>
      <c r="N113" s="345" t="s">
        <v>1044</v>
      </c>
    </row>
    <row r="114" spans="11:14">
      <c r="K114" s="345" t="s">
        <v>973</v>
      </c>
      <c r="L114" s="345" t="s">
        <v>1013</v>
      </c>
      <c r="M114" s="345" t="s">
        <v>1086</v>
      </c>
      <c r="N114" s="345" t="s">
        <v>1059</v>
      </c>
    </row>
    <row r="115" spans="11:14">
      <c r="K115" s="345" t="s">
        <v>975</v>
      </c>
      <c r="L115" s="345" t="s">
        <v>1013</v>
      </c>
      <c r="M115" s="345" t="s">
        <v>1069</v>
      </c>
      <c r="N115" s="345" t="s">
        <v>1070</v>
      </c>
    </row>
    <row r="116" spans="11:14">
      <c r="K116" s="345" t="s">
        <v>979</v>
      </c>
      <c r="L116" s="345" t="s">
        <v>1016</v>
      </c>
      <c r="M116" s="345" t="s">
        <v>1065</v>
      </c>
      <c r="N116" s="345" t="s">
        <v>1070</v>
      </c>
    </row>
    <row r="117" spans="11:14">
      <c r="K117" s="343" t="s">
        <v>1031</v>
      </c>
      <c r="L117" s="343" t="s">
        <v>1038</v>
      </c>
      <c r="M117" s="343" t="s">
        <v>1049</v>
      </c>
      <c r="N117" s="343" t="s">
        <v>1083</v>
      </c>
    </row>
    <row r="118" spans="11:14">
      <c r="K118" s="345" t="s">
        <v>968</v>
      </c>
      <c r="L118" s="345" t="s">
        <v>995</v>
      </c>
      <c r="M118" s="345" t="s">
        <v>1049</v>
      </c>
      <c r="N118" s="345" t="s">
        <v>1073</v>
      </c>
    </row>
    <row r="119" spans="11:14">
      <c r="K119" s="345" t="s">
        <v>973</v>
      </c>
      <c r="L119" s="345" t="s">
        <v>990</v>
      </c>
      <c r="M119" s="345" t="s">
        <v>1049</v>
      </c>
      <c r="N119" s="345" t="s">
        <v>1047</v>
      </c>
    </row>
    <row r="120" spans="11:14">
      <c r="K120" s="345" t="s">
        <v>975</v>
      </c>
      <c r="L120" s="345" t="s">
        <v>1013</v>
      </c>
      <c r="M120" s="345" t="s">
        <v>1064</v>
      </c>
      <c r="N120" s="345" t="s">
        <v>1083</v>
      </c>
    </row>
    <row r="121" spans="11:14">
      <c r="K121" s="345" t="s">
        <v>979</v>
      </c>
      <c r="L121" s="345" t="s">
        <v>1013</v>
      </c>
      <c r="M121" s="345" t="s">
        <v>1064</v>
      </c>
      <c r="N121" s="345" t="s">
        <v>1083</v>
      </c>
    </row>
    <row r="122" spans="11:14">
      <c r="K122" s="343" t="s">
        <v>1032</v>
      </c>
      <c r="L122" s="343" t="s">
        <v>1016</v>
      </c>
      <c r="M122" s="343" t="s">
        <v>1049</v>
      </c>
      <c r="N122" s="343" t="s">
        <v>1086</v>
      </c>
    </row>
    <row r="123" spans="11:14">
      <c r="K123" s="345" t="s">
        <v>968</v>
      </c>
      <c r="L123" s="345" t="s">
        <v>1016</v>
      </c>
      <c r="M123" s="345" t="s">
        <v>1049</v>
      </c>
      <c r="N123" s="345" t="s">
        <v>1086</v>
      </c>
    </row>
    <row r="124" spans="11:14">
      <c r="K124" s="345" t="s">
        <v>973</v>
      </c>
      <c r="L124" s="345" t="s">
        <v>1016</v>
      </c>
      <c r="M124" s="345" t="s">
        <v>1049</v>
      </c>
      <c r="N124" s="345" t="s">
        <v>1086</v>
      </c>
    </row>
    <row r="125" spans="11:14">
      <c r="K125" s="343" t="s">
        <v>1033</v>
      </c>
      <c r="L125" s="343" t="s">
        <v>990</v>
      </c>
      <c r="M125" s="343" t="s">
        <v>1068</v>
      </c>
      <c r="N125" s="343" t="s">
        <v>1044</v>
      </c>
    </row>
    <row r="126" spans="11:14">
      <c r="K126" s="345" t="s">
        <v>968</v>
      </c>
      <c r="L126" s="345" t="s">
        <v>990</v>
      </c>
      <c r="M126" s="345" t="s">
        <v>1068</v>
      </c>
      <c r="N126" s="345" t="s">
        <v>1044</v>
      </c>
    </row>
    <row r="127" spans="11:14">
      <c r="K127" s="345" t="s">
        <v>973</v>
      </c>
      <c r="L127" s="345" t="s">
        <v>990</v>
      </c>
      <c r="M127" s="345" t="s">
        <v>1068</v>
      </c>
      <c r="N127" s="345" t="s">
        <v>1044</v>
      </c>
    </row>
    <row r="128" spans="11:14">
      <c r="K128" s="343" t="s">
        <v>1087</v>
      </c>
      <c r="L128" s="343" t="s">
        <v>1088</v>
      </c>
      <c r="M128" s="343" t="s">
        <v>1059</v>
      </c>
      <c r="N128" s="343" t="s">
        <v>1089</v>
      </c>
    </row>
    <row r="129" spans="11:14">
      <c r="K129" s="343" t="s">
        <v>1090</v>
      </c>
      <c r="L129" s="343" t="s">
        <v>1088</v>
      </c>
      <c r="M129" s="343" t="s">
        <v>1059</v>
      </c>
      <c r="N129" s="343" t="s">
        <v>1089</v>
      </c>
    </row>
    <row r="130" spans="11:14">
      <c r="K130" s="345" t="s">
        <v>1055</v>
      </c>
      <c r="L130" s="345" t="s">
        <v>995</v>
      </c>
      <c r="M130" s="345" t="s">
        <v>1059</v>
      </c>
      <c r="N130" s="345" t="s">
        <v>1091</v>
      </c>
    </row>
    <row r="131" spans="11:14">
      <c r="K131" s="345" t="s">
        <v>1057</v>
      </c>
      <c r="L131" s="345" t="s">
        <v>1013</v>
      </c>
      <c r="M131" s="345" t="s">
        <v>1091</v>
      </c>
      <c r="N131" s="345" t="s">
        <v>1053</v>
      </c>
    </row>
    <row r="132" spans="11:14">
      <c r="K132" s="345" t="s">
        <v>1058</v>
      </c>
      <c r="L132" s="345" t="s">
        <v>1040</v>
      </c>
      <c r="M132" s="345" t="s">
        <v>1067</v>
      </c>
      <c r="N132" s="345" t="s">
        <v>1089</v>
      </c>
    </row>
    <row r="133" spans="11:14">
      <c r="K133" s="345" t="s">
        <v>1060</v>
      </c>
      <c r="L133" s="345" t="s">
        <v>1040</v>
      </c>
      <c r="M133" s="345" t="s">
        <v>1067</v>
      </c>
      <c r="N133" s="345" t="s">
        <v>1089</v>
      </c>
    </row>
    <row r="134" spans="11:14">
      <c r="K134" s="343" t="s">
        <v>1092</v>
      </c>
      <c r="L134" s="343" t="s">
        <v>990</v>
      </c>
      <c r="M134" s="343" t="s">
        <v>1059</v>
      </c>
      <c r="N134" s="343" t="s">
        <v>1093</v>
      </c>
    </row>
    <row r="135" spans="11:14">
      <c r="K135" s="345" t="s">
        <v>1055</v>
      </c>
      <c r="L135" s="345" t="s">
        <v>990</v>
      </c>
      <c r="M135" s="345" t="s">
        <v>1059</v>
      </c>
      <c r="N135" s="345" t="s">
        <v>1093</v>
      </c>
    </row>
    <row r="136" spans="11:14">
      <c r="K136" s="345" t="s">
        <v>1057</v>
      </c>
      <c r="L136" s="345" t="s">
        <v>990</v>
      </c>
      <c r="M136" s="345" t="s">
        <v>1059</v>
      </c>
      <c r="N136" s="345" t="s">
        <v>1093</v>
      </c>
    </row>
  </sheetData>
  <autoFilter ref="A3:O34" xr:uid="{FC68CA3E-D8B0-4BC5-866B-4F70613618F7}"/>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85716-23F0-4506-BF71-79B8D371F31F}">
  <sheetPr>
    <pageSetUpPr fitToPage="1"/>
  </sheetPr>
  <dimension ref="A1:AG24"/>
  <sheetViews>
    <sheetView zoomScaleNormal="100" workbookViewId="0">
      <selection activeCell="I10" sqref="I10"/>
    </sheetView>
  </sheetViews>
  <sheetFormatPr defaultColWidth="8.5703125" defaultRowHeight="13.5" customHeight="1"/>
  <cols>
    <col min="1" max="1" width="24.140625" style="16" customWidth="1"/>
    <col min="2" max="12" width="10.5703125" style="16" customWidth="1"/>
    <col min="13" max="13" width="10.5703125" style="229" customWidth="1"/>
    <col min="14" max="14" width="10.5703125" style="227" customWidth="1"/>
    <col min="15" max="20" width="10.5703125" style="16" customWidth="1"/>
    <col min="23" max="29" width="8.5703125" style="16"/>
    <col min="30" max="30" width="12.42578125" style="16" bestFit="1" customWidth="1"/>
    <col min="31" max="31" width="10.42578125" style="16" bestFit="1" customWidth="1"/>
    <col min="32" max="16384" width="8.5703125" style="16"/>
  </cols>
  <sheetData>
    <row r="1" spans="1:33" ht="37.9" customHeight="1">
      <c r="D1" s="279" t="s">
        <v>1094</v>
      </c>
      <c r="E1" s="279"/>
      <c r="F1" s="279"/>
      <c r="G1" s="279"/>
      <c r="H1" s="279"/>
      <c r="I1" s="279"/>
      <c r="J1" s="279"/>
      <c r="K1" s="279"/>
      <c r="L1" s="279"/>
      <c r="M1" s="280"/>
      <c r="N1" s="16"/>
      <c r="O1" s="279"/>
      <c r="Q1" s="279"/>
    </row>
    <row r="2" spans="1:33" ht="14.85" customHeight="1">
      <c r="A2" s="558" t="s">
        <v>1095</v>
      </c>
      <c r="B2" s="560" t="s">
        <v>1096</v>
      </c>
      <c r="C2" s="561"/>
      <c r="D2" s="561"/>
      <c r="E2" s="561"/>
      <c r="F2" s="561"/>
      <c r="G2" s="561"/>
      <c r="H2" s="561"/>
      <c r="I2" s="561"/>
      <c r="J2" s="561"/>
      <c r="K2" s="562"/>
      <c r="L2" s="563" t="s">
        <v>1097</v>
      </c>
      <c r="M2" s="564"/>
      <c r="N2" s="564"/>
      <c r="O2" s="564"/>
      <c r="P2" s="564"/>
      <c r="Q2" s="564"/>
      <c r="R2" s="564"/>
      <c r="S2" s="564"/>
      <c r="T2" s="564"/>
    </row>
    <row r="3" spans="1:33" ht="60.95" customHeight="1">
      <c r="A3" s="559"/>
      <c r="B3" s="244" t="s">
        <v>1098</v>
      </c>
      <c r="C3" s="276" t="s">
        <v>1099</v>
      </c>
      <c r="D3" s="277" t="s">
        <v>1100</v>
      </c>
      <c r="E3" s="278" t="s">
        <v>1101</v>
      </c>
      <c r="F3" s="236" t="s">
        <v>1102</v>
      </c>
      <c r="G3" s="237" t="s">
        <v>1103</v>
      </c>
      <c r="H3" s="238" t="s">
        <v>1104</v>
      </c>
      <c r="I3" s="239" t="s">
        <v>1105</v>
      </c>
      <c r="J3" s="240" t="s">
        <v>1106</v>
      </c>
      <c r="K3" s="241" t="s">
        <v>1107</v>
      </c>
      <c r="L3" s="274" t="s">
        <v>1108</v>
      </c>
      <c r="M3" s="245" t="s">
        <v>1109</v>
      </c>
      <c r="N3" s="246" t="s">
        <v>1110</v>
      </c>
      <c r="O3" s="248" t="s">
        <v>1111</v>
      </c>
      <c r="P3" s="247" t="s">
        <v>1112</v>
      </c>
      <c r="Q3" s="242" t="s">
        <v>1113</v>
      </c>
      <c r="R3" s="243" t="s">
        <v>1114</v>
      </c>
      <c r="S3" s="249" t="s">
        <v>1115</v>
      </c>
      <c r="T3" s="250" t="s">
        <v>1116</v>
      </c>
      <c r="AD3" s="206" t="s">
        <v>1117</v>
      </c>
      <c r="AG3" s="206" t="s">
        <v>1118</v>
      </c>
    </row>
    <row r="4" spans="1:33" ht="15">
      <c r="A4" s="222" t="s">
        <v>17</v>
      </c>
      <c r="B4" s="224">
        <f>COUNTIF(New_SQL_Ing!C:C,New_IngestionSummary!A4)</f>
        <v>116</v>
      </c>
      <c r="C4" s="226">
        <f>COUNTIFS(New_SQL_Ing!C:C,New_IngestionSummary!A4, New_SQL_Ing!R:R,"Done")</f>
        <v>104</v>
      </c>
      <c r="D4" s="226">
        <f>COUNTIFS(New_SQL_Ing!C:C,New_IngestionSummary!A4,New_SQL_Ing!S:S,"Done")</f>
        <v>59</v>
      </c>
      <c r="E4" s="225" t="s">
        <v>326</v>
      </c>
      <c r="F4" s="226">
        <f>COUNTIFS(New_SQL_Ing!C:C,New_IngestionSummary!A4, New_SQL_Ing!U:U,"Done")</f>
        <v>65</v>
      </c>
      <c r="G4" s="226">
        <f>COUNTIFS(New_SQL_Ing!C:C,New_IngestionSummary!A4, New_SQL_Ing!V:V,"Done")</f>
        <v>0</v>
      </c>
      <c r="H4" s="225" t="s">
        <v>326</v>
      </c>
      <c r="I4" s="226">
        <f>COUNTIFS(New_SQL_Ing!C:C,New_IngestionSummary!A4, New_SQL_Ing!X:X,"Done")</f>
        <v>0</v>
      </c>
      <c r="J4" s="226">
        <f>COUNTIFS(New_SQL_Ing!C:C,New_IngestionSummary!A4, New_SQL_Ing!Y:Y,"Done")</f>
        <v>0</v>
      </c>
      <c r="K4" s="225" t="s">
        <v>326</v>
      </c>
      <c r="L4" s="224">
        <f>COUNTIF(New_DV_Ing!I:I,New_IngestionSummary!A4)</f>
        <v>12</v>
      </c>
      <c r="M4" s="226">
        <f>COUNTIFS(New_DV_Ing!I:I,New_IngestionSummary!A4,New_DV_Ing!O:O,"Done")</f>
        <v>12</v>
      </c>
      <c r="N4" s="226">
        <f>COUNTIFS(New_DV_Ing!I:I,New_IngestionSummary!B4,New_DV_Ing!P:P,"Done")</f>
        <v>0</v>
      </c>
      <c r="O4" s="226">
        <f>COUNTIFS(New_DV_Ing!I:I,New_IngestionSummary!E4,New_DV_Ing!Q:Q,"Done")</f>
        <v>0</v>
      </c>
      <c r="P4" s="226">
        <f>COUNTIFS(New_DV_Ing!I:I,New_IngestionSummary!F4,New_DV_Ing!R:R,"Done")</f>
        <v>0</v>
      </c>
      <c r="Q4" s="226">
        <f>COUNTIFS(New_DV_Ing!I:I,New_IngestionSummary!G4,New_DV_Ing!S:S,"Done")</f>
        <v>0</v>
      </c>
      <c r="R4" s="226">
        <f>COUNTIFS(New_DV_Ing!I:I,New_IngestionSummary!H4,New_DV_Ing!T:T,"Done")</f>
        <v>0</v>
      </c>
      <c r="S4" s="226">
        <f>COUNTIFS(New_DV_Ing!I:I,New_IngestionSummary!I4,New_DV_Ing!U:U,"Done")</f>
        <v>0</v>
      </c>
      <c r="T4" s="225">
        <f>COUNTIFS(New_DV_Ing!I:I,New_IngestionSummary!J4,New_DV_Ing!V:V,"Done")</f>
        <v>0</v>
      </c>
      <c r="AD4" s="16" t="s">
        <v>1119</v>
      </c>
      <c r="AG4" s="16" t="s">
        <v>1120</v>
      </c>
    </row>
    <row r="5" spans="1:33" ht="15">
      <c r="A5" s="222" t="s">
        <v>955</v>
      </c>
      <c r="B5" s="224">
        <f>COUNTIF(New_SQL_Ing!C:C,New_IngestionSummary!A5)</f>
        <v>41</v>
      </c>
      <c r="C5" s="226">
        <f>COUNTIFS(New_SQL_Ing!C:C,New_IngestionSummary!A5, New_SQL_Ing!R:R,"Done")</f>
        <v>38</v>
      </c>
      <c r="D5" s="226">
        <f>COUNTIFS(New_SQL_Ing!C:C,New_IngestionSummary!A5,New_SQL_Ing!S:S,"Done")</f>
        <v>0</v>
      </c>
      <c r="E5" s="218" t="s">
        <v>326</v>
      </c>
      <c r="F5" s="226">
        <f>COUNTIFS(New_SQL_Ing!C:C,New_IngestionSummary!A5, New_SQL_Ing!U:U,"Done")</f>
        <v>32</v>
      </c>
      <c r="G5" s="226">
        <f>COUNTIFS(New_SQL_Ing!C:C,New_IngestionSummary!A5, New_SQL_Ing!V:V,"Done")</f>
        <v>0</v>
      </c>
      <c r="H5" s="218" t="s">
        <v>326</v>
      </c>
      <c r="I5" s="226">
        <f>COUNTIFS(New_SQL_Ing!C:C,New_IngestionSummary!A5, New_SQL_Ing!X:X,"Done")</f>
        <v>0</v>
      </c>
      <c r="J5" s="226">
        <f>COUNTIFS(New_SQL_Ing!C:C,New_IngestionSummary!A5, New_SQL_Ing!Y:Y,"Done")</f>
        <v>0</v>
      </c>
      <c r="K5" s="218" t="s">
        <v>326</v>
      </c>
      <c r="L5" s="224">
        <f>COUNTIF(New_DV_Ing!I:I,New_IngestionSummary!A5)</f>
        <v>1</v>
      </c>
      <c r="M5" s="226">
        <f>COUNTIFS(New_DV_Ing!I:I,New_IngestionSummary!A5,New_DV_Ing!O:O,"Done")</f>
        <v>1</v>
      </c>
      <c r="N5" s="226">
        <f>COUNTIFS(New_DV_Ing!I:I,New_IngestionSummary!B5,New_DV_Ing!P:P,"Done")</f>
        <v>0</v>
      </c>
      <c r="O5" s="226">
        <f>COUNTIFS(New_DV_Ing!I:I,New_IngestionSummary!E5,New_DV_Ing!Q:Q,"Done")</f>
        <v>0</v>
      </c>
      <c r="P5" s="226">
        <f>COUNTIFS(New_DV_Ing!I:I,New_IngestionSummary!F5,New_DV_Ing!R:R,"Done")</f>
        <v>0</v>
      </c>
      <c r="Q5" s="226">
        <f>COUNTIFS(New_DV_Ing!I:I,New_IngestionSummary!G5,New_DV_Ing!S:S,"Done")</f>
        <v>0</v>
      </c>
      <c r="R5" s="226">
        <f>COUNTIFS(New_DV_Ing!I:I,New_IngestionSummary!H5,New_DV_Ing!T:T,"Done")</f>
        <v>0</v>
      </c>
      <c r="S5" s="226">
        <f>COUNTIFS(New_DV_Ing!I:I,New_IngestionSummary!I5,New_DV_Ing!U:U,"Done")</f>
        <v>0</v>
      </c>
      <c r="T5" s="225">
        <f>COUNTIFS(New_DV_Ing!I:I,New_IngestionSummary!J5,New_DV_Ing!V:V,"Done")</f>
        <v>0</v>
      </c>
      <c r="AD5" s="16" t="s">
        <v>1121</v>
      </c>
      <c r="AG5" s="16" t="s">
        <v>1122</v>
      </c>
    </row>
    <row r="6" spans="1:33" ht="15">
      <c r="A6" s="222" t="s">
        <v>954</v>
      </c>
      <c r="B6" s="224">
        <f>COUNTIF(New_SQL_Ing!C:C,New_IngestionSummary!A6)</f>
        <v>7</v>
      </c>
      <c r="C6" s="226">
        <f>COUNTIFS(New_SQL_Ing!C:C,New_IngestionSummary!A6, New_SQL_Ing!R:R,"Done")</f>
        <v>5</v>
      </c>
      <c r="D6" s="226">
        <f>COUNTIFS(New_SQL_Ing!C:C,New_IngestionSummary!A6,New_SQL_Ing!S:S,"Done")</f>
        <v>2</v>
      </c>
      <c r="E6" s="218" t="s">
        <v>326</v>
      </c>
      <c r="F6" s="226">
        <f>COUNTIFS(New_SQL_Ing!C:C,New_IngestionSummary!A6, New_SQL_Ing!U:U,"Done")</f>
        <v>5</v>
      </c>
      <c r="G6" s="226">
        <f>COUNTIFS(New_SQL_Ing!C:C,New_IngestionSummary!A6, New_SQL_Ing!V:V,"Done")</f>
        <v>0</v>
      </c>
      <c r="H6" s="218" t="s">
        <v>326</v>
      </c>
      <c r="I6" s="226">
        <f>COUNTIFS(New_SQL_Ing!C:C,New_IngestionSummary!A6, New_SQL_Ing!X:X,"Done")</f>
        <v>0</v>
      </c>
      <c r="J6" s="226">
        <f>COUNTIFS(New_SQL_Ing!C:C,New_IngestionSummary!A6, New_SQL_Ing!Y:Y,"Done")</f>
        <v>0</v>
      </c>
      <c r="K6" s="218" t="s">
        <v>326</v>
      </c>
      <c r="L6" s="224" t="s">
        <v>326</v>
      </c>
      <c r="M6" s="226" t="s">
        <v>326</v>
      </c>
      <c r="N6" s="226" t="s">
        <v>326</v>
      </c>
      <c r="O6" s="226" t="s">
        <v>326</v>
      </c>
      <c r="P6" s="226" t="s">
        <v>326</v>
      </c>
      <c r="Q6" s="226" t="s">
        <v>326</v>
      </c>
      <c r="R6" s="226" t="s">
        <v>326</v>
      </c>
      <c r="S6" s="226" t="s">
        <v>326</v>
      </c>
      <c r="T6" s="225" t="s">
        <v>326</v>
      </c>
    </row>
    <row r="7" spans="1:33" ht="15">
      <c r="A7" s="222" t="s">
        <v>36</v>
      </c>
      <c r="B7" s="224">
        <f>COUNTIF(New_SQL_Ing!C:C,New_IngestionSummary!A7)</f>
        <v>23</v>
      </c>
      <c r="C7" s="226">
        <f>COUNTIFS(New_SQL_Ing!C:C,New_IngestionSummary!A7, New_SQL_Ing!R:R,"Done")</f>
        <v>1</v>
      </c>
      <c r="D7" s="226">
        <f>COUNTIFS(New_SQL_Ing!C:C,New_IngestionSummary!A7,New_SQL_Ing!S:S,"Done")</f>
        <v>1</v>
      </c>
      <c r="E7" s="218" t="s">
        <v>326</v>
      </c>
      <c r="F7" s="226">
        <f>COUNTIFS(New_SQL_Ing!C:C,New_IngestionSummary!A7, New_SQL_Ing!U:U,"Done")</f>
        <v>1</v>
      </c>
      <c r="G7" s="226">
        <f>COUNTIFS(New_SQL_Ing!C:C,New_IngestionSummary!A7, New_SQL_Ing!V:V,"Done")</f>
        <v>0</v>
      </c>
      <c r="H7" s="218" t="s">
        <v>326</v>
      </c>
      <c r="I7" s="226">
        <f>COUNTIFS(New_SQL_Ing!C:C,New_IngestionSummary!A7, New_SQL_Ing!X:X,"Done")</f>
        <v>0</v>
      </c>
      <c r="J7" s="226">
        <f>COUNTIFS(New_SQL_Ing!C:C,New_IngestionSummary!A7, New_SQL_Ing!Y:Y,"Done")</f>
        <v>0</v>
      </c>
      <c r="K7" s="218" t="s">
        <v>326</v>
      </c>
      <c r="L7" s="224">
        <f>COUNTIF(New_DV_Ing!I:I,New_IngestionSummary!A7)</f>
        <v>1</v>
      </c>
      <c r="M7" s="226">
        <f>COUNTIFS(New_DV_Ing!I:I,New_IngestionSummary!A7,New_DV_Ing!O:O,"Done")</f>
        <v>1</v>
      </c>
      <c r="N7" s="226">
        <f>COUNTIFS(New_DV_Ing!I:I,New_IngestionSummary!B7,New_DV_Ing!P:P,"Done")</f>
        <v>0</v>
      </c>
      <c r="O7" s="226">
        <f>COUNTIFS(New_DV_Ing!I:I,New_IngestionSummary!E7,New_DV_Ing!Q:Q,"Done")</f>
        <v>0</v>
      </c>
      <c r="P7" s="226">
        <f>COUNTIFS(New_DV_Ing!I:I,New_IngestionSummary!F7,New_DV_Ing!R:R,"Done")</f>
        <v>0</v>
      </c>
      <c r="Q7" s="226">
        <f>COUNTIFS(New_DV_Ing!I:I,New_IngestionSummary!G7,New_DV_Ing!S:S,"Done")</f>
        <v>0</v>
      </c>
      <c r="R7" s="226">
        <f>COUNTIFS(New_DV_Ing!I:I,New_IngestionSummary!H7,New_DV_Ing!T:T,"Done")</f>
        <v>0</v>
      </c>
      <c r="S7" s="226">
        <f>COUNTIFS(New_DV_Ing!I:I,New_IngestionSummary!I7,New_DV_Ing!U:U,"Done")</f>
        <v>0</v>
      </c>
      <c r="T7" s="225">
        <f>COUNTIFS(New_DV_Ing!I:I,New_IngestionSummary!J7,New_DV_Ing!V:V,"Done")</f>
        <v>0</v>
      </c>
      <c r="AD7" s="16" t="s">
        <v>1119</v>
      </c>
      <c r="AG7" s="16" t="s">
        <v>1120</v>
      </c>
    </row>
    <row r="8" spans="1:33" ht="15">
      <c r="A8" s="222" t="s">
        <v>112</v>
      </c>
      <c r="B8" s="224">
        <f>COUNTIF(New_SQL_Ing!C:C,New_IngestionSummary!A8)</f>
        <v>219</v>
      </c>
      <c r="C8" s="226">
        <f>COUNTIFS(New_SQL_Ing!C:C,New_IngestionSummary!A8, New_SQL_Ing!R:R,"Done")</f>
        <v>39</v>
      </c>
      <c r="D8" s="226">
        <f>COUNTIFS(New_SQL_Ing!C:C,New_IngestionSummary!A8,New_SQL_Ing!S:S,"Done")</f>
        <v>39</v>
      </c>
      <c r="E8" s="218" t="s">
        <v>326</v>
      </c>
      <c r="F8" s="226">
        <f>COUNTIFS(New_SQL_Ing!C:C,New_IngestionSummary!A8, New_SQL_Ing!U:U,"Done")</f>
        <v>39</v>
      </c>
      <c r="G8" s="226">
        <f>COUNTIFS(New_SQL_Ing!C:C,New_IngestionSummary!A8, New_SQL_Ing!V:V,"Done")</f>
        <v>0</v>
      </c>
      <c r="H8" s="218" t="s">
        <v>326</v>
      </c>
      <c r="I8" s="226">
        <f>COUNTIFS(New_SQL_Ing!C:C,New_IngestionSummary!A8, New_SQL_Ing!X:X,"Done")</f>
        <v>0</v>
      </c>
      <c r="J8" s="226">
        <f>COUNTIFS(New_SQL_Ing!C:C,New_IngestionSummary!A8, New_SQL_Ing!Y:Y,"Done")</f>
        <v>0</v>
      </c>
      <c r="K8" s="218" t="s">
        <v>326</v>
      </c>
      <c r="L8" s="224">
        <f>COUNTIF(New_DV_Ing!I:I,New_IngestionSummary!A8)</f>
        <v>1</v>
      </c>
      <c r="M8" s="226">
        <f>COUNTIFS(New_DV_Ing!I:I,New_IngestionSummary!A8,New_DV_Ing!O:O,"Done")</f>
        <v>1</v>
      </c>
      <c r="N8" s="226">
        <f>COUNTIFS(New_DV_Ing!I:I,New_IngestionSummary!B8,New_DV_Ing!P:P,"Done")</f>
        <v>0</v>
      </c>
      <c r="O8" s="226">
        <f>COUNTIFS(New_DV_Ing!I:I,New_IngestionSummary!E8,New_DV_Ing!Q:Q,"Done")</f>
        <v>0</v>
      </c>
      <c r="P8" s="226">
        <f>COUNTIFS(New_DV_Ing!I:I,New_IngestionSummary!F8,New_DV_Ing!R:R,"Done")</f>
        <v>0</v>
      </c>
      <c r="Q8" s="226">
        <f>COUNTIFS(New_DV_Ing!I:I,New_IngestionSummary!G8,New_DV_Ing!S:S,"Done")</f>
        <v>0</v>
      </c>
      <c r="R8" s="226">
        <f>COUNTIFS(New_DV_Ing!I:I,New_IngestionSummary!H8,New_DV_Ing!T:T,"Done")</f>
        <v>0</v>
      </c>
      <c r="S8" s="226">
        <f>COUNTIFS(New_DV_Ing!I:I,New_IngestionSummary!I8,New_DV_Ing!U:U,"Done")</f>
        <v>0</v>
      </c>
      <c r="T8" s="225">
        <f>COUNTIFS(New_DV_Ing!I:I,New_IngestionSummary!J8,New_DV_Ing!V:V,"Done")</f>
        <v>0</v>
      </c>
      <c r="AD8" s="16" t="s">
        <v>49</v>
      </c>
    </row>
    <row r="9" spans="1:33" ht="15">
      <c r="A9" s="222" t="s">
        <v>66</v>
      </c>
      <c r="B9" s="224">
        <f>COUNTIF(New_SQL_Ing!C:C,New_IngestionSummary!A9)</f>
        <v>6</v>
      </c>
      <c r="C9" s="226">
        <f>COUNTIFS(New_SQL_Ing!C:C,New_IngestionSummary!A9, New_SQL_Ing!R:R,"Done")</f>
        <v>1</v>
      </c>
      <c r="D9" s="226">
        <f>COUNTIFS(New_SQL_Ing!C:C,New_IngestionSummary!A9,New_SQL_Ing!S:S,"Done")</f>
        <v>1</v>
      </c>
      <c r="E9" s="218" t="s">
        <v>326</v>
      </c>
      <c r="F9" s="226">
        <f>COUNTIFS(New_SQL_Ing!C:C,New_IngestionSummary!A9, New_SQL_Ing!U:U,"Done")</f>
        <v>1</v>
      </c>
      <c r="G9" s="226">
        <f>COUNTIFS(New_SQL_Ing!C:C,New_IngestionSummary!A9, New_SQL_Ing!V:V,"Done")</f>
        <v>0</v>
      </c>
      <c r="H9" s="218" t="s">
        <v>326</v>
      </c>
      <c r="I9" s="226">
        <f>COUNTIFS(New_SQL_Ing!C:C,New_IngestionSummary!A9, New_SQL_Ing!X:X,"Done")</f>
        <v>0</v>
      </c>
      <c r="J9" s="226">
        <f>COUNTIFS(New_SQL_Ing!C:C,New_IngestionSummary!A9, New_SQL_Ing!Y:Y,"Done")</f>
        <v>0</v>
      </c>
      <c r="K9" s="218" t="s">
        <v>326</v>
      </c>
      <c r="L9" s="224" t="s">
        <v>326</v>
      </c>
      <c r="M9" s="226" t="s">
        <v>326</v>
      </c>
      <c r="N9" s="226" t="s">
        <v>326</v>
      </c>
      <c r="O9" s="226" t="s">
        <v>326</v>
      </c>
      <c r="P9" s="226" t="s">
        <v>326</v>
      </c>
      <c r="Q9" s="226" t="s">
        <v>326</v>
      </c>
      <c r="R9" s="226" t="s">
        <v>326</v>
      </c>
      <c r="S9" s="226" t="s">
        <v>326</v>
      </c>
      <c r="T9" s="225" t="s">
        <v>326</v>
      </c>
      <c r="AD9" s="16" t="s">
        <v>1123</v>
      </c>
    </row>
    <row r="10" spans="1:33" ht="15">
      <c r="A10" s="222" t="s">
        <v>71</v>
      </c>
      <c r="B10" s="224">
        <f>COUNTIF(New_SQL_Ing!C:C,New_IngestionSummary!A10)</f>
        <v>4</v>
      </c>
      <c r="C10" s="226">
        <f>COUNTIFS(New_SQL_Ing!C:C,New_IngestionSummary!A10, New_SQL_Ing!R:R,"Done")</f>
        <v>4</v>
      </c>
      <c r="D10" s="226">
        <f>COUNTIFS(New_SQL_Ing!C:C,New_IngestionSummary!A10,New_SQL_Ing!S:S,"Done")</f>
        <v>4</v>
      </c>
      <c r="E10" s="218" t="s">
        <v>326</v>
      </c>
      <c r="F10" s="226">
        <f>COUNTIFS(New_SQL_Ing!C:C,New_IngestionSummary!A10, New_SQL_Ing!U:U,"Done")</f>
        <v>4</v>
      </c>
      <c r="G10" s="226">
        <f>COUNTIFS(New_SQL_Ing!C:C,New_IngestionSummary!A10, New_SQL_Ing!V:V,"Done")</f>
        <v>0</v>
      </c>
      <c r="H10" s="218" t="s">
        <v>326</v>
      </c>
      <c r="I10" s="226">
        <f>COUNTIFS(New_SQL_Ing!C:C,New_IngestionSummary!A10, New_SQL_Ing!X:X,"Done")</f>
        <v>0</v>
      </c>
      <c r="J10" s="226">
        <f>COUNTIFS(New_SQL_Ing!C:C,New_IngestionSummary!A10, New_SQL_Ing!Y:Y,"Done")</f>
        <v>0</v>
      </c>
      <c r="K10" s="218" t="s">
        <v>326</v>
      </c>
      <c r="L10" s="224" t="s">
        <v>326</v>
      </c>
      <c r="M10" s="226" t="s">
        <v>326</v>
      </c>
      <c r="N10" s="226" t="s">
        <v>326</v>
      </c>
      <c r="O10" s="226" t="s">
        <v>326</v>
      </c>
      <c r="P10" s="226" t="s">
        <v>326</v>
      </c>
      <c r="Q10" s="226" t="s">
        <v>326</v>
      </c>
      <c r="R10" s="226" t="s">
        <v>326</v>
      </c>
      <c r="S10" s="226" t="s">
        <v>326</v>
      </c>
      <c r="T10" s="225" t="s">
        <v>326</v>
      </c>
      <c r="AD10" s="16" t="s">
        <v>49</v>
      </c>
    </row>
    <row r="11" spans="1:33" ht="15">
      <c r="A11" s="222" t="s">
        <v>43</v>
      </c>
      <c r="B11" s="224">
        <f>COUNTIF(New_SQL_Ing!C:C,New_IngestionSummary!A11)</f>
        <v>8</v>
      </c>
      <c r="C11" s="226">
        <f>COUNTIFS(New_SQL_Ing!C:C,New_IngestionSummary!A11, New_SQL_Ing!R:R,"Done")</f>
        <v>8</v>
      </c>
      <c r="D11" s="226">
        <f>COUNTIFS(New_SQL_Ing!C:C,New_IngestionSummary!A11,New_SQL_Ing!S:S,"Done")</f>
        <v>8</v>
      </c>
      <c r="E11" s="218" t="s">
        <v>326</v>
      </c>
      <c r="F11" s="226">
        <f>COUNTIFS(New_SQL_Ing!C:C,New_IngestionSummary!A11, New_SQL_Ing!U:U,"Done")</f>
        <v>7</v>
      </c>
      <c r="G11" s="226">
        <f>COUNTIFS(New_SQL_Ing!C:C,New_IngestionSummary!A11, New_SQL_Ing!V:V,"Done")</f>
        <v>0</v>
      </c>
      <c r="H11" s="218" t="s">
        <v>326</v>
      </c>
      <c r="I11" s="226">
        <f>COUNTIFS(New_SQL_Ing!C:C,New_IngestionSummary!A11, New_SQL_Ing!X:X,"Done")</f>
        <v>0</v>
      </c>
      <c r="J11" s="226">
        <f>COUNTIFS(New_SQL_Ing!C:C,New_IngestionSummary!A11, New_SQL_Ing!Y:Y,"Done")</f>
        <v>0</v>
      </c>
      <c r="K11" s="218" t="s">
        <v>326</v>
      </c>
      <c r="L11" s="224" t="s">
        <v>326</v>
      </c>
      <c r="M11" s="226" t="s">
        <v>326</v>
      </c>
      <c r="N11" s="226" t="s">
        <v>326</v>
      </c>
      <c r="O11" s="226" t="s">
        <v>326</v>
      </c>
      <c r="P11" s="226" t="s">
        <v>326</v>
      </c>
      <c r="Q11" s="226" t="s">
        <v>326</v>
      </c>
      <c r="R11" s="226" t="s">
        <v>326</v>
      </c>
      <c r="S11" s="226" t="s">
        <v>326</v>
      </c>
      <c r="T11" s="225" t="s">
        <v>326</v>
      </c>
      <c r="AD11" s="16" t="s">
        <v>1124</v>
      </c>
      <c r="AG11" s="16" t="s">
        <v>1122</v>
      </c>
    </row>
    <row r="12" spans="1:33" ht="15">
      <c r="A12" s="222" t="s">
        <v>393</v>
      </c>
      <c r="B12" s="224">
        <f>COUNTIF(New_SQL_Ing!C:C,New_IngestionSummary!A12)</f>
        <v>13</v>
      </c>
      <c r="C12" s="226">
        <f>COUNTIFS(New_SQL_Ing!C:C,New_IngestionSummary!A12, New_SQL_Ing!R:R,"Done")</f>
        <v>9</v>
      </c>
      <c r="D12" s="226">
        <f>COUNTIFS(New_SQL_Ing!C:C,New_IngestionSummary!A12,New_SQL_Ing!S:S,"Done")</f>
        <v>0</v>
      </c>
      <c r="E12" s="218" t="s">
        <v>326</v>
      </c>
      <c r="F12" s="226">
        <f>COUNTIFS(New_SQL_Ing!C:C,New_IngestionSummary!A12, New_SQL_Ing!U:U,"Done")</f>
        <v>9</v>
      </c>
      <c r="G12" s="226">
        <f>COUNTIFS(New_SQL_Ing!C:C,New_IngestionSummary!A12, New_SQL_Ing!V:V,"Done")</f>
        <v>0</v>
      </c>
      <c r="H12" s="218" t="s">
        <v>326</v>
      </c>
      <c r="I12" s="226">
        <f>COUNTIFS(New_SQL_Ing!C:C,New_IngestionSummary!A12, New_SQL_Ing!X:X,"Done")</f>
        <v>0</v>
      </c>
      <c r="J12" s="226">
        <f>COUNTIFS(New_SQL_Ing!C:C,New_IngestionSummary!A12, New_SQL_Ing!Y:Y,"Done")</f>
        <v>0</v>
      </c>
      <c r="K12" s="218" t="s">
        <v>326</v>
      </c>
      <c r="L12" s="224" t="s">
        <v>326</v>
      </c>
      <c r="M12" s="226" t="s">
        <v>326</v>
      </c>
      <c r="N12" s="226" t="s">
        <v>326</v>
      </c>
      <c r="O12" s="226" t="s">
        <v>326</v>
      </c>
      <c r="P12" s="226" t="s">
        <v>326</v>
      </c>
      <c r="Q12" s="226" t="s">
        <v>326</v>
      </c>
      <c r="R12" s="226" t="s">
        <v>326</v>
      </c>
      <c r="S12" s="226" t="s">
        <v>326</v>
      </c>
      <c r="T12" s="225" t="s">
        <v>326</v>
      </c>
      <c r="AD12" s="16" t="s">
        <v>1124</v>
      </c>
      <c r="AG12" s="16" t="s">
        <v>1122</v>
      </c>
    </row>
    <row r="13" spans="1:33" ht="15">
      <c r="A13" s="222" t="s">
        <v>952</v>
      </c>
      <c r="B13" s="224">
        <f>COUNTIF(New_SQL_Ing!C:C,New_IngestionSummary!A13)</f>
        <v>8</v>
      </c>
      <c r="C13" s="226">
        <f>COUNTIFS(New_SQL_Ing!C:C,New_IngestionSummary!A13, New_SQL_Ing!R:R,"Done")</f>
        <v>0</v>
      </c>
      <c r="D13" s="226">
        <f>COUNTIFS(New_SQL_Ing!C:C,New_IngestionSummary!A13,New_SQL_Ing!S:S,"Done")</f>
        <v>0</v>
      </c>
      <c r="E13" s="218" t="s">
        <v>326</v>
      </c>
      <c r="F13" s="226">
        <f>COUNTIFS(New_SQL_Ing!C:C,New_IngestionSummary!A13, New_SQL_Ing!U:U,"Done")</f>
        <v>0</v>
      </c>
      <c r="G13" s="226">
        <f>COUNTIFS(New_SQL_Ing!C:C,New_IngestionSummary!A13, New_SQL_Ing!V:V,"Done")</f>
        <v>0</v>
      </c>
      <c r="H13" s="218" t="s">
        <v>326</v>
      </c>
      <c r="I13" s="226">
        <f>COUNTIFS(New_SQL_Ing!C:C,New_IngestionSummary!A13, New_SQL_Ing!X:X,"Done")</f>
        <v>0</v>
      </c>
      <c r="J13" s="226">
        <f>COUNTIFS(New_SQL_Ing!C:C,New_IngestionSummary!A13, New_SQL_Ing!Y:Y,"Done")</f>
        <v>0</v>
      </c>
      <c r="K13" s="218" t="s">
        <v>326</v>
      </c>
      <c r="L13" s="224" t="s">
        <v>326</v>
      </c>
      <c r="M13" s="226" t="s">
        <v>326</v>
      </c>
      <c r="N13" s="226" t="s">
        <v>326</v>
      </c>
      <c r="O13" s="226" t="s">
        <v>326</v>
      </c>
      <c r="P13" s="226" t="s">
        <v>326</v>
      </c>
      <c r="Q13" s="226" t="s">
        <v>326</v>
      </c>
      <c r="R13" s="226" t="s">
        <v>326</v>
      </c>
      <c r="S13" s="226" t="s">
        <v>326</v>
      </c>
      <c r="T13" s="225" t="s">
        <v>326</v>
      </c>
      <c r="AD13" s="16" t="s">
        <v>49</v>
      </c>
    </row>
    <row r="14" spans="1:33" ht="15">
      <c r="A14" s="222" t="s">
        <v>953</v>
      </c>
      <c r="B14" s="224">
        <f>COUNTIF(New_SQL_Ing!C:C,New_IngestionSummary!A14)</f>
        <v>4</v>
      </c>
      <c r="C14" s="226">
        <f>COUNTIFS(New_SQL_Ing!C:C,New_IngestionSummary!A14, New_SQL_Ing!R:R,"Done")</f>
        <v>4</v>
      </c>
      <c r="D14" s="226">
        <f>COUNTIFS(New_SQL_Ing!C:C,New_IngestionSummary!A14,New_SQL_Ing!S:S,"Done")</f>
        <v>0</v>
      </c>
      <c r="E14" s="218" t="s">
        <v>326</v>
      </c>
      <c r="F14" s="226">
        <f>COUNTIFS(New_SQL_Ing!C:C,New_IngestionSummary!A14, New_SQL_Ing!U:U,"Done")</f>
        <v>4</v>
      </c>
      <c r="G14" s="226">
        <f>COUNTIFS(New_SQL_Ing!C:C,New_IngestionSummary!A14, New_SQL_Ing!V:V,"Done")</f>
        <v>0</v>
      </c>
      <c r="H14" s="218" t="s">
        <v>326</v>
      </c>
      <c r="I14" s="226">
        <f>COUNTIFS(New_SQL_Ing!C:C,New_IngestionSummary!A14, New_SQL_Ing!X:X,"Done")</f>
        <v>0</v>
      </c>
      <c r="J14" s="226">
        <f>COUNTIFS(New_SQL_Ing!C:C,New_IngestionSummary!A14, New_SQL_Ing!Y:Y,"Done")</f>
        <v>0</v>
      </c>
      <c r="K14" s="218" t="s">
        <v>326</v>
      </c>
      <c r="L14" s="224" t="s">
        <v>326</v>
      </c>
      <c r="M14" s="226" t="s">
        <v>326</v>
      </c>
      <c r="N14" s="226" t="s">
        <v>326</v>
      </c>
      <c r="O14" s="226" t="s">
        <v>326</v>
      </c>
      <c r="P14" s="226" t="s">
        <v>326</v>
      </c>
      <c r="Q14" s="226" t="s">
        <v>326</v>
      </c>
      <c r="R14" s="226" t="s">
        <v>326</v>
      </c>
      <c r="S14" s="226" t="s">
        <v>326</v>
      </c>
      <c r="T14" s="225" t="s">
        <v>326</v>
      </c>
      <c r="AD14" s="16" t="s">
        <v>49</v>
      </c>
      <c r="AG14" s="16" t="s">
        <v>1122</v>
      </c>
    </row>
    <row r="15" spans="1:33" ht="15">
      <c r="A15" s="222" t="s">
        <v>110</v>
      </c>
      <c r="B15" s="224">
        <f>COUNTIF(New_SQL_Ing!C:C,New_IngestionSummary!A15)</f>
        <v>1</v>
      </c>
      <c r="C15" s="226">
        <f>COUNTIFS(New_SQL_Ing!C:C,New_IngestionSummary!A15, New_SQL_Ing!R:R,"Done")</f>
        <v>1</v>
      </c>
      <c r="D15" s="226">
        <f>COUNTIFS(New_SQL_Ing!C:C,New_IngestionSummary!A15,New_SQL_Ing!S:S,"Done")</f>
        <v>0</v>
      </c>
      <c r="E15" s="218" t="s">
        <v>326</v>
      </c>
      <c r="F15" s="226">
        <f>COUNTIFS(New_SQL_Ing!C:C,New_IngestionSummary!A15, New_SQL_Ing!U:U,"Done")</f>
        <v>0</v>
      </c>
      <c r="G15" s="226">
        <f>COUNTIFS(New_SQL_Ing!C:C,New_IngestionSummary!A15, New_SQL_Ing!V:V,"Done")</f>
        <v>0</v>
      </c>
      <c r="H15" s="218" t="s">
        <v>326</v>
      </c>
      <c r="I15" s="226">
        <f>COUNTIFS(New_SQL_Ing!C:C,New_IngestionSummary!A15, New_SQL_Ing!X:X,"Done")</f>
        <v>0</v>
      </c>
      <c r="J15" s="226">
        <f>COUNTIFS(New_SQL_Ing!C:C,New_IngestionSummary!A15, New_SQL_Ing!Y:Y,"Done")</f>
        <v>0</v>
      </c>
      <c r="K15" s="218" t="s">
        <v>326</v>
      </c>
      <c r="L15" s="224" t="s">
        <v>326</v>
      </c>
      <c r="M15" s="226" t="s">
        <v>326</v>
      </c>
      <c r="N15" s="226" t="s">
        <v>326</v>
      </c>
      <c r="O15" s="226" t="s">
        <v>326</v>
      </c>
      <c r="P15" s="226" t="s">
        <v>326</v>
      </c>
      <c r="Q15" s="226" t="s">
        <v>326</v>
      </c>
      <c r="R15" s="226" t="s">
        <v>326</v>
      </c>
      <c r="S15" s="226" t="s">
        <v>326</v>
      </c>
      <c r="T15" s="225" t="s">
        <v>326</v>
      </c>
      <c r="AD15" s="16" t="s">
        <v>1125</v>
      </c>
      <c r="AE15" s="16" t="s">
        <v>1126</v>
      </c>
      <c r="AG15" s="16" t="s">
        <v>1127</v>
      </c>
    </row>
    <row r="16" spans="1:33" ht="15">
      <c r="A16" s="231" t="s">
        <v>57</v>
      </c>
      <c r="B16" s="224">
        <f>COUNTIF(New_SQL_Ing!C:C,New_IngestionSummary!A16)</f>
        <v>8</v>
      </c>
      <c r="C16" s="226" t="s">
        <v>326</v>
      </c>
      <c r="D16" s="226" t="s">
        <v>326</v>
      </c>
      <c r="E16" s="218">
        <f>COUNTIFS(New_SQL_Ing!C:C,New_IngestionSummary!A16,New_SQL_Ing!T:T,"Done")</f>
        <v>4</v>
      </c>
      <c r="F16" s="217" t="s">
        <v>326</v>
      </c>
      <c r="G16" s="217" t="s">
        <v>326</v>
      </c>
      <c r="H16" s="218">
        <f>COUNTIFS(New_SQL_Ing!C:C,New_IngestionSummary!A16, New_SQL_Ing!W:W,"Done")</f>
        <v>3</v>
      </c>
      <c r="I16" s="217" t="s">
        <v>326</v>
      </c>
      <c r="J16" s="217" t="s">
        <v>326</v>
      </c>
      <c r="K16" s="218">
        <f>COUNTIFS(New_SQL_Ing!C:C,New_IngestionSummary!A16, New_SQL_Ing!Z:Z,"Done")</f>
        <v>0</v>
      </c>
      <c r="L16" s="224">
        <f>COUNTIF(New_DV_Ing!I:I,New_IngestionSummary!A16)</f>
        <v>2</v>
      </c>
      <c r="M16" s="226">
        <f>COUNTIFS(New_DV_Ing!I:I,New_IngestionSummary!A16,New_DV_Ing!O:O,"Done")</f>
        <v>1</v>
      </c>
      <c r="N16" s="226">
        <f>COUNTIFS(New_DV_Ing!I:I,New_IngestionSummary!B16,New_DV_Ing!P:P,"Done")</f>
        <v>0</v>
      </c>
      <c r="O16" s="226">
        <f>COUNTIFS(New_DV_Ing!I:I,New_IngestionSummary!E16,New_DV_Ing!Q:Q,"Done")</f>
        <v>0</v>
      </c>
      <c r="P16" s="226">
        <f>COUNTIFS(New_DV_Ing!I:I,New_IngestionSummary!F16,New_DV_Ing!R:R,"Done")</f>
        <v>0</v>
      </c>
      <c r="Q16" s="226">
        <f>COUNTIFS(New_DV_Ing!I:I,New_IngestionSummary!G16,New_DV_Ing!S:S,"Done")</f>
        <v>0</v>
      </c>
      <c r="R16" s="226">
        <f>COUNTIFS(New_DV_Ing!I:I,New_IngestionSummary!H16,New_DV_Ing!T:T,"Done")</f>
        <v>0</v>
      </c>
      <c r="S16" s="226">
        <f>COUNTIFS(New_DV_Ing!I:I,New_IngestionSummary!I16,New_DV_Ing!U:U,"Done")</f>
        <v>0</v>
      </c>
      <c r="T16" s="225">
        <f>COUNTIFS(New_DV_Ing!I:I,New_IngestionSummary!J16,New_DV_Ing!V:V,"Done")</f>
        <v>0</v>
      </c>
      <c r="AD16" s="16" t="s">
        <v>49</v>
      </c>
      <c r="AE16" s="16" t="s">
        <v>1128</v>
      </c>
    </row>
    <row r="17" spans="1:33" ht="15">
      <c r="A17" s="231" t="s">
        <v>39</v>
      </c>
      <c r="B17" s="224">
        <f>COUNTIF(New_SQL_Ing!C:C,New_IngestionSummary!A17)</f>
        <v>23</v>
      </c>
      <c r="C17" s="226" t="s">
        <v>326</v>
      </c>
      <c r="D17" s="226" t="s">
        <v>326</v>
      </c>
      <c r="E17" s="218">
        <f>COUNTIFS(New_SQL_Ing!C:C,New_IngestionSummary!A17,New_SQL_Ing!T:T,"Done")</f>
        <v>6</v>
      </c>
      <c r="F17" s="217" t="s">
        <v>326</v>
      </c>
      <c r="G17" s="217" t="s">
        <v>326</v>
      </c>
      <c r="H17" s="218">
        <f>COUNTIFS(New_SQL_Ing!C:C,New_IngestionSummary!A17, New_SQL_Ing!W:W,"Done")</f>
        <v>6</v>
      </c>
      <c r="I17" s="217" t="s">
        <v>326</v>
      </c>
      <c r="J17" s="217" t="s">
        <v>326</v>
      </c>
      <c r="K17" s="218">
        <f>COUNTIFS(New_SQL_Ing!C:C,New_IngestionSummary!A17, New_SQL_Ing!Z:Z,"Done")</f>
        <v>0</v>
      </c>
      <c r="L17" s="224">
        <f>COUNTIF(New_DV_Ing!I:I,New_IngestionSummary!A17)</f>
        <v>1</v>
      </c>
      <c r="M17" s="226">
        <f>COUNTIFS(New_DV_Ing!I:I,New_IngestionSummary!A17,New_DV_Ing!O:O,"Done")</f>
        <v>1</v>
      </c>
      <c r="N17" s="226">
        <f>COUNTIFS(New_DV_Ing!I:I,New_IngestionSummary!B17,New_DV_Ing!P:P,"Done")</f>
        <v>0</v>
      </c>
      <c r="O17" s="226">
        <f>COUNTIFS(New_DV_Ing!I:I,New_IngestionSummary!E17,New_DV_Ing!Q:Q,"Done")</f>
        <v>0</v>
      </c>
      <c r="P17" s="226">
        <f>COUNTIFS(New_DV_Ing!I:I,New_IngestionSummary!F17,New_DV_Ing!R:R,"Done")</f>
        <v>0</v>
      </c>
      <c r="Q17" s="226">
        <f>COUNTIFS(New_DV_Ing!I:I,New_IngestionSummary!G17,New_DV_Ing!S:S,"Done")</f>
        <v>0</v>
      </c>
      <c r="R17" s="226">
        <f>COUNTIFS(New_DV_Ing!I:I,New_IngestionSummary!H17,New_DV_Ing!T:T,"Done")</f>
        <v>0</v>
      </c>
      <c r="S17" s="226">
        <f>COUNTIFS(New_DV_Ing!I:I,New_IngestionSummary!I17,New_DV_Ing!U:U,"Done")</f>
        <v>0</v>
      </c>
      <c r="T17" s="225">
        <f>COUNTIFS(New_DV_Ing!I:I,New_IngestionSummary!J17,New_DV_Ing!V:V,"Done")</f>
        <v>0</v>
      </c>
      <c r="AD17" s="16" t="s">
        <v>1129</v>
      </c>
      <c r="AG17" s="16" t="s">
        <v>1122</v>
      </c>
    </row>
    <row r="18" spans="1:33" ht="15">
      <c r="A18" s="231" t="s">
        <v>93</v>
      </c>
      <c r="B18" s="224">
        <f>COUNTIF(New_SQL_Ing!C:C,New_IngestionSummary!A18)</f>
        <v>3</v>
      </c>
      <c r="C18" s="226" t="s">
        <v>326</v>
      </c>
      <c r="D18" s="226" t="s">
        <v>326</v>
      </c>
      <c r="E18" s="218">
        <f>COUNTIFS(New_SQL_Ing!C:C,New_IngestionSummary!A18,New_SQL_Ing!T:T,"Done")</f>
        <v>0</v>
      </c>
      <c r="F18" s="217" t="s">
        <v>326</v>
      </c>
      <c r="G18" s="217" t="s">
        <v>326</v>
      </c>
      <c r="H18" s="218">
        <f>COUNTIFS(New_SQL_Ing!C:C,New_IngestionSummary!A18, New_SQL_Ing!W:W,"Done")</f>
        <v>0</v>
      </c>
      <c r="I18" s="217" t="s">
        <v>326</v>
      </c>
      <c r="J18" s="217" t="s">
        <v>326</v>
      </c>
      <c r="K18" s="218">
        <f>COUNTIFS(New_SQL_Ing!C:C,New_IngestionSummary!A18, New_SQL_Ing!Z:Z,"Done")</f>
        <v>0</v>
      </c>
      <c r="L18" s="224" t="s">
        <v>326</v>
      </c>
      <c r="M18" s="226" t="s">
        <v>326</v>
      </c>
      <c r="N18" s="226" t="s">
        <v>326</v>
      </c>
      <c r="O18" s="226" t="s">
        <v>326</v>
      </c>
      <c r="P18" s="226" t="s">
        <v>326</v>
      </c>
      <c r="Q18" s="226" t="s">
        <v>326</v>
      </c>
      <c r="R18" s="226" t="s">
        <v>326</v>
      </c>
      <c r="S18" s="226" t="s">
        <v>326</v>
      </c>
      <c r="T18" s="225" t="s">
        <v>326</v>
      </c>
      <c r="AD18" s="16" t="s">
        <v>1121</v>
      </c>
      <c r="AG18" s="16" t="s">
        <v>1122</v>
      </c>
    </row>
    <row r="19" spans="1:33" ht="15">
      <c r="A19" s="231" t="s">
        <v>117</v>
      </c>
      <c r="B19" s="224">
        <f>COUNTIF(New_SQL_Ing!C:C,New_IngestionSummary!A19)</f>
        <v>5</v>
      </c>
      <c r="C19" s="226" t="s">
        <v>326</v>
      </c>
      <c r="D19" s="226" t="s">
        <v>326</v>
      </c>
      <c r="E19" s="218">
        <f>COUNTIFS(New_SQL_Ing!C:C,New_IngestionSummary!A19,New_SQL_Ing!T:T,"Done")</f>
        <v>3</v>
      </c>
      <c r="F19" s="217" t="s">
        <v>326</v>
      </c>
      <c r="G19" s="217" t="s">
        <v>326</v>
      </c>
      <c r="H19" s="218">
        <f>COUNTIFS(New_SQL_Ing!C:C,New_IngestionSummary!A19, New_SQL_Ing!W:W,"Done")</f>
        <v>3</v>
      </c>
      <c r="I19" s="217" t="s">
        <v>326</v>
      </c>
      <c r="J19" s="217" t="s">
        <v>326</v>
      </c>
      <c r="K19" s="218">
        <f>COUNTIFS(New_SQL_Ing!C:C,New_IngestionSummary!A19, New_SQL_Ing!Z:Z,"Done")</f>
        <v>0</v>
      </c>
      <c r="L19" s="224" t="s">
        <v>326</v>
      </c>
      <c r="M19" s="226" t="s">
        <v>326</v>
      </c>
      <c r="N19" s="226" t="s">
        <v>326</v>
      </c>
      <c r="O19" s="226" t="s">
        <v>326</v>
      </c>
      <c r="P19" s="226" t="s">
        <v>326</v>
      </c>
      <c r="Q19" s="226" t="s">
        <v>326</v>
      </c>
      <c r="R19" s="226" t="s">
        <v>326</v>
      </c>
      <c r="S19" s="226" t="s">
        <v>326</v>
      </c>
      <c r="T19" s="225" t="s">
        <v>326</v>
      </c>
      <c r="AD19" s="16" t="s">
        <v>1121</v>
      </c>
      <c r="AG19" s="16" t="s">
        <v>1122</v>
      </c>
    </row>
    <row r="20" spans="1:33" ht="15">
      <c r="A20" s="222" t="s">
        <v>47</v>
      </c>
      <c r="B20" s="224">
        <f>COUNTIF(New_SQL_Ing!C:C,New_IngestionSummary!A20)</f>
        <v>1</v>
      </c>
      <c r="C20" s="226">
        <f>COUNTIFS(New_SQL_Ing!C:C,New_IngestionSummary!A20, New_SQL_Ing!R:R,"Done")</f>
        <v>1</v>
      </c>
      <c r="D20" s="226">
        <f>COUNTIFS(New_SQL_Ing!C:C,New_IngestionSummary!A20,New_SQL_Ing!S:S,"Done")</f>
        <v>0</v>
      </c>
      <c r="E20" s="218" t="s">
        <v>326</v>
      </c>
      <c r="F20" s="217" t="s">
        <v>326</v>
      </c>
      <c r="G20" s="217" t="s">
        <v>326</v>
      </c>
      <c r="H20" s="218" t="s">
        <v>326</v>
      </c>
      <c r="I20" s="217" t="s">
        <v>326</v>
      </c>
      <c r="J20" s="217" t="s">
        <v>326</v>
      </c>
      <c r="K20" s="218" t="s">
        <v>326</v>
      </c>
      <c r="L20" s="224">
        <f>COUNTIF(New_DV_Ing!I:I,New_IngestionSummary!A20)</f>
        <v>1</v>
      </c>
      <c r="M20" s="226">
        <f>COUNTIFS(New_DV_Ing!I:I,New_IngestionSummary!A20,New_DV_Ing!O:O,"Done")</f>
        <v>0</v>
      </c>
      <c r="N20" s="226">
        <f>COUNTIFS(New_DV_Ing!I:I,New_IngestionSummary!B20,New_DV_Ing!P:P,"Done")</f>
        <v>0</v>
      </c>
      <c r="O20" s="226">
        <f>COUNTIFS(New_DV_Ing!I:I,New_IngestionSummary!E20,New_DV_Ing!Q:Q,"Done")</f>
        <v>0</v>
      </c>
      <c r="P20" s="226">
        <f>COUNTIFS(New_DV_Ing!I:I,New_IngestionSummary!F20,New_DV_Ing!R:R,"Done")</f>
        <v>0</v>
      </c>
      <c r="Q20" s="226">
        <f>COUNTIFS(New_DV_Ing!I:I,New_IngestionSummary!G20,New_DV_Ing!S:S,"Done")</f>
        <v>0</v>
      </c>
      <c r="R20" s="226">
        <f>COUNTIFS(New_DV_Ing!I:I,New_IngestionSummary!H20,New_DV_Ing!T:T,"Done")</f>
        <v>0</v>
      </c>
      <c r="S20" s="226">
        <f>COUNTIFS(New_DV_Ing!I:I,New_IngestionSummary!I20,New_DV_Ing!U:U,"Done")</f>
        <v>0</v>
      </c>
      <c r="T20" s="225">
        <f>COUNTIFS(New_DV_Ing!I:I,New_IngestionSummary!J20,New_DV_Ing!V:V,"Done")</f>
        <v>0</v>
      </c>
      <c r="AD20" s="16" t="s">
        <v>324</v>
      </c>
      <c r="AG20" s="16" t="s">
        <v>49</v>
      </c>
    </row>
    <row r="21" spans="1:33" ht="15.75" thickBot="1">
      <c r="A21" s="222" t="s">
        <v>113</v>
      </c>
      <c r="B21" s="224">
        <f>COUNTIF(New_SQL_Ing!C:C,New_IngestionSummary!A21)</f>
        <v>1</v>
      </c>
      <c r="C21" s="226">
        <f>COUNTIFS(New_SQL_Ing!C:C,New_IngestionSummary!A21, New_SQL_Ing!R:R,"Done")</f>
        <v>1</v>
      </c>
      <c r="D21" s="226">
        <f>COUNTIFS(New_SQL_Ing!C:C,New_IngestionSummary!A21,New_SQL_Ing!S:S,"Done")</f>
        <v>0</v>
      </c>
      <c r="E21" s="220" t="s">
        <v>326</v>
      </c>
      <c r="F21" s="219" t="s">
        <v>326</v>
      </c>
      <c r="G21" s="219" t="s">
        <v>326</v>
      </c>
      <c r="H21" s="220" t="s">
        <v>326</v>
      </c>
      <c r="I21" s="219" t="s">
        <v>326</v>
      </c>
      <c r="J21" s="219" t="s">
        <v>326</v>
      </c>
      <c r="K21" s="220" t="s">
        <v>326</v>
      </c>
      <c r="L21" s="281">
        <f>COUNTIF(New_DV_Ing!I:I,New_IngestionSummary!A21)</f>
        <v>1</v>
      </c>
      <c r="M21" s="359">
        <f>COUNTIFS(New_DV_Ing!I:I,New_IngestionSummary!A21,New_DV_Ing!O:O,"Done")</f>
        <v>1</v>
      </c>
      <c r="N21" s="226">
        <f>COUNTIFS(New_DV_Ing!I:I,New_IngestionSummary!B21,New_DV_Ing!P:P,"Done")</f>
        <v>0</v>
      </c>
      <c r="O21" s="226">
        <f>COUNTIFS(New_DV_Ing!I:I,New_IngestionSummary!E21,New_DV_Ing!Q:Q,"Done")</f>
        <v>0</v>
      </c>
      <c r="P21" s="226">
        <f>COUNTIFS(New_DV_Ing!I:I,New_IngestionSummary!F21,New_DV_Ing!R:R,"Done")</f>
        <v>0</v>
      </c>
      <c r="Q21" s="226">
        <f>COUNTIFS(New_DV_Ing!I:I,New_IngestionSummary!G21,New_DV_Ing!S:S,"Done")</f>
        <v>0</v>
      </c>
      <c r="R21" s="226">
        <f>COUNTIFS(New_DV_Ing!I:I,New_IngestionSummary!H21,New_DV_Ing!T:T,"Done")</f>
        <v>0</v>
      </c>
      <c r="S21" s="226">
        <f>COUNTIFS(New_DV_Ing!I:I,New_IngestionSummary!I21,New_DV_Ing!U:U,"Done")</f>
        <v>0</v>
      </c>
      <c r="T21" s="225">
        <f>COUNTIFS(New_DV_Ing!I:I,New_IngestionSummary!J21,New_DV_Ing!V:V,"Done")</f>
        <v>0</v>
      </c>
      <c r="AD21" s="16" t="s">
        <v>324</v>
      </c>
      <c r="AG21" s="16" t="s">
        <v>49</v>
      </c>
    </row>
    <row r="22" spans="1:33" ht="15.75" thickBot="1">
      <c r="A22" s="223" t="s">
        <v>950</v>
      </c>
      <c r="B22" s="221">
        <f>SUM(B4:B21)</f>
        <v>491</v>
      </c>
      <c r="C22" s="360">
        <f t="shared" ref="C22:E22" si="0">SUM(C4:C21)</f>
        <v>216</v>
      </c>
      <c r="D22" s="360">
        <f t="shared" si="0"/>
        <v>114</v>
      </c>
      <c r="E22" s="361">
        <f t="shared" si="0"/>
        <v>13</v>
      </c>
      <c r="F22" s="360">
        <f t="shared" ref="F22:K22" si="1">SUM(F4:F21)</f>
        <v>167</v>
      </c>
      <c r="G22" s="360">
        <f t="shared" si="1"/>
        <v>0</v>
      </c>
      <c r="H22" s="361">
        <f t="shared" si="1"/>
        <v>12</v>
      </c>
      <c r="I22" s="360">
        <f t="shared" si="1"/>
        <v>0</v>
      </c>
      <c r="J22" s="360">
        <f t="shared" si="1"/>
        <v>0</v>
      </c>
      <c r="K22" s="361">
        <f t="shared" si="1"/>
        <v>0</v>
      </c>
      <c r="L22" s="275">
        <f>SUM(L4:L21)</f>
        <v>20</v>
      </c>
      <c r="M22" s="362">
        <f t="shared" ref="M22:T22" si="2">SUM(M4:M21)</f>
        <v>18</v>
      </c>
      <c r="N22" s="363">
        <f>SUM(N4:N21)</f>
        <v>0</v>
      </c>
      <c r="O22" s="363">
        <f t="shared" si="2"/>
        <v>0</v>
      </c>
      <c r="P22" s="364">
        <f>SUM(P4:P21)</f>
        <v>0</v>
      </c>
      <c r="Q22" s="363">
        <f t="shared" si="2"/>
        <v>0</v>
      </c>
      <c r="R22" s="364">
        <f>SUM(R4:R21)</f>
        <v>0</v>
      </c>
      <c r="S22" s="363">
        <f t="shared" si="2"/>
        <v>0</v>
      </c>
      <c r="T22" s="364">
        <f t="shared" si="2"/>
        <v>0</v>
      </c>
    </row>
    <row r="23" spans="1:33" ht="15"/>
    <row r="24" spans="1:33" ht="13.5" customHeight="1">
      <c r="A24" s="206"/>
      <c r="B24" s="206"/>
      <c r="C24" s="206"/>
      <c r="F24" s="206"/>
      <c r="I24" s="206"/>
    </row>
  </sheetData>
  <mergeCells count="3">
    <mergeCell ref="A2:A3"/>
    <mergeCell ref="B2:K2"/>
    <mergeCell ref="L2:T2"/>
  </mergeCells>
  <pageMargins left="0.7" right="0.7" top="0.75" bottom="0.75" header="0.3" footer="0.3"/>
  <pageSetup paperSize="8" fitToHeight="0"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666ED-AF24-46B8-B929-469C1282173D}">
  <sheetPr>
    <pageSetUpPr fitToPage="1"/>
  </sheetPr>
  <dimension ref="A1:AG48"/>
  <sheetViews>
    <sheetView topLeftCell="A42" zoomScaleNormal="100" workbookViewId="0">
      <selection activeCell="D45" sqref="D45"/>
    </sheetView>
  </sheetViews>
  <sheetFormatPr defaultColWidth="8.5703125" defaultRowHeight="13.5" customHeight="1"/>
  <cols>
    <col min="1" max="1" width="24.140625" style="16" customWidth="1"/>
    <col min="2" max="12" width="10.5703125" style="16" customWidth="1"/>
    <col min="13" max="13" width="10.5703125" style="229" customWidth="1"/>
    <col min="14" max="14" width="10.5703125" style="227" customWidth="1"/>
    <col min="15" max="20" width="10.5703125" style="16" customWidth="1"/>
    <col min="21" max="22" width="9.140625"/>
    <col min="23" max="29" width="9.140625" style="16"/>
    <col min="30" max="30" width="12.42578125" style="16" bestFit="1" customWidth="1"/>
    <col min="31" max="31" width="10.42578125" style="16" bestFit="1" customWidth="1"/>
    <col min="32" max="16384" width="8.5703125" style="16"/>
  </cols>
  <sheetData>
    <row r="1" spans="1:33" ht="37.9" customHeight="1">
      <c r="D1" s="279" t="s">
        <v>1094</v>
      </c>
      <c r="E1" s="279"/>
      <c r="F1" s="279"/>
      <c r="G1" s="279"/>
      <c r="H1" s="279"/>
      <c r="I1" s="279"/>
      <c r="J1" s="279"/>
      <c r="K1" s="279"/>
      <c r="L1" s="279"/>
      <c r="M1" s="280"/>
      <c r="N1" s="16"/>
      <c r="O1" s="279"/>
      <c r="Q1" s="279"/>
    </row>
    <row r="2" spans="1:33" ht="14.85" customHeight="1">
      <c r="B2" s="560" t="s">
        <v>1130</v>
      </c>
      <c r="C2" s="561"/>
      <c r="D2" s="561"/>
      <c r="E2" s="561"/>
      <c r="F2" s="395"/>
      <c r="G2" s="395"/>
      <c r="H2" s="395"/>
      <c r="I2" s="395"/>
      <c r="J2" s="395"/>
      <c r="K2" s="396"/>
      <c r="L2" s="563" t="s">
        <v>1097</v>
      </c>
      <c r="M2" s="564"/>
      <c r="N2" s="564"/>
      <c r="O2" s="564"/>
      <c r="P2" s="564"/>
      <c r="Q2" s="564"/>
      <c r="R2" s="564"/>
      <c r="S2" s="564"/>
      <c r="T2" s="564"/>
    </row>
    <row r="3" spans="1:33" ht="33.75" customHeight="1">
      <c r="A3" s="440" t="s">
        <v>1095</v>
      </c>
      <c r="B3" s="244" t="s">
        <v>1098</v>
      </c>
      <c r="C3" s="276" t="s">
        <v>1099</v>
      </c>
      <c r="D3" s="277" t="s">
        <v>1100</v>
      </c>
      <c r="E3" s="278" t="s">
        <v>1101</v>
      </c>
      <c r="F3" s="236" t="s">
        <v>1102</v>
      </c>
      <c r="G3" s="237" t="s">
        <v>1103</v>
      </c>
      <c r="H3" s="238" t="s">
        <v>1104</v>
      </c>
      <c r="I3" s="239" t="s">
        <v>1105</v>
      </c>
      <c r="J3" s="240" t="s">
        <v>1106</v>
      </c>
      <c r="K3" s="241" t="s">
        <v>1107</v>
      </c>
      <c r="L3" s="274" t="s">
        <v>1108</v>
      </c>
      <c r="M3" s="245" t="s">
        <v>1109</v>
      </c>
      <c r="N3" s="246" t="s">
        <v>1110</v>
      </c>
      <c r="O3" s="248" t="s">
        <v>1111</v>
      </c>
      <c r="P3" s="247" t="s">
        <v>1112</v>
      </c>
      <c r="Q3" s="242" t="s">
        <v>1113</v>
      </c>
      <c r="R3" s="243" t="s">
        <v>1114</v>
      </c>
      <c r="S3" s="249" t="s">
        <v>1115</v>
      </c>
      <c r="T3" s="250" t="s">
        <v>1116</v>
      </c>
      <c r="AD3" s="206" t="s">
        <v>1117</v>
      </c>
      <c r="AG3" s="206" t="s">
        <v>1118</v>
      </c>
    </row>
    <row r="4" spans="1:33" ht="15">
      <c r="A4" s="390" t="s">
        <v>17</v>
      </c>
      <c r="B4" s="391">
        <f>COUNTIF(New_SQL_Ing!C:C,DT_IngestionSummary!A4)</f>
        <v>116</v>
      </c>
      <c r="C4" s="392">
        <f>COUNTIFS(New_SQL_Ing!C:C,DT_IngestionSummary!A4, New_SQL_Ing!R:R,"Done")</f>
        <v>104</v>
      </c>
      <c r="D4" s="392">
        <f>COUNTIFS(New_SQL_Ing!C:C,DT_IngestionSummary!A4,New_SQL_Ing!S:S,"Done")</f>
        <v>59</v>
      </c>
      <c r="E4" s="393" t="s">
        <v>326</v>
      </c>
      <c r="F4" s="226">
        <f>COUNTIFS(New_SQL_Ing!C:C,DT_IngestionSummary!A4, New_SQL_Ing!U:U,"Done")</f>
        <v>65</v>
      </c>
      <c r="G4" s="226">
        <f>COUNTIFS(New_SQL_Ing!C:C,DT_IngestionSummary!A4, New_SQL_Ing!V:V,"Done")</f>
        <v>0</v>
      </c>
      <c r="H4" s="225" t="s">
        <v>326</v>
      </c>
      <c r="I4" s="226">
        <f>COUNTIFS(New_SQL_Ing!C:C,DT_IngestionSummary!A4, New_SQL_Ing!X:X,"Done")</f>
        <v>0</v>
      </c>
      <c r="J4" s="226">
        <f>COUNTIFS(New_SQL_Ing!C:C,DT_IngestionSummary!A4, New_SQL_Ing!Y:Y,"Done")</f>
        <v>0</v>
      </c>
      <c r="K4" s="225" t="s">
        <v>326</v>
      </c>
      <c r="L4" s="224">
        <f>COUNTIF(New_DV_Ing!I:I,DT_IngestionSummary!A4)</f>
        <v>12</v>
      </c>
      <c r="M4" s="226">
        <f>COUNTIFS(New_DV_Ing!I:I,DT_IngestionSummary!A4,New_DV_Ing!O:O,"Done")</f>
        <v>12</v>
      </c>
      <c r="N4" s="226">
        <f>COUNTIFS(New_DV_Ing!I:I,DT_IngestionSummary!B4,New_DV_Ing!P:P,"Done")</f>
        <v>0</v>
      </c>
      <c r="O4" s="226">
        <f>COUNTIFS(New_DV_Ing!I:I,DT_IngestionSummary!E4,New_DV_Ing!Q:Q,"Done")</f>
        <v>0</v>
      </c>
      <c r="P4" s="226">
        <f>COUNTIFS(New_DV_Ing!I:I,DT_IngestionSummary!F4,New_DV_Ing!R:R,"Done")</f>
        <v>0</v>
      </c>
      <c r="Q4" s="226">
        <f>COUNTIFS(New_DV_Ing!I:I,DT_IngestionSummary!G4,New_DV_Ing!S:S,"Done")</f>
        <v>0</v>
      </c>
      <c r="R4" s="226">
        <f>COUNTIFS(New_DV_Ing!I:I,DT_IngestionSummary!H4,New_DV_Ing!T:T,"Done")</f>
        <v>0</v>
      </c>
      <c r="S4" s="226">
        <f>COUNTIFS(New_DV_Ing!I:I,DT_IngestionSummary!I4,New_DV_Ing!U:U,"Done")</f>
        <v>0</v>
      </c>
      <c r="T4" s="225">
        <f>COUNTIFS(New_DV_Ing!I:I,DT_IngestionSummary!J4,New_DV_Ing!V:V,"Done")</f>
        <v>0</v>
      </c>
      <c r="AD4" s="16" t="s">
        <v>1119</v>
      </c>
      <c r="AG4" s="16" t="s">
        <v>1120</v>
      </c>
    </row>
    <row r="5" spans="1:33" ht="15">
      <c r="A5" s="222" t="s">
        <v>1131</v>
      </c>
      <c r="B5" s="224">
        <v>8</v>
      </c>
      <c r="C5" s="226">
        <v>8</v>
      </c>
      <c r="D5" s="226">
        <v>8</v>
      </c>
      <c r="E5" s="225"/>
      <c r="F5" s="226"/>
      <c r="G5" s="226"/>
      <c r="H5" s="225"/>
      <c r="I5" s="226"/>
      <c r="J5" s="226"/>
      <c r="K5" s="225"/>
      <c r="L5" s="224"/>
      <c r="M5" s="226"/>
      <c r="N5" s="226"/>
      <c r="O5" s="226"/>
      <c r="P5" s="226"/>
      <c r="Q5" s="226"/>
      <c r="R5" s="226"/>
      <c r="S5" s="226"/>
      <c r="T5" s="225"/>
    </row>
    <row r="6" spans="1:33" ht="15">
      <c r="A6" s="222" t="s">
        <v>1132</v>
      </c>
      <c r="B6" s="224">
        <v>9</v>
      </c>
      <c r="C6" s="226">
        <v>9</v>
      </c>
      <c r="D6" s="226">
        <v>9</v>
      </c>
      <c r="E6" s="225"/>
      <c r="F6" s="226"/>
      <c r="G6" s="226"/>
      <c r="H6" s="225"/>
      <c r="I6" s="226"/>
      <c r="J6" s="226"/>
      <c r="K6" s="225"/>
      <c r="L6" s="224"/>
      <c r="M6" s="226"/>
      <c r="N6" s="226"/>
      <c r="O6" s="226"/>
      <c r="P6" s="226"/>
      <c r="Q6" s="226"/>
      <c r="R6" s="226"/>
      <c r="S6" s="226"/>
      <c r="T6" s="225"/>
    </row>
    <row r="7" spans="1:33" ht="15">
      <c r="A7" s="222" t="s">
        <v>1133</v>
      </c>
      <c r="B7" s="224">
        <v>38</v>
      </c>
      <c r="C7" s="226">
        <v>34</v>
      </c>
      <c r="D7" s="226">
        <v>28</v>
      </c>
      <c r="E7" s="225"/>
      <c r="F7" s="226"/>
      <c r="G7" s="226"/>
      <c r="H7" s="225"/>
      <c r="I7" s="226"/>
      <c r="J7" s="226"/>
      <c r="K7" s="225"/>
      <c r="L7" s="224"/>
      <c r="M7" s="226"/>
      <c r="N7" s="226"/>
      <c r="O7" s="226"/>
      <c r="P7" s="226"/>
      <c r="Q7" s="226"/>
      <c r="R7" s="226"/>
      <c r="S7" s="226"/>
      <c r="T7" s="225"/>
    </row>
    <row r="8" spans="1:33" ht="15">
      <c r="A8" s="222" t="s">
        <v>1134</v>
      </c>
      <c r="B8" s="224">
        <v>19</v>
      </c>
      <c r="C8" s="226">
        <v>14</v>
      </c>
      <c r="D8" s="226">
        <v>14</v>
      </c>
      <c r="E8" s="225"/>
      <c r="F8" s="226"/>
      <c r="G8" s="226"/>
      <c r="H8" s="225"/>
      <c r="I8" s="226"/>
      <c r="J8" s="226"/>
      <c r="K8" s="225"/>
      <c r="L8" s="224"/>
      <c r="M8" s="226"/>
      <c r="N8" s="226"/>
      <c r="O8" s="226"/>
      <c r="P8" s="226"/>
      <c r="Q8" s="226"/>
      <c r="R8" s="226"/>
      <c r="S8" s="226"/>
      <c r="T8" s="225"/>
    </row>
    <row r="9" spans="1:33" ht="15">
      <c r="A9" s="390" t="s">
        <v>955</v>
      </c>
      <c r="B9" s="391">
        <f>COUNTIF(New_SQL_Ing!C:C,DT_IngestionSummary!A9)</f>
        <v>41</v>
      </c>
      <c r="C9" s="392">
        <f>COUNTIFS(New_SQL_Ing!C:C,DT_IngestionSummary!A9, New_SQL_Ing!R:R,"Done")</f>
        <v>38</v>
      </c>
      <c r="D9" s="392">
        <f>COUNTIFS(New_SQL_Ing!C:C,DT_IngestionSummary!A9,New_SQL_Ing!S:S,"Done")</f>
        <v>0</v>
      </c>
      <c r="E9" s="394" t="s">
        <v>326</v>
      </c>
      <c r="F9" s="226">
        <f>COUNTIFS(New_SQL_Ing!C:C,DT_IngestionSummary!A9, New_SQL_Ing!U:U,"Done")</f>
        <v>32</v>
      </c>
      <c r="G9" s="226">
        <f>COUNTIFS(New_SQL_Ing!C:C,DT_IngestionSummary!A9, New_SQL_Ing!V:V,"Done")</f>
        <v>0</v>
      </c>
      <c r="H9" s="218" t="s">
        <v>326</v>
      </c>
      <c r="I9" s="226">
        <f>COUNTIFS(New_SQL_Ing!C:C,DT_IngestionSummary!A9, New_SQL_Ing!X:X,"Done")</f>
        <v>0</v>
      </c>
      <c r="J9" s="226">
        <f>COUNTIFS(New_SQL_Ing!C:C,DT_IngestionSummary!A9, New_SQL_Ing!Y:Y,"Done")</f>
        <v>0</v>
      </c>
      <c r="K9" s="218" t="s">
        <v>326</v>
      </c>
      <c r="L9" s="224">
        <f>COUNTIF(New_DV_Ing!I:I,DT_IngestionSummary!A9)</f>
        <v>1</v>
      </c>
      <c r="M9" s="226">
        <f>COUNTIFS(New_DV_Ing!I:I,DT_IngestionSummary!A9,New_DV_Ing!O:O,"Done")</f>
        <v>1</v>
      </c>
      <c r="N9" s="226">
        <f>COUNTIFS(New_DV_Ing!I:I,DT_IngestionSummary!B9,New_DV_Ing!P:P,"Done")</f>
        <v>0</v>
      </c>
      <c r="O9" s="226">
        <f>COUNTIFS(New_DV_Ing!I:I,DT_IngestionSummary!E9,New_DV_Ing!Q:Q,"Done")</f>
        <v>0</v>
      </c>
      <c r="P9" s="226">
        <f>COUNTIFS(New_DV_Ing!I:I,DT_IngestionSummary!F9,New_DV_Ing!R:R,"Done")</f>
        <v>0</v>
      </c>
      <c r="Q9" s="226">
        <f>COUNTIFS(New_DV_Ing!I:I,DT_IngestionSummary!G9,New_DV_Ing!S:S,"Done")</f>
        <v>0</v>
      </c>
      <c r="R9" s="226">
        <f>COUNTIFS(New_DV_Ing!I:I,DT_IngestionSummary!H9,New_DV_Ing!T:T,"Done")</f>
        <v>0</v>
      </c>
      <c r="S9" s="226">
        <f>COUNTIFS(New_DV_Ing!I:I,DT_IngestionSummary!I9,New_DV_Ing!U:U,"Done")</f>
        <v>0</v>
      </c>
      <c r="T9" s="225">
        <f>COUNTIFS(New_DV_Ing!I:I,DT_IngestionSummary!J9,New_DV_Ing!V:V,"Done")</f>
        <v>0</v>
      </c>
      <c r="AD9" s="16" t="s">
        <v>1121</v>
      </c>
      <c r="AG9" s="16" t="s">
        <v>1122</v>
      </c>
    </row>
    <row r="10" spans="1:33" ht="15">
      <c r="A10" s="222" t="s">
        <v>1135</v>
      </c>
      <c r="B10" s="224">
        <v>2</v>
      </c>
      <c r="C10" s="226">
        <v>2</v>
      </c>
      <c r="D10" s="226">
        <v>0</v>
      </c>
      <c r="E10" s="218"/>
      <c r="F10" s="226"/>
      <c r="G10" s="226"/>
      <c r="H10" s="218"/>
      <c r="I10" s="226"/>
      <c r="J10" s="226"/>
      <c r="K10" s="218"/>
      <c r="L10" s="224"/>
      <c r="M10" s="226"/>
      <c r="N10" s="226"/>
      <c r="O10" s="226"/>
      <c r="P10" s="226"/>
      <c r="Q10" s="226"/>
      <c r="R10" s="226"/>
      <c r="S10" s="226"/>
      <c r="T10" s="225"/>
    </row>
    <row r="11" spans="1:33" ht="15">
      <c r="A11" s="222" t="s">
        <v>1136</v>
      </c>
      <c r="B11" s="224">
        <v>7</v>
      </c>
      <c r="C11" s="226">
        <v>7</v>
      </c>
      <c r="D11" s="226">
        <v>0</v>
      </c>
      <c r="E11" s="218"/>
      <c r="F11" s="226"/>
      <c r="G11" s="226"/>
      <c r="H11" s="218"/>
      <c r="I11" s="226"/>
      <c r="J11" s="226"/>
      <c r="K11" s="218"/>
      <c r="L11" s="224"/>
      <c r="M11" s="226"/>
      <c r="N11" s="226"/>
      <c r="O11" s="226"/>
      <c r="P11" s="226"/>
      <c r="Q11" s="226"/>
      <c r="R11" s="226"/>
      <c r="S11" s="226"/>
      <c r="T11" s="225"/>
    </row>
    <row r="12" spans="1:33" ht="15">
      <c r="A12" s="222" t="s">
        <v>1137</v>
      </c>
      <c r="B12" s="224">
        <v>25</v>
      </c>
      <c r="C12" s="226">
        <v>21</v>
      </c>
      <c r="D12" s="226">
        <v>0</v>
      </c>
      <c r="E12" s="218"/>
      <c r="F12" s="226"/>
      <c r="G12" s="226"/>
      <c r="H12" s="218"/>
      <c r="I12" s="226"/>
      <c r="J12" s="226"/>
      <c r="K12" s="218"/>
      <c r="L12" s="224"/>
      <c r="M12" s="226"/>
      <c r="N12" s="226"/>
      <c r="O12" s="226"/>
      <c r="P12" s="226"/>
      <c r="Q12" s="226"/>
      <c r="R12" s="226"/>
      <c r="S12" s="226"/>
      <c r="T12" s="225"/>
    </row>
    <row r="13" spans="1:33" ht="15">
      <c r="A13" s="222" t="s">
        <v>1138</v>
      </c>
      <c r="B13" s="224">
        <v>1</v>
      </c>
      <c r="C13" s="226">
        <v>0</v>
      </c>
      <c r="D13" s="226">
        <v>0</v>
      </c>
      <c r="E13" s="218"/>
      <c r="F13" s="226"/>
      <c r="G13" s="226"/>
      <c r="H13" s="218"/>
      <c r="I13" s="226"/>
      <c r="J13" s="226"/>
      <c r="K13" s="218"/>
      <c r="L13" s="224"/>
      <c r="M13" s="226"/>
      <c r="N13" s="226"/>
      <c r="O13" s="226"/>
      <c r="P13" s="226"/>
      <c r="Q13" s="226"/>
      <c r="R13" s="226"/>
      <c r="S13" s="226"/>
      <c r="T13" s="225"/>
    </row>
    <row r="14" spans="1:33" ht="15">
      <c r="A14" s="390" t="s">
        <v>954</v>
      </c>
      <c r="B14" s="391">
        <f>COUNTIF(New_SQL_Ing!C:C,DT_IngestionSummary!A14)</f>
        <v>7</v>
      </c>
      <c r="C14" s="392">
        <f>COUNTIFS(New_SQL_Ing!C:C,DT_IngestionSummary!A14, New_SQL_Ing!R:R,"Done")</f>
        <v>5</v>
      </c>
      <c r="D14" s="392">
        <f>COUNTIFS(New_SQL_Ing!C:C,DT_IngestionSummary!A14,New_SQL_Ing!S:S,"Done")</f>
        <v>2</v>
      </c>
      <c r="E14" s="394" t="s">
        <v>326</v>
      </c>
      <c r="F14" s="226">
        <f>COUNTIFS(New_SQL_Ing!C:C,DT_IngestionSummary!A14, New_SQL_Ing!U:U,"Done")</f>
        <v>5</v>
      </c>
      <c r="G14" s="226">
        <f>COUNTIFS(New_SQL_Ing!C:C,DT_IngestionSummary!A14, New_SQL_Ing!V:V,"Done")</f>
        <v>0</v>
      </c>
      <c r="H14" s="218" t="s">
        <v>326</v>
      </c>
      <c r="I14" s="226">
        <f>COUNTIFS(New_SQL_Ing!C:C,DT_IngestionSummary!A14, New_SQL_Ing!X:X,"Done")</f>
        <v>0</v>
      </c>
      <c r="J14" s="226">
        <f>COUNTIFS(New_SQL_Ing!C:C,DT_IngestionSummary!A14, New_SQL_Ing!Y:Y,"Done")</f>
        <v>0</v>
      </c>
      <c r="K14" s="218" t="s">
        <v>326</v>
      </c>
      <c r="L14" s="224" t="s">
        <v>326</v>
      </c>
      <c r="M14" s="226" t="s">
        <v>326</v>
      </c>
      <c r="N14" s="226" t="s">
        <v>326</v>
      </c>
      <c r="O14" s="226" t="s">
        <v>326</v>
      </c>
      <c r="P14" s="226" t="s">
        <v>326</v>
      </c>
      <c r="Q14" s="226" t="s">
        <v>326</v>
      </c>
      <c r="R14" s="226" t="s">
        <v>326</v>
      </c>
      <c r="S14" s="226" t="s">
        <v>326</v>
      </c>
      <c r="T14" s="225" t="s">
        <v>326</v>
      </c>
    </row>
    <row r="15" spans="1:33" ht="15">
      <c r="A15" s="222" t="s">
        <v>1139</v>
      </c>
      <c r="B15" s="224">
        <v>0</v>
      </c>
      <c r="C15" s="226">
        <v>0</v>
      </c>
      <c r="D15" s="226">
        <v>0</v>
      </c>
      <c r="E15" s="218"/>
      <c r="F15" s="226"/>
      <c r="G15" s="226"/>
      <c r="H15" s="218"/>
      <c r="I15" s="226"/>
      <c r="J15" s="226"/>
      <c r="K15" s="218"/>
      <c r="L15" s="224"/>
      <c r="M15" s="226"/>
      <c r="N15" s="226"/>
      <c r="O15" s="226"/>
      <c r="P15" s="226"/>
      <c r="Q15" s="226"/>
      <c r="R15" s="226"/>
      <c r="S15" s="226"/>
      <c r="T15" s="225"/>
    </row>
    <row r="16" spans="1:33" ht="15">
      <c r="A16" s="222" t="s">
        <v>1140</v>
      </c>
      <c r="B16" s="224">
        <v>2</v>
      </c>
      <c r="C16" s="226">
        <v>2</v>
      </c>
      <c r="D16" s="226">
        <v>0</v>
      </c>
      <c r="E16" s="218"/>
      <c r="F16" s="226"/>
      <c r="G16" s="226"/>
      <c r="H16" s="218"/>
      <c r="I16" s="226"/>
      <c r="J16" s="226"/>
      <c r="K16" s="218"/>
      <c r="L16" s="224"/>
      <c r="M16" s="226"/>
      <c r="N16" s="226"/>
      <c r="O16" s="226"/>
      <c r="P16" s="226"/>
      <c r="Q16" s="226"/>
      <c r="R16" s="226"/>
      <c r="S16" s="226"/>
      <c r="T16" s="225"/>
    </row>
    <row r="17" spans="1:33" ht="15">
      <c r="A17" s="222" t="s">
        <v>1141</v>
      </c>
      <c r="B17" s="224">
        <v>2</v>
      </c>
      <c r="C17" s="226">
        <v>0</v>
      </c>
      <c r="D17" s="226">
        <v>0</v>
      </c>
      <c r="E17" s="218"/>
      <c r="F17" s="226"/>
      <c r="G17" s="226"/>
      <c r="H17" s="218"/>
      <c r="I17" s="226"/>
      <c r="J17" s="226"/>
      <c r="K17" s="218"/>
      <c r="L17" s="224"/>
      <c r="M17" s="226"/>
      <c r="N17" s="226"/>
      <c r="O17" s="226"/>
      <c r="P17" s="226"/>
      <c r="Q17" s="226"/>
      <c r="R17" s="226"/>
      <c r="S17" s="226"/>
      <c r="T17" s="225"/>
    </row>
    <row r="18" spans="1:33" ht="15">
      <c r="A18" s="222" t="s">
        <v>1142</v>
      </c>
      <c r="B18" s="224">
        <v>1</v>
      </c>
      <c r="C18" s="226">
        <v>0</v>
      </c>
      <c r="D18" s="226">
        <v>0</v>
      </c>
      <c r="E18" s="218"/>
      <c r="F18" s="226"/>
      <c r="G18" s="226"/>
      <c r="H18" s="218"/>
      <c r="I18" s="226"/>
      <c r="J18" s="226"/>
      <c r="K18" s="218"/>
      <c r="L18" s="224"/>
      <c r="M18" s="226"/>
      <c r="N18" s="226"/>
      <c r="O18" s="226"/>
      <c r="P18" s="226"/>
      <c r="Q18" s="226"/>
      <c r="R18" s="226"/>
      <c r="S18" s="226"/>
      <c r="T18" s="225"/>
    </row>
    <row r="19" spans="1:33" ht="15">
      <c r="A19" s="390" t="s">
        <v>36</v>
      </c>
      <c r="B19" s="391">
        <f>COUNTIF(New_SQL_Ing!C:C,DT_IngestionSummary!A19)</f>
        <v>23</v>
      </c>
      <c r="C19" s="392">
        <f>COUNTIFS(New_SQL_Ing!C:C,DT_IngestionSummary!A19, New_SQL_Ing!R:R,"Done")</f>
        <v>1</v>
      </c>
      <c r="D19" s="392">
        <f>COUNTIFS(New_SQL_Ing!C:C,DT_IngestionSummary!A19,New_SQL_Ing!S:S,"Done")</f>
        <v>1</v>
      </c>
      <c r="E19" s="394" t="s">
        <v>326</v>
      </c>
      <c r="F19" s="226">
        <f>COUNTIFS(New_SQL_Ing!C:C,DT_IngestionSummary!A19, New_SQL_Ing!U:U,"Done")</f>
        <v>1</v>
      </c>
      <c r="G19" s="226">
        <f>COUNTIFS(New_SQL_Ing!C:C,DT_IngestionSummary!A19, New_SQL_Ing!V:V,"Done")</f>
        <v>0</v>
      </c>
      <c r="H19" s="218" t="s">
        <v>326</v>
      </c>
      <c r="I19" s="226">
        <f>COUNTIFS(New_SQL_Ing!C:C,DT_IngestionSummary!A19, New_SQL_Ing!X:X,"Done")</f>
        <v>0</v>
      </c>
      <c r="J19" s="226">
        <f>COUNTIFS(New_SQL_Ing!C:C,DT_IngestionSummary!A19, New_SQL_Ing!Y:Y,"Done")</f>
        <v>0</v>
      </c>
      <c r="K19" s="218" t="s">
        <v>326</v>
      </c>
      <c r="L19" s="224">
        <f>COUNTIF(New_DV_Ing!I:I,DT_IngestionSummary!A19)</f>
        <v>1</v>
      </c>
      <c r="M19" s="226">
        <f>COUNTIFS(New_DV_Ing!I:I,DT_IngestionSummary!A19,New_DV_Ing!O:O,"Done")</f>
        <v>1</v>
      </c>
      <c r="N19" s="226">
        <f>COUNTIFS(New_DV_Ing!I:I,DT_IngestionSummary!B19,New_DV_Ing!P:P,"Done")</f>
        <v>0</v>
      </c>
      <c r="O19" s="226">
        <f>COUNTIFS(New_DV_Ing!I:I,DT_IngestionSummary!E19,New_DV_Ing!Q:Q,"Done")</f>
        <v>0</v>
      </c>
      <c r="P19" s="226">
        <f>COUNTIFS(New_DV_Ing!I:I,DT_IngestionSummary!F19,New_DV_Ing!R:R,"Done")</f>
        <v>0</v>
      </c>
      <c r="Q19" s="226">
        <f>COUNTIFS(New_DV_Ing!I:I,DT_IngestionSummary!G19,New_DV_Ing!S:S,"Done")</f>
        <v>0</v>
      </c>
      <c r="R19" s="226">
        <f>COUNTIFS(New_DV_Ing!I:I,DT_IngestionSummary!H19,New_DV_Ing!T:T,"Done")</f>
        <v>0</v>
      </c>
      <c r="S19" s="226">
        <f>COUNTIFS(New_DV_Ing!I:I,DT_IngestionSummary!I19,New_DV_Ing!U:U,"Done")</f>
        <v>0</v>
      </c>
      <c r="T19" s="225">
        <f>COUNTIFS(New_DV_Ing!I:I,DT_IngestionSummary!J19,New_DV_Ing!V:V,"Done")</f>
        <v>0</v>
      </c>
      <c r="AD19" s="16" t="s">
        <v>1119</v>
      </c>
      <c r="AG19" s="16" t="s">
        <v>1120</v>
      </c>
    </row>
    <row r="20" spans="1:33" ht="15">
      <c r="A20" s="222" t="s">
        <v>1143</v>
      </c>
      <c r="B20" s="224">
        <v>1</v>
      </c>
      <c r="C20" s="226">
        <v>1</v>
      </c>
      <c r="D20" s="226">
        <v>1</v>
      </c>
      <c r="E20" s="218"/>
      <c r="F20" s="226"/>
      <c r="G20" s="226"/>
      <c r="H20" s="218"/>
      <c r="I20" s="226"/>
      <c r="J20" s="226"/>
      <c r="K20" s="218"/>
      <c r="L20" s="224"/>
      <c r="M20" s="226"/>
      <c r="N20" s="226"/>
      <c r="O20" s="226"/>
      <c r="P20" s="226"/>
      <c r="Q20" s="226"/>
      <c r="R20" s="226"/>
      <c r="S20" s="226"/>
      <c r="T20" s="225"/>
    </row>
    <row r="21" spans="1:33" ht="15">
      <c r="A21" s="390" t="s">
        <v>112</v>
      </c>
      <c r="B21" s="391">
        <f>COUNTIF(New_SQL_Ing!C:C,DT_IngestionSummary!A21)</f>
        <v>219</v>
      </c>
      <c r="C21" s="392">
        <f>COUNTIFS(New_SQL_Ing!C:C,DT_IngestionSummary!A21, New_SQL_Ing!R:R,"Done")</f>
        <v>39</v>
      </c>
      <c r="D21" s="392">
        <f>COUNTIFS(New_SQL_Ing!C:C,DT_IngestionSummary!A21,New_SQL_Ing!S:S,"Done")</f>
        <v>39</v>
      </c>
      <c r="E21" s="394" t="s">
        <v>326</v>
      </c>
      <c r="F21" s="226">
        <f>COUNTIFS(New_SQL_Ing!C:C,DT_IngestionSummary!A21, New_SQL_Ing!U:U,"Done")</f>
        <v>39</v>
      </c>
      <c r="G21" s="226">
        <f>COUNTIFS(New_SQL_Ing!C:C,DT_IngestionSummary!A21, New_SQL_Ing!V:V,"Done")</f>
        <v>0</v>
      </c>
      <c r="H21" s="218" t="s">
        <v>326</v>
      </c>
      <c r="I21" s="226">
        <f>COUNTIFS(New_SQL_Ing!C:C,DT_IngestionSummary!A21, New_SQL_Ing!X:X,"Done")</f>
        <v>0</v>
      </c>
      <c r="J21" s="226">
        <f>COUNTIFS(New_SQL_Ing!C:C,DT_IngestionSummary!A21, New_SQL_Ing!Y:Y,"Done")</f>
        <v>0</v>
      </c>
      <c r="K21" s="218" t="s">
        <v>326</v>
      </c>
      <c r="L21" s="224">
        <f>COUNTIF(New_DV_Ing!I:I,DT_IngestionSummary!A21)</f>
        <v>1</v>
      </c>
      <c r="M21" s="226">
        <f>COUNTIFS(New_DV_Ing!I:I,DT_IngestionSummary!A21,New_DV_Ing!O:O,"Done")</f>
        <v>1</v>
      </c>
      <c r="N21" s="226">
        <f>COUNTIFS(New_DV_Ing!I:I,DT_IngestionSummary!B21,New_DV_Ing!P:P,"Done")</f>
        <v>0</v>
      </c>
      <c r="O21" s="226">
        <f>COUNTIFS(New_DV_Ing!I:I,DT_IngestionSummary!E21,New_DV_Ing!Q:Q,"Done")</f>
        <v>0</v>
      </c>
      <c r="P21" s="226">
        <f>COUNTIFS(New_DV_Ing!I:I,DT_IngestionSummary!F21,New_DV_Ing!R:R,"Done")</f>
        <v>0</v>
      </c>
      <c r="Q21" s="226">
        <f>COUNTIFS(New_DV_Ing!I:I,DT_IngestionSummary!G21,New_DV_Ing!S:S,"Done")</f>
        <v>0</v>
      </c>
      <c r="R21" s="226">
        <f>COUNTIFS(New_DV_Ing!I:I,DT_IngestionSummary!H21,New_DV_Ing!T:T,"Done")</f>
        <v>0</v>
      </c>
      <c r="S21" s="226">
        <f>COUNTIFS(New_DV_Ing!I:I,DT_IngestionSummary!I21,New_DV_Ing!U:U,"Done")</f>
        <v>0</v>
      </c>
      <c r="T21" s="225">
        <f>COUNTIFS(New_DV_Ing!I:I,DT_IngestionSummary!J21,New_DV_Ing!V:V,"Done")</f>
        <v>0</v>
      </c>
      <c r="AD21" s="16" t="s">
        <v>49</v>
      </c>
    </row>
    <row r="22" spans="1:33" ht="15">
      <c r="A22" s="222" t="s">
        <v>1144</v>
      </c>
      <c r="B22" s="224">
        <v>43</v>
      </c>
      <c r="C22" s="226">
        <v>0</v>
      </c>
      <c r="D22" s="226">
        <v>0</v>
      </c>
      <c r="E22" s="218"/>
      <c r="F22" s="226"/>
      <c r="G22" s="226"/>
      <c r="H22" s="218"/>
      <c r="I22" s="226"/>
      <c r="J22" s="226"/>
      <c r="K22" s="218"/>
      <c r="L22" s="224"/>
      <c r="M22" s="226"/>
      <c r="N22" s="226"/>
      <c r="O22" s="226"/>
      <c r="P22" s="226"/>
      <c r="Q22" s="226"/>
      <c r="R22" s="226"/>
      <c r="S22" s="226"/>
      <c r="T22" s="225"/>
    </row>
    <row r="23" spans="1:33" ht="15">
      <c r="A23" s="222" t="s">
        <v>1145</v>
      </c>
      <c r="B23" s="224">
        <v>1</v>
      </c>
      <c r="C23" s="226">
        <v>0</v>
      </c>
      <c r="D23" s="226">
        <v>0</v>
      </c>
      <c r="E23" s="218"/>
      <c r="F23" s="226"/>
      <c r="G23" s="226"/>
      <c r="H23" s="218"/>
      <c r="I23" s="226"/>
      <c r="J23" s="226"/>
      <c r="K23" s="218"/>
      <c r="L23" s="224"/>
      <c r="M23" s="226"/>
      <c r="N23" s="226"/>
      <c r="O23" s="226"/>
      <c r="P23" s="226"/>
      <c r="Q23" s="226"/>
      <c r="R23" s="226"/>
      <c r="S23" s="226"/>
      <c r="T23" s="225"/>
    </row>
    <row r="24" spans="1:33" ht="15">
      <c r="A24" s="390" t="s">
        <v>66</v>
      </c>
      <c r="B24" s="391">
        <f>COUNTIF(New_SQL_Ing!C:C,DT_IngestionSummary!A24)</f>
        <v>6</v>
      </c>
      <c r="C24" s="392">
        <f>COUNTIFS(New_SQL_Ing!C:C,DT_IngestionSummary!A24, New_SQL_Ing!R:R,"Done")</f>
        <v>1</v>
      </c>
      <c r="D24" s="392">
        <f>COUNTIFS(New_SQL_Ing!C:C,DT_IngestionSummary!A24,New_SQL_Ing!S:S,"Done")</f>
        <v>1</v>
      </c>
      <c r="E24" s="394" t="s">
        <v>326</v>
      </c>
      <c r="F24" s="226">
        <f>COUNTIFS(New_SQL_Ing!C:C,DT_IngestionSummary!A24, New_SQL_Ing!U:U,"Done")</f>
        <v>1</v>
      </c>
      <c r="G24" s="226">
        <f>COUNTIFS(New_SQL_Ing!C:C,DT_IngestionSummary!A24, New_SQL_Ing!V:V,"Done")</f>
        <v>0</v>
      </c>
      <c r="H24" s="218" t="s">
        <v>326</v>
      </c>
      <c r="I24" s="226">
        <f>COUNTIFS(New_SQL_Ing!C:C,DT_IngestionSummary!A24, New_SQL_Ing!X:X,"Done")</f>
        <v>0</v>
      </c>
      <c r="J24" s="226">
        <f>COUNTIFS(New_SQL_Ing!C:C,DT_IngestionSummary!A24, New_SQL_Ing!Y:Y,"Done")</f>
        <v>0</v>
      </c>
      <c r="K24" s="218" t="s">
        <v>326</v>
      </c>
      <c r="L24" s="224" t="s">
        <v>326</v>
      </c>
      <c r="M24" s="226" t="s">
        <v>326</v>
      </c>
      <c r="N24" s="226" t="s">
        <v>326</v>
      </c>
      <c r="O24" s="226" t="s">
        <v>326</v>
      </c>
      <c r="P24" s="226" t="s">
        <v>326</v>
      </c>
      <c r="Q24" s="226" t="s">
        <v>326</v>
      </c>
      <c r="R24" s="226" t="s">
        <v>326</v>
      </c>
      <c r="S24" s="226" t="s">
        <v>326</v>
      </c>
      <c r="T24" s="225" t="s">
        <v>326</v>
      </c>
      <c r="AD24" s="16" t="s">
        <v>1123</v>
      </c>
    </row>
    <row r="25" spans="1:33" ht="15">
      <c r="A25" s="222" t="s">
        <v>1146</v>
      </c>
      <c r="B25" s="224">
        <v>1</v>
      </c>
      <c r="C25" s="226">
        <v>1</v>
      </c>
      <c r="D25" s="226">
        <v>1</v>
      </c>
      <c r="E25" s="218"/>
      <c r="F25" s="226"/>
      <c r="G25" s="226"/>
      <c r="H25" s="218"/>
      <c r="I25" s="226"/>
      <c r="J25" s="226"/>
      <c r="K25" s="218"/>
      <c r="L25" s="224"/>
      <c r="M25" s="226"/>
      <c r="N25" s="226"/>
      <c r="O25" s="226"/>
      <c r="P25" s="226"/>
      <c r="Q25" s="226"/>
      <c r="R25" s="226"/>
      <c r="S25" s="226"/>
      <c r="T25" s="225"/>
    </row>
    <row r="26" spans="1:33" ht="15">
      <c r="A26" s="390" t="s">
        <v>71</v>
      </c>
      <c r="B26" s="391">
        <f>COUNTIF(New_SQL_Ing!C:C,DT_IngestionSummary!A26)</f>
        <v>4</v>
      </c>
      <c r="C26" s="392">
        <f>COUNTIFS(New_SQL_Ing!C:C,DT_IngestionSummary!A26, New_SQL_Ing!R:R,"Done")</f>
        <v>4</v>
      </c>
      <c r="D26" s="392">
        <f>COUNTIFS(New_SQL_Ing!C:C,DT_IngestionSummary!A26,New_SQL_Ing!S:S,"Done")</f>
        <v>4</v>
      </c>
      <c r="E26" s="394" t="s">
        <v>326</v>
      </c>
      <c r="F26" s="226">
        <f>COUNTIFS(New_SQL_Ing!C:C,DT_IngestionSummary!A26, New_SQL_Ing!U:U,"Done")</f>
        <v>4</v>
      </c>
      <c r="G26" s="226">
        <f>COUNTIFS(New_SQL_Ing!C:C,DT_IngestionSummary!A26, New_SQL_Ing!V:V,"Done")</f>
        <v>0</v>
      </c>
      <c r="H26" s="218" t="s">
        <v>326</v>
      </c>
      <c r="I26" s="226">
        <f>COUNTIFS(New_SQL_Ing!C:C,DT_IngestionSummary!A26, New_SQL_Ing!X:X,"Done")</f>
        <v>0</v>
      </c>
      <c r="J26" s="226">
        <f>COUNTIFS(New_SQL_Ing!C:C,DT_IngestionSummary!A26, New_SQL_Ing!Y:Y,"Done")</f>
        <v>0</v>
      </c>
      <c r="K26" s="218" t="s">
        <v>326</v>
      </c>
      <c r="L26" s="224" t="s">
        <v>326</v>
      </c>
      <c r="M26" s="226" t="s">
        <v>326</v>
      </c>
      <c r="N26" s="226" t="s">
        <v>326</v>
      </c>
      <c r="O26" s="226" t="s">
        <v>326</v>
      </c>
      <c r="P26" s="226" t="s">
        <v>326</v>
      </c>
      <c r="Q26" s="226" t="s">
        <v>326</v>
      </c>
      <c r="R26" s="226" t="s">
        <v>326</v>
      </c>
      <c r="S26" s="226" t="s">
        <v>326</v>
      </c>
      <c r="T26" s="225" t="s">
        <v>326</v>
      </c>
      <c r="AD26" s="16" t="s">
        <v>49</v>
      </c>
    </row>
    <row r="27" spans="1:33" ht="15">
      <c r="A27" s="222" t="s">
        <v>1147</v>
      </c>
      <c r="B27" s="224">
        <v>3</v>
      </c>
      <c r="C27" s="226">
        <v>3</v>
      </c>
      <c r="D27" s="226">
        <v>3</v>
      </c>
      <c r="E27" s="218"/>
      <c r="F27" s="226"/>
      <c r="G27" s="226"/>
      <c r="H27" s="218"/>
      <c r="I27" s="226"/>
      <c r="J27" s="226"/>
      <c r="K27" s="218"/>
      <c r="L27" s="224"/>
      <c r="M27" s="226"/>
      <c r="N27" s="226"/>
      <c r="O27" s="226"/>
      <c r="P27" s="226"/>
      <c r="Q27" s="226"/>
      <c r="R27" s="226"/>
      <c r="S27" s="226"/>
      <c r="T27" s="225"/>
    </row>
    <row r="28" spans="1:33" ht="15">
      <c r="A28" s="222" t="s">
        <v>1148</v>
      </c>
      <c r="B28" s="224">
        <v>1</v>
      </c>
      <c r="C28" s="226">
        <v>0</v>
      </c>
      <c r="D28" s="226">
        <v>0</v>
      </c>
      <c r="E28" s="218"/>
      <c r="F28" s="226"/>
      <c r="G28" s="226"/>
      <c r="H28" s="218"/>
      <c r="I28" s="226"/>
      <c r="J28" s="226"/>
      <c r="K28" s="218"/>
      <c r="L28" s="224"/>
      <c r="M28" s="226"/>
      <c r="N28" s="226"/>
      <c r="O28" s="226"/>
      <c r="P28" s="226"/>
      <c r="Q28" s="226"/>
      <c r="R28" s="226"/>
      <c r="S28" s="226"/>
      <c r="T28" s="225"/>
    </row>
    <row r="29" spans="1:33" ht="15">
      <c r="A29" s="222" t="s">
        <v>43</v>
      </c>
      <c r="B29" s="224">
        <f>COUNTIF(New_SQL_Ing!C:C,DT_IngestionSummary!A29)</f>
        <v>8</v>
      </c>
      <c r="C29" s="226">
        <f>COUNTIFS(New_SQL_Ing!C:C,DT_IngestionSummary!A29, New_SQL_Ing!R:R,"Done")</f>
        <v>8</v>
      </c>
      <c r="D29" s="226">
        <f>COUNTIFS(New_SQL_Ing!C:C,DT_IngestionSummary!A29,New_SQL_Ing!S:S,"Done")</f>
        <v>8</v>
      </c>
      <c r="E29" s="218" t="s">
        <v>326</v>
      </c>
      <c r="F29" s="226">
        <f>COUNTIFS(New_SQL_Ing!C:C,DT_IngestionSummary!A29, New_SQL_Ing!U:U,"Done")</f>
        <v>7</v>
      </c>
      <c r="G29" s="226">
        <f>COUNTIFS(New_SQL_Ing!C:C,DT_IngestionSummary!A29, New_SQL_Ing!V:V,"Done")</f>
        <v>0</v>
      </c>
      <c r="H29" s="218" t="s">
        <v>326</v>
      </c>
      <c r="I29" s="226">
        <f>COUNTIFS(New_SQL_Ing!C:C,DT_IngestionSummary!A29, New_SQL_Ing!X:X,"Done")</f>
        <v>0</v>
      </c>
      <c r="J29" s="226">
        <f>COUNTIFS(New_SQL_Ing!C:C,DT_IngestionSummary!A29, New_SQL_Ing!Y:Y,"Done")</f>
        <v>0</v>
      </c>
      <c r="K29" s="218" t="s">
        <v>326</v>
      </c>
      <c r="L29" s="224" t="s">
        <v>326</v>
      </c>
      <c r="M29" s="226" t="s">
        <v>326</v>
      </c>
      <c r="N29" s="226" t="s">
        <v>326</v>
      </c>
      <c r="O29" s="226" t="s">
        <v>326</v>
      </c>
      <c r="P29" s="226" t="s">
        <v>326</v>
      </c>
      <c r="Q29" s="226" t="s">
        <v>326</v>
      </c>
      <c r="R29" s="226" t="s">
        <v>326</v>
      </c>
      <c r="S29" s="226" t="s">
        <v>326</v>
      </c>
      <c r="T29" s="225" t="s">
        <v>326</v>
      </c>
      <c r="AD29" s="16" t="s">
        <v>1124</v>
      </c>
      <c r="AG29" s="16" t="s">
        <v>1122</v>
      </c>
    </row>
    <row r="30" spans="1:33" ht="15">
      <c r="A30" s="222" t="s">
        <v>1149</v>
      </c>
      <c r="B30" s="224">
        <v>8</v>
      </c>
      <c r="C30" s="226">
        <v>7</v>
      </c>
      <c r="D30" s="226">
        <v>0</v>
      </c>
      <c r="E30" s="218"/>
      <c r="F30" s="226"/>
      <c r="G30" s="226"/>
      <c r="H30" s="218"/>
      <c r="I30" s="226"/>
      <c r="J30" s="226"/>
      <c r="K30" s="218"/>
      <c r="L30" s="224"/>
      <c r="M30" s="226"/>
      <c r="N30" s="226"/>
      <c r="O30" s="226"/>
      <c r="P30" s="226"/>
      <c r="Q30" s="226"/>
      <c r="R30" s="226"/>
      <c r="S30" s="226"/>
      <c r="T30" s="225"/>
    </row>
    <row r="31" spans="1:33" ht="15">
      <c r="A31" s="390" t="s">
        <v>393</v>
      </c>
      <c r="B31" s="391">
        <f>COUNTIF(New_SQL_Ing!C:C,DT_IngestionSummary!A31)</f>
        <v>13</v>
      </c>
      <c r="C31" s="392">
        <f>COUNTIFS(New_SQL_Ing!C:C,DT_IngestionSummary!A31, New_SQL_Ing!R:R,"Done")</f>
        <v>9</v>
      </c>
      <c r="D31" s="392">
        <f>COUNTIFS(New_SQL_Ing!C:C,DT_IngestionSummary!A31,New_SQL_Ing!S:S,"Done")</f>
        <v>0</v>
      </c>
      <c r="E31" s="394" t="s">
        <v>326</v>
      </c>
      <c r="F31" s="226">
        <f>COUNTIFS(New_SQL_Ing!C:C,DT_IngestionSummary!A31, New_SQL_Ing!U:U,"Done")</f>
        <v>9</v>
      </c>
      <c r="G31" s="226">
        <f>COUNTIFS(New_SQL_Ing!C:C,DT_IngestionSummary!A31, New_SQL_Ing!V:V,"Done")</f>
        <v>0</v>
      </c>
      <c r="H31" s="218" t="s">
        <v>326</v>
      </c>
      <c r="I31" s="226">
        <f>COUNTIFS(New_SQL_Ing!C:C,DT_IngestionSummary!A31, New_SQL_Ing!X:X,"Done")</f>
        <v>0</v>
      </c>
      <c r="J31" s="226">
        <f>COUNTIFS(New_SQL_Ing!C:C,DT_IngestionSummary!A31, New_SQL_Ing!Y:Y,"Done")</f>
        <v>0</v>
      </c>
      <c r="K31" s="218" t="s">
        <v>326</v>
      </c>
      <c r="L31" s="224" t="s">
        <v>326</v>
      </c>
      <c r="M31" s="226" t="s">
        <v>326</v>
      </c>
      <c r="N31" s="226" t="s">
        <v>326</v>
      </c>
      <c r="O31" s="226" t="s">
        <v>326</v>
      </c>
      <c r="P31" s="226" t="s">
        <v>326</v>
      </c>
      <c r="Q31" s="226" t="s">
        <v>326</v>
      </c>
      <c r="R31" s="226" t="s">
        <v>326</v>
      </c>
      <c r="S31" s="226" t="s">
        <v>326</v>
      </c>
      <c r="T31" s="225" t="s">
        <v>326</v>
      </c>
      <c r="AD31" s="16" t="s">
        <v>1124</v>
      </c>
      <c r="AG31" s="16" t="s">
        <v>1122</v>
      </c>
    </row>
    <row r="32" spans="1:33" ht="15">
      <c r="A32" s="222" t="s">
        <v>1150</v>
      </c>
      <c r="B32" s="224">
        <v>9</v>
      </c>
      <c r="C32" s="226">
        <v>0</v>
      </c>
      <c r="D32" s="226">
        <v>0</v>
      </c>
      <c r="E32" s="218"/>
      <c r="F32" s="226"/>
      <c r="G32" s="226"/>
      <c r="H32" s="218"/>
      <c r="I32" s="226"/>
      <c r="J32" s="226"/>
      <c r="K32" s="218"/>
      <c r="L32" s="224"/>
      <c r="M32" s="226"/>
      <c r="N32" s="226"/>
      <c r="O32" s="226"/>
      <c r="P32" s="226"/>
      <c r="Q32" s="226"/>
      <c r="R32" s="226"/>
      <c r="S32" s="226"/>
      <c r="T32" s="225"/>
    </row>
    <row r="33" spans="1:33" ht="15">
      <c r="A33" s="222" t="s">
        <v>952</v>
      </c>
      <c r="B33" s="224">
        <f>COUNTIF(New_SQL_Ing!C:C,DT_IngestionSummary!A33)</f>
        <v>8</v>
      </c>
      <c r="C33" s="226">
        <f>COUNTIFS(New_SQL_Ing!C:C,DT_IngestionSummary!A33, New_SQL_Ing!R:R,"Done")</f>
        <v>0</v>
      </c>
      <c r="D33" s="226">
        <f>COUNTIFS(New_SQL_Ing!C:C,DT_IngestionSummary!A33,New_SQL_Ing!S:S,"Done")</f>
        <v>0</v>
      </c>
      <c r="E33" s="218" t="s">
        <v>326</v>
      </c>
      <c r="F33" s="226">
        <f>COUNTIFS(New_SQL_Ing!C:C,DT_IngestionSummary!A33, New_SQL_Ing!U:U,"Done")</f>
        <v>0</v>
      </c>
      <c r="G33" s="226">
        <f>COUNTIFS(New_SQL_Ing!C:C,DT_IngestionSummary!A33, New_SQL_Ing!V:V,"Done")</f>
        <v>0</v>
      </c>
      <c r="H33" s="218" t="s">
        <v>326</v>
      </c>
      <c r="I33" s="226">
        <f>COUNTIFS(New_SQL_Ing!C:C,DT_IngestionSummary!A33, New_SQL_Ing!X:X,"Done")</f>
        <v>0</v>
      </c>
      <c r="J33" s="226">
        <f>COUNTIFS(New_SQL_Ing!C:C,DT_IngestionSummary!A33, New_SQL_Ing!Y:Y,"Done")</f>
        <v>0</v>
      </c>
      <c r="K33" s="218" t="s">
        <v>326</v>
      </c>
      <c r="L33" s="224" t="s">
        <v>326</v>
      </c>
      <c r="M33" s="226" t="s">
        <v>326</v>
      </c>
      <c r="N33" s="226" t="s">
        <v>326</v>
      </c>
      <c r="O33" s="226" t="s">
        <v>326</v>
      </c>
      <c r="P33" s="226" t="s">
        <v>326</v>
      </c>
      <c r="Q33" s="226" t="s">
        <v>326</v>
      </c>
      <c r="R33" s="226" t="s">
        <v>326</v>
      </c>
      <c r="S33" s="226" t="s">
        <v>326</v>
      </c>
      <c r="T33" s="225" t="s">
        <v>326</v>
      </c>
      <c r="AD33" s="16" t="s">
        <v>49</v>
      </c>
    </row>
    <row r="34" spans="1:33" ht="15">
      <c r="A34" s="390" t="s">
        <v>953</v>
      </c>
      <c r="B34" s="391">
        <f>COUNTIF(New_SQL_Ing!C:C,DT_IngestionSummary!A34)</f>
        <v>4</v>
      </c>
      <c r="C34" s="392">
        <f>COUNTIFS(New_SQL_Ing!C:C,DT_IngestionSummary!A34, New_SQL_Ing!R:R,"Done")</f>
        <v>4</v>
      </c>
      <c r="D34" s="392">
        <f>COUNTIFS(New_SQL_Ing!C:C,DT_IngestionSummary!A34,New_SQL_Ing!S:S,"Done")</f>
        <v>0</v>
      </c>
      <c r="E34" s="394" t="s">
        <v>326</v>
      </c>
      <c r="F34" s="226">
        <f>COUNTIFS(New_SQL_Ing!C:C,DT_IngestionSummary!A34, New_SQL_Ing!U:U,"Done")</f>
        <v>4</v>
      </c>
      <c r="G34" s="226">
        <f>COUNTIFS(New_SQL_Ing!C:C,DT_IngestionSummary!A34, New_SQL_Ing!V:V,"Done")</f>
        <v>0</v>
      </c>
      <c r="H34" s="218" t="s">
        <v>326</v>
      </c>
      <c r="I34" s="226">
        <f>COUNTIFS(New_SQL_Ing!C:C,DT_IngestionSummary!A34, New_SQL_Ing!X:X,"Done")</f>
        <v>0</v>
      </c>
      <c r="J34" s="226">
        <f>COUNTIFS(New_SQL_Ing!C:C,DT_IngestionSummary!A34, New_SQL_Ing!Y:Y,"Done")</f>
        <v>0</v>
      </c>
      <c r="K34" s="218" t="s">
        <v>326</v>
      </c>
      <c r="L34" s="224" t="s">
        <v>326</v>
      </c>
      <c r="M34" s="226" t="s">
        <v>326</v>
      </c>
      <c r="N34" s="226" t="s">
        <v>326</v>
      </c>
      <c r="O34" s="226" t="s">
        <v>326</v>
      </c>
      <c r="P34" s="226" t="s">
        <v>326</v>
      </c>
      <c r="Q34" s="226" t="s">
        <v>326</v>
      </c>
      <c r="R34" s="226" t="s">
        <v>326</v>
      </c>
      <c r="S34" s="226" t="s">
        <v>326</v>
      </c>
      <c r="T34" s="225" t="s">
        <v>326</v>
      </c>
      <c r="AD34" s="16" t="s">
        <v>49</v>
      </c>
      <c r="AG34" s="16" t="s">
        <v>1122</v>
      </c>
    </row>
    <row r="35" spans="1:33" ht="15">
      <c r="A35" s="222" t="s">
        <v>1151</v>
      </c>
      <c r="B35" s="224">
        <v>4</v>
      </c>
      <c r="C35" s="226">
        <v>4</v>
      </c>
      <c r="D35" s="226"/>
      <c r="E35" s="218"/>
      <c r="F35" s="226"/>
      <c r="G35" s="226"/>
      <c r="H35" s="218"/>
      <c r="I35" s="226"/>
      <c r="J35" s="226"/>
      <c r="K35" s="218"/>
      <c r="L35" s="224"/>
      <c r="M35" s="226"/>
      <c r="N35" s="226"/>
      <c r="O35" s="226"/>
      <c r="P35" s="226"/>
      <c r="Q35" s="226"/>
      <c r="R35" s="226"/>
      <c r="S35" s="226"/>
      <c r="T35" s="225"/>
    </row>
    <row r="36" spans="1:33" ht="15">
      <c r="A36" s="222" t="s">
        <v>110</v>
      </c>
      <c r="B36" s="224">
        <f>COUNTIF(New_SQL_Ing!C:C,DT_IngestionSummary!A36)</f>
        <v>1</v>
      </c>
      <c r="C36" s="226">
        <f>COUNTIFS(New_SQL_Ing!C:C,DT_IngestionSummary!A36, New_SQL_Ing!R:R,"Done")</f>
        <v>1</v>
      </c>
      <c r="D36" s="226">
        <f>COUNTIFS(New_SQL_Ing!C:C,DT_IngestionSummary!A36,New_SQL_Ing!S:S,"Done")</f>
        <v>0</v>
      </c>
      <c r="E36" s="218" t="s">
        <v>326</v>
      </c>
      <c r="F36" s="226">
        <f>COUNTIFS(New_SQL_Ing!C:C,DT_IngestionSummary!A36, New_SQL_Ing!U:U,"Done")</f>
        <v>0</v>
      </c>
      <c r="G36" s="226">
        <f>COUNTIFS(New_SQL_Ing!C:C,DT_IngestionSummary!A36, New_SQL_Ing!V:V,"Done")</f>
        <v>0</v>
      </c>
      <c r="H36" s="218" t="s">
        <v>326</v>
      </c>
      <c r="I36" s="226">
        <f>COUNTIFS(New_SQL_Ing!C:C,DT_IngestionSummary!A36, New_SQL_Ing!X:X,"Done")</f>
        <v>0</v>
      </c>
      <c r="J36" s="226">
        <f>COUNTIFS(New_SQL_Ing!C:C,DT_IngestionSummary!A36, New_SQL_Ing!Y:Y,"Done")</f>
        <v>0</v>
      </c>
      <c r="K36" s="218" t="s">
        <v>326</v>
      </c>
      <c r="L36" s="224" t="s">
        <v>326</v>
      </c>
      <c r="M36" s="226" t="s">
        <v>326</v>
      </c>
      <c r="N36" s="226" t="s">
        <v>326</v>
      </c>
      <c r="O36" s="226" t="s">
        <v>326</v>
      </c>
      <c r="P36" s="226" t="s">
        <v>326</v>
      </c>
      <c r="Q36" s="226" t="s">
        <v>326</v>
      </c>
      <c r="R36" s="226" t="s">
        <v>326</v>
      </c>
      <c r="S36" s="226" t="s">
        <v>326</v>
      </c>
      <c r="T36" s="225" t="s">
        <v>326</v>
      </c>
      <c r="AD36" s="16" t="s">
        <v>1125</v>
      </c>
      <c r="AE36" s="16" t="s">
        <v>1126</v>
      </c>
      <c r="AG36" s="16" t="s">
        <v>1127</v>
      </c>
    </row>
    <row r="37" spans="1:33" ht="15">
      <c r="A37" s="231" t="s">
        <v>57</v>
      </c>
      <c r="B37" s="224">
        <f>COUNTIF(New_SQL_Ing!C:C,DT_IngestionSummary!A37)</f>
        <v>8</v>
      </c>
      <c r="C37" s="226" t="s">
        <v>326</v>
      </c>
      <c r="D37" s="226">
        <v>4</v>
      </c>
      <c r="E37" s="218">
        <f>COUNTIFS(New_SQL_Ing!C:C,DT_IngestionSummary!A37,New_SQL_Ing!T:T,"Done")</f>
        <v>4</v>
      </c>
      <c r="F37" s="217" t="s">
        <v>326</v>
      </c>
      <c r="G37" s="217" t="s">
        <v>326</v>
      </c>
      <c r="H37" s="218">
        <f>COUNTIFS(New_SQL_Ing!C:C,DT_IngestionSummary!A37, New_SQL_Ing!W:W,"Done")</f>
        <v>3</v>
      </c>
      <c r="I37" s="217" t="s">
        <v>326</v>
      </c>
      <c r="J37" s="217" t="s">
        <v>326</v>
      </c>
      <c r="K37" s="218">
        <f>COUNTIFS(New_SQL_Ing!C:C,DT_IngestionSummary!A37, New_SQL_Ing!Z:Z,"Done")</f>
        <v>0</v>
      </c>
      <c r="L37" s="224">
        <f>COUNTIF(New_DV_Ing!I:I,DT_IngestionSummary!A37)</f>
        <v>2</v>
      </c>
      <c r="M37" s="226">
        <f>COUNTIFS(New_DV_Ing!I:I,DT_IngestionSummary!A37,New_DV_Ing!O:O,"Done")</f>
        <v>1</v>
      </c>
      <c r="N37" s="226">
        <f>COUNTIFS(New_DV_Ing!I:I,DT_IngestionSummary!B37,New_DV_Ing!P:P,"Done")</f>
        <v>0</v>
      </c>
      <c r="O37" s="226">
        <f>COUNTIFS(New_DV_Ing!I:I,DT_IngestionSummary!E37,New_DV_Ing!Q:Q,"Done")</f>
        <v>0</v>
      </c>
      <c r="P37" s="226">
        <f>COUNTIFS(New_DV_Ing!I:I,DT_IngestionSummary!F37,New_DV_Ing!R:R,"Done")</f>
        <v>0</v>
      </c>
      <c r="Q37" s="226">
        <f>COUNTIFS(New_DV_Ing!I:I,DT_IngestionSummary!G37,New_DV_Ing!S:S,"Done")</f>
        <v>0</v>
      </c>
      <c r="R37" s="226">
        <f>COUNTIFS(New_DV_Ing!I:I,DT_IngestionSummary!H37,New_DV_Ing!T:T,"Done")</f>
        <v>0</v>
      </c>
      <c r="S37" s="226">
        <f>COUNTIFS(New_DV_Ing!I:I,DT_IngestionSummary!I37,New_DV_Ing!U:U,"Done")</f>
        <v>0</v>
      </c>
      <c r="T37" s="225">
        <f>COUNTIFS(New_DV_Ing!I:I,DT_IngestionSummary!J37,New_DV_Ing!V:V,"Done")</f>
        <v>0</v>
      </c>
      <c r="AD37" s="16" t="s">
        <v>49</v>
      </c>
      <c r="AE37" s="16" t="s">
        <v>1128</v>
      </c>
    </row>
    <row r="38" spans="1:33" ht="15">
      <c r="A38" s="231" t="s">
        <v>39</v>
      </c>
      <c r="B38" s="224">
        <f>COUNTIF(New_SQL_Ing!C:C,DT_IngestionSummary!A38)</f>
        <v>23</v>
      </c>
      <c r="C38" s="226" t="s">
        <v>326</v>
      </c>
      <c r="D38" s="226" t="s">
        <v>326</v>
      </c>
      <c r="E38" s="218">
        <f>COUNTIFS(New_SQL_Ing!C:C,DT_IngestionSummary!A38,New_SQL_Ing!T:T,"Done")</f>
        <v>6</v>
      </c>
      <c r="F38" s="217" t="s">
        <v>326</v>
      </c>
      <c r="G38" s="217" t="s">
        <v>326</v>
      </c>
      <c r="H38" s="218">
        <f>COUNTIFS(New_SQL_Ing!C:C,DT_IngestionSummary!A38, New_SQL_Ing!W:W,"Done")</f>
        <v>6</v>
      </c>
      <c r="I38" s="217" t="s">
        <v>326</v>
      </c>
      <c r="J38" s="217" t="s">
        <v>326</v>
      </c>
      <c r="K38" s="218">
        <f>COUNTIFS(New_SQL_Ing!C:C,DT_IngestionSummary!A38, New_SQL_Ing!Z:Z,"Done")</f>
        <v>0</v>
      </c>
      <c r="L38" s="224">
        <f>COUNTIF(New_DV_Ing!I:I,DT_IngestionSummary!A38)</f>
        <v>1</v>
      </c>
      <c r="M38" s="226">
        <f>COUNTIFS(New_DV_Ing!I:I,DT_IngestionSummary!A38,New_DV_Ing!O:O,"Done")</f>
        <v>1</v>
      </c>
      <c r="N38" s="226">
        <f>COUNTIFS(New_DV_Ing!I:I,DT_IngestionSummary!B38,New_DV_Ing!P:P,"Done")</f>
        <v>0</v>
      </c>
      <c r="O38" s="226">
        <f>COUNTIFS(New_DV_Ing!I:I,DT_IngestionSummary!E38,New_DV_Ing!Q:Q,"Done")</f>
        <v>0</v>
      </c>
      <c r="P38" s="226">
        <f>COUNTIFS(New_DV_Ing!I:I,DT_IngestionSummary!F38,New_DV_Ing!R:R,"Done")</f>
        <v>0</v>
      </c>
      <c r="Q38" s="226">
        <f>COUNTIFS(New_DV_Ing!I:I,DT_IngestionSummary!G38,New_DV_Ing!S:S,"Done")</f>
        <v>0</v>
      </c>
      <c r="R38" s="226">
        <f>COUNTIFS(New_DV_Ing!I:I,DT_IngestionSummary!H38,New_DV_Ing!T:T,"Done")</f>
        <v>0</v>
      </c>
      <c r="S38" s="226">
        <f>COUNTIFS(New_DV_Ing!I:I,DT_IngestionSummary!I38,New_DV_Ing!U:U,"Done")</f>
        <v>0</v>
      </c>
      <c r="T38" s="225">
        <f>COUNTIFS(New_DV_Ing!I:I,DT_IngestionSummary!J38,New_DV_Ing!V:V,"Done")</f>
        <v>0</v>
      </c>
      <c r="AD38" s="16" t="s">
        <v>1129</v>
      </c>
      <c r="AG38" s="16" t="s">
        <v>1122</v>
      </c>
    </row>
    <row r="39" spans="1:33" ht="15">
      <c r="A39" s="231" t="s">
        <v>1152</v>
      </c>
      <c r="B39" s="224">
        <v>3</v>
      </c>
      <c r="C39" s="226"/>
      <c r="D39" s="226"/>
      <c r="E39" s="218">
        <v>3</v>
      </c>
      <c r="F39" s="217"/>
      <c r="G39" s="217"/>
      <c r="H39" s="218"/>
      <c r="I39" s="217"/>
      <c r="J39" s="217"/>
      <c r="K39" s="218"/>
      <c r="L39" s="224"/>
      <c r="M39" s="226"/>
      <c r="N39" s="226"/>
      <c r="O39" s="226"/>
      <c r="P39" s="226"/>
      <c r="Q39" s="226"/>
      <c r="R39" s="226"/>
      <c r="S39" s="226"/>
      <c r="T39" s="225"/>
    </row>
    <row r="40" spans="1:33" ht="15">
      <c r="A40" s="231" t="s">
        <v>1153</v>
      </c>
      <c r="B40" s="224">
        <v>2</v>
      </c>
      <c r="C40" s="226"/>
      <c r="D40" s="226"/>
      <c r="E40" s="218">
        <v>2</v>
      </c>
      <c r="F40" s="217"/>
      <c r="G40" s="217"/>
      <c r="H40" s="218"/>
      <c r="I40" s="217"/>
      <c r="J40" s="217"/>
      <c r="K40" s="218"/>
      <c r="L40" s="224"/>
      <c r="M40" s="226"/>
      <c r="N40" s="226"/>
      <c r="O40" s="226"/>
      <c r="P40" s="226"/>
      <c r="Q40" s="226"/>
      <c r="R40" s="226"/>
      <c r="S40" s="226"/>
      <c r="T40" s="225"/>
    </row>
    <row r="41" spans="1:33" ht="15">
      <c r="A41" s="231" t="s">
        <v>1154</v>
      </c>
      <c r="B41" s="224">
        <v>1</v>
      </c>
      <c r="C41" s="226"/>
      <c r="D41" s="226"/>
      <c r="E41" s="218">
        <v>1</v>
      </c>
      <c r="F41" s="217"/>
      <c r="G41" s="217"/>
      <c r="H41" s="218"/>
      <c r="I41" s="217"/>
      <c r="J41" s="217"/>
      <c r="K41" s="218"/>
      <c r="L41" s="224"/>
      <c r="M41" s="226"/>
      <c r="N41" s="226"/>
      <c r="O41" s="226"/>
      <c r="P41" s="226"/>
      <c r="Q41" s="226"/>
      <c r="R41" s="226"/>
      <c r="S41" s="226"/>
      <c r="T41" s="225"/>
    </row>
    <row r="42" spans="1:33" ht="15">
      <c r="A42" s="231" t="s">
        <v>93</v>
      </c>
      <c r="B42" s="224">
        <f>COUNTIF(New_SQL_Ing!C:C,DT_IngestionSummary!A42)</f>
        <v>3</v>
      </c>
      <c r="C42" s="226" t="s">
        <v>326</v>
      </c>
      <c r="D42" s="226" t="s">
        <v>326</v>
      </c>
      <c r="E42" s="218">
        <f>COUNTIFS(New_SQL_Ing!C:C,DT_IngestionSummary!A42,New_SQL_Ing!T:T,"Done")</f>
        <v>0</v>
      </c>
      <c r="F42" s="217" t="s">
        <v>326</v>
      </c>
      <c r="G42" s="217" t="s">
        <v>326</v>
      </c>
      <c r="H42" s="218">
        <f>COUNTIFS(New_SQL_Ing!C:C,DT_IngestionSummary!A42, New_SQL_Ing!W:W,"Done")</f>
        <v>0</v>
      </c>
      <c r="I42" s="217" t="s">
        <v>326</v>
      </c>
      <c r="J42" s="217" t="s">
        <v>326</v>
      </c>
      <c r="K42" s="218">
        <f>COUNTIFS(New_SQL_Ing!C:C,DT_IngestionSummary!A42, New_SQL_Ing!Z:Z,"Done")</f>
        <v>0</v>
      </c>
      <c r="L42" s="224" t="s">
        <v>326</v>
      </c>
      <c r="M42" s="226" t="s">
        <v>326</v>
      </c>
      <c r="N42" s="226" t="s">
        <v>326</v>
      </c>
      <c r="O42" s="226" t="s">
        <v>326</v>
      </c>
      <c r="P42" s="226" t="s">
        <v>326</v>
      </c>
      <c r="Q42" s="226" t="s">
        <v>326</v>
      </c>
      <c r="R42" s="226" t="s">
        <v>326</v>
      </c>
      <c r="S42" s="226" t="s">
        <v>326</v>
      </c>
      <c r="T42" s="225" t="s">
        <v>326</v>
      </c>
      <c r="AD42" s="16" t="s">
        <v>1121</v>
      </c>
      <c r="AG42" s="16" t="s">
        <v>1122</v>
      </c>
    </row>
    <row r="43" spans="1:33" ht="15">
      <c r="A43" s="231" t="s">
        <v>117</v>
      </c>
      <c r="B43" s="224">
        <f>COUNTIF(New_SQL_Ing!C:C,DT_IngestionSummary!A43)</f>
        <v>5</v>
      </c>
      <c r="C43" s="226" t="s">
        <v>326</v>
      </c>
      <c r="D43" s="226" t="s">
        <v>326</v>
      </c>
      <c r="E43" s="218">
        <f>COUNTIFS(New_SQL_Ing!C:C,DT_IngestionSummary!A43,New_SQL_Ing!T:T,"Done")</f>
        <v>3</v>
      </c>
      <c r="F43" s="217" t="s">
        <v>326</v>
      </c>
      <c r="G43" s="217" t="s">
        <v>326</v>
      </c>
      <c r="H43" s="218">
        <f>COUNTIFS(New_SQL_Ing!C:C,DT_IngestionSummary!A43, New_SQL_Ing!W:W,"Done")</f>
        <v>3</v>
      </c>
      <c r="I43" s="217" t="s">
        <v>326</v>
      </c>
      <c r="J43" s="217" t="s">
        <v>326</v>
      </c>
      <c r="K43" s="218">
        <f>COUNTIFS(New_SQL_Ing!C:C,DT_IngestionSummary!A43, New_SQL_Ing!Z:Z,"Done")</f>
        <v>0</v>
      </c>
      <c r="L43" s="224" t="s">
        <v>326</v>
      </c>
      <c r="M43" s="226" t="s">
        <v>326</v>
      </c>
      <c r="N43" s="226" t="s">
        <v>326</v>
      </c>
      <c r="O43" s="226" t="s">
        <v>326</v>
      </c>
      <c r="P43" s="226" t="s">
        <v>326</v>
      </c>
      <c r="Q43" s="226" t="s">
        <v>326</v>
      </c>
      <c r="R43" s="226" t="s">
        <v>326</v>
      </c>
      <c r="S43" s="226" t="s">
        <v>326</v>
      </c>
      <c r="T43" s="225" t="s">
        <v>326</v>
      </c>
      <c r="AD43" s="16" t="s">
        <v>1121</v>
      </c>
      <c r="AG43" s="16" t="s">
        <v>1122</v>
      </c>
    </row>
    <row r="44" spans="1:33" ht="15">
      <c r="A44" s="222" t="s">
        <v>47</v>
      </c>
      <c r="B44" s="224">
        <f>COUNTIF(New_SQL_Ing!C:C,DT_IngestionSummary!A44)</f>
        <v>1</v>
      </c>
      <c r="C44" s="226">
        <f>COUNTIFS(New_SQL_Ing!C:C,DT_IngestionSummary!A44, New_SQL_Ing!R:R,"Done")</f>
        <v>1</v>
      </c>
      <c r="D44" s="226">
        <f>COUNTIFS(New_SQL_Ing!C:C,DT_IngestionSummary!A44,New_SQL_Ing!S:S,"Done")</f>
        <v>0</v>
      </c>
      <c r="E44" s="218" t="s">
        <v>326</v>
      </c>
      <c r="F44" s="217" t="s">
        <v>326</v>
      </c>
      <c r="G44" s="217" t="s">
        <v>326</v>
      </c>
      <c r="H44" s="218" t="s">
        <v>326</v>
      </c>
      <c r="I44" s="217" t="s">
        <v>326</v>
      </c>
      <c r="J44" s="217" t="s">
        <v>326</v>
      </c>
      <c r="K44" s="218" t="s">
        <v>326</v>
      </c>
      <c r="L44" s="224">
        <f>COUNTIF(New_DV_Ing!I:I,DT_IngestionSummary!A44)</f>
        <v>1</v>
      </c>
      <c r="M44" s="226">
        <f>COUNTIFS(New_DV_Ing!I:I,DT_IngestionSummary!A44,New_DV_Ing!O:O,"Done")</f>
        <v>0</v>
      </c>
      <c r="N44" s="226">
        <f>COUNTIFS(New_DV_Ing!I:I,DT_IngestionSummary!B44,New_DV_Ing!P:P,"Done")</f>
        <v>0</v>
      </c>
      <c r="O44" s="226">
        <f>COUNTIFS(New_DV_Ing!I:I,DT_IngestionSummary!E44,New_DV_Ing!Q:Q,"Done")</f>
        <v>0</v>
      </c>
      <c r="P44" s="226">
        <f>COUNTIFS(New_DV_Ing!I:I,DT_IngestionSummary!F44,New_DV_Ing!R:R,"Done")</f>
        <v>0</v>
      </c>
      <c r="Q44" s="226">
        <f>COUNTIFS(New_DV_Ing!I:I,DT_IngestionSummary!G44,New_DV_Ing!S:S,"Done")</f>
        <v>0</v>
      </c>
      <c r="R44" s="226">
        <f>COUNTIFS(New_DV_Ing!I:I,DT_IngestionSummary!H44,New_DV_Ing!T:T,"Done")</f>
        <v>0</v>
      </c>
      <c r="S44" s="226">
        <f>COUNTIFS(New_DV_Ing!I:I,DT_IngestionSummary!I44,New_DV_Ing!U:U,"Done")</f>
        <v>0</v>
      </c>
      <c r="T44" s="225">
        <f>COUNTIFS(New_DV_Ing!I:I,DT_IngestionSummary!J44,New_DV_Ing!V:V,"Done")</f>
        <v>0</v>
      </c>
      <c r="AD44" s="16" t="s">
        <v>324</v>
      </c>
      <c r="AG44" s="16" t="s">
        <v>49</v>
      </c>
    </row>
    <row r="45" spans="1:33" ht="15">
      <c r="A45" s="222" t="s">
        <v>113</v>
      </c>
      <c r="B45" s="224">
        <f>COUNTIF(New_SQL_Ing!C:C,DT_IngestionSummary!A45)</f>
        <v>1</v>
      </c>
      <c r="C45" s="226">
        <f>COUNTIFS(New_SQL_Ing!C:C,DT_IngestionSummary!A45, New_SQL_Ing!R:R,"Done")</f>
        <v>1</v>
      </c>
      <c r="D45" s="226">
        <f>COUNTIFS(New_SQL_Ing!C:C,DT_IngestionSummary!A45,New_SQL_Ing!S:S,"Done")</f>
        <v>0</v>
      </c>
      <c r="E45" s="220" t="s">
        <v>326</v>
      </c>
      <c r="F45" s="219" t="s">
        <v>326</v>
      </c>
      <c r="G45" s="219" t="s">
        <v>326</v>
      </c>
      <c r="H45" s="220" t="s">
        <v>326</v>
      </c>
      <c r="I45" s="219" t="s">
        <v>326</v>
      </c>
      <c r="J45" s="219" t="s">
        <v>326</v>
      </c>
      <c r="K45" s="220" t="s">
        <v>326</v>
      </c>
      <c r="L45" s="281">
        <f>COUNTIF(New_DV_Ing!I:I,DT_IngestionSummary!A45)</f>
        <v>1</v>
      </c>
      <c r="M45" s="359">
        <f>COUNTIFS(New_DV_Ing!I:I,DT_IngestionSummary!A45,New_DV_Ing!O:O,"Done")</f>
        <v>1</v>
      </c>
      <c r="N45" s="226">
        <f>COUNTIFS(New_DV_Ing!I:I,DT_IngestionSummary!B45,New_DV_Ing!P:P,"Done")</f>
        <v>0</v>
      </c>
      <c r="O45" s="226">
        <f>COUNTIFS(New_DV_Ing!I:I,DT_IngestionSummary!E45,New_DV_Ing!Q:Q,"Done")</f>
        <v>0</v>
      </c>
      <c r="P45" s="226">
        <f>COUNTIFS(New_DV_Ing!I:I,DT_IngestionSummary!F45,New_DV_Ing!R:R,"Done")</f>
        <v>0</v>
      </c>
      <c r="Q45" s="226">
        <f>COUNTIFS(New_DV_Ing!I:I,DT_IngestionSummary!G45,New_DV_Ing!S:S,"Done")</f>
        <v>0</v>
      </c>
      <c r="R45" s="226">
        <f>COUNTIFS(New_DV_Ing!I:I,DT_IngestionSummary!H45,New_DV_Ing!T:T,"Done")</f>
        <v>0</v>
      </c>
      <c r="S45" s="226">
        <f>COUNTIFS(New_DV_Ing!I:I,DT_IngestionSummary!I45,New_DV_Ing!U:U,"Done")</f>
        <v>0</v>
      </c>
      <c r="T45" s="225">
        <f>COUNTIFS(New_DV_Ing!I:I,DT_IngestionSummary!J45,New_DV_Ing!V:V,"Done")</f>
        <v>0</v>
      </c>
      <c r="AD45" s="16" t="s">
        <v>324</v>
      </c>
      <c r="AG45" s="16" t="s">
        <v>49</v>
      </c>
    </row>
    <row r="46" spans="1:33" ht="15">
      <c r="A46" s="223" t="s">
        <v>950</v>
      </c>
      <c r="B46" s="221">
        <f>SUM(B4,B9,B14,B19,B21,B24,B26,B29,B31,B33,B34,B36,B37,B38,B42,B43,B44,B45)</f>
        <v>491</v>
      </c>
      <c r="C46" s="221">
        <f>SUM(C4,C9,C14,C19,C21,C24,C26,C29,C31,C33,C34,C36,C37,C38,C42,C43,C44,C45)</f>
        <v>216</v>
      </c>
      <c r="D46" s="221">
        <f>SUM(D4,D9,D14,D19,D21,D24,D26,D29,D31,D33,D34,D36,D37,D38,D42,D43,D44,D45)</f>
        <v>118</v>
      </c>
      <c r="E46" s="221">
        <f>SUM(E4,E9,E14,E19,E21,E24,E26,E29,E31,E33,E34,E36,E37,E38,E42,E43,E44,E45)</f>
        <v>13</v>
      </c>
      <c r="F46" s="360">
        <f t="shared" ref="F46:L46" si="0">SUM(F4:F45)</f>
        <v>167</v>
      </c>
      <c r="G46" s="360">
        <f t="shared" si="0"/>
        <v>0</v>
      </c>
      <c r="H46" s="361">
        <f t="shared" si="0"/>
        <v>12</v>
      </c>
      <c r="I46" s="360">
        <f t="shared" si="0"/>
        <v>0</v>
      </c>
      <c r="J46" s="360">
        <f t="shared" si="0"/>
        <v>0</v>
      </c>
      <c r="K46" s="361">
        <f t="shared" si="0"/>
        <v>0</v>
      </c>
      <c r="L46" s="275">
        <f t="shared" si="0"/>
        <v>20</v>
      </c>
      <c r="M46" s="362">
        <f t="shared" ref="M46:T46" si="1">SUM(M4:M45)</f>
        <v>18</v>
      </c>
      <c r="N46" s="363">
        <f>SUM(N4:N45)</f>
        <v>0</v>
      </c>
      <c r="O46" s="363">
        <f t="shared" si="1"/>
        <v>0</v>
      </c>
      <c r="P46" s="364">
        <f>SUM(P4:P45)</f>
        <v>0</v>
      </c>
      <c r="Q46" s="363">
        <f t="shared" si="1"/>
        <v>0</v>
      </c>
      <c r="R46" s="364">
        <f>SUM(R4:R45)</f>
        <v>0</v>
      </c>
      <c r="S46" s="363">
        <f t="shared" si="1"/>
        <v>0</v>
      </c>
      <c r="T46" s="364">
        <f t="shared" si="1"/>
        <v>0</v>
      </c>
    </row>
    <row r="47" spans="1:33" ht="15"/>
    <row r="48" spans="1:33" ht="13.5" customHeight="1">
      <c r="A48" s="206"/>
      <c r="B48" s="206"/>
      <c r="C48" s="206"/>
      <c r="F48" s="206"/>
      <c r="I48" s="206"/>
    </row>
  </sheetData>
  <autoFilter ref="A3:T3" xr:uid="{CFD666ED-AF24-46B8-B929-469C1282173D}"/>
  <mergeCells count="2">
    <mergeCell ref="L2:T2"/>
    <mergeCell ref="B2:E2"/>
  </mergeCells>
  <pageMargins left="0.7" right="0.7" top="0.75" bottom="0.75" header="0.3" footer="0.3"/>
  <pageSetup paperSize="8" fitToHeight="0"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75BF3-39A8-4057-95D5-7678A56DDEA6}">
  <dimension ref="A3:H24"/>
  <sheetViews>
    <sheetView workbookViewId="0">
      <selection activeCell="E14" sqref="E14"/>
    </sheetView>
  </sheetViews>
  <sheetFormatPr defaultRowHeight="15"/>
  <cols>
    <col min="1" max="1" width="24.140625" bestFit="1" customWidth="1"/>
    <col min="2" max="2" width="15.5703125" bestFit="1" customWidth="1"/>
    <col min="3" max="5" width="10.42578125" bestFit="1" customWidth="1"/>
    <col min="6" max="6" width="4.140625" bestFit="1" customWidth="1"/>
    <col min="7" max="7" width="6.85546875" bestFit="1" customWidth="1"/>
    <col min="8" max="9" width="10.42578125" bestFit="1" customWidth="1"/>
  </cols>
  <sheetData>
    <row r="3" spans="1:8">
      <c r="A3" s="373" t="s">
        <v>1155</v>
      </c>
      <c r="B3" s="373" t="s">
        <v>947</v>
      </c>
    </row>
    <row r="4" spans="1:8">
      <c r="A4" s="373" t="s">
        <v>949</v>
      </c>
      <c r="B4" t="s">
        <v>571</v>
      </c>
      <c r="C4" t="s">
        <v>585</v>
      </c>
      <c r="D4" t="s">
        <v>580</v>
      </c>
      <c r="E4" t="s">
        <v>609</v>
      </c>
      <c r="F4" t="s">
        <v>1156</v>
      </c>
      <c r="G4" t="s">
        <v>1157</v>
      </c>
      <c r="H4" t="s">
        <v>950</v>
      </c>
    </row>
    <row r="5" spans="1:8">
      <c r="A5" s="374" t="s">
        <v>117</v>
      </c>
      <c r="D5">
        <v>2</v>
      </c>
      <c r="E5">
        <v>1</v>
      </c>
      <c r="F5">
        <v>2</v>
      </c>
      <c r="H5">
        <v>5</v>
      </c>
    </row>
    <row r="6" spans="1:8">
      <c r="A6" s="374" t="s">
        <v>43</v>
      </c>
      <c r="D6">
        <v>8</v>
      </c>
      <c r="H6">
        <v>8</v>
      </c>
    </row>
    <row r="7" spans="1:8">
      <c r="A7" s="374" t="s">
        <v>66</v>
      </c>
      <c r="C7">
        <v>1</v>
      </c>
      <c r="F7">
        <v>5</v>
      </c>
      <c r="H7">
        <v>6</v>
      </c>
    </row>
    <row r="8" spans="1:8">
      <c r="A8" s="374" t="s">
        <v>71</v>
      </c>
      <c r="C8">
        <v>3</v>
      </c>
      <c r="D8">
        <v>1</v>
      </c>
      <c r="H8">
        <v>4</v>
      </c>
    </row>
    <row r="9" spans="1:8">
      <c r="A9" s="374" t="s">
        <v>93</v>
      </c>
      <c r="E9">
        <v>3</v>
      </c>
      <c r="H9">
        <v>3</v>
      </c>
    </row>
    <row r="10" spans="1:8">
      <c r="A10" s="374" t="s">
        <v>57</v>
      </c>
      <c r="B10">
        <v>3</v>
      </c>
      <c r="C10">
        <v>2</v>
      </c>
      <c r="F10">
        <v>3</v>
      </c>
      <c r="H10">
        <v>8</v>
      </c>
    </row>
    <row r="11" spans="1:8">
      <c r="A11" s="374" t="s">
        <v>952</v>
      </c>
      <c r="F11">
        <v>8</v>
      </c>
      <c r="H11">
        <v>8</v>
      </c>
    </row>
    <row r="12" spans="1:8">
      <c r="A12" s="374" t="s">
        <v>17</v>
      </c>
      <c r="B12">
        <v>8</v>
      </c>
      <c r="C12">
        <v>9</v>
      </c>
      <c r="D12">
        <v>38</v>
      </c>
      <c r="E12">
        <v>19</v>
      </c>
      <c r="F12">
        <v>42</v>
      </c>
      <c r="H12">
        <v>116</v>
      </c>
    </row>
    <row r="13" spans="1:8">
      <c r="A13" s="374" t="s">
        <v>112</v>
      </c>
      <c r="B13">
        <v>38</v>
      </c>
      <c r="C13">
        <v>1</v>
      </c>
      <c r="E13">
        <v>38</v>
      </c>
      <c r="F13">
        <v>142</v>
      </c>
      <c r="H13">
        <v>219</v>
      </c>
    </row>
    <row r="14" spans="1:8">
      <c r="A14" s="374" t="s">
        <v>953</v>
      </c>
      <c r="D14">
        <v>4</v>
      </c>
      <c r="H14">
        <v>4</v>
      </c>
    </row>
    <row r="15" spans="1:8">
      <c r="A15" s="374" t="s">
        <v>47</v>
      </c>
      <c r="B15">
        <v>1</v>
      </c>
      <c r="H15">
        <v>1</v>
      </c>
    </row>
    <row r="16" spans="1:8">
      <c r="A16" s="374" t="s">
        <v>110</v>
      </c>
      <c r="C16">
        <v>1</v>
      </c>
      <c r="H16">
        <v>1</v>
      </c>
    </row>
    <row r="17" spans="1:8">
      <c r="A17" s="374" t="s">
        <v>954</v>
      </c>
      <c r="C17">
        <v>2</v>
      </c>
      <c r="D17">
        <v>2</v>
      </c>
      <c r="E17">
        <v>2</v>
      </c>
      <c r="F17">
        <v>1</v>
      </c>
      <c r="H17">
        <v>7</v>
      </c>
    </row>
    <row r="18" spans="1:8">
      <c r="A18" s="374" t="s">
        <v>393</v>
      </c>
      <c r="D18">
        <v>12</v>
      </c>
      <c r="F18">
        <v>1</v>
      </c>
      <c r="H18">
        <v>13</v>
      </c>
    </row>
    <row r="19" spans="1:8">
      <c r="A19" s="374" t="s">
        <v>955</v>
      </c>
      <c r="B19">
        <v>2</v>
      </c>
      <c r="C19">
        <v>7</v>
      </c>
      <c r="D19">
        <v>26</v>
      </c>
      <c r="E19">
        <v>1</v>
      </c>
      <c r="F19">
        <v>5</v>
      </c>
      <c r="H19">
        <v>41</v>
      </c>
    </row>
    <row r="20" spans="1:8">
      <c r="A20" s="374" t="s">
        <v>113</v>
      </c>
      <c r="B20">
        <v>1</v>
      </c>
      <c r="H20">
        <v>1</v>
      </c>
    </row>
    <row r="21" spans="1:8">
      <c r="A21" s="374" t="s">
        <v>39</v>
      </c>
      <c r="B21">
        <v>3</v>
      </c>
      <c r="C21">
        <v>2</v>
      </c>
      <c r="E21">
        <v>1</v>
      </c>
      <c r="F21">
        <v>17</v>
      </c>
      <c r="H21">
        <v>23</v>
      </c>
    </row>
    <row r="22" spans="1:8">
      <c r="A22" s="374" t="s">
        <v>36</v>
      </c>
      <c r="B22">
        <v>1</v>
      </c>
      <c r="F22">
        <v>22</v>
      </c>
      <c r="H22">
        <v>23</v>
      </c>
    </row>
    <row r="23" spans="1:8">
      <c r="A23" s="374" t="s">
        <v>1157</v>
      </c>
    </row>
    <row r="24" spans="1:8">
      <c r="A24" s="374" t="s">
        <v>950</v>
      </c>
      <c r="B24">
        <v>57</v>
      </c>
      <c r="C24">
        <v>28</v>
      </c>
      <c r="D24">
        <v>93</v>
      </c>
      <c r="E24">
        <v>65</v>
      </c>
      <c r="F24">
        <v>248</v>
      </c>
      <c r="H24">
        <v>491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DEDC0-B581-4A64-9E05-837F9603C44C}">
  <dimension ref="A1:AE492"/>
  <sheetViews>
    <sheetView zoomScale="70" zoomScaleNormal="92" workbookViewId="0">
      <pane ySplit="1" topLeftCell="A3" activePane="bottomLeft" state="frozen"/>
      <selection activeCell="A342" sqref="A342"/>
      <selection pane="bottomLeft" activeCell="S501" sqref="S501"/>
    </sheetView>
  </sheetViews>
  <sheetFormatPr defaultColWidth="8.5703125" defaultRowHeight="13.5" customHeight="1"/>
  <cols>
    <col min="1" max="1" width="21.42578125" style="210" customWidth="1"/>
    <col min="2" max="2" width="7.5703125" style="210" customWidth="1"/>
    <col min="3" max="3" width="21.85546875" style="210" customWidth="1"/>
    <col min="4" max="4" width="14.7109375" style="210" customWidth="1"/>
    <col min="5" max="5" width="12.85546875" style="210" customWidth="1"/>
    <col min="6" max="6" width="8.5703125" style="210" customWidth="1"/>
    <col min="7" max="7" width="33.5703125" style="435" customWidth="1"/>
    <col min="8" max="8" width="17.5703125" style="210" customWidth="1"/>
    <col min="9" max="9" width="35.42578125" style="210" customWidth="1"/>
    <col min="10" max="11" width="17.140625" style="210" customWidth="1"/>
    <col min="12" max="12" width="8.5703125" style="210" customWidth="1"/>
    <col min="13" max="13" width="15.42578125" style="210" bestFit="1" customWidth="1"/>
    <col min="14" max="14" width="48.5703125" style="210" bestFit="1" customWidth="1"/>
    <col min="15" max="17" width="15.7109375" style="210" customWidth="1"/>
    <col min="18" max="18" width="22.85546875" style="210" bestFit="1" customWidth="1"/>
    <col min="19" max="19" width="24.42578125" style="210" bestFit="1" customWidth="1"/>
    <col min="20" max="20" width="20.140625" style="210" bestFit="1" customWidth="1"/>
    <col min="21" max="21" width="20.140625" style="210" customWidth="1"/>
    <col min="22" max="22" width="29" style="210" bestFit="1" customWidth="1"/>
    <col min="23" max="23" width="27.5703125" style="210" bestFit="1" customWidth="1"/>
    <col min="24" max="24" width="32" style="210" bestFit="1" customWidth="1"/>
    <col min="25" max="25" width="29" style="210" bestFit="1" customWidth="1"/>
    <col min="26" max="26" width="27.5703125" style="210" bestFit="1" customWidth="1"/>
    <col min="27" max="27" width="25.28515625" style="341" bestFit="1" customWidth="1"/>
    <col min="28" max="28" width="23.42578125" style="341" bestFit="1" customWidth="1"/>
    <col min="29" max="16384" width="8.5703125" style="210"/>
  </cols>
  <sheetData>
    <row r="1" spans="1:30" s="367" customFormat="1" ht="79.5" customHeight="1">
      <c r="A1" s="207" t="s">
        <v>157</v>
      </c>
      <c r="B1" s="207" t="s">
        <v>1158</v>
      </c>
      <c r="C1" s="207" t="s">
        <v>366</v>
      </c>
      <c r="D1" s="207" t="s">
        <v>1159</v>
      </c>
      <c r="E1" s="207" t="s">
        <v>174</v>
      </c>
      <c r="F1" s="207" t="s">
        <v>562</v>
      </c>
      <c r="G1" s="528" t="s">
        <v>1160</v>
      </c>
      <c r="H1" s="267" t="s">
        <v>1161</v>
      </c>
      <c r="I1" s="267" t="s">
        <v>1162</v>
      </c>
      <c r="J1" s="207" t="s">
        <v>1163</v>
      </c>
      <c r="K1" s="207" t="s">
        <v>1164</v>
      </c>
      <c r="L1" s="207" t="s">
        <v>1165</v>
      </c>
      <c r="M1" s="207" t="s">
        <v>1166</v>
      </c>
      <c r="N1" s="207" t="s">
        <v>1167</v>
      </c>
      <c r="O1" s="207" t="s">
        <v>1168</v>
      </c>
      <c r="P1" s="207" t="s">
        <v>1169</v>
      </c>
      <c r="Q1" s="207" t="s">
        <v>1170</v>
      </c>
      <c r="R1" s="268" t="s">
        <v>1171</v>
      </c>
      <c r="S1" s="273" t="s">
        <v>1172</v>
      </c>
      <c r="T1" s="273" t="s">
        <v>1173</v>
      </c>
      <c r="U1" s="269" t="s">
        <v>1174</v>
      </c>
      <c r="V1" s="232" t="s">
        <v>1175</v>
      </c>
      <c r="W1" s="232" t="s">
        <v>1176</v>
      </c>
      <c r="X1" s="270" t="s">
        <v>1177</v>
      </c>
      <c r="Y1" s="233" t="s">
        <v>1178</v>
      </c>
      <c r="Z1" s="233" t="s">
        <v>1179</v>
      </c>
      <c r="AA1" s="366" t="s">
        <v>1180</v>
      </c>
      <c r="AB1" s="366" t="s">
        <v>1181</v>
      </c>
    </row>
    <row r="2" spans="1:30" ht="15.75">
      <c r="A2" s="209" t="s">
        <v>1156</v>
      </c>
      <c r="B2" s="161" t="s">
        <v>1182</v>
      </c>
      <c r="C2" s="169" t="s">
        <v>17</v>
      </c>
      <c r="D2" s="209" t="s">
        <v>1183</v>
      </c>
      <c r="E2" s="209" t="s">
        <v>1184</v>
      </c>
      <c r="F2" s="161" t="s">
        <v>1185</v>
      </c>
      <c r="G2" s="161" t="s">
        <v>1186</v>
      </c>
      <c r="H2" s="230">
        <v>2097.1039999999998</v>
      </c>
      <c r="I2" s="230" t="s">
        <v>1187</v>
      </c>
      <c r="J2" s="209" t="s">
        <v>1188</v>
      </c>
      <c r="K2" s="209"/>
      <c r="L2" s="209" t="s">
        <v>1189</v>
      </c>
      <c r="M2" s="214" t="s">
        <v>1190</v>
      </c>
      <c r="O2" s="371" t="s">
        <v>1191</v>
      </c>
      <c r="P2" s="371" t="s">
        <v>1191</v>
      </c>
      <c r="Q2" s="371" t="s">
        <v>1191</v>
      </c>
      <c r="R2" s="371" t="s">
        <v>1191</v>
      </c>
      <c r="S2" s="228" t="s">
        <v>1192</v>
      </c>
      <c r="T2" s="210" t="s">
        <v>49</v>
      </c>
      <c r="U2" s="228" t="s">
        <v>1192</v>
      </c>
      <c r="V2" s="228" t="s">
        <v>1192</v>
      </c>
      <c r="W2" s="210" t="s">
        <v>49</v>
      </c>
      <c r="X2" s="228" t="s">
        <v>1192</v>
      </c>
      <c r="Y2" s="228" t="s">
        <v>1192</v>
      </c>
      <c r="Z2" s="210" t="s">
        <v>49</v>
      </c>
      <c r="AA2" s="341" t="s">
        <v>182</v>
      </c>
      <c r="AB2" s="368" t="s">
        <v>951</v>
      </c>
    </row>
    <row r="3" spans="1:30" ht="15.75">
      <c r="A3" s="161" t="s">
        <v>580</v>
      </c>
      <c r="B3" s="161" t="s">
        <v>1182</v>
      </c>
      <c r="C3" s="209" t="s">
        <v>955</v>
      </c>
      <c r="D3" s="161" t="s">
        <v>1193</v>
      </c>
      <c r="E3" s="161" t="s">
        <v>1194</v>
      </c>
      <c r="F3" s="170" t="s">
        <v>675</v>
      </c>
      <c r="G3" s="170"/>
      <c r="H3" s="230">
        <v>177.80500000000001</v>
      </c>
      <c r="I3" s="230" t="s">
        <v>49</v>
      </c>
      <c r="J3" s="209" t="s">
        <v>1195</v>
      </c>
      <c r="K3" s="209"/>
      <c r="L3" s="209" t="s">
        <v>1189</v>
      </c>
      <c r="M3" s="209" t="s">
        <v>1196</v>
      </c>
      <c r="N3" s="161" t="s">
        <v>1197</v>
      </c>
      <c r="O3" s="209" t="s">
        <v>1191</v>
      </c>
      <c r="P3" s="209" t="s">
        <v>1191</v>
      </c>
      <c r="Q3" s="209" t="s">
        <v>1191</v>
      </c>
      <c r="R3" s="228" t="s">
        <v>1192</v>
      </c>
      <c r="S3" s="228" t="s">
        <v>1192</v>
      </c>
      <c r="T3" s="210" t="s">
        <v>49</v>
      </c>
      <c r="U3" s="210" t="s">
        <v>1192</v>
      </c>
      <c r="V3" s="228" t="s">
        <v>1192</v>
      </c>
      <c r="W3" s="210" t="s">
        <v>49</v>
      </c>
      <c r="X3" s="228" t="s">
        <v>1192</v>
      </c>
      <c r="Y3" s="228" t="s">
        <v>1192</v>
      </c>
      <c r="Z3" s="210" t="s">
        <v>49</v>
      </c>
      <c r="AA3" s="341" t="s">
        <v>182</v>
      </c>
      <c r="AB3" s="368" t="s">
        <v>203</v>
      </c>
    </row>
    <row r="4" spans="1:30" ht="15.75">
      <c r="A4" s="272" t="s">
        <v>609</v>
      </c>
      <c r="B4" s="161" t="s">
        <v>1182</v>
      </c>
      <c r="C4" s="161" t="s">
        <v>17</v>
      </c>
      <c r="D4" s="209" t="s">
        <v>1183</v>
      </c>
      <c r="E4" s="209" t="s">
        <v>1184</v>
      </c>
      <c r="F4" s="161" t="s">
        <v>1198</v>
      </c>
      <c r="G4" s="161" t="s">
        <v>1199</v>
      </c>
      <c r="H4" s="230">
        <v>134.40199999999999</v>
      </c>
      <c r="I4" s="230" t="s">
        <v>1200</v>
      </c>
      <c r="J4" t="s">
        <v>1201</v>
      </c>
      <c r="K4" s="209"/>
      <c r="L4" s="209" t="s">
        <v>1189</v>
      </c>
      <c r="M4" s="214" t="s">
        <v>1202</v>
      </c>
      <c r="O4" s="228" t="s">
        <v>1191</v>
      </c>
      <c r="P4" s="228" t="s">
        <v>1191</v>
      </c>
      <c r="Q4" s="228" t="s">
        <v>1191</v>
      </c>
      <c r="R4" s="228" t="s">
        <v>1191</v>
      </c>
      <c r="S4" s="228" t="s">
        <v>1192</v>
      </c>
      <c r="T4" s="210" t="s">
        <v>49</v>
      </c>
      <c r="U4" s="228" t="s">
        <v>1191</v>
      </c>
      <c r="V4" s="228" t="s">
        <v>1192</v>
      </c>
      <c r="W4" s="210" t="s">
        <v>49</v>
      </c>
      <c r="X4" s="228" t="s">
        <v>1192</v>
      </c>
      <c r="Y4" s="228" t="s">
        <v>1192</v>
      </c>
      <c r="Z4" s="210" t="s">
        <v>49</v>
      </c>
      <c r="AA4" s="341" t="s">
        <v>182</v>
      </c>
      <c r="AB4" s="368" t="s">
        <v>203</v>
      </c>
      <c r="AC4" s="398"/>
      <c r="AD4" s="399"/>
    </row>
    <row r="5" spans="1:30" ht="15.75">
      <c r="A5" s="209" t="s">
        <v>1156</v>
      </c>
      <c r="B5" s="161" t="s">
        <v>1182</v>
      </c>
      <c r="C5" s="161" t="s">
        <v>66</v>
      </c>
      <c r="D5" s="209"/>
      <c r="E5" s="209" t="s">
        <v>1203</v>
      </c>
      <c r="F5" s="161" t="s">
        <v>1204</v>
      </c>
      <c r="G5" s="161" t="s">
        <v>1205</v>
      </c>
      <c r="H5" s="230">
        <v>129.48400000000001</v>
      </c>
      <c r="I5" s="230"/>
      <c r="J5" t="s">
        <v>1206</v>
      </c>
      <c r="K5" s="209"/>
      <c r="O5" s="210" t="s">
        <v>1191</v>
      </c>
      <c r="P5" s="210" t="s">
        <v>1191</v>
      </c>
      <c r="Q5" s="210" t="s">
        <v>1191</v>
      </c>
      <c r="R5" s="210" t="s">
        <v>1192</v>
      </c>
      <c r="S5" s="210" t="s">
        <v>1192</v>
      </c>
      <c r="T5" s="210" t="s">
        <v>49</v>
      </c>
      <c r="U5" s="210" t="s">
        <v>1192</v>
      </c>
      <c r="V5" s="210" t="s">
        <v>1192</v>
      </c>
      <c r="W5" s="210" t="s">
        <v>49</v>
      </c>
      <c r="X5" s="210" t="s">
        <v>1192</v>
      </c>
      <c r="Y5" s="210" t="s">
        <v>1192</v>
      </c>
      <c r="Z5" s="210" t="s">
        <v>49</v>
      </c>
      <c r="AA5" s="341" t="s">
        <v>182</v>
      </c>
      <c r="AB5" s="368" t="s">
        <v>203</v>
      </c>
      <c r="AC5" s="400" t="s">
        <v>361</v>
      </c>
      <c r="AD5" s="400" t="s">
        <v>361</v>
      </c>
    </row>
    <row r="6" spans="1:30" ht="45">
      <c r="A6" s="161" t="s">
        <v>580</v>
      </c>
      <c r="B6" s="161" t="s">
        <v>1182</v>
      </c>
      <c r="C6" s="209" t="s">
        <v>955</v>
      </c>
      <c r="D6" s="161" t="s">
        <v>1193</v>
      </c>
      <c r="E6" s="161" t="s">
        <v>1194</v>
      </c>
      <c r="F6" s="170" t="s">
        <v>722</v>
      </c>
      <c r="G6" s="170"/>
      <c r="H6" s="230">
        <v>120.59699999999999</v>
      </c>
      <c r="I6" s="230" t="s">
        <v>1207</v>
      </c>
      <c r="J6" t="s">
        <v>1208</v>
      </c>
      <c r="K6" s="209"/>
      <c r="L6" s="209" t="s">
        <v>1189</v>
      </c>
      <c r="M6" s="209" t="s">
        <v>1209</v>
      </c>
      <c r="N6" s="161" t="s">
        <v>723</v>
      </c>
      <c r="O6" s="209" t="s">
        <v>1191</v>
      </c>
      <c r="P6" s="209" t="s">
        <v>1191</v>
      </c>
      <c r="Q6" s="209" t="s">
        <v>1191</v>
      </c>
      <c r="R6" s="228" t="s">
        <v>1191</v>
      </c>
      <c r="S6" s="228" t="s">
        <v>1192</v>
      </c>
      <c r="T6" s="210" t="s">
        <v>49</v>
      </c>
      <c r="U6" s="228" t="s">
        <v>1191</v>
      </c>
      <c r="V6" s="228" t="s">
        <v>1192</v>
      </c>
      <c r="W6" s="210" t="s">
        <v>49</v>
      </c>
      <c r="X6" s="228" t="s">
        <v>1192</v>
      </c>
      <c r="Y6" s="228" t="s">
        <v>1192</v>
      </c>
      <c r="Z6" s="210" t="s">
        <v>49</v>
      </c>
      <c r="AA6" s="341" t="s">
        <v>182</v>
      </c>
      <c r="AB6" s="368" t="s">
        <v>203</v>
      </c>
      <c r="AC6" s="400" t="s">
        <v>361</v>
      </c>
      <c r="AD6" s="400" t="s">
        <v>361</v>
      </c>
    </row>
    <row r="7" spans="1:30" ht="15.75">
      <c r="A7" s="161" t="s">
        <v>585</v>
      </c>
      <c r="B7" s="161" t="s">
        <v>1182</v>
      </c>
      <c r="C7" s="209" t="s">
        <v>955</v>
      </c>
      <c r="D7" s="161" t="s">
        <v>1193</v>
      </c>
      <c r="E7" s="161" t="s">
        <v>1194</v>
      </c>
      <c r="F7" s="161" t="s">
        <v>1210</v>
      </c>
      <c r="G7" s="161"/>
      <c r="H7" s="230">
        <v>118.532</v>
      </c>
      <c r="I7" s="310" t="s">
        <v>1211</v>
      </c>
      <c r="J7" s="209" t="s">
        <v>1212</v>
      </c>
      <c r="K7" s="209"/>
      <c r="L7" s="209" t="s">
        <v>1182</v>
      </c>
      <c r="M7" s="209" t="s">
        <v>361</v>
      </c>
      <c r="N7" s="161" t="s">
        <v>657</v>
      </c>
      <c r="O7" s="161" t="s">
        <v>1191</v>
      </c>
      <c r="P7" s="161" t="s">
        <v>1191</v>
      </c>
      <c r="Q7" s="161" t="s">
        <v>1191</v>
      </c>
      <c r="R7" s="161" t="s">
        <v>1191</v>
      </c>
      <c r="S7" s="228" t="s">
        <v>1213</v>
      </c>
      <c r="T7" s="210" t="s">
        <v>49</v>
      </c>
      <c r="U7" s="228" t="s">
        <v>1192</v>
      </c>
      <c r="V7" s="228" t="s">
        <v>1192</v>
      </c>
      <c r="W7" s="210" t="s">
        <v>49</v>
      </c>
      <c r="X7" s="228" t="s">
        <v>1192</v>
      </c>
      <c r="Y7" s="228" t="s">
        <v>1192</v>
      </c>
      <c r="Z7" s="210" t="s">
        <v>49</v>
      </c>
      <c r="AA7" s="341" t="s">
        <v>203</v>
      </c>
      <c r="AB7" s="368" t="s">
        <v>203</v>
      </c>
      <c r="AC7" s="400" t="s">
        <v>361</v>
      </c>
      <c r="AD7" s="400" t="s">
        <v>361</v>
      </c>
    </row>
    <row r="8" spans="1:30" ht="15" customHeight="1">
      <c r="A8" s="161" t="s">
        <v>580</v>
      </c>
      <c r="B8" s="161" t="s">
        <v>1182</v>
      </c>
      <c r="C8" s="209" t="s">
        <v>17</v>
      </c>
      <c r="D8" s="161" t="s">
        <v>1183</v>
      </c>
      <c r="E8" s="161" t="s">
        <v>1184</v>
      </c>
      <c r="F8" s="161" t="s">
        <v>788</v>
      </c>
      <c r="G8" s="161"/>
      <c r="H8" s="230">
        <v>104.608</v>
      </c>
      <c r="I8" s="230" t="s">
        <v>1214</v>
      </c>
      <c r="J8" s="209" t="s">
        <v>1215</v>
      </c>
      <c r="K8" s="209"/>
      <c r="L8" s="209" t="s">
        <v>1182</v>
      </c>
      <c r="M8" s="214" t="s">
        <v>1216</v>
      </c>
      <c r="N8" s="161" t="s">
        <v>1217</v>
      </c>
      <c r="O8" s="228" t="s">
        <v>1191</v>
      </c>
      <c r="P8" s="228" t="s">
        <v>1191</v>
      </c>
      <c r="Q8" s="209" t="s">
        <v>1191</v>
      </c>
      <c r="R8" s="228" t="s">
        <v>1191</v>
      </c>
      <c r="S8" s="228" t="s">
        <v>1191</v>
      </c>
      <c r="T8" s="210" t="s">
        <v>49</v>
      </c>
      <c r="U8" s="228" t="s">
        <v>1191</v>
      </c>
      <c r="V8" s="228" t="s">
        <v>1192</v>
      </c>
      <c r="W8" s="210" t="s">
        <v>49</v>
      </c>
      <c r="X8" s="228" t="s">
        <v>1192</v>
      </c>
      <c r="Y8" s="228" t="s">
        <v>1192</v>
      </c>
      <c r="Z8" s="210" t="s">
        <v>49</v>
      </c>
      <c r="AA8" s="341" t="s">
        <v>203</v>
      </c>
      <c r="AB8" s="368" t="s">
        <v>203</v>
      </c>
      <c r="AC8" s="400"/>
      <c r="AD8" s="400" t="s">
        <v>361</v>
      </c>
    </row>
    <row r="9" spans="1:30" ht="15.75">
      <c r="A9" s="209" t="s">
        <v>1156</v>
      </c>
      <c r="B9" s="161" t="s">
        <v>1182</v>
      </c>
      <c r="C9" s="161" t="s">
        <v>66</v>
      </c>
      <c r="D9" s="209"/>
      <c r="E9" s="209" t="s">
        <v>1203</v>
      </c>
      <c r="F9" s="161" t="s">
        <v>1218</v>
      </c>
      <c r="G9" s="161" t="s">
        <v>1205</v>
      </c>
      <c r="H9" s="230">
        <v>69.927000000000007</v>
      </c>
      <c r="I9" s="230"/>
      <c r="J9" s="209" t="s">
        <v>361</v>
      </c>
      <c r="K9" s="209"/>
      <c r="O9" s="210" t="s">
        <v>1191</v>
      </c>
      <c r="P9" s="210" t="s">
        <v>1191</v>
      </c>
      <c r="Q9" s="210" t="s">
        <v>1191</v>
      </c>
      <c r="R9" s="210" t="s">
        <v>1192</v>
      </c>
      <c r="S9" s="210" t="s">
        <v>1192</v>
      </c>
      <c r="T9" s="210" t="s">
        <v>49</v>
      </c>
      <c r="U9" s="210" t="s">
        <v>1192</v>
      </c>
      <c r="V9" s="210" t="s">
        <v>1192</v>
      </c>
      <c r="W9" s="210" t="s">
        <v>49</v>
      </c>
      <c r="X9" s="210" t="s">
        <v>1192</v>
      </c>
      <c r="Y9" s="210" t="s">
        <v>1192</v>
      </c>
      <c r="Z9" s="210" t="s">
        <v>49</v>
      </c>
      <c r="AA9" s="341" t="s">
        <v>203</v>
      </c>
      <c r="AB9" s="368" t="s">
        <v>951</v>
      </c>
      <c r="AC9" s="400"/>
      <c r="AD9" s="401"/>
    </row>
    <row r="10" spans="1:30" ht="30">
      <c r="A10" s="161" t="s">
        <v>580</v>
      </c>
      <c r="B10" s="161" t="s">
        <v>1182</v>
      </c>
      <c r="C10" s="209" t="s">
        <v>955</v>
      </c>
      <c r="D10" s="161" t="s">
        <v>1193</v>
      </c>
      <c r="E10" s="161" t="s">
        <v>1194</v>
      </c>
      <c r="F10" s="417" t="s">
        <v>719</v>
      </c>
      <c r="G10" s="162"/>
      <c r="H10" s="230">
        <v>69.468999999999994</v>
      </c>
      <c r="I10" s="230" t="s">
        <v>49</v>
      </c>
      <c r="J10" s="209" t="s">
        <v>1212</v>
      </c>
      <c r="K10" s="209"/>
      <c r="L10" s="209" t="s">
        <v>1189</v>
      </c>
      <c r="M10" s="209" t="s">
        <v>1219</v>
      </c>
      <c r="N10" s="161" t="s">
        <v>1220</v>
      </c>
      <c r="O10" s="209" t="s">
        <v>1191</v>
      </c>
      <c r="P10" s="209" t="s">
        <v>1191</v>
      </c>
      <c r="Q10" s="209" t="s">
        <v>1191</v>
      </c>
      <c r="R10" s="228" t="s">
        <v>1191</v>
      </c>
      <c r="S10" s="228" t="s">
        <v>1192</v>
      </c>
      <c r="T10" s="210" t="s">
        <v>49</v>
      </c>
      <c r="U10" s="228" t="s">
        <v>1191</v>
      </c>
      <c r="V10" s="228" t="s">
        <v>1192</v>
      </c>
      <c r="W10" s="210" t="s">
        <v>49</v>
      </c>
      <c r="X10" s="228" t="s">
        <v>1192</v>
      </c>
      <c r="Y10" s="228" t="s">
        <v>1192</v>
      </c>
      <c r="Z10" s="210" t="s">
        <v>49</v>
      </c>
      <c r="AA10" s="341" t="s">
        <v>203</v>
      </c>
      <c r="AB10" s="368" t="s">
        <v>203</v>
      </c>
    </row>
    <row r="11" spans="1:30" ht="15.75">
      <c r="A11" s="161" t="s">
        <v>609</v>
      </c>
      <c r="B11" s="161" t="s">
        <v>1182</v>
      </c>
      <c r="C11" s="209" t="s">
        <v>17</v>
      </c>
      <c r="D11" s="161" t="s">
        <v>1183</v>
      </c>
      <c r="E11" s="161" t="s">
        <v>1184</v>
      </c>
      <c r="F11" s="161" t="s">
        <v>1221</v>
      </c>
      <c r="G11" s="161" t="s">
        <v>1199</v>
      </c>
      <c r="H11" s="230">
        <v>68.841999999999999</v>
      </c>
      <c r="I11" s="230" t="s">
        <v>1222</v>
      </c>
      <c r="J11" t="s">
        <v>1223</v>
      </c>
      <c r="K11" s="209"/>
      <c r="L11" s="209" t="s">
        <v>1182</v>
      </c>
      <c r="M11" s="214" t="s">
        <v>1216</v>
      </c>
      <c r="N11" s="161" t="s">
        <v>1224</v>
      </c>
      <c r="O11" s="228" t="s">
        <v>1191</v>
      </c>
      <c r="P11" s="228" t="s">
        <v>1191</v>
      </c>
      <c r="Q11" s="209" t="s">
        <v>1191</v>
      </c>
      <c r="R11" s="228" t="s">
        <v>1191</v>
      </c>
      <c r="S11" s="228" t="s">
        <v>1192</v>
      </c>
      <c r="T11" s="210" t="s">
        <v>49</v>
      </c>
      <c r="U11" s="228" t="s">
        <v>1191</v>
      </c>
      <c r="V11" s="228" t="s">
        <v>1192</v>
      </c>
      <c r="W11" s="210" t="s">
        <v>49</v>
      </c>
      <c r="X11" s="228" t="s">
        <v>1192</v>
      </c>
      <c r="Y11" s="228" t="s">
        <v>1192</v>
      </c>
      <c r="Z11" s="210" t="s">
        <v>49</v>
      </c>
      <c r="AA11" s="341" t="s">
        <v>203</v>
      </c>
      <c r="AB11" s="368" t="s">
        <v>203</v>
      </c>
    </row>
    <row r="12" spans="1:30" ht="15.75">
      <c r="A12" s="161" t="s">
        <v>580</v>
      </c>
      <c r="B12" s="161" t="s">
        <v>1182</v>
      </c>
      <c r="C12" s="209" t="s">
        <v>17</v>
      </c>
      <c r="D12" s="161" t="s">
        <v>1183</v>
      </c>
      <c r="E12" s="161" t="s">
        <v>1184</v>
      </c>
      <c r="F12" s="161" t="s">
        <v>782</v>
      </c>
      <c r="G12" s="161"/>
      <c r="H12" s="230">
        <v>56.279000000000003</v>
      </c>
      <c r="I12" s="230" t="s">
        <v>1225</v>
      </c>
      <c r="J12" s="209" t="s">
        <v>1226</v>
      </c>
      <c r="K12" s="209"/>
      <c r="L12" s="209" t="s">
        <v>1182</v>
      </c>
      <c r="M12" s="214" t="s">
        <v>1216</v>
      </c>
      <c r="N12" s="161" t="s">
        <v>1227</v>
      </c>
      <c r="O12" s="228" t="s">
        <v>1191</v>
      </c>
      <c r="P12" s="228" t="s">
        <v>1191</v>
      </c>
      <c r="Q12" s="209" t="s">
        <v>1191</v>
      </c>
      <c r="R12" s="228" t="s">
        <v>1191</v>
      </c>
      <c r="S12" s="228" t="s">
        <v>1191</v>
      </c>
      <c r="T12" s="210" t="s">
        <v>49</v>
      </c>
      <c r="U12" s="228" t="s">
        <v>1191</v>
      </c>
      <c r="V12" s="228" t="s">
        <v>1192</v>
      </c>
      <c r="W12" s="210" t="s">
        <v>49</v>
      </c>
      <c r="X12" s="228" t="s">
        <v>1192</v>
      </c>
      <c r="Y12" s="228" t="s">
        <v>1192</v>
      </c>
      <c r="Z12" s="210" t="s">
        <v>49</v>
      </c>
      <c r="AA12" s="341" t="s">
        <v>203</v>
      </c>
      <c r="AB12" s="368" t="s">
        <v>951</v>
      </c>
    </row>
    <row r="13" spans="1:30" ht="15.75">
      <c r="A13" s="161" t="s">
        <v>580</v>
      </c>
      <c r="B13" s="161" t="s">
        <v>1182</v>
      </c>
      <c r="C13" s="209" t="s">
        <v>17</v>
      </c>
      <c r="D13" s="161" t="s">
        <v>1183</v>
      </c>
      <c r="E13" s="161" t="s">
        <v>1184</v>
      </c>
      <c r="F13" s="161" t="s">
        <v>783</v>
      </c>
      <c r="G13" s="161"/>
      <c r="H13" s="230">
        <v>40.820999999999998</v>
      </c>
      <c r="I13" s="230" t="s">
        <v>1228</v>
      </c>
      <c r="J13" s="209" t="s">
        <v>1226</v>
      </c>
      <c r="K13" s="209"/>
      <c r="L13" s="209" t="s">
        <v>1182</v>
      </c>
      <c r="M13" s="214" t="s">
        <v>1216</v>
      </c>
      <c r="N13" s="161" t="s">
        <v>1229</v>
      </c>
      <c r="O13" s="228" t="s">
        <v>1191</v>
      </c>
      <c r="P13" s="228" t="s">
        <v>1191</v>
      </c>
      <c r="Q13" s="209" t="s">
        <v>1191</v>
      </c>
      <c r="R13" s="228" t="s">
        <v>1191</v>
      </c>
      <c r="S13" s="228" t="s">
        <v>1191</v>
      </c>
      <c r="T13" s="210" t="s">
        <v>49</v>
      </c>
      <c r="U13" s="228" t="s">
        <v>1192</v>
      </c>
      <c r="V13" s="228" t="s">
        <v>1192</v>
      </c>
      <c r="W13" s="210" t="s">
        <v>49</v>
      </c>
      <c r="X13" s="228" t="s">
        <v>1192</v>
      </c>
      <c r="Y13" s="228" t="s">
        <v>1192</v>
      </c>
      <c r="Z13" s="210" t="s">
        <v>49</v>
      </c>
      <c r="AA13" s="341" t="s">
        <v>203</v>
      </c>
      <c r="AB13" s="368" t="s">
        <v>203</v>
      </c>
    </row>
    <row r="14" spans="1:30" ht="15" customHeight="1">
      <c r="A14" s="161" t="s">
        <v>580</v>
      </c>
      <c r="B14" s="161" t="s">
        <v>1182</v>
      </c>
      <c r="C14" s="169" t="s">
        <v>393</v>
      </c>
      <c r="D14" s="161" t="s">
        <v>1230</v>
      </c>
      <c r="E14" s="161" t="s">
        <v>1231</v>
      </c>
      <c r="F14" s="161" t="s">
        <v>636</v>
      </c>
      <c r="G14" s="161" t="s">
        <v>1232</v>
      </c>
      <c r="H14" s="230">
        <v>35.356999999999999</v>
      </c>
      <c r="I14" s="230" t="s">
        <v>1233</v>
      </c>
      <c r="J14" s="209"/>
      <c r="K14" s="209"/>
      <c r="L14" s="209" t="s">
        <v>1189</v>
      </c>
      <c r="M14" s="209" t="s">
        <v>1234</v>
      </c>
      <c r="N14" s="209" t="s">
        <v>1235</v>
      </c>
      <c r="O14" s="209" t="s">
        <v>1191</v>
      </c>
      <c r="P14" s="209" t="s">
        <v>1191</v>
      </c>
      <c r="Q14" s="209" t="s">
        <v>1191</v>
      </c>
      <c r="R14" s="210" t="s">
        <v>1191</v>
      </c>
      <c r="S14" s="210" t="s">
        <v>1192</v>
      </c>
      <c r="T14" s="210" t="s">
        <v>49</v>
      </c>
      <c r="U14" s="210" t="s">
        <v>1191</v>
      </c>
      <c r="V14" s="210" t="s">
        <v>1192</v>
      </c>
      <c r="W14" s="210" t="s">
        <v>49</v>
      </c>
      <c r="X14" s="210" t="s">
        <v>1192</v>
      </c>
      <c r="Y14" s="210" t="s">
        <v>1192</v>
      </c>
      <c r="Z14" s="210" t="s">
        <v>49</v>
      </c>
      <c r="AA14" s="341" t="s">
        <v>203</v>
      </c>
      <c r="AB14" s="368" t="s">
        <v>951</v>
      </c>
    </row>
    <row r="15" spans="1:30" ht="15" customHeight="1">
      <c r="A15" s="209" t="s">
        <v>1156</v>
      </c>
      <c r="B15" s="161" t="s">
        <v>1189</v>
      </c>
      <c r="C15" s="209" t="s">
        <v>57</v>
      </c>
      <c r="D15" s="209" t="s">
        <v>1236</v>
      </c>
      <c r="E15" s="209" t="s">
        <v>1237</v>
      </c>
      <c r="F15" s="161" t="s">
        <v>1238</v>
      </c>
      <c r="G15" s="161" t="s">
        <v>1239</v>
      </c>
      <c r="H15" s="230">
        <v>21.917000000000002</v>
      </c>
      <c r="I15" s="230" t="s">
        <v>1240</v>
      </c>
      <c r="J15" s="209" t="s">
        <v>1241</v>
      </c>
      <c r="K15" s="209"/>
      <c r="L15" s="210" t="s">
        <v>1189</v>
      </c>
      <c r="M15" s="210" t="s">
        <v>1242</v>
      </c>
      <c r="O15" s="209" t="s">
        <v>49</v>
      </c>
      <c r="P15" s="209" t="s">
        <v>49</v>
      </c>
      <c r="Q15" s="209" t="s">
        <v>49</v>
      </c>
      <c r="R15" s="228" t="s">
        <v>49</v>
      </c>
      <c r="S15" s="228" t="s">
        <v>49</v>
      </c>
      <c r="T15" s="210" t="s">
        <v>1192</v>
      </c>
      <c r="U15" s="228" t="s">
        <v>49</v>
      </c>
      <c r="V15" s="228" t="s">
        <v>49</v>
      </c>
      <c r="W15" s="210" t="s">
        <v>1192</v>
      </c>
      <c r="X15" s="228" t="s">
        <v>49</v>
      </c>
      <c r="Y15" s="228" t="s">
        <v>49</v>
      </c>
      <c r="Z15" s="210" t="s">
        <v>1192</v>
      </c>
      <c r="AA15" s="341" t="s">
        <v>203</v>
      </c>
      <c r="AB15" s="368" t="s">
        <v>203</v>
      </c>
    </row>
    <row r="16" spans="1:30" ht="15" customHeight="1">
      <c r="A16" s="161" t="s">
        <v>571</v>
      </c>
      <c r="B16" s="161" t="s">
        <v>1182</v>
      </c>
      <c r="C16" s="209" t="s">
        <v>112</v>
      </c>
      <c r="D16" s="161" t="s">
        <v>1243</v>
      </c>
      <c r="E16" s="161" t="s">
        <v>1244</v>
      </c>
      <c r="F16" s="169" t="s">
        <v>547</v>
      </c>
      <c r="G16" s="169"/>
      <c r="H16" s="230">
        <v>19.841000000000001</v>
      </c>
      <c r="I16" s="230" t="s">
        <v>1245</v>
      </c>
      <c r="J16" s="209" t="s">
        <v>1245</v>
      </c>
      <c r="K16" s="209"/>
      <c r="L16" s="209" t="s">
        <v>1189</v>
      </c>
      <c r="M16" s="209" t="s">
        <v>1246</v>
      </c>
      <c r="N16" s="209" t="s">
        <v>1247</v>
      </c>
      <c r="O16" s="209" t="s">
        <v>1191</v>
      </c>
      <c r="P16" s="209" t="s">
        <v>1191</v>
      </c>
      <c r="Q16" s="209" t="s">
        <v>1191</v>
      </c>
      <c r="R16" s="209" t="s">
        <v>1191</v>
      </c>
      <c r="S16" s="209" t="s">
        <v>1191</v>
      </c>
      <c r="T16" s="210" t="s">
        <v>49</v>
      </c>
      <c r="U16" s="228" t="s">
        <v>1191</v>
      </c>
      <c r="V16" s="228" t="s">
        <v>1192</v>
      </c>
      <c r="W16" s="210" t="s">
        <v>49</v>
      </c>
      <c r="X16" s="228" t="s">
        <v>1192</v>
      </c>
      <c r="Y16" s="228" t="s">
        <v>1192</v>
      </c>
      <c r="Z16" s="210" t="s">
        <v>49</v>
      </c>
      <c r="AA16" s="341" t="s">
        <v>203</v>
      </c>
      <c r="AB16" s="341" t="s">
        <v>203</v>
      </c>
    </row>
    <row r="17" spans="1:28" ht="15" customHeight="1">
      <c r="A17" s="161" t="s">
        <v>580</v>
      </c>
      <c r="B17" s="161" t="s">
        <v>1182</v>
      </c>
      <c r="C17" s="209" t="s">
        <v>43</v>
      </c>
      <c r="D17" t="s">
        <v>1248</v>
      </c>
      <c r="E17" s="210" t="s">
        <v>1249</v>
      </c>
      <c r="F17" s="161" t="s">
        <v>581</v>
      </c>
      <c r="G17" s="161"/>
      <c r="H17" s="230">
        <v>18.350999999999999</v>
      </c>
      <c r="I17" s="230" t="s">
        <v>1250</v>
      </c>
      <c r="J17" s="209" t="s">
        <v>1251</v>
      </c>
      <c r="K17" s="209"/>
      <c r="L17" s="209" t="s">
        <v>1189</v>
      </c>
      <c r="M17" s="209" t="s">
        <v>1252</v>
      </c>
      <c r="N17" s="209" t="s">
        <v>1253</v>
      </c>
      <c r="O17" s="209" t="s">
        <v>1191</v>
      </c>
      <c r="P17" s="209" t="s">
        <v>1191</v>
      </c>
      <c r="Q17" s="209" t="s">
        <v>1191</v>
      </c>
      <c r="R17" s="209" t="s">
        <v>1191</v>
      </c>
      <c r="S17" s="209" t="s">
        <v>1191</v>
      </c>
      <c r="T17" s="210" t="s">
        <v>49</v>
      </c>
      <c r="U17" s="228" t="s">
        <v>1191</v>
      </c>
      <c r="V17" s="228" t="s">
        <v>1192</v>
      </c>
      <c r="W17" s="210" t="s">
        <v>49</v>
      </c>
      <c r="X17" s="228" t="s">
        <v>1192</v>
      </c>
      <c r="Y17" s="228" t="s">
        <v>1192</v>
      </c>
      <c r="Z17" s="210" t="s">
        <v>49</v>
      </c>
      <c r="AA17" s="341" t="s">
        <v>203</v>
      </c>
      <c r="AB17" s="368" t="s">
        <v>951</v>
      </c>
    </row>
    <row r="18" spans="1:28" ht="15" customHeight="1">
      <c r="A18" s="161" t="s">
        <v>580</v>
      </c>
      <c r="B18" s="161" t="s">
        <v>1182</v>
      </c>
      <c r="C18" s="209" t="s">
        <v>955</v>
      </c>
      <c r="D18" s="161" t="s">
        <v>1193</v>
      </c>
      <c r="E18" s="161" t="s">
        <v>1194</v>
      </c>
      <c r="F18" s="162" t="s">
        <v>714</v>
      </c>
      <c r="G18" s="162"/>
      <c r="H18" s="230">
        <v>17.05</v>
      </c>
      <c r="I18" s="230" t="s">
        <v>49</v>
      </c>
      <c r="J18" s="209" t="s">
        <v>1254</v>
      </c>
      <c r="K18" s="209"/>
      <c r="L18" s="209" t="s">
        <v>1182</v>
      </c>
      <c r="M18" s="209" t="s">
        <v>361</v>
      </c>
      <c r="N18" s="161" t="s">
        <v>1255</v>
      </c>
      <c r="O18" s="209" t="s">
        <v>1191</v>
      </c>
      <c r="P18" s="209" t="s">
        <v>1191</v>
      </c>
      <c r="Q18" s="209" t="s">
        <v>1191</v>
      </c>
      <c r="R18" s="228" t="s">
        <v>1191</v>
      </c>
      <c r="S18" s="228" t="s">
        <v>1213</v>
      </c>
      <c r="T18" s="210" t="s">
        <v>49</v>
      </c>
      <c r="U18" s="228" t="s">
        <v>1191</v>
      </c>
      <c r="V18" s="228" t="s">
        <v>1192</v>
      </c>
      <c r="W18" s="210" t="s">
        <v>49</v>
      </c>
      <c r="X18" s="228" t="s">
        <v>1192</v>
      </c>
      <c r="Y18" s="228" t="s">
        <v>1192</v>
      </c>
      <c r="Z18" s="210" t="s">
        <v>49</v>
      </c>
      <c r="AA18" s="341" t="s">
        <v>203</v>
      </c>
      <c r="AB18" s="368" t="s">
        <v>203</v>
      </c>
    </row>
    <row r="19" spans="1:28" ht="15.75">
      <c r="A19" s="209" t="s">
        <v>1156</v>
      </c>
      <c r="B19" s="161" t="s">
        <v>1189</v>
      </c>
      <c r="C19" s="161" t="s">
        <v>117</v>
      </c>
      <c r="D19" s="209" t="s">
        <v>1256</v>
      </c>
      <c r="E19" s="209" t="s">
        <v>117</v>
      </c>
      <c r="F19" s="161" t="s">
        <v>1257</v>
      </c>
      <c r="G19" s="161" t="s">
        <v>1258</v>
      </c>
      <c r="H19" s="230">
        <v>16.832000000000001</v>
      </c>
      <c r="I19" s="230" t="s">
        <v>49</v>
      </c>
      <c r="J19" s="209" t="s">
        <v>361</v>
      </c>
      <c r="K19" s="209"/>
      <c r="O19" s="228" t="s">
        <v>49</v>
      </c>
      <c r="P19" s="228" t="s">
        <v>49</v>
      </c>
      <c r="Q19" s="228" t="s">
        <v>49</v>
      </c>
      <c r="R19" s="228" t="s">
        <v>49</v>
      </c>
      <c r="S19" s="228" t="s">
        <v>49</v>
      </c>
      <c r="T19" s="228" t="s">
        <v>1192</v>
      </c>
      <c r="U19" s="228" t="s">
        <v>49</v>
      </c>
      <c r="V19" s="228" t="s">
        <v>49</v>
      </c>
      <c r="W19" s="210" t="s">
        <v>1192</v>
      </c>
      <c r="X19" s="228" t="s">
        <v>49</v>
      </c>
      <c r="Y19" s="228" t="s">
        <v>49</v>
      </c>
      <c r="Z19" s="210" t="s">
        <v>1192</v>
      </c>
      <c r="AA19" s="341" t="s">
        <v>203</v>
      </c>
      <c r="AB19" s="368" t="s">
        <v>203</v>
      </c>
    </row>
    <row r="20" spans="1:28" ht="15.75">
      <c r="A20" s="161" t="s">
        <v>585</v>
      </c>
      <c r="B20" s="161" t="s">
        <v>1182</v>
      </c>
      <c r="C20" s="209" t="s">
        <v>955</v>
      </c>
      <c r="D20" s="161" t="s">
        <v>1193</v>
      </c>
      <c r="E20" s="161" t="s">
        <v>1194</v>
      </c>
      <c r="F20" s="338" t="s">
        <v>716</v>
      </c>
      <c r="G20" s="161"/>
      <c r="H20" s="230">
        <v>15.944000000000001</v>
      </c>
      <c r="I20" s="310" t="s">
        <v>1211</v>
      </c>
      <c r="J20" s="209" t="s">
        <v>1212</v>
      </c>
      <c r="K20" s="209"/>
      <c r="L20" s="209" t="s">
        <v>1189</v>
      </c>
      <c r="M20" s="209" t="s">
        <v>1259</v>
      </c>
      <c r="N20" s="338" t="s">
        <v>644</v>
      </c>
      <c r="O20" s="161" t="s">
        <v>1191</v>
      </c>
      <c r="P20" s="209" t="s">
        <v>1191</v>
      </c>
      <c r="Q20" s="209" t="s">
        <v>1191</v>
      </c>
      <c r="R20" s="161" t="s">
        <v>1191</v>
      </c>
      <c r="S20" s="228" t="s">
        <v>1213</v>
      </c>
      <c r="T20" s="210" t="s">
        <v>49</v>
      </c>
      <c r="U20" s="228" t="s">
        <v>1191</v>
      </c>
      <c r="V20" s="228" t="s">
        <v>1192</v>
      </c>
      <c r="W20" s="210" t="s">
        <v>49</v>
      </c>
      <c r="X20" s="228" t="s">
        <v>1192</v>
      </c>
      <c r="Y20" s="228" t="s">
        <v>1192</v>
      </c>
      <c r="Z20" s="210" t="s">
        <v>49</v>
      </c>
      <c r="AA20" s="341" t="s">
        <v>203</v>
      </c>
      <c r="AB20" s="368" t="s">
        <v>203</v>
      </c>
    </row>
    <row r="21" spans="1:28" ht="15.75">
      <c r="A21" s="161" t="s">
        <v>580</v>
      </c>
      <c r="B21" s="161" t="s">
        <v>1182</v>
      </c>
      <c r="C21" s="209" t="s">
        <v>43</v>
      </c>
      <c r="D21" t="s">
        <v>1248</v>
      </c>
      <c r="E21" s="210" t="s">
        <v>1249</v>
      </c>
      <c r="F21" s="161" t="s">
        <v>596</v>
      </c>
      <c r="G21" s="161"/>
      <c r="H21" s="230">
        <v>12.773999999999999</v>
      </c>
      <c r="I21" s="230" t="s">
        <v>49</v>
      </c>
      <c r="J21" s="209"/>
      <c r="K21" s="209"/>
      <c r="L21" s="209" t="s">
        <v>1189</v>
      </c>
      <c r="M21" s="209" t="s">
        <v>1260</v>
      </c>
      <c r="N21" s="209" t="s">
        <v>1261</v>
      </c>
      <c r="O21" s="209" t="s">
        <v>1191</v>
      </c>
      <c r="P21" s="209" t="s">
        <v>1191</v>
      </c>
      <c r="Q21" s="209" t="s">
        <v>1191</v>
      </c>
      <c r="R21" s="209" t="s">
        <v>1191</v>
      </c>
      <c r="S21" s="209" t="s">
        <v>1191</v>
      </c>
      <c r="T21" s="210" t="s">
        <v>49</v>
      </c>
      <c r="U21" s="228" t="s">
        <v>1191</v>
      </c>
      <c r="V21" s="228" t="s">
        <v>1192</v>
      </c>
      <c r="W21" s="210" t="s">
        <v>49</v>
      </c>
      <c r="X21" s="228" t="s">
        <v>1192</v>
      </c>
      <c r="Y21" s="228" t="s">
        <v>1192</v>
      </c>
      <c r="Z21" s="210" t="s">
        <v>49</v>
      </c>
      <c r="AA21" s="341" t="s">
        <v>203</v>
      </c>
      <c r="AB21" s="368" t="s">
        <v>951</v>
      </c>
    </row>
    <row r="22" spans="1:28" ht="15.75">
      <c r="A22" s="161" t="s">
        <v>580</v>
      </c>
      <c r="B22" s="161" t="s">
        <v>1182</v>
      </c>
      <c r="C22" s="169" t="s">
        <v>393</v>
      </c>
      <c r="D22" s="161" t="s">
        <v>1230</v>
      </c>
      <c r="E22" s="161" t="s">
        <v>1231</v>
      </c>
      <c r="F22" s="161" t="s">
        <v>612</v>
      </c>
      <c r="G22" s="161" t="s">
        <v>1232</v>
      </c>
      <c r="H22" s="230">
        <v>11.544</v>
      </c>
      <c r="I22" s="230" t="s">
        <v>1262</v>
      </c>
      <c r="J22" s="209"/>
      <c r="K22" s="209"/>
      <c r="L22" s="209" t="s">
        <v>1189</v>
      </c>
      <c r="M22" s="209" t="s">
        <v>1263</v>
      </c>
      <c r="N22" s="209" t="s">
        <v>1264</v>
      </c>
      <c r="O22" s="209" t="s">
        <v>1191</v>
      </c>
      <c r="P22" s="209" t="s">
        <v>1191</v>
      </c>
      <c r="Q22" s="209" t="s">
        <v>1191</v>
      </c>
      <c r="R22" s="210" t="s">
        <v>1191</v>
      </c>
      <c r="S22" s="228" t="s">
        <v>1213</v>
      </c>
      <c r="T22" s="210" t="s">
        <v>49</v>
      </c>
      <c r="U22" s="210" t="s">
        <v>1191</v>
      </c>
      <c r="V22" s="210" t="s">
        <v>1192</v>
      </c>
      <c r="W22" s="210" t="s">
        <v>49</v>
      </c>
      <c r="X22" s="210" t="s">
        <v>1192</v>
      </c>
      <c r="Y22" s="210" t="s">
        <v>1192</v>
      </c>
      <c r="Z22" s="210" t="s">
        <v>49</v>
      </c>
      <c r="AA22" s="341" t="s">
        <v>203</v>
      </c>
      <c r="AB22" s="368" t="s">
        <v>951</v>
      </c>
    </row>
    <row r="23" spans="1:28" ht="60">
      <c r="A23" s="161" t="s">
        <v>580</v>
      </c>
      <c r="B23" s="161" t="s">
        <v>1182</v>
      </c>
      <c r="C23" s="209" t="s">
        <v>955</v>
      </c>
      <c r="D23" s="161" t="s">
        <v>1193</v>
      </c>
      <c r="E23" s="161" t="s">
        <v>1194</v>
      </c>
      <c r="F23" s="162" t="s">
        <v>665</v>
      </c>
      <c r="G23" s="162"/>
      <c r="H23" s="230">
        <v>6.6760000000000002</v>
      </c>
      <c r="I23" s="230" t="s">
        <v>1207</v>
      </c>
      <c r="J23" s="209" t="s">
        <v>1212</v>
      </c>
      <c r="K23" s="209"/>
      <c r="L23" s="209" t="s">
        <v>1182</v>
      </c>
      <c r="M23" s="209" t="s">
        <v>361</v>
      </c>
      <c r="N23" s="161" t="s">
        <v>666</v>
      </c>
      <c r="O23" s="209" t="s">
        <v>1191</v>
      </c>
      <c r="P23" s="209" t="s">
        <v>1191</v>
      </c>
      <c r="Q23" s="209" t="s">
        <v>1191</v>
      </c>
      <c r="R23" s="228" t="s">
        <v>1191</v>
      </c>
      <c r="S23" s="228" t="s">
        <v>1213</v>
      </c>
      <c r="T23" s="210" t="s">
        <v>49</v>
      </c>
      <c r="U23" s="228" t="s">
        <v>1191</v>
      </c>
      <c r="V23" s="228" t="s">
        <v>1192</v>
      </c>
      <c r="W23" s="210" t="s">
        <v>49</v>
      </c>
      <c r="X23" s="228" t="s">
        <v>1192</v>
      </c>
      <c r="Y23" s="228" t="s">
        <v>1192</v>
      </c>
      <c r="Z23" s="210" t="s">
        <v>49</v>
      </c>
      <c r="AA23" s="341" t="s">
        <v>203</v>
      </c>
      <c r="AB23" s="368" t="s">
        <v>203</v>
      </c>
    </row>
    <row r="24" spans="1:28" ht="15.75">
      <c r="A24" s="161" t="s">
        <v>580</v>
      </c>
      <c r="B24" s="161" t="s">
        <v>1182</v>
      </c>
      <c r="C24" s="169" t="s">
        <v>393</v>
      </c>
      <c r="D24" s="161" t="s">
        <v>1230</v>
      </c>
      <c r="E24" s="161" t="s">
        <v>1231</v>
      </c>
      <c r="F24" s="161" t="s">
        <v>623</v>
      </c>
      <c r="G24" s="161" t="s">
        <v>1232</v>
      </c>
      <c r="H24" s="230">
        <v>6.5270000000000001</v>
      </c>
      <c r="I24" s="230" t="s">
        <v>1262</v>
      </c>
      <c r="J24" s="209"/>
      <c r="K24" s="209"/>
      <c r="L24" s="209" t="s">
        <v>1189</v>
      </c>
      <c r="M24" s="209" t="s">
        <v>1263</v>
      </c>
      <c r="N24" s="209" t="s">
        <v>1265</v>
      </c>
      <c r="O24" s="209" t="s">
        <v>1191</v>
      </c>
      <c r="P24" s="209" t="s">
        <v>1191</v>
      </c>
      <c r="Q24" s="209" t="s">
        <v>1191</v>
      </c>
      <c r="R24" s="210" t="s">
        <v>1191</v>
      </c>
      <c r="S24" s="228" t="s">
        <v>1213</v>
      </c>
      <c r="T24" s="210" t="s">
        <v>49</v>
      </c>
      <c r="U24" s="210" t="s">
        <v>1191</v>
      </c>
      <c r="V24" s="210" t="s">
        <v>1192</v>
      </c>
      <c r="W24" s="210" t="s">
        <v>49</v>
      </c>
      <c r="X24" s="210" t="s">
        <v>1192</v>
      </c>
      <c r="Y24" s="210" t="s">
        <v>1192</v>
      </c>
      <c r="Z24" s="210" t="s">
        <v>49</v>
      </c>
      <c r="AA24" s="341" t="s">
        <v>203</v>
      </c>
      <c r="AB24" s="368" t="s">
        <v>203</v>
      </c>
    </row>
    <row r="25" spans="1:28" ht="15" customHeight="1">
      <c r="A25" s="161" t="s">
        <v>580</v>
      </c>
      <c r="B25" s="161" t="s">
        <v>1182</v>
      </c>
      <c r="C25" s="209" t="s">
        <v>955</v>
      </c>
      <c r="D25" s="161" t="s">
        <v>1193</v>
      </c>
      <c r="E25" s="161" t="s">
        <v>1194</v>
      </c>
      <c r="F25" s="162" t="s">
        <v>766</v>
      </c>
      <c r="G25" s="162"/>
      <c r="H25" s="230">
        <v>6.1820000000000004</v>
      </c>
      <c r="I25" s="230" t="s">
        <v>49</v>
      </c>
      <c r="J25" s="209"/>
      <c r="K25" s="209"/>
      <c r="L25" s="209" t="s">
        <v>1182</v>
      </c>
      <c r="M25" s="209" t="s">
        <v>361</v>
      </c>
      <c r="N25" s="161" t="s">
        <v>767</v>
      </c>
      <c r="O25" s="209" t="s">
        <v>1191</v>
      </c>
      <c r="P25" s="209" t="s">
        <v>1191</v>
      </c>
      <c r="Q25" s="209" t="s">
        <v>1191</v>
      </c>
      <c r="R25" s="228" t="s">
        <v>1191</v>
      </c>
      <c r="S25" s="228" t="s">
        <v>1213</v>
      </c>
      <c r="T25" s="210" t="s">
        <v>49</v>
      </c>
      <c r="U25" s="228" t="s">
        <v>1191</v>
      </c>
      <c r="V25" s="228" t="s">
        <v>1192</v>
      </c>
      <c r="W25" s="210" t="s">
        <v>49</v>
      </c>
      <c r="X25" s="228" t="s">
        <v>1192</v>
      </c>
      <c r="Y25" s="228" t="s">
        <v>1192</v>
      </c>
      <c r="Z25" s="210" t="s">
        <v>49</v>
      </c>
      <c r="AA25" s="341" t="s">
        <v>203</v>
      </c>
      <c r="AB25" s="368" t="s">
        <v>203</v>
      </c>
    </row>
    <row r="26" spans="1:28" ht="30">
      <c r="A26" s="161" t="s">
        <v>580</v>
      </c>
      <c r="B26" s="161" t="s">
        <v>1182</v>
      </c>
      <c r="C26" s="209" t="s">
        <v>955</v>
      </c>
      <c r="D26" s="161" t="s">
        <v>1193</v>
      </c>
      <c r="E26" s="161" t="s">
        <v>1194</v>
      </c>
      <c r="F26" s="417" t="s">
        <v>679</v>
      </c>
      <c r="G26" s="162"/>
      <c r="H26" s="230">
        <v>6.1580000000000004</v>
      </c>
      <c r="I26" s="230" t="s">
        <v>49</v>
      </c>
      <c r="J26" s="209"/>
      <c r="K26" s="209"/>
      <c r="L26" s="209" t="s">
        <v>1189</v>
      </c>
      <c r="M26" s="209" t="s">
        <v>1266</v>
      </c>
      <c r="N26" s="161" t="s">
        <v>680</v>
      </c>
      <c r="O26" s="209" t="s">
        <v>1191</v>
      </c>
      <c r="P26" s="209" t="s">
        <v>1191</v>
      </c>
      <c r="Q26" s="209" t="s">
        <v>1191</v>
      </c>
      <c r="R26" s="210" t="s">
        <v>1191</v>
      </c>
      <c r="S26" s="210" t="s">
        <v>1192</v>
      </c>
      <c r="T26" s="210" t="s">
        <v>49</v>
      </c>
      <c r="U26" s="228" t="s">
        <v>1191</v>
      </c>
      <c r="V26" s="228" t="s">
        <v>1192</v>
      </c>
      <c r="W26" s="210" t="s">
        <v>49</v>
      </c>
      <c r="X26" s="228" t="s">
        <v>1192</v>
      </c>
      <c r="Y26" s="228" t="s">
        <v>1192</v>
      </c>
      <c r="Z26" s="210" t="s">
        <v>49</v>
      </c>
      <c r="AA26" s="341" t="s">
        <v>203</v>
      </c>
      <c r="AB26" s="368" t="s">
        <v>203</v>
      </c>
    </row>
    <row r="27" spans="1:28" ht="15" customHeight="1">
      <c r="A27" s="161" t="s">
        <v>571</v>
      </c>
      <c r="B27" s="161" t="s">
        <v>1182</v>
      </c>
      <c r="C27" s="209" t="s">
        <v>112</v>
      </c>
      <c r="D27" s="209" t="s">
        <v>1230</v>
      </c>
      <c r="E27" s="161" t="s">
        <v>1244</v>
      </c>
      <c r="F27" s="161" t="s">
        <v>717</v>
      </c>
      <c r="G27" s="161"/>
      <c r="H27" s="230">
        <v>5.28</v>
      </c>
      <c r="I27" s="230" t="s">
        <v>1267</v>
      </c>
      <c r="J27" s="209" t="s">
        <v>1267</v>
      </c>
      <c r="K27" s="209"/>
      <c r="L27" s="209" t="s">
        <v>1189</v>
      </c>
      <c r="M27" s="209" t="s">
        <v>1246</v>
      </c>
      <c r="N27" s="209" t="s">
        <v>1268</v>
      </c>
      <c r="O27" s="209" t="s">
        <v>1191</v>
      </c>
      <c r="P27" s="209" t="s">
        <v>1191</v>
      </c>
      <c r="Q27" s="209" t="s">
        <v>1191</v>
      </c>
      <c r="R27" s="209" t="s">
        <v>1191</v>
      </c>
      <c r="S27" s="209" t="s">
        <v>1191</v>
      </c>
      <c r="T27" s="210" t="s">
        <v>49</v>
      </c>
      <c r="U27" s="228" t="s">
        <v>1191</v>
      </c>
      <c r="V27" s="228" t="s">
        <v>1192</v>
      </c>
      <c r="W27" s="210" t="s">
        <v>49</v>
      </c>
      <c r="X27" s="228" t="s">
        <v>1192</v>
      </c>
      <c r="Y27" s="228" t="s">
        <v>1192</v>
      </c>
      <c r="Z27" s="210" t="s">
        <v>49</v>
      </c>
      <c r="AA27" s="341" t="s">
        <v>203</v>
      </c>
      <c r="AB27" s="341" t="s">
        <v>203</v>
      </c>
    </row>
    <row r="28" spans="1:28" ht="15" customHeight="1">
      <c r="A28" s="209" t="s">
        <v>1156</v>
      </c>
      <c r="B28" s="161" t="s">
        <v>1182</v>
      </c>
      <c r="C28" s="161" t="s">
        <v>952</v>
      </c>
      <c r="D28" s="209" t="s">
        <v>1269</v>
      </c>
      <c r="E28" s="209" t="s">
        <v>1270</v>
      </c>
      <c r="F28" s="161" t="s">
        <v>1271</v>
      </c>
      <c r="G28" s="161" t="s">
        <v>1272</v>
      </c>
      <c r="H28" s="230">
        <v>5.25390625</v>
      </c>
      <c r="I28" s="230"/>
      <c r="J28" s="209" t="s">
        <v>1273</v>
      </c>
      <c r="K28" s="209"/>
      <c r="O28" s="228" t="s">
        <v>1192</v>
      </c>
      <c r="P28" s="228" t="s">
        <v>1192</v>
      </c>
      <c r="Q28" s="228" t="s">
        <v>1192</v>
      </c>
      <c r="R28" s="228" t="s">
        <v>1192</v>
      </c>
      <c r="S28" s="228" t="s">
        <v>1192</v>
      </c>
      <c r="T28" s="210" t="s">
        <v>49</v>
      </c>
      <c r="U28" s="228" t="s">
        <v>1192</v>
      </c>
      <c r="V28" s="228" t="s">
        <v>1192</v>
      </c>
      <c r="W28" s="210" t="s">
        <v>49</v>
      </c>
      <c r="X28" s="228" t="s">
        <v>1192</v>
      </c>
      <c r="Y28" s="228" t="s">
        <v>1192</v>
      </c>
      <c r="Z28" s="210" t="s">
        <v>49</v>
      </c>
      <c r="AA28" s="341" t="s">
        <v>203</v>
      </c>
      <c r="AB28" s="368" t="s">
        <v>203</v>
      </c>
    </row>
    <row r="29" spans="1:28" ht="15" customHeight="1">
      <c r="A29" s="161" t="s">
        <v>571</v>
      </c>
      <c r="B29" s="161" t="s">
        <v>1182</v>
      </c>
      <c r="C29" s="209" t="s">
        <v>17</v>
      </c>
      <c r="D29" s="161" t="s">
        <v>1274</v>
      </c>
      <c r="E29" s="161" t="s">
        <v>1184</v>
      </c>
      <c r="F29" s="161" t="s">
        <v>638</v>
      </c>
      <c r="G29" s="161"/>
      <c r="H29" s="230">
        <v>4.7489999999999997</v>
      </c>
      <c r="I29" s="230" t="s">
        <v>1275</v>
      </c>
      <c r="J29" s="209" t="s">
        <v>1276</v>
      </c>
      <c r="K29" s="209"/>
      <c r="L29" s="161" t="s">
        <v>1182</v>
      </c>
      <c r="M29" s="209" t="s">
        <v>1277</v>
      </c>
      <c r="N29" s="161" t="s">
        <v>808</v>
      </c>
      <c r="O29" s="161" t="s">
        <v>1191</v>
      </c>
      <c r="P29" s="161" t="s">
        <v>1191</v>
      </c>
      <c r="Q29" s="161" t="s">
        <v>1191</v>
      </c>
      <c r="R29" s="161" t="s">
        <v>1191</v>
      </c>
      <c r="S29" s="161" t="s">
        <v>1191</v>
      </c>
      <c r="T29" s="210" t="s">
        <v>49</v>
      </c>
      <c r="U29" s="228" t="s">
        <v>1191</v>
      </c>
      <c r="V29" s="228" t="s">
        <v>1192</v>
      </c>
      <c r="W29" s="210" t="s">
        <v>49</v>
      </c>
      <c r="X29" s="228" t="s">
        <v>1192</v>
      </c>
      <c r="Y29" s="228" t="s">
        <v>1192</v>
      </c>
      <c r="Z29" s="210" t="s">
        <v>49</v>
      </c>
      <c r="AA29" s="341" t="s">
        <v>203</v>
      </c>
      <c r="AB29" s="368" t="s">
        <v>951</v>
      </c>
    </row>
    <row r="30" spans="1:28" ht="15" customHeight="1">
      <c r="A30" s="161" t="s">
        <v>580</v>
      </c>
      <c r="B30" s="161" t="s">
        <v>1182</v>
      </c>
      <c r="C30" s="169" t="s">
        <v>393</v>
      </c>
      <c r="D30" s="161" t="s">
        <v>1230</v>
      </c>
      <c r="E30" s="161" t="s">
        <v>1231</v>
      </c>
      <c r="F30" s="161" t="s">
        <v>631</v>
      </c>
      <c r="G30" s="161" t="s">
        <v>1232</v>
      </c>
      <c r="H30" s="230">
        <v>4.4480000000000004</v>
      </c>
      <c r="I30" s="230" t="s">
        <v>1262</v>
      </c>
      <c r="J30" s="209"/>
      <c r="K30" s="209"/>
      <c r="L30" s="209" t="s">
        <v>1189</v>
      </c>
      <c r="M30" s="209" t="s">
        <v>1263</v>
      </c>
      <c r="N30" s="209" t="s">
        <v>1278</v>
      </c>
      <c r="O30" s="209" t="s">
        <v>1191</v>
      </c>
      <c r="P30" s="209" t="s">
        <v>1191</v>
      </c>
      <c r="Q30" s="209" t="s">
        <v>1191</v>
      </c>
      <c r="R30" s="210" t="s">
        <v>1191</v>
      </c>
      <c r="S30" s="228" t="s">
        <v>1213</v>
      </c>
      <c r="T30" s="210" t="s">
        <v>49</v>
      </c>
      <c r="U30" s="210" t="s">
        <v>1191</v>
      </c>
      <c r="V30" s="210" t="s">
        <v>1192</v>
      </c>
      <c r="W30" s="210" t="s">
        <v>49</v>
      </c>
      <c r="X30" s="210" t="s">
        <v>1192</v>
      </c>
      <c r="Y30" s="210" t="s">
        <v>1192</v>
      </c>
      <c r="Z30" s="210" t="s">
        <v>49</v>
      </c>
      <c r="AA30" s="341" t="s">
        <v>203</v>
      </c>
      <c r="AB30" s="368" t="s">
        <v>951</v>
      </c>
    </row>
    <row r="31" spans="1:28" ht="15" customHeight="1">
      <c r="A31" s="209" t="s">
        <v>1156</v>
      </c>
      <c r="B31" s="161" t="s">
        <v>1182</v>
      </c>
      <c r="C31" s="169" t="s">
        <v>955</v>
      </c>
      <c r="D31" s="209" t="s">
        <v>1193</v>
      </c>
      <c r="E31" s="209" t="s">
        <v>1194</v>
      </c>
      <c r="F31" s="161" t="s">
        <v>1279</v>
      </c>
      <c r="G31" s="161" t="s">
        <v>1258</v>
      </c>
      <c r="H31" s="230">
        <v>4.0339999999999998</v>
      </c>
      <c r="I31" s="230"/>
      <c r="J31" s="209" t="s">
        <v>361</v>
      </c>
      <c r="K31" s="209"/>
      <c r="L31" s="209" t="s">
        <v>1182</v>
      </c>
      <c r="O31" s="228" t="s">
        <v>1192</v>
      </c>
      <c r="P31" s="161" t="s">
        <v>1191</v>
      </c>
      <c r="Q31" s="161" t="s">
        <v>1191</v>
      </c>
      <c r="R31" s="161" t="s">
        <v>1191</v>
      </c>
      <c r="S31" s="228" t="s">
        <v>1192</v>
      </c>
      <c r="T31" s="210" t="s">
        <v>49</v>
      </c>
      <c r="U31" s="228" t="s">
        <v>1192</v>
      </c>
      <c r="V31" s="228" t="s">
        <v>1192</v>
      </c>
      <c r="W31" s="210" t="s">
        <v>49</v>
      </c>
      <c r="X31" s="228" t="s">
        <v>1192</v>
      </c>
      <c r="Y31" s="228" t="s">
        <v>1192</v>
      </c>
      <c r="Z31" s="210" t="s">
        <v>49</v>
      </c>
      <c r="AA31" s="341" t="s">
        <v>203</v>
      </c>
      <c r="AB31" s="368" t="s">
        <v>203</v>
      </c>
    </row>
    <row r="32" spans="1:28" ht="15" customHeight="1">
      <c r="A32" s="209" t="s">
        <v>1156</v>
      </c>
      <c r="B32" s="161" t="s">
        <v>1182</v>
      </c>
      <c r="C32" s="169" t="s">
        <v>955</v>
      </c>
      <c r="D32" s="209" t="s">
        <v>1193</v>
      </c>
      <c r="E32" s="209" t="s">
        <v>1194</v>
      </c>
      <c r="F32" s="161" t="s">
        <v>1280</v>
      </c>
      <c r="G32" s="161" t="s">
        <v>1258</v>
      </c>
      <c r="H32" s="230">
        <v>3.8109999999999999</v>
      </c>
      <c r="I32" s="230"/>
      <c r="J32" s="209" t="s">
        <v>361</v>
      </c>
      <c r="K32" s="209"/>
      <c r="L32" s="209" t="s">
        <v>1182</v>
      </c>
      <c r="O32" s="228" t="s">
        <v>1192</v>
      </c>
      <c r="P32" s="228" t="s">
        <v>1192</v>
      </c>
      <c r="Q32" s="228" t="s">
        <v>1192</v>
      </c>
      <c r="R32" s="228" t="s">
        <v>1192</v>
      </c>
      <c r="S32" s="228" t="s">
        <v>1192</v>
      </c>
      <c r="T32" s="210" t="s">
        <v>49</v>
      </c>
      <c r="U32" s="228" t="s">
        <v>1192</v>
      </c>
      <c r="V32" s="228" t="s">
        <v>1192</v>
      </c>
      <c r="W32" s="210" t="s">
        <v>49</v>
      </c>
      <c r="X32" s="228" t="s">
        <v>1192</v>
      </c>
      <c r="Y32" s="228" t="s">
        <v>1192</v>
      </c>
      <c r="Z32" s="210" t="s">
        <v>49</v>
      </c>
      <c r="AA32" s="341" t="s">
        <v>203</v>
      </c>
      <c r="AB32" s="368" t="s">
        <v>203</v>
      </c>
    </row>
    <row r="33" spans="1:28" ht="15" customHeight="1">
      <c r="A33" s="161" t="s">
        <v>585</v>
      </c>
      <c r="B33" s="161" t="s">
        <v>1189</v>
      </c>
      <c r="C33" s="169" t="s">
        <v>39</v>
      </c>
      <c r="D33" s="209" t="s">
        <v>1281</v>
      </c>
      <c r="E33" s="161" t="s">
        <v>1282</v>
      </c>
      <c r="F33" s="338" t="s">
        <v>1283</v>
      </c>
      <c r="G33" s="338"/>
      <c r="H33" s="209">
        <v>3.694</v>
      </c>
      <c r="I33" s="209" t="s">
        <v>1284</v>
      </c>
      <c r="J33" s="427" t="s">
        <v>1285</v>
      </c>
      <c r="K33" s="209"/>
      <c r="L33" s="209" t="s">
        <v>1182</v>
      </c>
      <c r="N33" s="228" t="s">
        <v>1286</v>
      </c>
      <c r="O33" s="228" t="s">
        <v>49</v>
      </c>
      <c r="P33" s="228" t="s">
        <v>49</v>
      </c>
      <c r="Q33" s="228" t="s">
        <v>49</v>
      </c>
      <c r="R33" s="228" t="s">
        <v>49</v>
      </c>
      <c r="S33" s="228" t="s">
        <v>49</v>
      </c>
      <c r="T33" s="210" t="s">
        <v>1191</v>
      </c>
      <c r="U33" s="228" t="s">
        <v>49</v>
      </c>
      <c r="V33" s="228" t="s">
        <v>49</v>
      </c>
      <c r="W33" s="210" t="s">
        <v>1191</v>
      </c>
      <c r="X33" s="228" t="s">
        <v>1192</v>
      </c>
      <c r="Y33" s="228" t="s">
        <v>49</v>
      </c>
      <c r="Z33" s="210" t="s">
        <v>1192</v>
      </c>
      <c r="AA33" s="341" t="s">
        <v>203</v>
      </c>
      <c r="AB33" s="368" t="s">
        <v>203</v>
      </c>
    </row>
    <row r="34" spans="1:28" ht="15" customHeight="1">
      <c r="A34" s="161" t="s">
        <v>585</v>
      </c>
      <c r="B34" s="161" t="s">
        <v>1182</v>
      </c>
      <c r="C34" s="209" t="s">
        <v>955</v>
      </c>
      <c r="D34" s="161" t="s">
        <v>1193</v>
      </c>
      <c r="E34" s="161" t="s">
        <v>1194</v>
      </c>
      <c r="F34" s="161" t="s">
        <v>1287</v>
      </c>
      <c r="G34" s="161"/>
      <c r="H34" s="230">
        <v>3.5470000000000002</v>
      </c>
      <c r="I34" s="230" t="s">
        <v>1212</v>
      </c>
      <c r="J34" s="209" t="s">
        <v>1212</v>
      </c>
      <c r="K34" s="209"/>
      <c r="L34" s="209" t="s">
        <v>1182</v>
      </c>
      <c r="M34" s="209" t="s">
        <v>361</v>
      </c>
      <c r="N34" s="161" t="s">
        <v>621</v>
      </c>
      <c r="O34" s="161" t="s">
        <v>1191</v>
      </c>
      <c r="P34" s="161" t="s">
        <v>1191</v>
      </c>
      <c r="Q34" s="161" t="s">
        <v>1191</v>
      </c>
      <c r="R34" s="161" t="s">
        <v>1191</v>
      </c>
      <c r="S34" s="228" t="s">
        <v>1213</v>
      </c>
      <c r="T34" s="210" t="s">
        <v>49</v>
      </c>
      <c r="U34" s="228" t="s">
        <v>1191</v>
      </c>
      <c r="V34" s="228" t="s">
        <v>1192</v>
      </c>
      <c r="W34" s="210" t="s">
        <v>49</v>
      </c>
      <c r="X34" s="228" t="s">
        <v>1192</v>
      </c>
      <c r="Y34" s="228" t="s">
        <v>1192</v>
      </c>
      <c r="Z34" s="210" t="s">
        <v>49</v>
      </c>
      <c r="AA34" s="341" t="s">
        <v>203</v>
      </c>
      <c r="AB34" s="368" t="s">
        <v>203</v>
      </c>
    </row>
    <row r="35" spans="1:28" ht="15" customHeight="1">
      <c r="A35" s="209" t="s">
        <v>1156</v>
      </c>
      <c r="B35" s="161" t="s">
        <v>1189</v>
      </c>
      <c r="C35" s="161" t="s">
        <v>39</v>
      </c>
      <c r="D35" s="209" t="s">
        <v>1288</v>
      </c>
      <c r="E35" s="161" t="s">
        <v>1282</v>
      </c>
      <c r="F35" s="161" t="s">
        <v>1289</v>
      </c>
      <c r="G35" s="161" t="s">
        <v>1290</v>
      </c>
      <c r="H35" s="230">
        <v>3.407</v>
      </c>
      <c r="I35" s="230"/>
      <c r="J35" s="209" t="s">
        <v>1291</v>
      </c>
      <c r="K35" s="209"/>
      <c r="L35" s="209" t="s">
        <v>1182</v>
      </c>
      <c r="O35" s="228" t="s">
        <v>49</v>
      </c>
      <c r="P35" s="228" t="s">
        <v>49</v>
      </c>
      <c r="Q35" s="228" t="s">
        <v>49</v>
      </c>
      <c r="R35" s="228" t="s">
        <v>49</v>
      </c>
      <c r="S35" s="228" t="s">
        <v>49</v>
      </c>
      <c r="T35" s="210" t="s">
        <v>1192</v>
      </c>
      <c r="U35" s="228" t="s">
        <v>49</v>
      </c>
      <c r="V35" s="228" t="s">
        <v>49</v>
      </c>
      <c r="W35" s="210" t="s">
        <v>1192</v>
      </c>
      <c r="X35" s="228" t="s">
        <v>49</v>
      </c>
      <c r="Y35" s="228" t="s">
        <v>49</v>
      </c>
      <c r="Z35" s="210" t="s">
        <v>1192</v>
      </c>
      <c r="AA35" s="341" t="s">
        <v>203</v>
      </c>
      <c r="AB35" s="368" t="s">
        <v>182</v>
      </c>
    </row>
    <row r="36" spans="1:28" ht="15" customHeight="1">
      <c r="A36" s="272" t="s">
        <v>609</v>
      </c>
      <c r="B36" s="161" t="s">
        <v>1189</v>
      </c>
      <c r="C36" s="161" t="s">
        <v>93</v>
      </c>
      <c r="D36" s="209" t="s">
        <v>1292</v>
      </c>
      <c r="E36" s="209" t="s">
        <v>1293</v>
      </c>
      <c r="F36" s="338" t="s">
        <v>1294</v>
      </c>
      <c r="G36" s="338" t="s">
        <v>1295</v>
      </c>
      <c r="H36" s="230">
        <v>3</v>
      </c>
      <c r="I36" s="369" t="s">
        <v>1296</v>
      </c>
      <c r="J36" s="209" t="s">
        <v>361</v>
      </c>
      <c r="K36" s="209"/>
      <c r="O36" s="210" t="s">
        <v>49</v>
      </c>
      <c r="P36" s="210" t="s">
        <v>49</v>
      </c>
      <c r="Q36" s="210" t="s">
        <v>49</v>
      </c>
      <c r="R36" s="210" t="s">
        <v>49</v>
      </c>
      <c r="S36" s="228" t="s">
        <v>1213</v>
      </c>
      <c r="T36" s="210" t="s">
        <v>1192</v>
      </c>
      <c r="U36" s="228" t="s">
        <v>49</v>
      </c>
      <c r="V36" s="228" t="s">
        <v>49</v>
      </c>
      <c r="W36" s="210" t="s">
        <v>1192</v>
      </c>
      <c r="X36" s="228" t="s">
        <v>49</v>
      </c>
      <c r="Y36" s="228" t="s">
        <v>49</v>
      </c>
      <c r="Z36" s="210" t="s">
        <v>1192</v>
      </c>
      <c r="AA36" s="341" t="s">
        <v>203</v>
      </c>
      <c r="AB36" s="368" t="s">
        <v>203</v>
      </c>
    </row>
    <row r="37" spans="1:28" ht="15" customHeight="1">
      <c r="A37" s="161" t="s">
        <v>585</v>
      </c>
      <c r="B37" s="161" t="s">
        <v>1182</v>
      </c>
      <c r="C37" s="209" t="s">
        <v>17</v>
      </c>
      <c r="D37" s="161" t="s">
        <v>1183</v>
      </c>
      <c r="E37" s="161" t="s">
        <v>1184</v>
      </c>
      <c r="F37" s="161" t="s">
        <v>673</v>
      </c>
      <c r="G37" s="161"/>
      <c r="H37" s="230">
        <v>2.819</v>
      </c>
      <c r="I37" s="230" t="s">
        <v>1297</v>
      </c>
      <c r="J37" s="209" t="s">
        <v>1298</v>
      </c>
      <c r="K37" s="209"/>
      <c r="L37" s="161" t="s">
        <v>1182</v>
      </c>
      <c r="M37" s="209" t="s">
        <v>1216</v>
      </c>
      <c r="N37" s="161" t="s">
        <v>674</v>
      </c>
      <c r="O37" s="161" t="s">
        <v>1191</v>
      </c>
      <c r="P37" s="161" t="s">
        <v>1191</v>
      </c>
      <c r="Q37" s="161" t="s">
        <v>1191</v>
      </c>
      <c r="R37" s="161" t="s">
        <v>1191</v>
      </c>
      <c r="S37" s="161" t="s">
        <v>1191</v>
      </c>
      <c r="T37" s="210" t="s">
        <v>49</v>
      </c>
      <c r="U37" s="228" t="s">
        <v>1191</v>
      </c>
      <c r="V37" s="228" t="s">
        <v>1192</v>
      </c>
      <c r="W37" s="210" t="s">
        <v>49</v>
      </c>
      <c r="X37" s="228" t="s">
        <v>1192</v>
      </c>
      <c r="Y37" s="228" t="s">
        <v>1192</v>
      </c>
      <c r="Z37" s="210" t="s">
        <v>49</v>
      </c>
      <c r="AA37" s="341" t="s">
        <v>203</v>
      </c>
      <c r="AB37" s="368" t="s">
        <v>951</v>
      </c>
    </row>
    <row r="38" spans="1:28" ht="15" customHeight="1">
      <c r="A38" s="161" t="s">
        <v>585</v>
      </c>
      <c r="B38" s="161" t="s">
        <v>1189</v>
      </c>
      <c r="C38" s="209" t="s">
        <v>39</v>
      </c>
      <c r="D38" s="521" t="s">
        <v>1288</v>
      </c>
      <c r="E38" s="161" t="s">
        <v>1282</v>
      </c>
      <c r="F38" s="162" t="s">
        <v>628</v>
      </c>
      <c r="G38" s="162"/>
      <c r="H38" s="230">
        <v>2.4620000000000002</v>
      </c>
      <c r="I38" s="230" t="s">
        <v>1299</v>
      </c>
      <c r="J38" s="427" t="s">
        <v>1300</v>
      </c>
      <c r="K38" s="209"/>
      <c r="L38" s="209" t="s">
        <v>1182</v>
      </c>
      <c r="M38" s="209" t="s">
        <v>361</v>
      </c>
      <c r="N38" s="161" t="s">
        <v>1301</v>
      </c>
      <c r="O38" s="228" t="s">
        <v>49</v>
      </c>
      <c r="P38" s="228" t="s">
        <v>49</v>
      </c>
      <c r="Q38" s="228" t="s">
        <v>49</v>
      </c>
      <c r="R38" s="228" t="s">
        <v>49</v>
      </c>
      <c r="S38" s="228" t="s">
        <v>49</v>
      </c>
      <c r="T38" s="210" t="s">
        <v>1191</v>
      </c>
      <c r="U38" s="228" t="s">
        <v>49</v>
      </c>
      <c r="V38" s="228" t="s">
        <v>49</v>
      </c>
      <c r="W38" s="210" t="s">
        <v>1191</v>
      </c>
      <c r="X38" s="228" t="s">
        <v>1192</v>
      </c>
      <c r="Y38" s="228" t="s">
        <v>49</v>
      </c>
      <c r="Z38" s="210" t="s">
        <v>1192</v>
      </c>
      <c r="AA38" s="341" t="s">
        <v>203</v>
      </c>
      <c r="AB38" s="368" t="s">
        <v>203</v>
      </c>
    </row>
    <row r="39" spans="1:28" ht="15" customHeight="1">
      <c r="A39" s="161" t="s">
        <v>580</v>
      </c>
      <c r="B39" s="161" t="s">
        <v>1182</v>
      </c>
      <c r="C39" s="209" t="s">
        <v>17</v>
      </c>
      <c r="D39" s="161" t="s">
        <v>1274</v>
      </c>
      <c r="E39" s="161" t="s">
        <v>1184</v>
      </c>
      <c r="F39" s="161" t="s">
        <v>702</v>
      </c>
      <c r="G39" s="161"/>
      <c r="H39" s="230">
        <v>2.4220000000000002</v>
      </c>
      <c r="I39" s="230" t="s">
        <v>1302</v>
      </c>
      <c r="J39" s="209" t="s">
        <v>1303</v>
      </c>
      <c r="K39" s="209"/>
      <c r="L39" s="161" t="s">
        <v>1182</v>
      </c>
      <c r="M39" s="209" t="s">
        <v>1304</v>
      </c>
      <c r="N39" s="161" t="s">
        <v>703</v>
      </c>
      <c r="O39" s="228" t="s">
        <v>1191</v>
      </c>
      <c r="P39" s="228" t="s">
        <v>1191</v>
      </c>
      <c r="Q39" s="209" t="s">
        <v>1191</v>
      </c>
      <c r="R39" s="228" t="s">
        <v>1191</v>
      </c>
      <c r="S39" s="228" t="s">
        <v>1191</v>
      </c>
      <c r="T39" s="210" t="s">
        <v>49</v>
      </c>
      <c r="U39" s="437" t="s">
        <v>1191</v>
      </c>
      <c r="V39" s="228" t="s">
        <v>1192</v>
      </c>
      <c r="W39" s="210" t="s">
        <v>49</v>
      </c>
      <c r="X39" s="228" t="s">
        <v>1192</v>
      </c>
      <c r="Y39" s="228" t="s">
        <v>1192</v>
      </c>
      <c r="Z39" s="210" t="s">
        <v>49</v>
      </c>
      <c r="AA39" s="341" t="s">
        <v>203</v>
      </c>
      <c r="AB39" s="368" t="s">
        <v>951</v>
      </c>
    </row>
    <row r="40" spans="1:28" ht="15" customHeight="1">
      <c r="A40" s="209" t="s">
        <v>1156</v>
      </c>
      <c r="B40" s="161" t="s">
        <v>1189</v>
      </c>
      <c r="C40" s="169" t="s">
        <v>39</v>
      </c>
      <c r="D40" s="209" t="s">
        <v>1281</v>
      </c>
      <c r="E40" s="161" t="s">
        <v>1282</v>
      </c>
      <c r="F40" s="161" t="s">
        <v>1305</v>
      </c>
      <c r="G40" s="161" t="s">
        <v>1290</v>
      </c>
      <c r="H40" s="209">
        <v>2.3319999999999999</v>
      </c>
      <c r="I40" s="209"/>
      <c r="J40" s="209" t="s">
        <v>1306</v>
      </c>
      <c r="K40" s="209"/>
      <c r="L40" s="210" t="s">
        <v>1189</v>
      </c>
      <c r="N40" s="228" t="s">
        <v>1307</v>
      </c>
      <c r="O40" s="228" t="s">
        <v>49</v>
      </c>
      <c r="P40" s="228" t="s">
        <v>49</v>
      </c>
      <c r="Q40" s="228" t="s">
        <v>49</v>
      </c>
      <c r="R40" s="228" t="s">
        <v>49</v>
      </c>
      <c r="S40" s="228" t="s">
        <v>49</v>
      </c>
      <c r="T40" s="210" t="s">
        <v>1192</v>
      </c>
      <c r="U40" s="228" t="s">
        <v>49</v>
      </c>
      <c r="V40" s="228" t="s">
        <v>49</v>
      </c>
      <c r="W40" s="210" t="s">
        <v>1192</v>
      </c>
      <c r="X40" s="228" t="s">
        <v>49</v>
      </c>
      <c r="Y40" s="228" t="s">
        <v>49</v>
      </c>
      <c r="Z40" s="210" t="s">
        <v>1192</v>
      </c>
      <c r="AA40" s="341" t="s">
        <v>203</v>
      </c>
      <c r="AB40" s="368" t="s">
        <v>203</v>
      </c>
    </row>
    <row r="41" spans="1:28" ht="15" customHeight="1">
      <c r="A41" s="161" t="s">
        <v>580</v>
      </c>
      <c r="B41" s="161" t="s">
        <v>1182</v>
      </c>
      <c r="C41" s="169" t="s">
        <v>393</v>
      </c>
      <c r="D41" s="161" t="s">
        <v>1230</v>
      </c>
      <c r="E41" s="161" t="s">
        <v>1231</v>
      </c>
      <c r="F41" s="161" t="s">
        <v>641</v>
      </c>
      <c r="G41" s="161" t="s">
        <v>1232</v>
      </c>
      <c r="H41" s="230">
        <v>2.3290000000000002</v>
      </c>
      <c r="I41" s="230" t="s">
        <v>1233</v>
      </c>
      <c r="J41" s="209"/>
      <c r="K41" s="209"/>
      <c r="L41" s="209" t="s">
        <v>1189</v>
      </c>
      <c r="M41" s="209" t="s">
        <v>1234</v>
      </c>
      <c r="N41" s="209" t="s">
        <v>1308</v>
      </c>
      <c r="O41" s="209" t="s">
        <v>1191</v>
      </c>
      <c r="P41" s="209" t="s">
        <v>1191</v>
      </c>
      <c r="Q41" s="209" t="s">
        <v>1191</v>
      </c>
      <c r="R41" s="210" t="s">
        <v>1191</v>
      </c>
      <c r="S41" s="228" t="s">
        <v>1213</v>
      </c>
      <c r="T41" s="210" t="s">
        <v>49</v>
      </c>
      <c r="U41" s="210" t="s">
        <v>1191</v>
      </c>
      <c r="V41" s="210" t="s">
        <v>1192</v>
      </c>
      <c r="W41" s="210" t="s">
        <v>49</v>
      </c>
      <c r="X41" s="210" t="s">
        <v>1192</v>
      </c>
      <c r="Y41" s="210" t="s">
        <v>1192</v>
      </c>
      <c r="Z41" s="210" t="s">
        <v>49</v>
      </c>
      <c r="AA41" s="341" t="s">
        <v>203</v>
      </c>
      <c r="AB41" s="368" t="s">
        <v>203</v>
      </c>
    </row>
    <row r="42" spans="1:28" ht="15" customHeight="1">
      <c r="A42" s="209" t="s">
        <v>1156</v>
      </c>
      <c r="B42" s="161" t="s">
        <v>1182</v>
      </c>
      <c r="C42" s="161" t="s">
        <v>952</v>
      </c>
      <c r="D42" s="209" t="s">
        <v>1269</v>
      </c>
      <c r="E42" s="209" t="s">
        <v>1270</v>
      </c>
      <c r="F42" s="161" t="s">
        <v>1309</v>
      </c>
      <c r="G42" s="161" t="s">
        <v>1272</v>
      </c>
      <c r="H42" s="230">
        <v>2.3115234375</v>
      </c>
      <c r="I42" s="230"/>
      <c r="J42" s="209" t="s">
        <v>361</v>
      </c>
      <c r="K42" s="209"/>
      <c r="O42" s="228" t="s">
        <v>1192</v>
      </c>
      <c r="P42" s="228" t="s">
        <v>1192</v>
      </c>
      <c r="Q42" s="228" t="s">
        <v>1192</v>
      </c>
      <c r="R42" s="228" t="s">
        <v>1192</v>
      </c>
      <c r="S42" s="228" t="s">
        <v>1192</v>
      </c>
      <c r="T42" s="210" t="s">
        <v>49</v>
      </c>
      <c r="U42" s="228" t="s">
        <v>1192</v>
      </c>
      <c r="V42" s="228" t="s">
        <v>1192</v>
      </c>
      <c r="W42" s="210" t="s">
        <v>49</v>
      </c>
      <c r="X42" s="228" t="s">
        <v>1192</v>
      </c>
      <c r="Y42" s="228" t="s">
        <v>1192</v>
      </c>
      <c r="Z42" s="210" t="s">
        <v>49</v>
      </c>
      <c r="AA42" s="341" t="s">
        <v>203</v>
      </c>
      <c r="AB42" s="368" t="s">
        <v>203</v>
      </c>
    </row>
    <row r="43" spans="1:28" ht="15" customHeight="1">
      <c r="A43" s="161" t="s">
        <v>580</v>
      </c>
      <c r="B43" s="161" t="s">
        <v>1182</v>
      </c>
      <c r="C43" s="209" t="s">
        <v>955</v>
      </c>
      <c r="D43" s="161" t="s">
        <v>1193</v>
      </c>
      <c r="E43" s="161" t="s">
        <v>1194</v>
      </c>
      <c r="F43" s="417" t="s">
        <v>745</v>
      </c>
      <c r="G43" s="162"/>
      <c r="H43" s="230">
        <v>2.2610000000000001</v>
      </c>
      <c r="I43" s="230" t="s">
        <v>1212</v>
      </c>
      <c r="J43" s="209" t="s">
        <v>1212</v>
      </c>
      <c r="K43" s="209"/>
      <c r="L43" s="209" t="s">
        <v>1189</v>
      </c>
      <c r="M43" s="209" t="s">
        <v>1196</v>
      </c>
      <c r="N43" s="161" t="s">
        <v>1310</v>
      </c>
      <c r="O43" s="209" t="s">
        <v>1191</v>
      </c>
      <c r="P43" s="209" t="s">
        <v>1191</v>
      </c>
      <c r="Q43" s="209" t="s">
        <v>1191</v>
      </c>
      <c r="R43" s="210" t="s">
        <v>1191</v>
      </c>
      <c r="S43" s="210" t="s">
        <v>1192</v>
      </c>
      <c r="T43" s="210" t="s">
        <v>49</v>
      </c>
      <c r="U43" s="228" t="s">
        <v>1191</v>
      </c>
      <c r="V43" s="228" t="s">
        <v>1192</v>
      </c>
      <c r="W43" s="210" t="s">
        <v>49</v>
      </c>
      <c r="X43" s="228" t="s">
        <v>1192</v>
      </c>
      <c r="Y43" s="228" t="s">
        <v>1192</v>
      </c>
      <c r="Z43" s="210" t="s">
        <v>49</v>
      </c>
      <c r="AA43" s="341" t="s">
        <v>203</v>
      </c>
      <c r="AB43" s="368" t="s">
        <v>203</v>
      </c>
    </row>
    <row r="44" spans="1:28" ht="15" customHeight="1">
      <c r="A44" s="161" t="s">
        <v>571</v>
      </c>
      <c r="B44" s="161" t="s">
        <v>1182</v>
      </c>
      <c r="C44" s="209" t="s">
        <v>112</v>
      </c>
      <c r="D44" s="209" t="s">
        <v>1230</v>
      </c>
      <c r="E44" s="161" t="s">
        <v>1244</v>
      </c>
      <c r="F44" s="161" t="s">
        <v>760</v>
      </c>
      <c r="G44" s="161"/>
      <c r="H44" s="230">
        <v>2.2400000000000002</v>
      </c>
      <c r="I44" s="230" t="s">
        <v>1267</v>
      </c>
      <c r="J44" s="209" t="s">
        <v>1267</v>
      </c>
      <c r="K44" s="209"/>
      <c r="L44" s="209" t="s">
        <v>1189</v>
      </c>
      <c r="M44" s="209" t="s">
        <v>1246</v>
      </c>
      <c r="N44" s="209" t="s">
        <v>1311</v>
      </c>
      <c r="O44" s="209" t="s">
        <v>1191</v>
      </c>
      <c r="P44" s="209" t="s">
        <v>1191</v>
      </c>
      <c r="Q44" s="209" t="s">
        <v>1191</v>
      </c>
      <c r="R44" s="209" t="s">
        <v>1191</v>
      </c>
      <c r="S44" s="209" t="s">
        <v>1191</v>
      </c>
      <c r="T44" s="210" t="s">
        <v>49</v>
      </c>
      <c r="U44" s="228" t="s">
        <v>1191</v>
      </c>
      <c r="V44" s="228" t="s">
        <v>1192</v>
      </c>
      <c r="W44" s="210" t="s">
        <v>49</v>
      </c>
      <c r="X44" s="228" t="s">
        <v>1192</v>
      </c>
      <c r="Y44" s="228" t="s">
        <v>1192</v>
      </c>
      <c r="Z44" s="210" t="s">
        <v>49</v>
      </c>
      <c r="AA44" s="341" t="s">
        <v>203</v>
      </c>
      <c r="AB44" s="341" t="s">
        <v>203</v>
      </c>
    </row>
    <row r="45" spans="1:28" ht="15" customHeight="1">
      <c r="A45" s="161" t="s">
        <v>571</v>
      </c>
      <c r="B45" s="161" t="s">
        <v>1182</v>
      </c>
      <c r="C45" s="209" t="s">
        <v>955</v>
      </c>
      <c r="D45" s="161" t="s">
        <v>1193</v>
      </c>
      <c r="E45" s="161" t="s">
        <v>1194</v>
      </c>
      <c r="F45" s="161" t="s">
        <v>706</v>
      </c>
      <c r="G45" s="161"/>
      <c r="H45" s="230">
        <v>2.1859999999999999</v>
      </c>
      <c r="I45" s="230" t="s">
        <v>1212</v>
      </c>
      <c r="J45" s="209" t="s">
        <v>1212</v>
      </c>
      <c r="K45" s="209"/>
      <c r="L45" s="209" t="s">
        <v>1182</v>
      </c>
      <c r="M45" s="209" t="s">
        <v>361</v>
      </c>
      <c r="N45" s="161" t="s">
        <v>575</v>
      </c>
      <c r="O45" s="161" t="s">
        <v>1191</v>
      </c>
      <c r="P45" s="161" t="s">
        <v>1191</v>
      </c>
      <c r="Q45" s="161" t="s">
        <v>1191</v>
      </c>
      <c r="R45" s="161" t="s">
        <v>1191</v>
      </c>
      <c r="S45" s="228" t="s">
        <v>1213</v>
      </c>
      <c r="T45" s="210" t="s">
        <v>49</v>
      </c>
      <c r="U45" s="228" t="s">
        <v>1191</v>
      </c>
      <c r="V45" s="228" t="s">
        <v>1192</v>
      </c>
      <c r="W45" s="210" t="s">
        <v>49</v>
      </c>
      <c r="X45" s="228" t="s">
        <v>1192</v>
      </c>
      <c r="Y45" s="228" t="s">
        <v>1192</v>
      </c>
      <c r="Z45" s="210" t="s">
        <v>49</v>
      </c>
      <c r="AA45" s="341" t="s">
        <v>203</v>
      </c>
      <c r="AB45" s="368" t="s">
        <v>203</v>
      </c>
    </row>
    <row r="46" spans="1:28" ht="15.75">
      <c r="A46" s="161" t="s">
        <v>571</v>
      </c>
      <c r="B46" s="161" t="s">
        <v>1182</v>
      </c>
      <c r="C46" s="209" t="s">
        <v>17</v>
      </c>
      <c r="D46" s="161" t="s">
        <v>1274</v>
      </c>
      <c r="E46" s="161" t="s">
        <v>1184</v>
      </c>
      <c r="F46" s="161" t="s">
        <v>572</v>
      </c>
      <c r="G46" s="161"/>
      <c r="H46" s="230">
        <v>2.1853259999999999</v>
      </c>
      <c r="I46" s="230" t="s">
        <v>1312</v>
      </c>
      <c r="J46" s="209" t="s">
        <v>1313</v>
      </c>
      <c r="K46" s="209"/>
      <c r="L46" s="161" t="s">
        <v>1182</v>
      </c>
      <c r="M46" s="209" t="s">
        <v>1277</v>
      </c>
      <c r="N46" s="161" t="s">
        <v>573</v>
      </c>
      <c r="O46" s="161" t="s">
        <v>1191</v>
      </c>
      <c r="P46" s="161" t="s">
        <v>1191</v>
      </c>
      <c r="Q46" s="161" t="s">
        <v>1191</v>
      </c>
      <c r="R46" s="161" t="s">
        <v>1191</v>
      </c>
      <c r="S46" s="161" t="s">
        <v>1191</v>
      </c>
      <c r="T46" s="210" t="s">
        <v>49</v>
      </c>
      <c r="U46" s="228" t="s">
        <v>1191</v>
      </c>
      <c r="V46" s="228" t="s">
        <v>1192</v>
      </c>
      <c r="W46" s="210" t="s">
        <v>49</v>
      </c>
      <c r="X46" s="228" t="s">
        <v>1192</v>
      </c>
      <c r="Y46" s="228" t="s">
        <v>1192</v>
      </c>
      <c r="Z46" s="210" t="s">
        <v>49</v>
      </c>
      <c r="AA46" s="341" t="s">
        <v>203</v>
      </c>
      <c r="AB46" s="368" t="s">
        <v>951</v>
      </c>
    </row>
    <row r="47" spans="1:28" ht="15.75">
      <c r="A47" s="161" t="s">
        <v>580</v>
      </c>
      <c r="B47" s="161" t="s">
        <v>1182</v>
      </c>
      <c r="C47" s="209" t="s">
        <v>17</v>
      </c>
      <c r="D47" s="161" t="s">
        <v>1314</v>
      </c>
      <c r="E47" s="161" t="s">
        <v>1184</v>
      </c>
      <c r="F47" s="161" t="s">
        <v>721</v>
      </c>
      <c r="G47" s="161"/>
      <c r="H47" s="230">
        <v>2.0920000000000001</v>
      </c>
      <c r="I47" s="230" t="s">
        <v>1226</v>
      </c>
      <c r="J47" s="209" t="s">
        <v>1315</v>
      </c>
      <c r="K47" s="209"/>
      <c r="L47" s="161" t="s">
        <v>1182</v>
      </c>
      <c r="M47" s="209" t="s">
        <v>1216</v>
      </c>
      <c r="N47" s="161" t="s">
        <v>1316</v>
      </c>
      <c r="O47" s="228" t="s">
        <v>1191</v>
      </c>
      <c r="P47" s="228" t="s">
        <v>1191</v>
      </c>
      <c r="Q47" s="209" t="s">
        <v>1191</v>
      </c>
      <c r="R47" s="228" t="s">
        <v>1191</v>
      </c>
      <c r="S47" s="228" t="s">
        <v>1191</v>
      </c>
      <c r="T47" s="210" t="s">
        <v>49</v>
      </c>
      <c r="U47" s="228" t="s">
        <v>1191</v>
      </c>
      <c r="V47" s="228" t="s">
        <v>1192</v>
      </c>
      <c r="W47" s="210" t="s">
        <v>49</v>
      </c>
      <c r="X47" s="228" t="s">
        <v>1192</v>
      </c>
      <c r="Y47" s="228" t="s">
        <v>1192</v>
      </c>
      <c r="Z47" s="210" t="s">
        <v>49</v>
      </c>
      <c r="AA47" s="341" t="s">
        <v>203</v>
      </c>
      <c r="AB47" s="368" t="s">
        <v>203</v>
      </c>
    </row>
    <row r="48" spans="1:28" ht="15" customHeight="1">
      <c r="A48" s="209" t="s">
        <v>1156</v>
      </c>
      <c r="B48" s="161" t="s">
        <v>1182</v>
      </c>
      <c r="C48" s="161" t="s">
        <v>952</v>
      </c>
      <c r="D48" s="209" t="s">
        <v>1269</v>
      </c>
      <c r="E48" s="209" t="s">
        <v>1270</v>
      </c>
      <c r="F48" s="161" t="s">
        <v>1317</v>
      </c>
      <c r="G48" s="161" t="s">
        <v>1272</v>
      </c>
      <c r="H48" s="230">
        <v>1.974609375</v>
      </c>
      <c r="I48" s="230"/>
      <c r="J48" s="209" t="s">
        <v>1273</v>
      </c>
      <c r="K48" s="209"/>
      <c r="O48" s="228" t="s">
        <v>1192</v>
      </c>
      <c r="P48" s="228" t="s">
        <v>1192</v>
      </c>
      <c r="Q48" s="228" t="s">
        <v>1192</v>
      </c>
      <c r="R48" s="228" t="s">
        <v>1192</v>
      </c>
      <c r="S48" s="228" t="s">
        <v>1192</v>
      </c>
      <c r="T48" s="210" t="s">
        <v>49</v>
      </c>
      <c r="U48" s="228" t="s">
        <v>1192</v>
      </c>
      <c r="V48" s="228" t="s">
        <v>1192</v>
      </c>
      <c r="W48" s="210" t="s">
        <v>49</v>
      </c>
      <c r="X48" s="228" t="s">
        <v>1192</v>
      </c>
      <c r="Y48" s="228" t="s">
        <v>1192</v>
      </c>
      <c r="Z48" s="210" t="s">
        <v>49</v>
      </c>
      <c r="AA48" s="341" t="s">
        <v>203</v>
      </c>
      <c r="AB48" s="368" t="s">
        <v>203</v>
      </c>
    </row>
    <row r="49" spans="1:28" ht="15" customHeight="1">
      <c r="A49" s="161" t="s">
        <v>580</v>
      </c>
      <c r="B49" s="161" t="s">
        <v>1182</v>
      </c>
      <c r="C49" s="209" t="s">
        <v>955</v>
      </c>
      <c r="D49" s="161" t="s">
        <v>1193</v>
      </c>
      <c r="E49" s="161" t="s">
        <v>1194</v>
      </c>
      <c r="F49" s="162" t="s">
        <v>693</v>
      </c>
      <c r="G49" s="162"/>
      <c r="H49" s="230">
        <v>1.879</v>
      </c>
      <c r="I49" s="230" t="s">
        <v>1212</v>
      </c>
      <c r="J49" s="209" t="s">
        <v>1212</v>
      </c>
      <c r="K49" s="209"/>
      <c r="L49" s="209" t="s">
        <v>1182</v>
      </c>
      <c r="M49" s="209" t="s">
        <v>361</v>
      </c>
      <c r="N49" s="161" t="s">
        <v>694</v>
      </c>
      <c r="O49" s="209" t="s">
        <v>1191</v>
      </c>
      <c r="P49" s="209" t="s">
        <v>1191</v>
      </c>
      <c r="Q49" s="209" t="s">
        <v>1191</v>
      </c>
      <c r="R49" s="210" t="s">
        <v>1191</v>
      </c>
      <c r="S49" s="210" t="s">
        <v>1192</v>
      </c>
      <c r="T49" s="210" t="s">
        <v>49</v>
      </c>
      <c r="U49" s="228" t="s">
        <v>1191</v>
      </c>
      <c r="V49" s="228" t="s">
        <v>1192</v>
      </c>
      <c r="W49" s="210" t="s">
        <v>49</v>
      </c>
      <c r="X49" s="228" t="s">
        <v>1192</v>
      </c>
      <c r="Y49" s="228" t="s">
        <v>1192</v>
      </c>
      <c r="Z49" s="210" t="s">
        <v>49</v>
      </c>
      <c r="AA49" s="341" t="s">
        <v>203</v>
      </c>
      <c r="AB49" s="368" t="s">
        <v>203</v>
      </c>
    </row>
    <row r="50" spans="1:28" ht="15" customHeight="1">
      <c r="A50" s="161" t="s">
        <v>609</v>
      </c>
      <c r="B50" s="161" t="s">
        <v>1182</v>
      </c>
      <c r="C50" s="209" t="s">
        <v>17</v>
      </c>
      <c r="D50" s="161" t="s">
        <v>1274</v>
      </c>
      <c r="E50" s="161" t="s">
        <v>1184</v>
      </c>
      <c r="F50" s="161" t="s">
        <v>811</v>
      </c>
      <c r="G50" s="161"/>
      <c r="H50" s="230">
        <v>1.82</v>
      </c>
      <c r="I50" s="230" t="s">
        <v>1318</v>
      </c>
      <c r="J50" s="209" t="s">
        <v>1319</v>
      </c>
      <c r="K50" s="209"/>
      <c r="L50" s="209" t="s">
        <v>1182</v>
      </c>
      <c r="M50" s="214" t="s">
        <v>1277</v>
      </c>
      <c r="N50" s="161" t="s">
        <v>1320</v>
      </c>
      <c r="O50" s="228" t="s">
        <v>1191</v>
      </c>
      <c r="P50" s="228" t="s">
        <v>1191</v>
      </c>
      <c r="Q50" s="209" t="s">
        <v>1191</v>
      </c>
      <c r="R50" s="228" t="s">
        <v>1191</v>
      </c>
      <c r="S50" s="228" t="s">
        <v>1191</v>
      </c>
      <c r="T50" s="210" t="s">
        <v>49</v>
      </c>
      <c r="U50" s="437" t="s">
        <v>1191</v>
      </c>
      <c r="V50" s="228" t="s">
        <v>1192</v>
      </c>
      <c r="W50" s="210" t="s">
        <v>49</v>
      </c>
      <c r="X50" s="228" t="s">
        <v>1192</v>
      </c>
      <c r="Y50" s="228" t="s">
        <v>1192</v>
      </c>
      <c r="Z50" s="210" t="s">
        <v>49</v>
      </c>
      <c r="AA50" s="341" t="s">
        <v>203</v>
      </c>
      <c r="AB50" s="368" t="s">
        <v>203</v>
      </c>
    </row>
    <row r="51" spans="1:28" ht="15" customHeight="1">
      <c r="A51" s="161" t="s">
        <v>585</v>
      </c>
      <c r="B51" s="161" t="s">
        <v>1182</v>
      </c>
      <c r="C51" s="209" t="s">
        <v>17</v>
      </c>
      <c r="D51" s="161" t="s">
        <v>1274</v>
      </c>
      <c r="E51" s="161" t="s">
        <v>1184</v>
      </c>
      <c r="F51" s="161" t="s">
        <v>677</v>
      </c>
      <c r="G51" s="161"/>
      <c r="H51" s="230">
        <v>1.6240000000000001</v>
      </c>
      <c r="I51" s="230" t="s">
        <v>1321</v>
      </c>
      <c r="J51" s="209" t="s">
        <v>1322</v>
      </c>
      <c r="K51" s="209"/>
      <c r="L51" s="161" t="s">
        <v>1182</v>
      </c>
      <c r="M51" s="209" t="s">
        <v>1304</v>
      </c>
      <c r="N51" s="161" t="s">
        <v>678</v>
      </c>
      <c r="O51" s="161" t="s">
        <v>1191</v>
      </c>
      <c r="P51" s="161" t="s">
        <v>1191</v>
      </c>
      <c r="Q51" s="161" t="s">
        <v>1191</v>
      </c>
      <c r="R51" s="161" t="s">
        <v>1191</v>
      </c>
      <c r="S51" s="161" t="s">
        <v>1191</v>
      </c>
      <c r="T51" s="210" t="s">
        <v>49</v>
      </c>
      <c r="U51" s="228" t="s">
        <v>1191</v>
      </c>
      <c r="V51" s="228" t="s">
        <v>1192</v>
      </c>
      <c r="W51" s="210" t="s">
        <v>49</v>
      </c>
      <c r="X51" s="228" t="s">
        <v>1192</v>
      </c>
      <c r="Y51" s="228" t="s">
        <v>1192</v>
      </c>
      <c r="Z51" s="210" t="s">
        <v>49</v>
      </c>
      <c r="AA51" s="341" t="s">
        <v>203</v>
      </c>
      <c r="AB51" s="368" t="s">
        <v>951</v>
      </c>
    </row>
    <row r="52" spans="1:28" ht="15" customHeight="1">
      <c r="A52" s="161" t="s">
        <v>580</v>
      </c>
      <c r="B52" s="161" t="s">
        <v>1182</v>
      </c>
      <c r="C52" s="209" t="s">
        <v>17</v>
      </c>
      <c r="D52" s="161" t="s">
        <v>1183</v>
      </c>
      <c r="E52" s="161" t="s">
        <v>1184</v>
      </c>
      <c r="F52" s="161" t="s">
        <v>747</v>
      </c>
      <c r="G52" s="161"/>
      <c r="H52" s="230">
        <v>1.53</v>
      </c>
      <c r="I52" s="230" t="s">
        <v>1323</v>
      </c>
      <c r="J52" s="209" t="s">
        <v>1324</v>
      </c>
      <c r="K52" s="209"/>
      <c r="L52" s="209" t="s">
        <v>1189</v>
      </c>
      <c r="M52" s="209" t="s">
        <v>1325</v>
      </c>
      <c r="N52" s="161" t="s">
        <v>748</v>
      </c>
      <c r="O52" s="228" t="s">
        <v>1191</v>
      </c>
      <c r="P52" s="228" t="s">
        <v>1191</v>
      </c>
      <c r="Q52" s="209" t="s">
        <v>1191</v>
      </c>
      <c r="R52" s="228" t="s">
        <v>1191</v>
      </c>
      <c r="S52" s="228" t="s">
        <v>1191</v>
      </c>
      <c r="T52" s="210" t="s">
        <v>49</v>
      </c>
      <c r="U52" s="228" t="s">
        <v>1191</v>
      </c>
      <c r="V52" s="228" t="s">
        <v>1192</v>
      </c>
      <c r="W52" s="210" t="s">
        <v>49</v>
      </c>
      <c r="X52" s="228" t="s">
        <v>1192</v>
      </c>
      <c r="Y52" s="228" t="s">
        <v>1192</v>
      </c>
      <c r="Z52" s="210" t="s">
        <v>49</v>
      </c>
      <c r="AA52" s="341" t="s">
        <v>203</v>
      </c>
      <c r="AB52" s="368" t="s">
        <v>951</v>
      </c>
    </row>
    <row r="53" spans="1:28" ht="15" customHeight="1">
      <c r="A53" s="161" t="s">
        <v>571</v>
      </c>
      <c r="B53" s="161" t="s">
        <v>1189</v>
      </c>
      <c r="C53" s="209" t="s">
        <v>57</v>
      </c>
      <c r="D53" s="161" t="s">
        <v>1236</v>
      </c>
      <c r="E53" s="161" t="s">
        <v>1237</v>
      </c>
      <c r="F53" s="162" t="s">
        <v>531</v>
      </c>
      <c r="G53" s="162"/>
      <c r="H53" s="230">
        <v>1.4970000000000001</v>
      </c>
      <c r="I53" s="230" t="s">
        <v>1326</v>
      </c>
      <c r="J53" s="209"/>
      <c r="K53" s="209"/>
      <c r="L53" s="209" t="s">
        <v>1182</v>
      </c>
      <c r="M53" s="209" t="s">
        <v>361</v>
      </c>
      <c r="N53" s="209" t="s">
        <v>1327</v>
      </c>
      <c r="O53" s="209" t="s">
        <v>49</v>
      </c>
      <c r="P53" s="209" t="s">
        <v>49</v>
      </c>
      <c r="Q53" s="209" t="s">
        <v>49</v>
      </c>
      <c r="R53" s="228" t="s">
        <v>49</v>
      </c>
      <c r="S53" s="228" t="s">
        <v>1191</v>
      </c>
      <c r="T53" s="210" t="s">
        <v>1191</v>
      </c>
      <c r="U53" s="228" t="s">
        <v>49</v>
      </c>
      <c r="V53" s="228" t="s">
        <v>49</v>
      </c>
      <c r="W53" s="210" t="s">
        <v>1191</v>
      </c>
      <c r="X53" s="228" t="s">
        <v>1192</v>
      </c>
      <c r="Y53" s="228" t="s">
        <v>49</v>
      </c>
      <c r="Z53" s="210" t="s">
        <v>1192</v>
      </c>
      <c r="AA53" s="341" t="s">
        <v>203</v>
      </c>
      <c r="AB53" s="368" t="s">
        <v>203</v>
      </c>
    </row>
    <row r="54" spans="1:28" ht="15" customHeight="1">
      <c r="A54" s="161" t="s">
        <v>571</v>
      </c>
      <c r="B54" s="161" t="s">
        <v>1182</v>
      </c>
      <c r="C54" s="209" t="s">
        <v>955</v>
      </c>
      <c r="D54" s="161" t="s">
        <v>1193</v>
      </c>
      <c r="E54" s="161" t="s">
        <v>1194</v>
      </c>
      <c r="F54" s="161" t="s">
        <v>592</v>
      </c>
      <c r="G54" s="161"/>
      <c r="H54" s="230">
        <v>1.4890000000000001</v>
      </c>
      <c r="I54" s="230" t="s">
        <v>1212</v>
      </c>
      <c r="J54" s="209" t="s">
        <v>1212</v>
      </c>
      <c r="K54" s="209"/>
      <c r="L54" s="209" t="s">
        <v>1182</v>
      </c>
      <c r="M54" s="209" t="s">
        <v>361</v>
      </c>
      <c r="N54" s="161" t="s">
        <v>1328</v>
      </c>
      <c r="O54" s="161" t="s">
        <v>1191</v>
      </c>
      <c r="P54" s="161" t="s">
        <v>1191</v>
      </c>
      <c r="Q54" s="161" t="s">
        <v>1191</v>
      </c>
      <c r="R54" s="161" t="s">
        <v>1191</v>
      </c>
      <c r="S54" s="228" t="s">
        <v>1213</v>
      </c>
      <c r="T54" s="210" t="s">
        <v>49</v>
      </c>
      <c r="U54" s="228" t="s">
        <v>1191</v>
      </c>
      <c r="V54" s="228" t="s">
        <v>1192</v>
      </c>
      <c r="W54" s="210" t="s">
        <v>49</v>
      </c>
      <c r="X54" s="228" t="s">
        <v>1192</v>
      </c>
      <c r="Y54" s="228" t="s">
        <v>1192</v>
      </c>
      <c r="Z54" s="210" t="s">
        <v>49</v>
      </c>
      <c r="AA54" s="341" t="s">
        <v>203</v>
      </c>
      <c r="AB54" s="368" t="s">
        <v>203</v>
      </c>
    </row>
    <row r="55" spans="1:28" ht="15" customHeight="1">
      <c r="A55" s="161" t="s">
        <v>609</v>
      </c>
      <c r="B55" s="161" t="s">
        <v>1182</v>
      </c>
      <c r="C55" s="209" t="s">
        <v>17</v>
      </c>
      <c r="D55" s="161" t="s">
        <v>1183</v>
      </c>
      <c r="E55" s="161" t="s">
        <v>1184</v>
      </c>
      <c r="F55" s="161" t="s">
        <v>1329</v>
      </c>
      <c r="G55" s="161"/>
      <c r="H55" s="230">
        <v>1.377</v>
      </c>
      <c r="I55" s="230" t="s">
        <v>1330</v>
      </c>
      <c r="J55" s="209" t="s">
        <v>1331</v>
      </c>
      <c r="K55" s="209"/>
      <c r="L55" s="209" t="s">
        <v>1182</v>
      </c>
      <c r="M55" s="214" t="s">
        <v>1216</v>
      </c>
      <c r="N55" s="161" t="s">
        <v>1332</v>
      </c>
      <c r="O55" s="371" t="s">
        <v>1191</v>
      </c>
      <c r="P55" s="371" t="s">
        <v>1191</v>
      </c>
      <c r="Q55" s="371" t="s">
        <v>1191</v>
      </c>
      <c r="R55" s="371" t="s">
        <v>1191</v>
      </c>
      <c r="S55" s="228" t="s">
        <v>1191</v>
      </c>
      <c r="T55" s="210" t="s">
        <v>49</v>
      </c>
      <c r="U55" s="228" t="s">
        <v>1191</v>
      </c>
      <c r="V55" s="228" t="s">
        <v>1192</v>
      </c>
      <c r="W55" s="210" t="s">
        <v>49</v>
      </c>
      <c r="X55" s="228" t="s">
        <v>1192</v>
      </c>
      <c r="Y55" s="228" t="s">
        <v>1192</v>
      </c>
      <c r="Z55" s="210" t="s">
        <v>49</v>
      </c>
      <c r="AA55" s="341" t="s">
        <v>203</v>
      </c>
      <c r="AB55" s="368" t="s">
        <v>951</v>
      </c>
    </row>
    <row r="56" spans="1:28" ht="15" customHeight="1">
      <c r="A56" s="161" t="s">
        <v>571</v>
      </c>
      <c r="B56" s="161" t="s">
        <v>1182</v>
      </c>
      <c r="C56" s="209" t="s">
        <v>112</v>
      </c>
      <c r="D56" s="161" t="s">
        <v>1243</v>
      </c>
      <c r="E56" s="161" t="s">
        <v>1244</v>
      </c>
      <c r="F56" s="161" t="s">
        <v>685</v>
      </c>
      <c r="G56" s="161"/>
      <c r="H56" s="230">
        <v>1.3540000000000001</v>
      </c>
      <c r="I56" s="230" t="s">
        <v>1267</v>
      </c>
      <c r="J56" s="209" t="s">
        <v>1267</v>
      </c>
      <c r="K56" s="209"/>
      <c r="L56" s="209" t="s">
        <v>1189</v>
      </c>
      <c r="M56" s="209" t="s">
        <v>1246</v>
      </c>
      <c r="N56" s="209" t="s">
        <v>1333</v>
      </c>
      <c r="O56" s="209" t="s">
        <v>1191</v>
      </c>
      <c r="P56" s="209" t="s">
        <v>1191</v>
      </c>
      <c r="Q56" s="209" t="s">
        <v>1191</v>
      </c>
      <c r="R56" s="209" t="s">
        <v>1191</v>
      </c>
      <c r="S56" s="209" t="s">
        <v>1191</v>
      </c>
      <c r="T56" s="210" t="s">
        <v>49</v>
      </c>
      <c r="U56" s="228" t="s">
        <v>1191</v>
      </c>
      <c r="V56" s="228" t="s">
        <v>1192</v>
      </c>
      <c r="W56" s="210" t="s">
        <v>49</v>
      </c>
      <c r="X56" s="228" t="s">
        <v>1192</v>
      </c>
      <c r="Y56" s="228" t="s">
        <v>1192</v>
      </c>
      <c r="Z56" s="210" t="s">
        <v>49</v>
      </c>
      <c r="AA56" s="341" t="s">
        <v>203</v>
      </c>
      <c r="AB56" s="341" t="s">
        <v>203</v>
      </c>
    </row>
    <row r="57" spans="1:28" ht="15" customHeight="1">
      <c r="A57" s="161" t="s">
        <v>585</v>
      </c>
      <c r="B57" s="161" t="s">
        <v>1182</v>
      </c>
      <c r="C57" s="209" t="s">
        <v>17</v>
      </c>
      <c r="D57" s="161" t="s">
        <v>1183</v>
      </c>
      <c r="E57" s="161" t="s">
        <v>1184</v>
      </c>
      <c r="F57" s="161" t="s">
        <v>663</v>
      </c>
      <c r="G57" s="161"/>
      <c r="H57" s="230">
        <v>1.321</v>
      </c>
      <c r="I57" s="230" t="s">
        <v>1334</v>
      </c>
      <c r="J57" s="209" t="s">
        <v>1335</v>
      </c>
      <c r="K57" s="209"/>
      <c r="L57" s="161" t="s">
        <v>1182</v>
      </c>
      <c r="M57" s="209" t="s">
        <v>1216</v>
      </c>
      <c r="N57" s="161" t="s">
        <v>664</v>
      </c>
      <c r="O57" s="161" t="s">
        <v>1191</v>
      </c>
      <c r="P57" s="161" t="s">
        <v>1191</v>
      </c>
      <c r="Q57" s="161" t="s">
        <v>1191</v>
      </c>
      <c r="R57" s="161" t="s">
        <v>1191</v>
      </c>
      <c r="S57" s="161" t="s">
        <v>1191</v>
      </c>
      <c r="T57" s="210" t="s">
        <v>49</v>
      </c>
      <c r="U57" s="228" t="s">
        <v>1191</v>
      </c>
      <c r="V57" s="228" t="s">
        <v>1192</v>
      </c>
      <c r="W57" s="210" t="s">
        <v>49</v>
      </c>
      <c r="X57" s="228" t="s">
        <v>1192</v>
      </c>
      <c r="Y57" s="228" t="s">
        <v>1192</v>
      </c>
      <c r="Z57" s="210" t="s">
        <v>49</v>
      </c>
      <c r="AA57" s="341" t="s">
        <v>203</v>
      </c>
      <c r="AB57" s="368" t="s">
        <v>951</v>
      </c>
    </row>
    <row r="58" spans="1:28" ht="15.75">
      <c r="A58" s="272" t="s">
        <v>585</v>
      </c>
      <c r="B58" s="161" t="s">
        <v>1189</v>
      </c>
      <c r="C58" s="209" t="s">
        <v>57</v>
      </c>
      <c r="D58" s="209" t="s">
        <v>1236</v>
      </c>
      <c r="E58" s="209" t="s">
        <v>1237</v>
      </c>
      <c r="F58" s="161" t="s">
        <v>1336</v>
      </c>
      <c r="G58" s="161"/>
      <c r="H58" s="230">
        <v>1.3120000000000001</v>
      </c>
      <c r="I58" s="230" t="s">
        <v>1337</v>
      </c>
      <c r="J58" s="209" t="s">
        <v>361</v>
      </c>
      <c r="K58" s="209"/>
      <c r="L58" s="210" t="s">
        <v>1182</v>
      </c>
      <c r="N58" s="210" t="s">
        <v>1338</v>
      </c>
      <c r="O58" s="209" t="s">
        <v>49</v>
      </c>
      <c r="P58" s="209" t="s">
        <v>49</v>
      </c>
      <c r="Q58" s="209" t="s">
        <v>49</v>
      </c>
      <c r="R58" s="228" t="s">
        <v>49</v>
      </c>
      <c r="S58" s="210" t="s">
        <v>1191</v>
      </c>
      <c r="T58" s="210" t="s">
        <v>1191</v>
      </c>
      <c r="U58" s="228" t="s">
        <v>49</v>
      </c>
      <c r="V58" s="228" t="s">
        <v>49</v>
      </c>
      <c r="W58" s="210" t="s">
        <v>1191</v>
      </c>
      <c r="X58" s="228" t="s">
        <v>49</v>
      </c>
      <c r="Y58" s="228" t="s">
        <v>49</v>
      </c>
      <c r="Z58" s="210" t="s">
        <v>1192</v>
      </c>
      <c r="AA58" s="341" t="s">
        <v>203</v>
      </c>
      <c r="AB58" s="368" t="s">
        <v>203</v>
      </c>
    </row>
    <row r="59" spans="1:28" ht="15.75">
      <c r="A59" s="209" t="s">
        <v>1156</v>
      </c>
      <c r="B59" s="161" t="s">
        <v>1182</v>
      </c>
      <c r="C59" s="169" t="s">
        <v>955</v>
      </c>
      <c r="D59" s="209" t="s">
        <v>1193</v>
      </c>
      <c r="E59" s="209" t="s">
        <v>1194</v>
      </c>
      <c r="F59" s="161" t="s">
        <v>1339</v>
      </c>
      <c r="G59" s="161" t="s">
        <v>1258</v>
      </c>
      <c r="H59" s="230">
        <v>1.3049999999999999</v>
      </c>
      <c r="I59" s="230"/>
      <c r="J59" s="209" t="s">
        <v>361</v>
      </c>
      <c r="K59" s="209"/>
      <c r="L59" s="209" t="s">
        <v>1182</v>
      </c>
      <c r="O59" s="228" t="s">
        <v>1192</v>
      </c>
      <c r="P59" s="209" t="s">
        <v>1191</v>
      </c>
      <c r="Q59" s="209" t="s">
        <v>1191</v>
      </c>
      <c r="R59" s="209" t="s">
        <v>1191</v>
      </c>
      <c r="S59" s="228" t="s">
        <v>1192</v>
      </c>
      <c r="T59" s="210" t="s">
        <v>49</v>
      </c>
      <c r="U59" s="228" t="s">
        <v>1192</v>
      </c>
      <c r="V59" s="228" t="s">
        <v>1192</v>
      </c>
      <c r="W59" s="210" t="s">
        <v>49</v>
      </c>
      <c r="X59" s="228" t="s">
        <v>1192</v>
      </c>
      <c r="Y59" s="228" t="s">
        <v>1192</v>
      </c>
      <c r="Z59" s="210" t="s">
        <v>49</v>
      </c>
      <c r="AA59" s="341" t="s">
        <v>203</v>
      </c>
      <c r="AB59" s="368" t="s">
        <v>203</v>
      </c>
    </row>
    <row r="60" spans="1:28" ht="15" customHeight="1">
      <c r="A60" s="161" t="s">
        <v>571</v>
      </c>
      <c r="B60" s="161" t="s">
        <v>1182</v>
      </c>
      <c r="C60" s="209" t="s">
        <v>17</v>
      </c>
      <c r="D60" s="161" t="s">
        <v>1274</v>
      </c>
      <c r="E60" s="161" t="s">
        <v>1184</v>
      </c>
      <c r="F60" s="161" t="s">
        <v>603</v>
      </c>
      <c r="G60" s="161"/>
      <c r="H60" s="230">
        <v>1.2470000000000001</v>
      </c>
      <c r="I60" s="230" t="s">
        <v>1340</v>
      </c>
      <c r="J60" s="209" t="s">
        <v>1341</v>
      </c>
      <c r="K60" s="209"/>
      <c r="L60" s="161" t="s">
        <v>1182</v>
      </c>
      <c r="M60" s="209" t="s">
        <v>1277</v>
      </c>
      <c r="N60" s="161" t="s">
        <v>604</v>
      </c>
      <c r="O60" s="161" t="s">
        <v>1191</v>
      </c>
      <c r="P60" s="161" t="s">
        <v>1191</v>
      </c>
      <c r="Q60" s="161" t="s">
        <v>1191</v>
      </c>
      <c r="R60" s="161" t="s">
        <v>1191</v>
      </c>
      <c r="S60" s="161" t="s">
        <v>1191</v>
      </c>
      <c r="T60" s="210" t="s">
        <v>49</v>
      </c>
      <c r="U60" s="228" t="s">
        <v>1191</v>
      </c>
      <c r="V60" s="228" t="s">
        <v>1192</v>
      </c>
      <c r="W60" s="210" t="s">
        <v>49</v>
      </c>
      <c r="X60" s="228" t="s">
        <v>1192</v>
      </c>
      <c r="Y60" s="228" t="s">
        <v>1192</v>
      </c>
      <c r="Z60" s="210" t="s">
        <v>49</v>
      </c>
      <c r="AA60" s="341" t="s">
        <v>203</v>
      </c>
      <c r="AB60" s="368" t="s">
        <v>951</v>
      </c>
    </row>
    <row r="61" spans="1:28" ht="15" customHeight="1">
      <c r="A61" s="209" t="s">
        <v>1156</v>
      </c>
      <c r="B61" s="161" t="s">
        <v>1182</v>
      </c>
      <c r="C61" s="161" t="s">
        <v>952</v>
      </c>
      <c r="D61" s="209" t="s">
        <v>1269</v>
      </c>
      <c r="E61" s="209" t="s">
        <v>1270</v>
      </c>
      <c r="F61" s="161" t="s">
        <v>1342</v>
      </c>
      <c r="G61" s="161" t="s">
        <v>1272</v>
      </c>
      <c r="H61" s="230">
        <v>1.2275390625</v>
      </c>
      <c r="I61" s="230"/>
      <c r="J61" s="209" t="s">
        <v>1273</v>
      </c>
      <c r="K61" s="209"/>
      <c r="O61" s="228" t="s">
        <v>1192</v>
      </c>
      <c r="P61" s="228" t="s">
        <v>1192</v>
      </c>
      <c r="Q61" s="228" t="s">
        <v>1192</v>
      </c>
      <c r="R61" s="228" t="s">
        <v>1192</v>
      </c>
      <c r="S61" s="228" t="s">
        <v>1192</v>
      </c>
      <c r="T61" s="210" t="s">
        <v>49</v>
      </c>
      <c r="U61" s="228" t="s">
        <v>1192</v>
      </c>
      <c r="V61" s="228" t="s">
        <v>1192</v>
      </c>
      <c r="W61" s="210" t="s">
        <v>49</v>
      </c>
      <c r="X61" s="228" t="s">
        <v>1192</v>
      </c>
      <c r="Y61" s="228" t="s">
        <v>1192</v>
      </c>
      <c r="Z61" s="210" t="s">
        <v>49</v>
      </c>
      <c r="AA61" s="341" t="s">
        <v>203</v>
      </c>
      <c r="AB61" s="368" t="s">
        <v>203</v>
      </c>
    </row>
    <row r="62" spans="1:28" ht="15.75">
      <c r="A62" s="161" t="s">
        <v>580</v>
      </c>
      <c r="B62" s="161" t="s">
        <v>1182</v>
      </c>
      <c r="C62" s="169" t="s">
        <v>393</v>
      </c>
      <c r="D62" s="161" t="s">
        <v>1230</v>
      </c>
      <c r="E62" s="161" t="s">
        <v>1231</v>
      </c>
      <c r="F62" s="161" t="s">
        <v>617</v>
      </c>
      <c r="G62" s="161" t="s">
        <v>1232</v>
      </c>
      <c r="H62" s="230">
        <v>1.2230000000000001</v>
      </c>
      <c r="I62" s="230" t="s">
        <v>1262</v>
      </c>
      <c r="J62" s="209"/>
      <c r="K62" s="209"/>
      <c r="L62" s="209" t="s">
        <v>1189</v>
      </c>
      <c r="M62" s="209" t="s">
        <v>1263</v>
      </c>
      <c r="N62" s="209" t="s">
        <v>1343</v>
      </c>
      <c r="O62" s="209" t="s">
        <v>1191</v>
      </c>
      <c r="P62" s="209" t="s">
        <v>1191</v>
      </c>
      <c r="Q62" s="209" t="s">
        <v>1191</v>
      </c>
      <c r="R62" s="210" t="s">
        <v>1191</v>
      </c>
      <c r="S62" s="210" t="s">
        <v>1192</v>
      </c>
      <c r="T62" s="210" t="s">
        <v>49</v>
      </c>
      <c r="U62" s="210" t="s">
        <v>1191</v>
      </c>
      <c r="V62" s="210" t="s">
        <v>1192</v>
      </c>
      <c r="W62" s="210" t="s">
        <v>49</v>
      </c>
      <c r="X62" s="210" t="s">
        <v>1192</v>
      </c>
      <c r="Y62" s="210" t="s">
        <v>1192</v>
      </c>
      <c r="Z62" s="210" t="s">
        <v>49</v>
      </c>
      <c r="AA62" s="341" t="s">
        <v>203</v>
      </c>
      <c r="AB62" s="368" t="s">
        <v>203</v>
      </c>
    </row>
    <row r="63" spans="1:28" ht="15" customHeight="1">
      <c r="A63" s="161" t="s">
        <v>571</v>
      </c>
      <c r="B63" s="161" t="s">
        <v>1182</v>
      </c>
      <c r="C63" s="209" t="s">
        <v>112</v>
      </c>
      <c r="D63" s="209" t="s">
        <v>1230</v>
      </c>
      <c r="E63" s="161" t="s">
        <v>1244</v>
      </c>
      <c r="F63" s="161" t="s">
        <v>724</v>
      </c>
      <c r="G63" s="161"/>
      <c r="H63" s="230">
        <v>1.1970000000000001</v>
      </c>
      <c r="I63" s="230" t="s">
        <v>1267</v>
      </c>
      <c r="J63" s="209" t="s">
        <v>1267</v>
      </c>
      <c r="K63" s="209"/>
      <c r="L63" s="209" t="s">
        <v>1189</v>
      </c>
      <c r="M63" s="209" t="s">
        <v>1246</v>
      </c>
      <c r="N63" s="209" t="s">
        <v>1344</v>
      </c>
      <c r="O63" s="209" t="s">
        <v>1191</v>
      </c>
      <c r="P63" s="209" t="s">
        <v>1191</v>
      </c>
      <c r="Q63" s="209" t="s">
        <v>1191</v>
      </c>
      <c r="R63" s="209" t="s">
        <v>1191</v>
      </c>
      <c r="S63" s="209" t="s">
        <v>1191</v>
      </c>
      <c r="T63" s="210" t="s">
        <v>49</v>
      </c>
      <c r="U63" s="228" t="s">
        <v>1191</v>
      </c>
      <c r="V63" s="228" t="s">
        <v>1192</v>
      </c>
      <c r="W63" s="210" t="s">
        <v>49</v>
      </c>
      <c r="X63" s="228" t="s">
        <v>1192</v>
      </c>
      <c r="Y63" s="228" t="s">
        <v>1192</v>
      </c>
      <c r="Z63" s="210" t="s">
        <v>49</v>
      </c>
      <c r="AA63" s="341" t="s">
        <v>203</v>
      </c>
      <c r="AB63" s="341" t="s">
        <v>203</v>
      </c>
    </row>
    <row r="64" spans="1:28" ht="15.75">
      <c r="A64" s="161" t="s">
        <v>571</v>
      </c>
      <c r="B64" s="161" t="s">
        <v>1182</v>
      </c>
      <c r="C64" s="209" t="s">
        <v>17</v>
      </c>
      <c r="D64" s="161" t="s">
        <v>1274</v>
      </c>
      <c r="E64" s="161" t="s">
        <v>1184</v>
      </c>
      <c r="F64" s="161" t="s">
        <v>618</v>
      </c>
      <c r="G64" s="161"/>
      <c r="H64" s="230">
        <v>1.123</v>
      </c>
      <c r="I64" s="230" t="s">
        <v>1345</v>
      </c>
      <c r="J64" s="209" t="s">
        <v>1345</v>
      </c>
      <c r="K64" s="209"/>
      <c r="L64" s="161" t="s">
        <v>1182</v>
      </c>
      <c r="M64" s="209" t="s">
        <v>1304</v>
      </c>
      <c r="N64" s="161" t="s">
        <v>619</v>
      </c>
      <c r="O64" s="161" t="s">
        <v>1191</v>
      </c>
      <c r="P64" s="161" t="s">
        <v>1191</v>
      </c>
      <c r="Q64" s="161" t="s">
        <v>1191</v>
      </c>
      <c r="R64" s="161" t="s">
        <v>1191</v>
      </c>
      <c r="S64" s="161" t="s">
        <v>1191</v>
      </c>
      <c r="T64" s="210" t="s">
        <v>49</v>
      </c>
      <c r="U64" s="228" t="s">
        <v>1191</v>
      </c>
      <c r="V64" s="228" t="s">
        <v>1192</v>
      </c>
      <c r="W64" s="210" t="s">
        <v>49</v>
      </c>
      <c r="X64" s="228" t="s">
        <v>1192</v>
      </c>
      <c r="Y64" s="228" t="s">
        <v>1192</v>
      </c>
      <c r="Z64" s="210" t="s">
        <v>49</v>
      </c>
      <c r="AA64" s="341" t="s">
        <v>203</v>
      </c>
      <c r="AB64" s="368" t="s">
        <v>951</v>
      </c>
    </row>
    <row r="65" spans="1:28" ht="30">
      <c r="A65" s="161" t="s">
        <v>580</v>
      </c>
      <c r="B65" s="161" t="s">
        <v>1182</v>
      </c>
      <c r="C65" s="209" t="s">
        <v>955</v>
      </c>
      <c r="D65" s="161" t="s">
        <v>1193</v>
      </c>
      <c r="E65" s="161" t="s">
        <v>1194</v>
      </c>
      <c r="F65" s="162" t="s">
        <v>661</v>
      </c>
      <c r="G65" s="162"/>
      <c r="H65" s="230">
        <v>1.1100000000000001</v>
      </c>
      <c r="I65" s="230" t="s">
        <v>1207</v>
      </c>
      <c r="J65" s="209" t="s">
        <v>1212</v>
      </c>
      <c r="K65" s="209"/>
      <c r="L65" s="209" t="s">
        <v>1182</v>
      </c>
      <c r="M65" s="209" t="s">
        <v>361</v>
      </c>
      <c r="N65" s="161" t="s">
        <v>1346</v>
      </c>
      <c r="O65" s="209" t="s">
        <v>1191</v>
      </c>
      <c r="P65" s="209" t="s">
        <v>1191</v>
      </c>
      <c r="Q65" s="209" t="s">
        <v>1191</v>
      </c>
      <c r="R65" s="210" t="s">
        <v>1191</v>
      </c>
      <c r="S65" s="210" t="s">
        <v>1192</v>
      </c>
      <c r="T65" s="210" t="s">
        <v>49</v>
      </c>
      <c r="U65" s="228" t="s">
        <v>1191</v>
      </c>
      <c r="V65" s="228" t="s">
        <v>1192</v>
      </c>
      <c r="W65" s="210" t="s">
        <v>49</v>
      </c>
      <c r="X65" s="228" t="s">
        <v>1192</v>
      </c>
      <c r="Y65" s="228" t="s">
        <v>1192</v>
      </c>
      <c r="Z65" s="210" t="s">
        <v>49</v>
      </c>
      <c r="AA65" s="341" t="s">
        <v>203</v>
      </c>
      <c r="AB65" s="368" t="s">
        <v>203</v>
      </c>
    </row>
    <row r="66" spans="1:28" ht="15.75">
      <c r="A66" s="209" t="s">
        <v>1156</v>
      </c>
      <c r="B66" s="161" t="s">
        <v>1189</v>
      </c>
      <c r="C66" s="209" t="s">
        <v>57</v>
      </c>
      <c r="D66" s="209" t="s">
        <v>1236</v>
      </c>
      <c r="E66" s="209" t="s">
        <v>1237</v>
      </c>
      <c r="F66" s="161" t="s">
        <v>1347</v>
      </c>
      <c r="G66" s="161" t="s">
        <v>1239</v>
      </c>
      <c r="H66" s="230">
        <v>0.95799999999999996</v>
      </c>
      <c r="I66" s="230"/>
      <c r="J66" s="209" t="s">
        <v>361</v>
      </c>
      <c r="K66" s="209"/>
      <c r="L66" s="210" t="s">
        <v>1189</v>
      </c>
      <c r="M66" s="210" t="s">
        <v>1242</v>
      </c>
      <c r="O66" s="209" t="s">
        <v>49</v>
      </c>
      <c r="P66" s="209" t="s">
        <v>49</v>
      </c>
      <c r="Q66" s="209" t="s">
        <v>49</v>
      </c>
      <c r="R66" s="228" t="s">
        <v>49</v>
      </c>
      <c r="S66" s="228" t="s">
        <v>49</v>
      </c>
      <c r="T66" s="210" t="s">
        <v>1192</v>
      </c>
      <c r="U66" s="228" t="s">
        <v>49</v>
      </c>
      <c r="V66" s="228" t="s">
        <v>49</v>
      </c>
      <c r="W66" s="210" t="s">
        <v>1192</v>
      </c>
      <c r="X66" s="228" t="s">
        <v>49</v>
      </c>
      <c r="Y66" s="228" t="s">
        <v>49</v>
      </c>
      <c r="Z66" s="210" t="s">
        <v>1192</v>
      </c>
      <c r="AA66" s="341" t="s">
        <v>203</v>
      </c>
      <c r="AB66" s="368" t="s">
        <v>203</v>
      </c>
    </row>
    <row r="67" spans="1:28" ht="30">
      <c r="A67" s="161" t="s">
        <v>580</v>
      </c>
      <c r="B67" s="161" t="s">
        <v>1182</v>
      </c>
      <c r="C67" s="209" t="s">
        <v>955</v>
      </c>
      <c r="D67" s="161" t="s">
        <v>1193</v>
      </c>
      <c r="E67" s="161" t="s">
        <v>1194</v>
      </c>
      <c r="F67" s="417" t="s">
        <v>688</v>
      </c>
      <c r="G67" s="162"/>
      <c r="H67" s="230">
        <v>0.95499999999999996</v>
      </c>
      <c r="I67" s="230" t="s">
        <v>49</v>
      </c>
      <c r="J67" s="209" t="s">
        <v>1212</v>
      </c>
      <c r="K67" s="209"/>
      <c r="L67" s="209" t="s">
        <v>1189</v>
      </c>
      <c r="M67" s="209" t="s">
        <v>1348</v>
      </c>
      <c r="N67" s="161" t="s">
        <v>689</v>
      </c>
      <c r="O67" s="209" t="s">
        <v>1191</v>
      </c>
      <c r="P67" s="209" t="s">
        <v>1191</v>
      </c>
      <c r="Q67" s="209" t="s">
        <v>1191</v>
      </c>
      <c r="R67" s="210" t="s">
        <v>1191</v>
      </c>
      <c r="S67" s="210" t="s">
        <v>1192</v>
      </c>
      <c r="T67" s="210" t="s">
        <v>49</v>
      </c>
      <c r="U67" s="228" t="s">
        <v>1191</v>
      </c>
      <c r="V67" s="228" t="s">
        <v>1192</v>
      </c>
      <c r="W67" s="210" t="s">
        <v>49</v>
      </c>
      <c r="X67" s="228" t="s">
        <v>1192</v>
      </c>
      <c r="Y67" s="228" t="s">
        <v>1192</v>
      </c>
      <c r="Z67" s="210" t="s">
        <v>49</v>
      </c>
      <c r="AA67" s="341" t="s">
        <v>203</v>
      </c>
      <c r="AB67" s="368" t="s">
        <v>203</v>
      </c>
    </row>
    <row r="68" spans="1:28" ht="15">
      <c r="A68" s="161" t="s">
        <v>571</v>
      </c>
      <c r="B68" s="161" t="s">
        <v>1182</v>
      </c>
      <c r="C68" s="209" t="s">
        <v>112</v>
      </c>
      <c r="D68" s="161" t="s">
        <v>1243</v>
      </c>
      <c r="E68" s="161" t="s">
        <v>1244</v>
      </c>
      <c r="F68" s="161" t="s">
        <v>690</v>
      </c>
      <c r="G68" s="161"/>
      <c r="H68" s="230">
        <v>0.91500000000000004</v>
      </c>
      <c r="I68" s="230" t="s">
        <v>1267</v>
      </c>
      <c r="J68" s="209" t="s">
        <v>1267</v>
      </c>
      <c r="K68" s="209"/>
      <c r="L68" s="209" t="s">
        <v>1189</v>
      </c>
      <c r="M68" s="209" t="s">
        <v>1246</v>
      </c>
      <c r="N68" s="209" t="s">
        <v>1349</v>
      </c>
      <c r="O68" s="209" t="s">
        <v>1191</v>
      </c>
      <c r="P68" s="209" t="s">
        <v>1191</v>
      </c>
      <c r="Q68" s="209" t="s">
        <v>1191</v>
      </c>
      <c r="R68" s="209" t="s">
        <v>1191</v>
      </c>
      <c r="S68" s="209" t="s">
        <v>1191</v>
      </c>
      <c r="T68" s="210" t="s">
        <v>49</v>
      </c>
      <c r="U68" s="228" t="s">
        <v>1191</v>
      </c>
      <c r="V68" s="228" t="s">
        <v>1192</v>
      </c>
      <c r="W68" s="210" t="s">
        <v>49</v>
      </c>
      <c r="X68" s="228" t="s">
        <v>1192</v>
      </c>
      <c r="Y68" s="228" t="s">
        <v>1192</v>
      </c>
      <c r="Z68" s="210" t="s">
        <v>49</v>
      </c>
      <c r="AA68" s="341" t="s">
        <v>203</v>
      </c>
      <c r="AB68" s="341" t="s">
        <v>203</v>
      </c>
    </row>
    <row r="69" spans="1:28" ht="15.75">
      <c r="A69" s="161" t="s">
        <v>585</v>
      </c>
      <c r="B69" s="161" t="s">
        <v>1182</v>
      </c>
      <c r="C69" s="209" t="s">
        <v>955</v>
      </c>
      <c r="D69" s="161" t="s">
        <v>1193</v>
      </c>
      <c r="E69" s="161" t="s">
        <v>1194</v>
      </c>
      <c r="F69" s="161" t="s">
        <v>698</v>
      </c>
      <c r="G69" s="161"/>
      <c r="H69" s="230">
        <v>0.79100000000000004</v>
      </c>
      <c r="I69" s="230" t="s">
        <v>1212</v>
      </c>
      <c r="J69" s="209" t="s">
        <v>1212</v>
      </c>
      <c r="K69" s="209"/>
      <c r="L69" s="209" t="s">
        <v>1182</v>
      </c>
      <c r="M69" s="209" t="s">
        <v>361</v>
      </c>
      <c r="N69" s="161" t="s">
        <v>699</v>
      </c>
      <c r="O69" s="161" t="s">
        <v>1191</v>
      </c>
      <c r="P69" s="161" t="s">
        <v>1191</v>
      </c>
      <c r="Q69" s="161" t="s">
        <v>1191</v>
      </c>
      <c r="R69" s="161" t="s">
        <v>1191</v>
      </c>
      <c r="S69" s="228" t="s">
        <v>1213</v>
      </c>
      <c r="T69" s="210" t="s">
        <v>49</v>
      </c>
      <c r="U69" s="228" t="s">
        <v>1191</v>
      </c>
      <c r="V69" s="228" t="s">
        <v>1192</v>
      </c>
      <c r="W69" s="210" t="s">
        <v>49</v>
      </c>
      <c r="X69" s="228" t="s">
        <v>1192</v>
      </c>
      <c r="Y69" s="228" t="s">
        <v>1192</v>
      </c>
      <c r="Z69" s="210" t="s">
        <v>49</v>
      </c>
      <c r="AA69" s="341" t="s">
        <v>203</v>
      </c>
      <c r="AB69" s="368" t="s">
        <v>203</v>
      </c>
    </row>
    <row r="70" spans="1:28" ht="15">
      <c r="A70" s="161" t="s">
        <v>571</v>
      </c>
      <c r="B70" s="161" t="s">
        <v>1182</v>
      </c>
      <c r="C70" s="209" t="s">
        <v>112</v>
      </c>
      <c r="D70" s="209" t="s">
        <v>1230</v>
      </c>
      <c r="E70" s="161" t="s">
        <v>1244</v>
      </c>
      <c r="F70" s="161" t="s">
        <v>700</v>
      </c>
      <c r="G70" s="161"/>
      <c r="H70" s="230">
        <v>0.79</v>
      </c>
      <c r="I70" s="230" t="s">
        <v>1267</v>
      </c>
      <c r="J70" s="209" t="s">
        <v>1267</v>
      </c>
      <c r="K70" s="209"/>
      <c r="L70" s="209" t="s">
        <v>1189</v>
      </c>
      <c r="M70" s="209" t="s">
        <v>1246</v>
      </c>
      <c r="N70" s="209" t="s">
        <v>1350</v>
      </c>
      <c r="O70" s="209" t="s">
        <v>1191</v>
      </c>
      <c r="P70" s="209" t="s">
        <v>1191</v>
      </c>
      <c r="Q70" s="209" t="s">
        <v>1191</v>
      </c>
      <c r="R70" s="209" t="s">
        <v>1191</v>
      </c>
      <c r="S70" s="209" t="s">
        <v>1191</v>
      </c>
      <c r="T70" s="210" t="s">
        <v>49</v>
      </c>
      <c r="U70" s="228" t="s">
        <v>1191</v>
      </c>
      <c r="V70" s="228" t="s">
        <v>1192</v>
      </c>
      <c r="W70" s="210" t="s">
        <v>49</v>
      </c>
      <c r="X70" s="228" t="s">
        <v>1192</v>
      </c>
      <c r="Y70" s="228" t="s">
        <v>1192</v>
      </c>
      <c r="Z70" s="210" t="s">
        <v>49</v>
      </c>
      <c r="AA70" s="341" t="s">
        <v>203</v>
      </c>
      <c r="AB70" s="341" t="s">
        <v>203</v>
      </c>
    </row>
    <row r="71" spans="1:28" ht="15.75">
      <c r="A71" s="161" t="s">
        <v>580</v>
      </c>
      <c r="B71" s="161" t="s">
        <v>1182</v>
      </c>
      <c r="C71" s="209" t="s">
        <v>17</v>
      </c>
      <c r="D71" s="161" t="s">
        <v>1183</v>
      </c>
      <c r="E71" s="161" t="s">
        <v>1184</v>
      </c>
      <c r="F71" s="161" t="s">
        <v>696</v>
      </c>
      <c r="G71" s="161"/>
      <c r="H71" s="230">
        <v>0.72799999999999998</v>
      </c>
      <c r="I71" s="230" t="s">
        <v>1351</v>
      </c>
      <c r="J71" t="s">
        <v>1352</v>
      </c>
      <c r="K71" s="209"/>
      <c r="L71" s="161" t="s">
        <v>1182</v>
      </c>
      <c r="M71" s="209" t="s">
        <v>1216</v>
      </c>
      <c r="N71" s="161" t="s">
        <v>697</v>
      </c>
      <c r="O71" s="228" t="s">
        <v>1191</v>
      </c>
      <c r="P71" s="228" t="s">
        <v>1191</v>
      </c>
      <c r="Q71" s="228" t="s">
        <v>1191</v>
      </c>
      <c r="R71" s="228" t="s">
        <v>1191</v>
      </c>
      <c r="S71" s="228" t="s">
        <v>1191</v>
      </c>
      <c r="T71" s="210" t="s">
        <v>49</v>
      </c>
      <c r="U71" s="437" t="s">
        <v>1191</v>
      </c>
      <c r="V71" s="228" t="s">
        <v>1192</v>
      </c>
      <c r="W71" s="210" t="s">
        <v>49</v>
      </c>
      <c r="X71" s="228" t="s">
        <v>1192</v>
      </c>
      <c r="Y71" s="228" t="s">
        <v>1192</v>
      </c>
      <c r="Z71" s="210" t="s">
        <v>49</v>
      </c>
      <c r="AA71" s="341" t="s">
        <v>203</v>
      </c>
      <c r="AB71" s="368" t="s">
        <v>203</v>
      </c>
    </row>
    <row r="72" spans="1:28" ht="15">
      <c r="A72" s="161" t="s">
        <v>571</v>
      </c>
      <c r="B72" s="161" t="s">
        <v>1182</v>
      </c>
      <c r="C72" s="209" t="s">
        <v>112</v>
      </c>
      <c r="D72" s="161" t="s">
        <v>1243</v>
      </c>
      <c r="E72" s="161" t="s">
        <v>1244</v>
      </c>
      <c r="F72" s="161" t="s">
        <v>630</v>
      </c>
      <c r="G72" s="161"/>
      <c r="H72" s="230">
        <v>0.72699999999999998</v>
      </c>
      <c r="I72" s="230" t="s">
        <v>1267</v>
      </c>
      <c r="J72" s="209" t="s">
        <v>1267</v>
      </c>
      <c r="K72" s="209"/>
      <c r="L72" s="209" t="s">
        <v>1189</v>
      </c>
      <c r="M72" s="209" t="s">
        <v>1246</v>
      </c>
      <c r="N72" s="209" t="s">
        <v>1353</v>
      </c>
      <c r="O72" s="209" t="s">
        <v>1191</v>
      </c>
      <c r="P72" s="209" t="s">
        <v>1191</v>
      </c>
      <c r="Q72" s="209" t="s">
        <v>1191</v>
      </c>
      <c r="R72" s="209" t="s">
        <v>1191</v>
      </c>
      <c r="S72" s="209" t="s">
        <v>1191</v>
      </c>
      <c r="T72" s="210" t="s">
        <v>49</v>
      </c>
      <c r="U72" s="228" t="s">
        <v>1191</v>
      </c>
      <c r="V72" s="228" t="s">
        <v>1192</v>
      </c>
      <c r="W72" s="210" t="s">
        <v>49</v>
      </c>
      <c r="X72" s="228" t="s">
        <v>1192</v>
      </c>
      <c r="Y72" s="228" t="s">
        <v>1192</v>
      </c>
      <c r="Z72" s="210" t="s">
        <v>49</v>
      </c>
      <c r="AA72" s="341" t="s">
        <v>203</v>
      </c>
      <c r="AB72" s="341" t="s">
        <v>203</v>
      </c>
    </row>
    <row r="73" spans="1:28" ht="15">
      <c r="A73" s="161" t="s">
        <v>571</v>
      </c>
      <c r="B73" s="161" t="s">
        <v>1182</v>
      </c>
      <c r="C73" s="209" t="s">
        <v>112</v>
      </c>
      <c r="D73" s="209" t="s">
        <v>1230</v>
      </c>
      <c r="E73" s="161" t="s">
        <v>1244</v>
      </c>
      <c r="F73" s="161" t="s">
        <v>711</v>
      </c>
      <c r="G73" s="161"/>
      <c r="H73" s="230">
        <v>0.71199999999999997</v>
      </c>
      <c r="I73" s="230" t="s">
        <v>1267</v>
      </c>
      <c r="J73" s="209" t="s">
        <v>1267</v>
      </c>
      <c r="K73" s="209"/>
      <c r="L73" s="209" t="s">
        <v>1189</v>
      </c>
      <c r="M73" s="209" t="s">
        <v>1246</v>
      </c>
      <c r="N73" s="209" t="s">
        <v>1354</v>
      </c>
      <c r="O73" s="209" t="s">
        <v>1191</v>
      </c>
      <c r="P73" s="209" t="s">
        <v>1191</v>
      </c>
      <c r="Q73" s="209" t="s">
        <v>1191</v>
      </c>
      <c r="R73" s="209" t="s">
        <v>1191</v>
      </c>
      <c r="S73" s="209" t="s">
        <v>1191</v>
      </c>
      <c r="T73" s="210" t="s">
        <v>49</v>
      </c>
      <c r="U73" s="228" t="s">
        <v>1191</v>
      </c>
      <c r="V73" s="228" t="s">
        <v>1192</v>
      </c>
      <c r="W73" s="210" t="s">
        <v>49</v>
      </c>
      <c r="X73" s="228" t="s">
        <v>1192</v>
      </c>
      <c r="Y73" s="228" t="s">
        <v>1192</v>
      </c>
      <c r="Z73" s="210" t="s">
        <v>49</v>
      </c>
      <c r="AA73" s="341" t="s">
        <v>203</v>
      </c>
      <c r="AB73" s="341" t="s">
        <v>203</v>
      </c>
    </row>
    <row r="74" spans="1:28" ht="15">
      <c r="A74" s="161" t="s">
        <v>571</v>
      </c>
      <c r="B74" s="161" t="s">
        <v>1182</v>
      </c>
      <c r="C74" s="209" t="s">
        <v>112</v>
      </c>
      <c r="D74" s="209" t="s">
        <v>1230</v>
      </c>
      <c r="E74" s="161" t="s">
        <v>1244</v>
      </c>
      <c r="F74" s="161" t="s">
        <v>715</v>
      </c>
      <c r="G74" s="161"/>
      <c r="H74" s="230">
        <v>0.7</v>
      </c>
      <c r="I74" s="230" t="s">
        <v>1267</v>
      </c>
      <c r="J74" s="209" t="s">
        <v>1267</v>
      </c>
      <c r="K74" s="209"/>
      <c r="L74" s="209" t="s">
        <v>1189</v>
      </c>
      <c r="M74" s="209" t="s">
        <v>1246</v>
      </c>
      <c r="N74" s="209" t="s">
        <v>1355</v>
      </c>
      <c r="O74" s="209" t="s">
        <v>1191</v>
      </c>
      <c r="P74" s="209" t="s">
        <v>1191</v>
      </c>
      <c r="Q74" s="209" t="s">
        <v>1191</v>
      </c>
      <c r="R74" s="209" t="s">
        <v>1191</v>
      </c>
      <c r="S74" s="209" t="s">
        <v>1191</v>
      </c>
      <c r="T74" s="210" t="s">
        <v>49</v>
      </c>
      <c r="U74" s="228" t="s">
        <v>1191</v>
      </c>
      <c r="V74" s="228" t="s">
        <v>1192</v>
      </c>
      <c r="W74" s="210" t="s">
        <v>49</v>
      </c>
      <c r="X74" s="228" t="s">
        <v>1192</v>
      </c>
      <c r="Y74" s="228" t="s">
        <v>1192</v>
      </c>
      <c r="Z74" s="210" t="s">
        <v>49</v>
      </c>
      <c r="AA74" s="341" t="s">
        <v>203</v>
      </c>
      <c r="AB74" s="341" t="s">
        <v>203</v>
      </c>
    </row>
    <row r="75" spans="1:28" ht="15.75">
      <c r="A75" s="161" t="s">
        <v>580</v>
      </c>
      <c r="B75" s="161" t="s">
        <v>1182</v>
      </c>
      <c r="C75" s="169" t="s">
        <v>393</v>
      </c>
      <c r="D75" s="161" t="s">
        <v>1230</v>
      </c>
      <c r="E75" s="161" t="s">
        <v>1231</v>
      </c>
      <c r="F75" s="161" t="s">
        <v>647</v>
      </c>
      <c r="G75" s="161" t="s">
        <v>1232</v>
      </c>
      <c r="H75" s="230">
        <v>0.65500000000000003</v>
      </c>
      <c r="I75" s="230" t="s">
        <v>1356</v>
      </c>
      <c r="J75" s="209"/>
      <c r="K75" s="209"/>
      <c r="L75" s="209" t="s">
        <v>1182</v>
      </c>
      <c r="M75" s="209" t="s">
        <v>1357</v>
      </c>
      <c r="N75" s="209" t="s">
        <v>1358</v>
      </c>
      <c r="O75" s="209" t="s">
        <v>1191</v>
      </c>
      <c r="P75" s="209" t="s">
        <v>1191</v>
      </c>
      <c r="Q75" s="209" t="s">
        <v>1191</v>
      </c>
      <c r="R75" s="210" t="s">
        <v>1191</v>
      </c>
      <c r="S75" s="210" t="s">
        <v>1192</v>
      </c>
      <c r="T75" s="210" t="s">
        <v>49</v>
      </c>
      <c r="U75" s="210" t="s">
        <v>1191</v>
      </c>
      <c r="V75" s="210" t="s">
        <v>1192</v>
      </c>
      <c r="W75" s="210" t="s">
        <v>49</v>
      </c>
      <c r="X75" s="210" t="s">
        <v>1192</v>
      </c>
      <c r="Y75" s="210" t="s">
        <v>1192</v>
      </c>
      <c r="Z75" s="210" t="s">
        <v>49</v>
      </c>
      <c r="AA75" s="341" t="s">
        <v>203</v>
      </c>
      <c r="AB75" s="368" t="s">
        <v>203</v>
      </c>
    </row>
    <row r="76" spans="1:28" ht="15.75">
      <c r="A76" s="161" t="s">
        <v>585</v>
      </c>
      <c r="B76" s="161" t="s">
        <v>1182</v>
      </c>
      <c r="C76" s="209" t="s">
        <v>17</v>
      </c>
      <c r="D76" s="161" t="s">
        <v>1274</v>
      </c>
      <c r="E76" s="161" t="s">
        <v>1184</v>
      </c>
      <c r="F76" s="161" t="s">
        <v>659</v>
      </c>
      <c r="G76" s="161"/>
      <c r="H76" s="230">
        <v>0.64100000000000001</v>
      </c>
      <c r="I76" s="230" t="s">
        <v>1359</v>
      </c>
      <c r="J76" s="209" t="s">
        <v>1360</v>
      </c>
      <c r="K76" s="209"/>
      <c r="L76" s="161" t="s">
        <v>1182</v>
      </c>
      <c r="M76" s="209" t="s">
        <v>1277</v>
      </c>
      <c r="N76" s="161" t="s">
        <v>660</v>
      </c>
      <c r="O76" s="161" t="s">
        <v>1191</v>
      </c>
      <c r="P76" s="161" t="s">
        <v>1191</v>
      </c>
      <c r="Q76" s="161" t="s">
        <v>1191</v>
      </c>
      <c r="R76" s="161" t="s">
        <v>1191</v>
      </c>
      <c r="S76" s="161" t="s">
        <v>1191</v>
      </c>
      <c r="T76" s="210" t="s">
        <v>49</v>
      </c>
      <c r="U76" s="228" t="s">
        <v>1191</v>
      </c>
      <c r="V76" s="228" t="s">
        <v>1192</v>
      </c>
      <c r="W76" s="210" t="s">
        <v>49</v>
      </c>
      <c r="X76" s="228" t="s">
        <v>1192</v>
      </c>
      <c r="Y76" s="228" t="s">
        <v>1192</v>
      </c>
      <c r="Z76" s="210" t="s">
        <v>49</v>
      </c>
      <c r="AA76" s="341" t="s">
        <v>203</v>
      </c>
      <c r="AB76" s="368" t="s">
        <v>951</v>
      </c>
    </row>
    <row r="77" spans="1:28" ht="15.75">
      <c r="A77" s="209" t="s">
        <v>1156</v>
      </c>
      <c r="B77" s="161" t="s">
        <v>1182</v>
      </c>
      <c r="C77" s="161" t="s">
        <v>952</v>
      </c>
      <c r="D77" s="209" t="s">
        <v>1269</v>
      </c>
      <c r="E77" s="209" t="s">
        <v>1270</v>
      </c>
      <c r="F77" s="161" t="s">
        <v>1361</v>
      </c>
      <c r="G77" s="161" t="s">
        <v>1272</v>
      </c>
      <c r="H77" s="230">
        <v>0.6337890625</v>
      </c>
      <c r="I77" s="230"/>
      <c r="J77" s="209" t="s">
        <v>1273</v>
      </c>
      <c r="K77" s="209"/>
      <c r="O77" s="228" t="s">
        <v>1192</v>
      </c>
      <c r="P77" s="228" t="s">
        <v>1192</v>
      </c>
      <c r="Q77" s="228" t="s">
        <v>1192</v>
      </c>
      <c r="R77" s="228" t="s">
        <v>1192</v>
      </c>
      <c r="S77" s="228" t="s">
        <v>1192</v>
      </c>
      <c r="T77" s="210" t="s">
        <v>49</v>
      </c>
      <c r="U77" s="228" t="s">
        <v>1192</v>
      </c>
      <c r="V77" s="228" t="s">
        <v>1192</v>
      </c>
      <c r="W77" s="210" t="s">
        <v>49</v>
      </c>
      <c r="X77" s="228" t="s">
        <v>1192</v>
      </c>
      <c r="Y77" s="228" t="s">
        <v>1192</v>
      </c>
      <c r="Z77" s="210" t="s">
        <v>49</v>
      </c>
      <c r="AA77" s="341" t="s">
        <v>203</v>
      </c>
      <c r="AB77" s="368" t="s">
        <v>203</v>
      </c>
    </row>
    <row r="78" spans="1:28" ht="15.75">
      <c r="A78" s="209" t="s">
        <v>1156</v>
      </c>
      <c r="B78" s="161" t="s">
        <v>1182</v>
      </c>
      <c r="C78" s="161" t="s">
        <v>17</v>
      </c>
      <c r="D78" s="209" t="s">
        <v>1183</v>
      </c>
      <c r="E78" s="209" t="s">
        <v>1184</v>
      </c>
      <c r="F78" s="161" t="s">
        <v>1362</v>
      </c>
      <c r="G78" s="161" t="s">
        <v>1186</v>
      </c>
      <c r="H78" s="230">
        <v>0.61799999999999999</v>
      </c>
      <c r="I78" s="230" t="s">
        <v>1363</v>
      </c>
      <c r="J78" s="209" t="s">
        <v>1363</v>
      </c>
      <c r="K78" s="209"/>
      <c r="L78" s="209" t="s">
        <v>1182</v>
      </c>
      <c r="M78" s="214" t="s">
        <v>1216</v>
      </c>
      <c r="O78" s="228" t="s">
        <v>1191</v>
      </c>
      <c r="P78" s="228" t="s">
        <v>1191</v>
      </c>
      <c r="Q78" s="228" t="s">
        <v>1191</v>
      </c>
      <c r="R78" s="228" t="s">
        <v>1191</v>
      </c>
      <c r="S78" s="228" t="s">
        <v>1192</v>
      </c>
      <c r="T78" s="210" t="s">
        <v>49</v>
      </c>
      <c r="U78" s="228" t="s">
        <v>1192</v>
      </c>
      <c r="V78" s="228" t="s">
        <v>1192</v>
      </c>
      <c r="W78" s="210" t="s">
        <v>49</v>
      </c>
      <c r="X78" s="228" t="s">
        <v>1192</v>
      </c>
      <c r="Y78" s="228" t="s">
        <v>1192</v>
      </c>
      <c r="Z78" s="210" t="s">
        <v>49</v>
      </c>
      <c r="AA78" s="341" t="s">
        <v>203</v>
      </c>
      <c r="AB78" s="368" t="s">
        <v>951</v>
      </c>
    </row>
    <row r="79" spans="1:28" ht="15">
      <c r="A79" s="161" t="s">
        <v>571</v>
      </c>
      <c r="B79" s="161" t="s">
        <v>1182</v>
      </c>
      <c r="C79" s="209" t="s">
        <v>112</v>
      </c>
      <c r="D79" s="209" t="s">
        <v>1230</v>
      </c>
      <c r="E79" s="161" t="s">
        <v>1244</v>
      </c>
      <c r="F79" s="161" t="s">
        <v>736</v>
      </c>
      <c r="G79" s="161"/>
      <c r="H79" s="230">
        <v>0.61599999999999999</v>
      </c>
      <c r="I79" s="230" t="s">
        <v>1267</v>
      </c>
      <c r="J79" s="209" t="s">
        <v>1267</v>
      </c>
      <c r="K79" s="209"/>
      <c r="L79" s="209" t="s">
        <v>1189</v>
      </c>
      <c r="M79" s="209" t="s">
        <v>1246</v>
      </c>
      <c r="N79" s="209" t="s">
        <v>1364</v>
      </c>
      <c r="O79" s="209" t="s">
        <v>1191</v>
      </c>
      <c r="P79" s="209" t="s">
        <v>1191</v>
      </c>
      <c r="Q79" s="209" t="s">
        <v>1191</v>
      </c>
      <c r="R79" s="209" t="s">
        <v>1191</v>
      </c>
      <c r="S79" s="209" t="s">
        <v>1191</v>
      </c>
      <c r="T79" s="210" t="s">
        <v>49</v>
      </c>
      <c r="U79" s="228" t="s">
        <v>1191</v>
      </c>
      <c r="V79" s="228" t="s">
        <v>1192</v>
      </c>
      <c r="W79" s="210" t="s">
        <v>49</v>
      </c>
      <c r="X79" s="228" t="s">
        <v>1192</v>
      </c>
      <c r="Y79" s="228" t="s">
        <v>1192</v>
      </c>
      <c r="Z79" s="210" t="s">
        <v>49</v>
      </c>
      <c r="AA79" s="341" t="s">
        <v>203</v>
      </c>
      <c r="AB79" s="341" t="s">
        <v>203</v>
      </c>
    </row>
    <row r="80" spans="1:28" ht="30">
      <c r="A80" s="161" t="s">
        <v>580</v>
      </c>
      <c r="B80" s="161" t="s">
        <v>1182</v>
      </c>
      <c r="C80" s="209" t="s">
        <v>955</v>
      </c>
      <c r="D80" s="161" t="s">
        <v>1193</v>
      </c>
      <c r="E80" s="161" t="s">
        <v>1194</v>
      </c>
      <c r="F80" s="162" t="s">
        <v>709</v>
      </c>
      <c r="G80" s="162"/>
      <c r="H80" s="230">
        <v>0.61199999999999999</v>
      </c>
      <c r="I80" s="230" t="s">
        <v>1212</v>
      </c>
      <c r="J80" s="209" t="s">
        <v>1212</v>
      </c>
      <c r="K80" s="209"/>
      <c r="L80" s="209" t="s">
        <v>1182</v>
      </c>
      <c r="M80" s="209" t="s">
        <v>361</v>
      </c>
      <c r="N80" s="161" t="s">
        <v>710</v>
      </c>
      <c r="O80" s="209" t="s">
        <v>1191</v>
      </c>
      <c r="P80" s="209" t="s">
        <v>1191</v>
      </c>
      <c r="Q80" s="209" t="s">
        <v>1191</v>
      </c>
      <c r="R80" s="210" t="s">
        <v>1191</v>
      </c>
      <c r="S80" s="210" t="s">
        <v>1192</v>
      </c>
      <c r="T80" s="210" t="s">
        <v>49</v>
      </c>
      <c r="U80" s="228" t="s">
        <v>1191</v>
      </c>
      <c r="V80" s="228" t="s">
        <v>1192</v>
      </c>
      <c r="W80" s="210" t="s">
        <v>49</v>
      </c>
      <c r="X80" s="228" t="s">
        <v>1192</v>
      </c>
      <c r="Y80" s="228" t="s">
        <v>1192</v>
      </c>
      <c r="Z80" s="210" t="s">
        <v>49</v>
      </c>
      <c r="AA80" s="341" t="s">
        <v>203</v>
      </c>
      <c r="AB80" s="368" t="s">
        <v>203</v>
      </c>
    </row>
    <row r="81" spans="1:28" ht="45">
      <c r="A81" s="161" t="s">
        <v>580</v>
      </c>
      <c r="B81" s="161" t="s">
        <v>1182</v>
      </c>
      <c r="C81" s="209" t="s">
        <v>71</v>
      </c>
      <c r="D81" s="161" t="s">
        <v>1243</v>
      </c>
      <c r="E81" s="161" t="s">
        <v>1365</v>
      </c>
      <c r="F81" s="162" t="s">
        <v>637</v>
      </c>
      <c r="G81" s="162"/>
      <c r="H81" s="230">
        <v>0.59699999999999998</v>
      </c>
      <c r="I81" s="230" t="s">
        <v>1366</v>
      </c>
      <c r="J81" s="209" t="s">
        <v>1367</v>
      </c>
      <c r="K81" s="161" t="s">
        <v>1366</v>
      </c>
      <c r="L81" s="209" t="s">
        <v>1189</v>
      </c>
      <c r="M81" s="209" t="s">
        <v>1368</v>
      </c>
      <c r="N81" s="228" t="s">
        <v>1286</v>
      </c>
      <c r="O81" s="228" t="s">
        <v>1191</v>
      </c>
      <c r="P81" s="228" t="s">
        <v>1191</v>
      </c>
      <c r="Q81" s="228" t="s">
        <v>1191</v>
      </c>
      <c r="R81" s="228" t="s">
        <v>1191</v>
      </c>
      <c r="S81" s="228" t="s">
        <v>1191</v>
      </c>
      <c r="T81" s="210" t="s">
        <v>49</v>
      </c>
      <c r="U81" s="228" t="s">
        <v>1191</v>
      </c>
      <c r="V81" s="228" t="s">
        <v>1192</v>
      </c>
      <c r="W81" s="210" t="s">
        <v>49</v>
      </c>
      <c r="X81" s="228" t="s">
        <v>1192</v>
      </c>
      <c r="Y81" s="228" t="s">
        <v>1192</v>
      </c>
      <c r="Z81" s="210" t="s">
        <v>49</v>
      </c>
      <c r="AA81" s="341" t="s">
        <v>203</v>
      </c>
      <c r="AB81" s="368" t="s">
        <v>951</v>
      </c>
    </row>
    <row r="82" spans="1:28" ht="15.75">
      <c r="A82" s="161" t="s">
        <v>585</v>
      </c>
      <c r="B82" s="161" t="s">
        <v>1182</v>
      </c>
      <c r="C82" s="209" t="s">
        <v>66</v>
      </c>
      <c r="D82" s="161" t="s">
        <v>1369</v>
      </c>
      <c r="E82" s="161" t="s">
        <v>1369</v>
      </c>
      <c r="F82" s="161" t="s">
        <v>550</v>
      </c>
      <c r="G82" s="161"/>
      <c r="H82" s="230">
        <v>0.58984375</v>
      </c>
      <c r="I82" s="230" t="s">
        <v>1370</v>
      </c>
      <c r="J82" s="209"/>
      <c r="K82" s="209"/>
      <c r="L82" s="209" t="s">
        <v>1189</v>
      </c>
      <c r="M82" s="209" t="s">
        <v>1371</v>
      </c>
      <c r="N82" s="210" t="s">
        <v>1372</v>
      </c>
      <c r="O82" s="210" t="s">
        <v>1191</v>
      </c>
      <c r="P82" s="210" t="s">
        <v>1191</v>
      </c>
      <c r="Q82" s="228" t="s">
        <v>1191</v>
      </c>
      <c r="R82" s="210" t="s">
        <v>1191</v>
      </c>
      <c r="S82" s="228" t="s">
        <v>1191</v>
      </c>
      <c r="T82" s="210" t="s">
        <v>49</v>
      </c>
      <c r="U82" s="228" t="s">
        <v>1191</v>
      </c>
      <c r="V82" s="210" t="s">
        <v>1192</v>
      </c>
      <c r="W82" s="210" t="s">
        <v>49</v>
      </c>
      <c r="X82" s="210" t="s">
        <v>1192</v>
      </c>
      <c r="Y82" s="210" t="s">
        <v>1192</v>
      </c>
      <c r="Z82" s="210" t="s">
        <v>49</v>
      </c>
      <c r="AA82" s="341" t="s">
        <v>203</v>
      </c>
      <c r="AB82" s="368" t="s">
        <v>203</v>
      </c>
    </row>
    <row r="83" spans="1:28" ht="15.75">
      <c r="A83" s="161" t="s">
        <v>580</v>
      </c>
      <c r="B83" s="161" t="s">
        <v>1182</v>
      </c>
      <c r="C83" s="209" t="s">
        <v>17</v>
      </c>
      <c r="D83" s="161" t="s">
        <v>1183</v>
      </c>
      <c r="E83" s="161" t="s">
        <v>1184</v>
      </c>
      <c r="F83" s="161" t="s">
        <v>764</v>
      </c>
      <c r="G83" s="161"/>
      <c r="H83" s="230">
        <v>0.53700000000000003</v>
      </c>
      <c r="I83" s="230" t="s">
        <v>1373</v>
      </c>
      <c r="J83" s="209" t="s">
        <v>1298</v>
      </c>
      <c r="K83" s="209"/>
      <c r="L83" s="209" t="s">
        <v>1182</v>
      </c>
      <c r="M83" s="214" t="s">
        <v>1216</v>
      </c>
      <c r="N83" s="161" t="s">
        <v>765</v>
      </c>
      <c r="O83" s="228" t="s">
        <v>1191</v>
      </c>
      <c r="P83" s="228" t="s">
        <v>1191</v>
      </c>
      <c r="Q83" s="228" t="s">
        <v>1191</v>
      </c>
      <c r="R83" s="228" t="s">
        <v>1191</v>
      </c>
      <c r="S83" s="228" t="s">
        <v>1191</v>
      </c>
      <c r="T83" s="210" t="s">
        <v>49</v>
      </c>
      <c r="U83" s="437" t="s">
        <v>1191</v>
      </c>
      <c r="V83" s="228" t="s">
        <v>1192</v>
      </c>
      <c r="W83" s="210" t="s">
        <v>49</v>
      </c>
      <c r="X83" s="228" t="s">
        <v>1192</v>
      </c>
      <c r="Y83" s="228" t="s">
        <v>1192</v>
      </c>
      <c r="Z83" s="210" t="s">
        <v>49</v>
      </c>
      <c r="AA83" s="341" t="s">
        <v>203</v>
      </c>
      <c r="AB83" s="368" t="s">
        <v>951</v>
      </c>
    </row>
    <row r="84" spans="1:28" ht="45">
      <c r="A84" s="161" t="s">
        <v>585</v>
      </c>
      <c r="B84" s="161" t="s">
        <v>1182</v>
      </c>
      <c r="C84" s="209" t="s">
        <v>71</v>
      </c>
      <c r="D84" s="161" t="s">
        <v>1243</v>
      </c>
      <c r="E84" s="161" t="s">
        <v>1365</v>
      </c>
      <c r="F84" s="162" t="s">
        <v>589</v>
      </c>
      <c r="G84" s="162"/>
      <c r="H84" s="230">
        <v>0.53700000000000003</v>
      </c>
      <c r="I84" s="230" t="s">
        <v>1366</v>
      </c>
      <c r="J84" s="209" t="s">
        <v>1374</v>
      </c>
      <c r="K84" s="161" t="s">
        <v>1366</v>
      </c>
      <c r="L84" s="209" t="s">
        <v>1182</v>
      </c>
      <c r="M84" s="209" t="s">
        <v>361</v>
      </c>
      <c r="N84" s="228" t="s">
        <v>1375</v>
      </c>
      <c r="O84" s="228" t="s">
        <v>1191</v>
      </c>
      <c r="P84" s="228" t="s">
        <v>1191</v>
      </c>
      <c r="Q84" s="228" t="s">
        <v>1191</v>
      </c>
      <c r="R84" s="228" t="s">
        <v>1191</v>
      </c>
      <c r="S84" s="228" t="s">
        <v>1191</v>
      </c>
      <c r="T84" s="210" t="s">
        <v>49</v>
      </c>
      <c r="U84" s="228" t="s">
        <v>1191</v>
      </c>
      <c r="V84" s="228" t="s">
        <v>1192</v>
      </c>
      <c r="W84" s="210" t="s">
        <v>49</v>
      </c>
      <c r="X84" s="228" t="s">
        <v>1192</v>
      </c>
      <c r="Y84" s="228" t="s">
        <v>1192</v>
      </c>
      <c r="Z84" s="210" t="s">
        <v>49</v>
      </c>
      <c r="AA84" s="341" t="s">
        <v>203</v>
      </c>
      <c r="AB84" s="368" t="s">
        <v>951</v>
      </c>
    </row>
    <row r="85" spans="1:28" ht="15">
      <c r="A85" s="161" t="s">
        <v>571</v>
      </c>
      <c r="B85" s="161" t="s">
        <v>1182</v>
      </c>
      <c r="C85" s="209" t="s">
        <v>112</v>
      </c>
      <c r="D85" s="209" t="s">
        <v>1230</v>
      </c>
      <c r="E85" s="161" t="s">
        <v>1244</v>
      </c>
      <c r="F85" s="161" t="s">
        <v>720</v>
      </c>
      <c r="G85" s="161"/>
      <c r="H85" s="230">
        <v>0.44800000000000001</v>
      </c>
      <c r="I85" s="230" t="s">
        <v>1267</v>
      </c>
      <c r="J85" s="209" t="s">
        <v>1267</v>
      </c>
      <c r="K85" s="209"/>
      <c r="L85" s="209" t="s">
        <v>1189</v>
      </c>
      <c r="M85" s="209" t="s">
        <v>1246</v>
      </c>
      <c r="N85" s="209" t="s">
        <v>1376</v>
      </c>
      <c r="O85" s="209" t="s">
        <v>1191</v>
      </c>
      <c r="P85" s="228" t="s">
        <v>1191</v>
      </c>
      <c r="Q85" s="209" t="s">
        <v>1191</v>
      </c>
      <c r="R85" s="209" t="s">
        <v>1191</v>
      </c>
      <c r="S85" s="209" t="s">
        <v>1191</v>
      </c>
      <c r="T85" s="210" t="s">
        <v>49</v>
      </c>
      <c r="U85" s="228" t="s">
        <v>1191</v>
      </c>
      <c r="V85" s="228" t="s">
        <v>1192</v>
      </c>
      <c r="W85" s="210" t="s">
        <v>49</v>
      </c>
      <c r="X85" s="228" t="s">
        <v>1192</v>
      </c>
      <c r="Y85" s="228" t="s">
        <v>1192</v>
      </c>
      <c r="Z85" s="210" t="s">
        <v>49</v>
      </c>
      <c r="AA85" s="341" t="s">
        <v>203</v>
      </c>
      <c r="AB85" s="341" t="s">
        <v>203</v>
      </c>
    </row>
    <row r="86" spans="1:28" ht="15.75">
      <c r="A86" s="209" t="s">
        <v>1156</v>
      </c>
      <c r="B86" s="161" t="s">
        <v>1189</v>
      </c>
      <c r="C86" s="209" t="s">
        <v>117</v>
      </c>
      <c r="D86" s="209" t="s">
        <v>1256</v>
      </c>
      <c r="E86" s="209" t="s">
        <v>117</v>
      </c>
      <c r="F86" s="161" t="s">
        <v>1377</v>
      </c>
      <c r="G86" s="161" t="s">
        <v>1258</v>
      </c>
      <c r="H86" s="230">
        <v>0.42899999999999999</v>
      </c>
      <c r="I86" s="369" t="s">
        <v>1378</v>
      </c>
      <c r="J86" s="209" t="s">
        <v>1313</v>
      </c>
      <c r="K86" s="209"/>
      <c r="O86" s="228" t="s">
        <v>49</v>
      </c>
      <c r="P86" s="228" t="s">
        <v>49</v>
      </c>
      <c r="Q86" s="228" t="s">
        <v>49</v>
      </c>
      <c r="R86" s="228" t="s">
        <v>49</v>
      </c>
      <c r="S86" s="228" t="s">
        <v>49</v>
      </c>
      <c r="T86" s="228" t="s">
        <v>1192</v>
      </c>
      <c r="U86" s="228" t="s">
        <v>49</v>
      </c>
      <c r="V86" s="228" t="s">
        <v>49</v>
      </c>
      <c r="W86" s="210" t="s">
        <v>1192</v>
      </c>
      <c r="X86" s="228" t="s">
        <v>49</v>
      </c>
      <c r="Y86" s="228" t="s">
        <v>49</v>
      </c>
      <c r="Z86" s="210" t="s">
        <v>1192</v>
      </c>
      <c r="AA86" s="341" t="s">
        <v>203</v>
      </c>
      <c r="AB86" s="368" t="s">
        <v>203</v>
      </c>
    </row>
    <row r="87" spans="1:28" ht="15.75">
      <c r="A87" s="161" t="s">
        <v>580</v>
      </c>
      <c r="B87" s="161" t="s">
        <v>1189</v>
      </c>
      <c r="C87" s="209" t="s">
        <v>117</v>
      </c>
      <c r="D87" s="161" t="s">
        <v>1256</v>
      </c>
      <c r="E87" s="209" t="s">
        <v>1203</v>
      </c>
      <c r="F87" s="162" t="s">
        <v>600</v>
      </c>
      <c r="G87" s="162"/>
      <c r="H87" s="230">
        <v>0.40899999999999997</v>
      </c>
      <c r="I87" s="209" t="s">
        <v>1379</v>
      </c>
      <c r="J87" s="209" t="s">
        <v>1379</v>
      </c>
      <c r="K87" s="209"/>
      <c r="L87" s="209" t="s">
        <v>361</v>
      </c>
      <c r="M87" s="209" t="s">
        <v>361</v>
      </c>
      <c r="N87" s="228" t="s">
        <v>601</v>
      </c>
      <c r="O87" s="228" t="s">
        <v>49</v>
      </c>
      <c r="P87" s="228" t="s">
        <v>49</v>
      </c>
      <c r="Q87" s="228" t="s">
        <v>49</v>
      </c>
      <c r="R87" s="228" t="s">
        <v>49</v>
      </c>
      <c r="S87" s="228" t="s">
        <v>49</v>
      </c>
      <c r="T87" s="228" t="s">
        <v>1191</v>
      </c>
      <c r="U87" s="228" t="s">
        <v>49</v>
      </c>
      <c r="V87" s="228" t="s">
        <v>49</v>
      </c>
      <c r="W87" s="210" t="s">
        <v>1191</v>
      </c>
      <c r="X87" s="228" t="s">
        <v>1192</v>
      </c>
      <c r="Y87" s="228" t="s">
        <v>49</v>
      </c>
      <c r="Z87" s="210" t="s">
        <v>1192</v>
      </c>
      <c r="AA87" s="341" t="s">
        <v>203</v>
      </c>
      <c r="AB87" s="368" t="s">
        <v>203</v>
      </c>
    </row>
    <row r="88" spans="1:28" ht="15.75">
      <c r="A88" s="161" t="s">
        <v>580</v>
      </c>
      <c r="B88" s="161" t="s">
        <v>1182</v>
      </c>
      <c r="C88" s="209" t="s">
        <v>17</v>
      </c>
      <c r="D88" s="161" t="s">
        <v>1380</v>
      </c>
      <c r="E88" s="161" t="s">
        <v>1184</v>
      </c>
      <c r="F88" s="151" t="s">
        <v>781</v>
      </c>
      <c r="G88" s="151"/>
      <c r="H88" s="230">
        <v>0.38100000000000001</v>
      </c>
      <c r="I88" s="230" t="s">
        <v>1381</v>
      </c>
      <c r="J88" s="209" t="s">
        <v>1382</v>
      </c>
      <c r="K88" s="209"/>
      <c r="L88" s="209" t="s">
        <v>1182</v>
      </c>
      <c r="M88" s="214"/>
      <c r="N88" s="161" t="s">
        <v>1383</v>
      </c>
      <c r="O88" s="228" t="s">
        <v>1191</v>
      </c>
      <c r="P88" s="228" t="s">
        <v>1191</v>
      </c>
      <c r="Q88" s="228" t="s">
        <v>1191</v>
      </c>
      <c r="R88" s="228" t="s">
        <v>1191</v>
      </c>
      <c r="S88" s="228" t="s">
        <v>1191</v>
      </c>
      <c r="T88" s="210" t="s">
        <v>49</v>
      </c>
      <c r="U88" s="437" t="s">
        <v>1191</v>
      </c>
      <c r="V88" s="228" t="s">
        <v>1192</v>
      </c>
      <c r="W88" s="210" t="s">
        <v>49</v>
      </c>
      <c r="X88" s="228" t="s">
        <v>1192</v>
      </c>
      <c r="Y88" s="228" t="s">
        <v>1192</v>
      </c>
      <c r="Z88" s="210" t="s">
        <v>49</v>
      </c>
      <c r="AA88" s="341" t="s">
        <v>203</v>
      </c>
      <c r="AB88" s="368" t="s">
        <v>203</v>
      </c>
    </row>
    <row r="89" spans="1:28" ht="15.75">
      <c r="A89" s="209" t="s">
        <v>1156</v>
      </c>
      <c r="B89" s="161" t="s">
        <v>1182</v>
      </c>
      <c r="C89" s="161" t="s">
        <v>952</v>
      </c>
      <c r="D89" s="209" t="s">
        <v>1269</v>
      </c>
      <c r="E89" s="209" t="s">
        <v>1270</v>
      </c>
      <c r="F89" s="161" t="s">
        <v>1384</v>
      </c>
      <c r="G89" s="161" t="s">
        <v>1272</v>
      </c>
      <c r="H89" s="230">
        <v>0.375</v>
      </c>
      <c r="I89" s="230"/>
      <c r="J89" s="209" t="s">
        <v>1273</v>
      </c>
      <c r="K89" s="209"/>
      <c r="O89" s="228" t="s">
        <v>1192</v>
      </c>
      <c r="P89" s="228" t="s">
        <v>1192</v>
      </c>
      <c r="Q89" s="228" t="s">
        <v>1192</v>
      </c>
      <c r="R89" s="228" t="s">
        <v>1192</v>
      </c>
      <c r="S89" s="228" t="s">
        <v>1192</v>
      </c>
      <c r="T89" s="210" t="s">
        <v>49</v>
      </c>
      <c r="U89" s="228" t="s">
        <v>1192</v>
      </c>
      <c r="V89" s="228" t="s">
        <v>1192</v>
      </c>
      <c r="W89" s="210" t="s">
        <v>49</v>
      </c>
      <c r="X89" s="228" t="s">
        <v>1192</v>
      </c>
      <c r="Y89" s="228" t="s">
        <v>1192</v>
      </c>
      <c r="Z89" s="210" t="s">
        <v>49</v>
      </c>
      <c r="AA89" s="341" t="s">
        <v>203</v>
      </c>
      <c r="AB89" s="368" t="s">
        <v>203</v>
      </c>
    </row>
    <row r="90" spans="1:28" ht="15.75">
      <c r="A90" s="161" t="s">
        <v>580</v>
      </c>
      <c r="B90" s="161" t="s">
        <v>1182</v>
      </c>
      <c r="C90" s="209" t="s">
        <v>17</v>
      </c>
      <c r="D90" s="161" t="s">
        <v>1274</v>
      </c>
      <c r="E90" s="161" t="s">
        <v>1184</v>
      </c>
      <c r="F90" s="161" t="s">
        <v>786</v>
      </c>
      <c r="G90" s="161"/>
      <c r="H90" s="230">
        <v>0.36599999999999999</v>
      </c>
      <c r="I90" s="230" t="s">
        <v>1385</v>
      </c>
      <c r="J90" s="209" t="s">
        <v>1386</v>
      </c>
      <c r="K90" s="209"/>
      <c r="L90" s="209" t="s">
        <v>1182</v>
      </c>
      <c r="M90" s="214" t="s">
        <v>1277</v>
      </c>
      <c r="N90" s="161" t="s">
        <v>787</v>
      </c>
      <c r="O90" s="228" t="s">
        <v>1191</v>
      </c>
      <c r="P90" s="228" t="s">
        <v>1191</v>
      </c>
      <c r="Q90" s="228" t="s">
        <v>1191</v>
      </c>
      <c r="R90" s="228" t="s">
        <v>1191</v>
      </c>
      <c r="S90" s="228" t="s">
        <v>1191</v>
      </c>
      <c r="T90" s="210" t="s">
        <v>49</v>
      </c>
      <c r="U90" s="437" t="s">
        <v>1191</v>
      </c>
      <c r="V90" s="228" t="s">
        <v>1192</v>
      </c>
      <c r="W90" s="210" t="s">
        <v>49</v>
      </c>
      <c r="X90" s="228" t="s">
        <v>1192</v>
      </c>
      <c r="Y90" s="228" t="s">
        <v>1192</v>
      </c>
      <c r="Z90" s="210" t="s">
        <v>49</v>
      </c>
      <c r="AA90" s="341" t="s">
        <v>203</v>
      </c>
      <c r="AB90" s="368" t="s">
        <v>951</v>
      </c>
    </row>
    <row r="91" spans="1:28" ht="15.75">
      <c r="A91" s="161" t="s">
        <v>609</v>
      </c>
      <c r="B91" s="161" t="s">
        <v>1182</v>
      </c>
      <c r="C91" s="209" t="s">
        <v>17</v>
      </c>
      <c r="D91" s="161" t="s">
        <v>1183</v>
      </c>
      <c r="E91" s="161" t="s">
        <v>1184</v>
      </c>
      <c r="F91" s="161" t="s">
        <v>1387</v>
      </c>
      <c r="G91" s="161"/>
      <c r="H91" s="230">
        <v>0.35799999999999998</v>
      </c>
      <c r="I91" s="230" t="s">
        <v>1388</v>
      </c>
      <c r="J91" s="209" t="s">
        <v>1389</v>
      </c>
      <c r="K91" s="209"/>
      <c r="L91" s="209" t="s">
        <v>1182</v>
      </c>
      <c r="M91" s="214" t="s">
        <v>1216</v>
      </c>
      <c r="N91" s="161" t="s">
        <v>1390</v>
      </c>
      <c r="O91" s="228" t="s">
        <v>1191</v>
      </c>
      <c r="P91" s="228" t="s">
        <v>1191</v>
      </c>
      <c r="Q91" s="228" t="s">
        <v>1191</v>
      </c>
      <c r="R91" s="228" t="s">
        <v>1191</v>
      </c>
      <c r="S91" s="228" t="s">
        <v>1191</v>
      </c>
      <c r="T91" s="210" t="s">
        <v>49</v>
      </c>
      <c r="U91" s="228" t="s">
        <v>1191</v>
      </c>
      <c r="V91" s="228" t="s">
        <v>1192</v>
      </c>
      <c r="W91" s="210" t="s">
        <v>49</v>
      </c>
      <c r="X91" s="228" t="s">
        <v>1192</v>
      </c>
      <c r="Y91" s="228" t="s">
        <v>1192</v>
      </c>
      <c r="Z91" s="210" t="s">
        <v>49</v>
      </c>
      <c r="AA91" s="341" t="s">
        <v>203</v>
      </c>
      <c r="AB91" s="368" t="s">
        <v>203</v>
      </c>
    </row>
    <row r="92" spans="1:28" ht="15.75">
      <c r="A92" s="209" t="s">
        <v>1156</v>
      </c>
      <c r="B92" s="161" t="s">
        <v>1182</v>
      </c>
      <c r="C92" s="161" t="s">
        <v>17</v>
      </c>
      <c r="D92" s="209" t="s">
        <v>1183</v>
      </c>
      <c r="E92" s="209" t="s">
        <v>1184</v>
      </c>
      <c r="F92" s="161" t="s">
        <v>1391</v>
      </c>
      <c r="G92" s="161" t="s">
        <v>1186</v>
      </c>
      <c r="H92" s="230">
        <v>0.35799999999999998</v>
      </c>
      <c r="I92" s="230" t="s">
        <v>1392</v>
      </c>
      <c r="J92" s="209" t="s">
        <v>1392</v>
      </c>
      <c r="K92" s="209"/>
      <c r="L92" s="209" t="s">
        <v>1182</v>
      </c>
      <c r="M92" s="214" t="s">
        <v>1216</v>
      </c>
      <c r="O92" s="228" t="s">
        <v>1191</v>
      </c>
      <c r="P92" s="228" t="s">
        <v>1191</v>
      </c>
      <c r="Q92" s="228" t="s">
        <v>1191</v>
      </c>
      <c r="R92" s="228" t="s">
        <v>1191</v>
      </c>
      <c r="S92" s="228" t="s">
        <v>1192</v>
      </c>
      <c r="T92" s="210" t="s">
        <v>49</v>
      </c>
      <c r="U92" s="228" t="s">
        <v>1192</v>
      </c>
      <c r="V92" s="228" t="s">
        <v>1192</v>
      </c>
      <c r="W92" s="210" t="s">
        <v>49</v>
      </c>
      <c r="X92" s="228" t="s">
        <v>1192</v>
      </c>
      <c r="Y92" s="228" t="s">
        <v>1192</v>
      </c>
      <c r="Z92" s="210" t="s">
        <v>49</v>
      </c>
      <c r="AA92" s="341" t="s">
        <v>203</v>
      </c>
      <c r="AB92" s="368" t="s">
        <v>951</v>
      </c>
    </row>
    <row r="93" spans="1:28" ht="15.75">
      <c r="A93" s="161" t="s">
        <v>580</v>
      </c>
      <c r="B93" s="161" t="s">
        <v>1182</v>
      </c>
      <c r="C93" s="209" t="s">
        <v>17</v>
      </c>
      <c r="D93" s="161" t="s">
        <v>1314</v>
      </c>
      <c r="E93" s="161" t="s">
        <v>1184</v>
      </c>
      <c r="F93" s="161" t="s">
        <v>725</v>
      </c>
      <c r="G93" s="161" t="s">
        <v>1199</v>
      </c>
      <c r="H93" s="230">
        <v>0.34799999999999998</v>
      </c>
      <c r="I93" s="230" t="s">
        <v>1393</v>
      </c>
      <c r="J93" t="s">
        <v>1393</v>
      </c>
      <c r="K93" s="209"/>
      <c r="L93" s="161" t="s">
        <v>1182</v>
      </c>
      <c r="M93" s="209" t="s">
        <v>1216</v>
      </c>
      <c r="N93" s="161" t="s">
        <v>1394</v>
      </c>
      <c r="O93" s="228" t="s">
        <v>1191</v>
      </c>
      <c r="P93" s="228" t="s">
        <v>1191</v>
      </c>
      <c r="Q93" s="228" t="s">
        <v>1191</v>
      </c>
      <c r="R93" s="228" t="s">
        <v>1191</v>
      </c>
      <c r="S93" s="228" t="s">
        <v>1192</v>
      </c>
      <c r="T93" s="210" t="s">
        <v>49</v>
      </c>
      <c r="U93" s="228" t="s">
        <v>1191</v>
      </c>
      <c r="V93" s="228" t="s">
        <v>1192</v>
      </c>
      <c r="W93" s="210" t="s">
        <v>49</v>
      </c>
      <c r="X93" s="228" t="s">
        <v>1192</v>
      </c>
      <c r="Y93" s="228" t="s">
        <v>1192</v>
      </c>
      <c r="Z93" s="210" t="s">
        <v>49</v>
      </c>
      <c r="AA93" s="341" t="s">
        <v>203</v>
      </c>
      <c r="AB93" s="368" t="s">
        <v>203</v>
      </c>
    </row>
    <row r="94" spans="1:28" ht="15.75">
      <c r="A94" s="209" t="s">
        <v>1156</v>
      </c>
      <c r="B94" s="161" t="s">
        <v>1189</v>
      </c>
      <c r="C94" s="209" t="s">
        <v>57</v>
      </c>
      <c r="D94" s="209" t="s">
        <v>1236</v>
      </c>
      <c r="E94" s="209" t="s">
        <v>1237</v>
      </c>
      <c r="F94" s="161" t="s">
        <v>1395</v>
      </c>
      <c r="G94" s="161" t="s">
        <v>1239</v>
      </c>
      <c r="H94" s="230">
        <v>0.30399999999999999</v>
      </c>
      <c r="I94" s="230" t="s">
        <v>1396</v>
      </c>
      <c r="J94" s="209" t="s">
        <v>361</v>
      </c>
      <c r="K94" s="209"/>
      <c r="L94" s="210" t="s">
        <v>1182</v>
      </c>
      <c r="O94" s="209" t="s">
        <v>49</v>
      </c>
      <c r="P94" s="209" t="s">
        <v>49</v>
      </c>
      <c r="Q94" s="209" t="s">
        <v>49</v>
      </c>
      <c r="R94" s="228" t="s">
        <v>49</v>
      </c>
      <c r="S94" s="228" t="s">
        <v>49</v>
      </c>
      <c r="T94" s="210" t="s">
        <v>1192</v>
      </c>
      <c r="U94" s="228" t="s">
        <v>49</v>
      </c>
      <c r="V94" s="228" t="s">
        <v>49</v>
      </c>
      <c r="W94" s="210" t="s">
        <v>1192</v>
      </c>
      <c r="X94" s="228" t="s">
        <v>49</v>
      </c>
      <c r="Y94" s="228" t="s">
        <v>49</v>
      </c>
      <c r="Z94" s="210" t="s">
        <v>1192</v>
      </c>
      <c r="AA94" s="341" t="s">
        <v>203</v>
      </c>
      <c r="AB94" s="368" t="s">
        <v>203</v>
      </c>
    </row>
    <row r="95" spans="1:28" ht="30">
      <c r="A95" s="161" t="s">
        <v>580</v>
      </c>
      <c r="B95" s="161" t="s">
        <v>1189</v>
      </c>
      <c r="C95" s="209" t="s">
        <v>117</v>
      </c>
      <c r="D95" s="161" t="s">
        <v>1256</v>
      </c>
      <c r="E95" s="209" t="s">
        <v>1203</v>
      </c>
      <c r="F95" s="162" t="s">
        <v>586</v>
      </c>
      <c r="G95" s="162"/>
      <c r="H95" s="230">
        <v>0.27300000000000002</v>
      </c>
      <c r="I95" s="209" t="s">
        <v>1379</v>
      </c>
      <c r="J95" s="209" t="s">
        <v>1379</v>
      </c>
      <c r="K95" s="209"/>
      <c r="L95" s="209" t="s">
        <v>361</v>
      </c>
      <c r="M95" s="209" t="s">
        <v>361</v>
      </c>
      <c r="N95" s="228" t="s">
        <v>587</v>
      </c>
      <c r="O95" s="228" t="s">
        <v>49</v>
      </c>
      <c r="P95" s="228" t="s">
        <v>49</v>
      </c>
      <c r="Q95" s="228" t="s">
        <v>49</v>
      </c>
      <c r="R95" s="228" t="s">
        <v>49</v>
      </c>
      <c r="S95" s="228" t="s">
        <v>49</v>
      </c>
      <c r="T95" s="228" t="s">
        <v>1191</v>
      </c>
      <c r="U95" s="450" t="s">
        <v>49</v>
      </c>
      <c r="V95" s="228" t="s">
        <v>49</v>
      </c>
      <c r="W95" s="210" t="s">
        <v>1191</v>
      </c>
      <c r="X95" s="228" t="s">
        <v>1192</v>
      </c>
      <c r="Y95" s="228" t="s">
        <v>49</v>
      </c>
      <c r="Z95" s="210" t="s">
        <v>1192</v>
      </c>
      <c r="AA95" s="341" t="s">
        <v>203</v>
      </c>
      <c r="AB95" s="368" t="s">
        <v>203</v>
      </c>
    </row>
    <row r="96" spans="1:28" ht="45">
      <c r="A96" s="161" t="s">
        <v>571</v>
      </c>
      <c r="B96" s="161" t="s">
        <v>1189</v>
      </c>
      <c r="C96" s="209" t="s">
        <v>39</v>
      </c>
      <c r="D96" s="209" t="s">
        <v>1288</v>
      </c>
      <c r="E96" s="161" t="s">
        <v>1282</v>
      </c>
      <c r="F96" s="162" t="s">
        <v>595</v>
      </c>
      <c r="G96" s="162"/>
      <c r="H96" s="230">
        <v>0.26700000000000002</v>
      </c>
      <c r="I96" s="230" t="s">
        <v>1397</v>
      </c>
      <c r="J96" s="427" t="s">
        <v>1398</v>
      </c>
      <c r="K96" s="209"/>
      <c r="L96" s="209" t="s">
        <v>1182</v>
      </c>
      <c r="M96" s="209" t="s">
        <v>361</v>
      </c>
      <c r="N96" s="161" t="s">
        <v>1399</v>
      </c>
      <c r="O96" s="228" t="s">
        <v>49</v>
      </c>
      <c r="P96" s="228" t="s">
        <v>49</v>
      </c>
      <c r="Q96" s="228" t="s">
        <v>49</v>
      </c>
      <c r="R96" s="228" t="s">
        <v>49</v>
      </c>
      <c r="S96" s="228" t="s">
        <v>49</v>
      </c>
      <c r="T96" s="210" t="s">
        <v>1191</v>
      </c>
      <c r="U96" s="228" t="s">
        <v>49</v>
      </c>
      <c r="V96" s="228" t="s">
        <v>49</v>
      </c>
      <c r="W96" s="210" t="s">
        <v>1191</v>
      </c>
      <c r="X96" s="228" t="s">
        <v>1192</v>
      </c>
      <c r="Y96" s="228" t="s">
        <v>49</v>
      </c>
      <c r="Z96" s="210" t="s">
        <v>1192</v>
      </c>
      <c r="AA96" s="341" t="s">
        <v>203</v>
      </c>
      <c r="AB96" s="368" t="s">
        <v>182</v>
      </c>
    </row>
    <row r="97" spans="1:28" ht="15.75">
      <c r="A97" s="161" t="s">
        <v>580</v>
      </c>
      <c r="B97" s="161" t="s">
        <v>1182</v>
      </c>
      <c r="C97" s="209" t="s">
        <v>17</v>
      </c>
      <c r="D97" s="161" t="s">
        <v>1183</v>
      </c>
      <c r="E97" s="161" t="s">
        <v>1184</v>
      </c>
      <c r="F97" s="161" t="s">
        <v>779</v>
      </c>
      <c r="G97" s="161"/>
      <c r="H97" s="230">
        <v>0.26500000000000001</v>
      </c>
      <c r="I97" s="230" t="s">
        <v>1400</v>
      </c>
      <c r="J97" s="209" t="s">
        <v>1401</v>
      </c>
      <c r="K97" s="209"/>
      <c r="L97" s="209" t="s">
        <v>1182</v>
      </c>
      <c r="M97" s="214" t="s">
        <v>1216</v>
      </c>
      <c r="N97" s="161" t="s">
        <v>780</v>
      </c>
      <c r="O97" s="228" t="s">
        <v>1191</v>
      </c>
      <c r="P97" s="228" t="s">
        <v>1191</v>
      </c>
      <c r="Q97" s="228" t="s">
        <v>1191</v>
      </c>
      <c r="R97" s="228" t="s">
        <v>1191</v>
      </c>
      <c r="S97" s="228" t="s">
        <v>1191</v>
      </c>
      <c r="T97" s="210" t="s">
        <v>49</v>
      </c>
      <c r="U97" s="228" t="s">
        <v>1191</v>
      </c>
      <c r="V97" s="228" t="s">
        <v>1192</v>
      </c>
      <c r="W97" s="210" t="s">
        <v>49</v>
      </c>
      <c r="X97" s="228" t="s">
        <v>1192</v>
      </c>
      <c r="Y97" s="228" t="s">
        <v>1192</v>
      </c>
      <c r="Z97" s="210" t="s">
        <v>49</v>
      </c>
      <c r="AA97" s="341" t="s">
        <v>203</v>
      </c>
      <c r="AB97" s="368" t="s">
        <v>951</v>
      </c>
    </row>
    <row r="98" spans="1:28" ht="15.75">
      <c r="A98" s="209" t="s">
        <v>1156</v>
      </c>
      <c r="B98" s="161" t="s">
        <v>1182</v>
      </c>
      <c r="C98" s="161" t="s">
        <v>17</v>
      </c>
      <c r="D98" s="209" t="s">
        <v>1274</v>
      </c>
      <c r="E98" s="209" t="s">
        <v>1184</v>
      </c>
      <c r="F98" s="161" t="s">
        <v>1402</v>
      </c>
      <c r="G98" s="161" t="s">
        <v>1186</v>
      </c>
      <c r="H98" s="230">
        <v>0.26400000000000001</v>
      </c>
      <c r="I98" s="230" t="s">
        <v>1403</v>
      </c>
      <c r="J98" s="209" t="s">
        <v>1404</v>
      </c>
      <c r="K98" s="209"/>
      <c r="L98" s="209" t="s">
        <v>1182</v>
      </c>
      <c r="M98" s="214" t="s">
        <v>1304</v>
      </c>
      <c r="N98" s="228" t="s">
        <v>1405</v>
      </c>
      <c r="O98" s="228" t="s">
        <v>1191</v>
      </c>
      <c r="P98" s="228" t="s">
        <v>1191</v>
      </c>
      <c r="Q98" s="228" t="s">
        <v>1191</v>
      </c>
      <c r="R98" s="228" t="s">
        <v>1191</v>
      </c>
      <c r="S98" s="228" t="s">
        <v>1192</v>
      </c>
      <c r="T98" s="210" t="s">
        <v>49</v>
      </c>
      <c r="U98" s="228" t="s">
        <v>1192</v>
      </c>
      <c r="V98" s="228" t="s">
        <v>1192</v>
      </c>
      <c r="W98" s="210" t="s">
        <v>49</v>
      </c>
      <c r="X98" s="228" t="s">
        <v>1192</v>
      </c>
      <c r="Y98" s="228" t="s">
        <v>1192</v>
      </c>
      <c r="Z98" s="210" t="s">
        <v>49</v>
      </c>
      <c r="AA98" s="341" t="s">
        <v>203</v>
      </c>
      <c r="AB98" s="368" t="s">
        <v>951</v>
      </c>
    </row>
    <row r="99" spans="1:28" ht="45">
      <c r="A99" s="161" t="s">
        <v>571</v>
      </c>
      <c r="B99" s="161" t="s">
        <v>1189</v>
      </c>
      <c r="C99" s="209" t="s">
        <v>39</v>
      </c>
      <c r="D99" s="161" t="s">
        <v>1288</v>
      </c>
      <c r="E99" s="161" t="s">
        <v>1282</v>
      </c>
      <c r="F99" s="162" t="s">
        <v>578</v>
      </c>
      <c r="G99" s="162"/>
      <c r="H99" s="230">
        <v>0.24</v>
      </c>
      <c r="I99" s="230" t="s">
        <v>1299</v>
      </c>
      <c r="J99" s="209" t="s">
        <v>1406</v>
      </c>
      <c r="K99" s="209"/>
      <c r="L99" s="209" t="s">
        <v>1182</v>
      </c>
      <c r="M99" s="209" t="s">
        <v>361</v>
      </c>
      <c r="N99" s="161" t="s">
        <v>579</v>
      </c>
      <c r="O99" s="228" t="s">
        <v>49</v>
      </c>
      <c r="P99" s="228" t="s">
        <v>49</v>
      </c>
      <c r="Q99" s="228" t="s">
        <v>49</v>
      </c>
      <c r="R99" s="228" t="s">
        <v>49</v>
      </c>
      <c r="S99" s="228" t="s">
        <v>49</v>
      </c>
      <c r="T99" s="210" t="s">
        <v>1191</v>
      </c>
      <c r="U99" s="228" t="s">
        <v>49</v>
      </c>
      <c r="V99" s="228" t="s">
        <v>49</v>
      </c>
      <c r="W99" s="210" t="s">
        <v>1191</v>
      </c>
      <c r="X99" s="228" t="s">
        <v>1192</v>
      </c>
      <c r="Y99" s="228" t="s">
        <v>49</v>
      </c>
      <c r="Z99" s="210" t="s">
        <v>1192</v>
      </c>
      <c r="AA99" s="341" t="s">
        <v>203</v>
      </c>
      <c r="AB99" s="368" t="s">
        <v>203</v>
      </c>
    </row>
    <row r="100" spans="1:28" ht="15.75">
      <c r="A100" s="161" t="s">
        <v>571</v>
      </c>
      <c r="B100" s="161" t="s">
        <v>1182</v>
      </c>
      <c r="C100" s="209" t="s">
        <v>17</v>
      </c>
      <c r="D100" s="161" t="s">
        <v>1274</v>
      </c>
      <c r="E100" s="161" t="s">
        <v>1184</v>
      </c>
      <c r="F100" s="161" t="s">
        <v>590</v>
      </c>
      <c r="G100" s="161"/>
      <c r="H100" s="230">
        <v>0.22600000000000001</v>
      </c>
      <c r="I100" s="230" t="s">
        <v>1407</v>
      </c>
      <c r="J100" s="209" t="s">
        <v>1407</v>
      </c>
      <c r="K100" s="209"/>
      <c r="L100" s="161" t="s">
        <v>1182</v>
      </c>
      <c r="M100" s="209" t="s">
        <v>1277</v>
      </c>
      <c r="N100" s="161" t="s">
        <v>591</v>
      </c>
      <c r="O100" s="161" t="s">
        <v>1191</v>
      </c>
      <c r="P100" s="161" t="s">
        <v>1191</v>
      </c>
      <c r="Q100" s="161" t="s">
        <v>1191</v>
      </c>
      <c r="R100" s="161" t="s">
        <v>1191</v>
      </c>
      <c r="S100" s="161" t="s">
        <v>1191</v>
      </c>
      <c r="T100" s="210" t="s">
        <v>49</v>
      </c>
      <c r="U100" s="228" t="s">
        <v>1191</v>
      </c>
      <c r="V100" s="228" t="s">
        <v>1192</v>
      </c>
      <c r="W100" s="210" t="s">
        <v>49</v>
      </c>
      <c r="X100" s="228" t="s">
        <v>1192</v>
      </c>
      <c r="Y100" s="228" t="s">
        <v>1192</v>
      </c>
      <c r="Z100" s="210" t="s">
        <v>49</v>
      </c>
      <c r="AA100" s="341" t="s">
        <v>203</v>
      </c>
      <c r="AB100" s="368" t="s">
        <v>951</v>
      </c>
    </row>
    <row r="101" spans="1:28" ht="15.75">
      <c r="A101" s="209" t="s">
        <v>1156</v>
      </c>
      <c r="B101" s="161" t="s">
        <v>1189</v>
      </c>
      <c r="C101" s="161" t="s">
        <v>39</v>
      </c>
      <c r="D101" s="209" t="s">
        <v>1408</v>
      </c>
      <c r="E101" s="161" t="s">
        <v>1282</v>
      </c>
      <c r="F101" s="161" t="s">
        <v>1409</v>
      </c>
      <c r="G101" s="161" t="s">
        <v>1290</v>
      </c>
      <c r="H101" s="230">
        <v>0.224</v>
      </c>
      <c r="I101" s="230"/>
      <c r="J101" s="209" t="s">
        <v>1410</v>
      </c>
      <c r="K101" s="209"/>
      <c r="L101" s="209" t="s">
        <v>1182</v>
      </c>
      <c r="O101" s="228" t="s">
        <v>49</v>
      </c>
      <c r="P101" s="228" t="s">
        <v>49</v>
      </c>
      <c r="Q101" s="228" t="s">
        <v>49</v>
      </c>
      <c r="R101" s="228" t="s">
        <v>49</v>
      </c>
      <c r="S101" s="228" t="s">
        <v>49</v>
      </c>
      <c r="T101" s="210" t="s">
        <v>1192</v>
      </c>
      <c r="U101" s="228" t="s">
        <v>49</v>
      </c>
      <c r="V101" s="228" t="s">
        <v>49</v>
      </c>
      <c r="W101" s="210" t="s">
        <v>1192</v>
      </c>
      <c r="X101" s="228" t="s">
        <v>49</v>
      </c>
      <c r="Y101" s="228" t="s">
        <v>49</v>
      </c>
      <c r="Z101" s="210" t="s">
        <v>1192</v>
      </c>
      <c r="AA101" s="341" t="s">
        <v>203</v>
      </c>
      <c r="AB101" s="368" t="s">
        <v>203</v>
      </c>
    </row>
    <row r="102" spans="1:28" ht="15.75">
      <c r="A102" s="209" t="s">
        <v>1156</v>
      </c>
      <c r="B102" s="161" t="s">
        <v>1182</v>
      </c>
      <c r="C102" s="161" t="s">
        <v>17</v>
      </c>
      <c r="D102" s="209" t="s">
        <v>1183</v>
      </c>
      <c r="E102" s="209" t="s">
        <v>1184</v>
      </c>
      <c r="F102" s="161" t="s">
        <v>1411</v>
      </c>
      <c r="G102" s="161" t="s">
        <v>1186</v>
      </c>
      <c r="H102" s="230">
        <v>0.22</v>
      </c>
      <c r="I102" s="230" t="s">
        <v>1412</v>
      </c>
      <c r="J102" s="209" t="s">
        <v>1413</v>
      </c>
      <c r="K102" s="209"/>
      <c r="L102" s="209" t="s">
        <v>1182</v>
      </c>
      <c r="M102" s="214" t="s">
        <v>1216</v>
      </c>
      <c r="O102" s="228" t="s">
        <v>1191</v>
      </c>
      <c r="P102" s="228" t="s">
        <v>1191</v>
      </c>
      <c r="Q102" s="228" t="s">
        <v>1191</v>
      </c>
      <c r="R102" s="228" t="s">
        <v>1191</v>
      </c>
      <c r="S102" s="228" t="s">
        <v>1192</v>
      </c>
      <c r="T102" s="210" t="s">
        <v>49</v>
      </c>
      <c r="U102" s="228" t="s">
        <v>1192</v>
      </c>
      <c r="V102" s="228" t="s">
        <v>1192</v>
      </c>
      <c r="W102" s="210" t="s">
        <v>49</v>
      </c>
      <c r="X102" s="228" t="s">
        <v>1192</v>
      </c>
      <c r="Y102" s="228" t="s">
        <v>1192</v>
      </c>
      <c r="Z102" s="210" t="s">
        <v>49</v>
      </c>
      <c r="AA102" s="341" t="s">
        <v>203</v>
      </c>
      <c r="AB102" s="368" t="s">
        <v>203</v>
      </c>
    </row>
    <row r="103" spans="1:28" ht="15.75">
      <c r="A103" s="161" t="s">
        <v>571</v>
      </c>
      <c r="B103" s="161" t="s">
        <v>1182</v>
      </c>
      <c r="C103" s="209" t="s">
        <v>17</v>
      </c>
      <c r="D103" s="161" t="s">
        <v>1274</v>
      </c>
      <c r="E103" s="161" t="s">
        <v>1184</v>
      </c>
      <c r="F103" s="161" t="s">
        <v>624</v>
      </c>
      <c r="G103" s="161"/>
      <c r="H103" s="230">
        <v>0.20399999999999999</v>
      </c>
      <c r="I103" s="230" t="s">
        <v>1414</v>
      </c>
      <c r="J103" s="209" t="s">
        <v>1415</v>
      </c>
      <c r="K103" s="209"/>
      <c r="L103" s="161" t="s">
        <v>1182</v>
      </c>
      <c r="M103" s="209" t="s">
        <v>1304</v>
      </c>
      <c r="N103" s="161" t="s">
        <v>625</v>
      </c>
      <c r="O103" s="161" t="s">
        <v>1191</v>
      </c>
      <c r="P103" s="161" t="s">
        <v>1191</v>
      </c>
      <c r="Q103" s="161" t="s">
        <v>1191</v>
      </c>
      <c r="R103" s="161" t="s">
        <v>1191</v>
      </c>
      <c r="S103" s="161" t="s">
        <v>1191</v>
      </c>
      <c r="T103" s="210" t="s">
        <v>49</v>
      </c>
      <c r="U103" s="228" t="s">
        <v>1191</v>
      </c>
      <c r="V103" s="228" t="s">
        <v>1192</v>
      </c>
      <c r="W103" s="210" t="s">
        <v>49</v>
      </c>
      <c r="X103" s="228" t="s">
        <v>1192</v>
      </c>
      <c r="Y103" s="228" t="s">
        <v>1192</v>
      </c>
      <c r="Z103" s="210" t="s">
        <v>49</v>
      </c>
      <c r="AA103" s="341" t="s">
        <v>203</v>
      </c>
      <c r="AB103" s="368" t="s">
        <v>951</v>
      </c>
    </row>
    <row r="104" spans="1:28" ht="30">
      <c r="A104" s="161" t="s">
        <v>585</v>
      </c>
      <c r="B104" s="161" t="s">
        <v>1182</v>
      </c>
      <c r="C104" s="209" t="s">
        <v>71</v>
      </c>
      <c r="D104" s="161" t="s">
        <v>1243</v>
      </c>
      <c r="E104" s="161" t="s">
        <v>1365</v>
      </c>
      <c r="F104" s="162" t="s">
        <v>602</v>
      </c>
      <c r="G104" s="162"/>
      <c r="H104" s="230">
        <v>0.185</v>
      </c>
      <c r="I104" s="230" t="s">
        <v>1366</v>
      </c>
      <c r="J104" s="209" t="s">
        <v>1366</v>
      </c>
      <c r="K104" s="161" t="s">
        <v>1366</v>
      </c>
      <c r="L104" s="209" t="s">
        <v>1182</v>
      </c>
      <c r="M104" s="209" t="s">
        <v>361</v>
      </c>
      <c r="N104" s="228" t="s">
        <v>1416</v>
      </c>
      <c r="O104" s="228" t="s">
        <v>1191</v>
      </c>
      <c r="P104" s="228" t="s">
        <v>1191</v>
      </c>
      <c r="Q104" s="228" t="s">
        <v>1191</v>
      </c>
      <c r="R104" s="228" t="s">
        <v>1191</v>
      </c>
      <c r="S104" s="228" t="s">
        <v>1191</v>
      </c>
      <c r="T104" s="210" t="s">
        <v>49</v>
      </c>
      <c r="U104" s="228" t="s">
        <v>1191</v>
      </c>
      <c r="V104" s="228" t="s">
        <v>1192</v>
      </c>
      <c r="W104" s="210" t="s">
        <v>49</v>
      </c>
      <c r="X104" s="228" t="s">
        <v>1192</v>
      </c>
      <c r="Y104" s="228" t="s">
        <v>1192</v>
      </c>
      <c r="Z104" s="210" t="s">
        <v>49</v>
      </c>
      <c r="AA104" s="341" t="s">
        <v>203</v>
      </c>
      <c r="AB104" s="368" t="s">
        <v>951</v>
      </c>
    </row>
    <row r="105" spans="1:28" ht="15">
      <c r="A105" s="161" t="s">
        <v>571</v>
      </c>
      <c r="B105" s="161" t="s">
        <v>1182</v>
      </c>
      <c r="C105" s="209" t="s">
        <v>112</v>
      </c>
      <c r="D105" s="209" t="s">
        <v>1230</v>
      </c>
      <c r="E105" s="161" t="s">
        <v>1244</v>
      </c>
      <c r="F105" s="161" t="s">
        <v>707</v>
      </c>
      <c r="G105" s="161"/>
      <c r="H105" s="230">
        <v>0.182</v>
      </c>
      <c r="I105" s="230" t="s">
        <v>1267</v>
      </c>
      <c r="J105" s="209" t="s">
        <v>1267</v>
      </c>
      <c r="K105" s="209"/>
      <c r="L105" s="209" t="s">
        <v>1189</v>
      </c>
      <c r="M105" s="209" t="s">
        <v>1246</v>
      </c>
      <c r="N105" s="209" t="s">
        <v>1417</v>
      </c>
      <c r="O105" s="209" t="s">
        <v>1191</v>
      </c>
      <c r="P105" s="228" t="s">
        <v>1191</v>
      </c>
      <c r="Q105" s="209" t="s">
        <v>1191</v>
      </c>
      <c r="R105" s="209" t="s">
        <v>1191</v>
      </c>
      <c r="S105" s="209" t="s">
        <v>1191</v>
      </c>
      <c r="T105" s="210" t="s">
        <v>49</v>
      </c>
      <c r="U105" s="228" t="s">
        <v>1191</v>
      </c>
      <c r="V105" s="228" t="s">
        <v>1192</v>
      </c>
      <c r="W105" s="210" t="s">
        <v>49</v>
      </c>
      <c r="X105" s="228" t="s">
        <v>1192</v>
      </c>
      <c r="Y105" s="228" t="s">
        <v>1192</v>
      </c>
      <c r="Z105" s="210" t="s">
        <v>49</v>
      </c>
      <c r="AA105" s="341" t="s">
        <v>203</v>
      </c>
      <c r="AB105" s="341" t="s">
        <v>203</v>
      </c>
    </row>
    <row r="106" spans="1:28" ht="15.75">
      <c r="A106" s="161" t="s">
        <v>580</v>
      </c>
      <c r="B106" s="161" t="s">
        <v>1182</v>
      </c>
      <c r="C106" s="209" t="s">
        <v>17</v>
      </c>
      <c r="D106" s="161" t="s">
        <v>1183</v>
      </c>
      <c r="E106" s="161" t="s">
        <v>1184</v>
      </c>
      <c r="F106" s="161" t="s">
        <v>712</v>
      </c>
      <c r="G106" s="161"/>
      <c r="H106" s="230">
        <v>0.17899999999999999</v>
      </c>
      <c r="I106" s="230" t="s">
        <v>1418</v>
      </c>
      <c r="J106" s="209" t="s">
        <v>1298</v>
      </c>
      <c r="K106" s="209"/>
      <c r="L106" s="161" t="s">
        <v>1182</v>
      </c>
      <c r="M106" s="209" t="s">
        <v>1216</v>
      </c>
      <c r="N106" s="161" t="s">
        <v>713</v>
      </c>
      <c r="O106" s="228" t="s">
        <v>1191</v>
      </c>
      <c r="P106" s="228" t="s">
        <v>1191</v>
      </c>
      <c r="Q106" s="228" t="s">
        <v>1191</v>
      </c>
      <c r="R106" s="228" t="s">
        <v>1191</v>
      </c>
      <c r="S106" s="228" t="s">
        <v>1191</v>
      </c>
      <c r="T106" s="210" t="s">
        <v>49</v>
      </c>
      <c r="U106" s="228" t="s">
        <v>1191</v>
      </c>
      <c r="V106" s="228" t="s">
        <v>1192</v>
      </c>
      <c r="W106" s="210" t="s">
        <v>49</v>
      </c>
      <c r="X106" s="228" t="s">
        <v>1192</v>
      </c>
      <c r="Y106" s="228" t="s">
        <v>1192</v>
      </c>
      <c r="Z106" s="210" t="s">
        <v>49</v>
      </c>
      <c r="AA106" s="341" t="s">
        <v>203</v>
      </c>
      <c r="AB106" s="368" t="s">
        <v>951</v>
      </c>
    </row>
    <row r="107" spans="1:28" ht="15.75">
      <c r="A107" s="161" t="s">
        <v>609</v>
      </c>
      <c r="B107" s="161" t="s">
        <v>1182</v>
      </c>
      <c r="C107" s="209" t="s">
        <v>17</v>
      </c>
      <c r="D107" s="161" t="s">
        <v>1314</v>
      </c>
      <c r="E107" s="161" t="s">
        <v>1184</v>
      </c>
      <c r="F107" s="338" t="s">
        <v>1419</v>
      </c>
      <c r="G107" s="338" t="s">
        <v>1420</v>
      </c>
      <c r="H107" s="230">
        <v>0.16900000000000001</v>
      </c>
      <c r="I107" s="230" t="s">
        <v>1421</v>
      </c>
      <c r="J107" t="s">
        <v>1422</v>
      </c>
      <c r="K107" s="209"/>
      <c r="L107" s="209" t="s">
        <v>1182</v>
      </c>
      <c r="M107" s="214" t="s">
        <v>1216</v>
      </c>
      <c r="N107" s="161" t="s">
        <v>1423</v>
      </c>
      <c r="O107" s="371" t="s">
        <v>1191</v>
      </c>
      <c r="P107" s="371" t="s">
        <v>1191</v>
      </c>
      <c r="Q107" s="371" t="s">
        <v>1191</v>
      </c>
      <c r="R107" s="371" t="s">
        <v>1191</v>
      </c>
      <c r="S107" s="228" t="s">
        <v>1191</v>
      </c>
      <c r="T107" s="210" t="s">
        <v>49</v>
      </c>
      <c r="U107" s="228" t="s">
        <v>1192</v>
      </c>
      <c r="V107" s="228" t="s">
        <v>1192</v>
      </c>
      <c r="W107" s="210" t="s">
        <v>49</v>
      </c>
      <c r="X107" s="228" t="s">
        <v>1192</v>
      </c>
      <c r="Y107" s="228" t="s">
        <v>1192</v>
      </c>
      <c r="Z107" s="210" t="s">
        <v>49</v>
      </c>
      <c r="AA107" s="341" t="s">
        <v>203</v>
      </c>
      <c r="AB107" s="368" t="s">
        <v>203</v>
      </c>
    </row>
    <row r="108" spans="1:28" ht="15.75">
      <c r="A108" s="209" t="s">
        <v>1156</v>
      </c>
      <c r="B108" s="161" t="s">
        <v>1182</v>
      </c>
      <c r="C108" s="161" t="s">
        <v>17</v>
      </c>
      <c r="D108" s="209" t="s">
        <v>1183</v>
      </c>
      <c r="E108" s="209" t="s">
        <v>1184</v>
      </c>
      <c r="F108" s="161" t="s">
        <v>1424</v>
      </c>
      <c r="G108" s="161" t="s">
        <v>1186</v>
      </c>
      <c r="H108" s="230">
        <v>0.16700000000000001</v>
      </c>
      <c r="I108" s="230" t="s">
        <v>1425</v>
      </c>
      <c r="J108" s="209" t="s">
        <v>1426</v>
      </c>
      <c r="K108" s="209"/>
      <c r="L108" s="209" t="s">
        <v>1182</v>
      </c>
      <c r="M108" s="214" t="s">
        <v>1216</v>
      </c>
      <c r="O108" s="228" t="s">
        <v>1191</v>
      </c>
      <c r="P108" s="228" t="s">
        <v>1191</v>
      </c>
      <c r="Q108" s="228" t="s">
        <v>1191</v>
      </c>
      <c r="R108" s="228" t="s">
        <v>1191</v>
      </c>
      <c r="S108" s="228" t="s">
        <v>1192</v>
      </c>
      <c r="T108" s="210" t="s">
        <v>49</v>
      </c>
      <c r="U108" s="228" t="s">
        <v>1192</v>
      </c>
      <c r="V108" s="228" t="s">
        <v>1192</v>
      </c>
      <c r="W108" s="210" t="s">
        <v>49</v>
      </c>
      <c r="X108" s="228" t="s">
        <v>1192</v>
      </c>
      <c r="Y108" s="228" t="s">
        <v>1192</v>
      </c>
      <c r="Z108" s="210" t="s">
        <v>49</v>
      </c>
      <c r="AA108" s="341" t="s">
        <v>203</v>
      </c>
      <c r="AB108" s="368" t="s">
        <v>203</v>
      </c>
    </row>
    <row r="109" spans="1:28" ht="15.75">
      <c r="A109" s="161" t="s">
        <v>609</v>
      </c>
      <c r="B109" s="161" t="s">
        <v>1182</v>
      </c>
      <c r="C109" s="209" t="s">
        <v>17</v>
      </c>
      <c r="D109" s="161" t="s">
        <v>1274</v>
      </c>
      <c r="E109" s="161" t="s">
        <v>1184</v>
      </c>
      <c r="F109" s="161" t="s">
        <v>804</v>
      </c>
      <c r="G109" s="161"/>
      <c r="H109" s="230">
        <v>0.14699999999999999</v>
      </c>
      <c r="I109" s="230" t="s">
        <v>1427</v>
      </c>
      <c r="J109" s="209" t="s">
        <v>1428</v>
      </c>
      <c r="K109" s="209"/>
      <c r="L109" s="209" t="s">
        <v>1182</v>
      </c>
      <c r="M109" s="214" t="s">
        <v>1304</v>
      </c>
      <c r="N109" s="161" t="s">
        <v>1429</v>
      </c>
      <c r="O109" s="228" t="s">
        <v>1191</v>
      </c>
      <c r="P109" s="228" t="s">
        <v>1191</v>
      </c>
      <c r="Q109" s="228" t="s">
        <v>1191</v>
      </c>
      <c r="R109" s="228" t="s">
        <v>1191</v>
      </c>
      <c r="S109" s="228" t="s">
        <v>1191</v>
      </c>
      <c r="T109" s="210" t="s">
        <v>49</v>
      </c>
      <c r="U109" s="228" t="s">
        <v>1191</v>
      </c>
      <c r="V109" s="228" t="s">
        <v>1192</v>
      </c>
      <c r="W109" s="210" t="s">
        <v>49</v>
      </c>
      <c r="X109" s="228" t="s">
        <v>1192</v>
      </c>
      <c r="Y109" s="228" t="s">
        <v>1192</v>
      </c>
      <c r="Z109" s="210" t="s">
        <v>49</v>
      </c>
      <c r="AA109" s="341" t="s">
        <v>203</v>
      </c>
      <c r="AB109" s="368" t="s">
        <v>203</v>
      </c>
    </row>
    <row r="110" spans="1:28" ht="15.75">
      <c r="A110" s="161" t="s">
        <v>571</v>
      </c>
      <c r="B110" s="161" t="s">
        <v>1182</v>
      </c>
      <c r="C110" s="209" t="s">
        <v>17</v>
      </c>
      <c r="D110" s="161" t="s">
        <v>1274</v>
      </c>
      <c r="E110" s="161" t="s">
        <v>1184</v>
      </c>
      <c r="F110" s="161" t="s">
        <v>632</v>
      </c>
      <c r="G110" s="161"/>
      <c r="H110" s="230">
        <v>0.14399999999999999</v>
      </c>
      <c r="I110" s="230" t="s">
        <v>1430</v>
      </c>
      <c r="J110" s="209" t="s">
        <v>1431</v>
      </c>
      <c r="K110" s="209"/>
      <c r="L110" s="161" t="s">
        <v>1182</v>
      </c>
      <c r="M110" s="209" t="s">
        <v>1304</v>
      </c>
      <c r="N110" s="161" t="s">
        <v>633</v>
      </c>
      <c r="O110" s="161" t="s">
        <v>1191</v>
      </c>
      <c r="P110" s="161" t="s">
        <v>1191</v>
      </c>
      <c r="Q110" s="161" t="s">
        <v>1191</v>
      </c>
      <c r="R110" s="161" t="s">
        <v>1191</v>
      </c>
      <c r="S110" s="161" t="s">
        <v>1191</v>
      </c>
      <c r="T110" s="210" t="s">
        <v>49</v>
      </c>
      <c r="U110" s="228" t="s">
        <v>1191</v>
      </c>
      <c r="V110" s="228" t="s">
        <v>1192</v>
      </c>
      <c r="W110" s="210" t="s">
        <v>49</v>
      </c>
      <c r="X110" s="228" t="s">
        <v>1192</v>
      </c>
      <c r="Y110" s="228" t="s">
        <v>1192</v>
      </c>
      <c r="Z110" s="210" t="s">
        <v>49</v>
      </c>
      <c r="AA110" s="341" t="s">
        <v>203</v>
      </c>
      <c r="AB110" s="368" t="s">
        <v>951</v>
      </c>
    </row>
    <row r="111" spans="1:28" ht="15">
      <c r="A111" s="161" t="s">
        <v>571</v>
      </c>
      <c r="B111" s="161" t="s">
        <v>1182</v>
      </c>
      <c r="C111" s="209" t="s">
        <v>112</v>
      </c>
      <c r="D111" s="209" t="s">
        <v>1230</v>
      </c>
      <c r="E111" s="161" t="s">
        <v>1244</v>
      </c>
      <c r="F111" s="161" t="s">
        <v>751</v>
      </c>
      <c r="G111" s="161"/>
      <c r="H111" s="230">
        <v>0.14000000000000001</v>
      </c>
      <c r="I111" s="230" t="s">
        <v>1267</v>
      </c>
      <c r="J111" s="209" t="s">
        <v>1267</v>
      </c>
      <c r="K111" s="209"/>
      <c r="L111" s="209" t="s">
        <v>1189</v>
      </c>
      <c r="M111" s="209" t="s">
        <v>1246</v>
      </c>
      <c r="N111" s="209" t="s">
        <v>1432</v>
      </c>
      <c r="O111" s="209" t="s">
        <v>1191</v>
      </c>
      <c r="P111" s="209" t="s">
        <v>1191</v>
      </c>
      <c r="Q111" s="209" t="s">
        <v>1191</v>
      </c>
      <c r="R111" s="209" t="s">
        <v>1191</v>
      </c>
      <c r="S111" s="209" t="s">
        <v>1191</v>
      </c>
      <c r="T111" s="210" t="s">
        <v>49</v>
      </c>
      <c r="U111" s="228" t="s">
        <v>1191</v>
      </c>
      <c r="V111" s="228" t="s">
        <v>1192</v>
      </c>
      <c r="W111" s="210" t="s">
        <v>49</v>
      </c>
      <c r="X111" s="228" t="s">
        <v>1192</v>
      </c>
      <c r="Y111" s="228" t="s">
        <v>1192</v>
      </c>
      <c r="Z111" s="210" t="s">
        <v>49</v>
      </c>
      <c r="AA111" s="341" t="s">
        <v>203</v>
      </c>
      <c r="AB111" s="341" t="s">
        <v>203</v>
      </c>
    </row>
    <row r="112" spans="1:28" ht="30">
      <c r="A112" s="161" t="s">
        <v>580</v>
      </c>
      <c r="B112" s="161" t="s">
        <v>1182</v>
      </c>
      <c r="C112" s="209" t="s">
        <v>955</v>
      </c>
      <c r="D112" s="161" t="s">
        <v>1193</v>
      </c>
      <c r="E112" s="161" t="s">
        <v>1194</v>
      </c>
      <c r="F112" s="162" t="s">
        <v>668</v>
      </c>
      <c r="G112" s="162"/>
      <c r="H112" s="230">
        <v>0.13800000000000001</v>
      </c>
      <c r="I112" s="310" t="s">
        <v>1212</v>
      </c>
      <c r="J112" s="209" t="s">
        <v>1212</v>
      </c>
      <c r="K112" s="209"/>
      <c r="L112" s="209" t="s">
        <v>1182</v>
      </c>
      <c r="M112" s="209" t="s">
        <v>361</v>
      </c>
      <c r="N112" s="161" t="s">
        <v>1433</v>
      </c>
      <c r="O112" s="209" t="s">
        <v>1191</v>
      </c>
      <c r="P112" s="209" t="s">
        <v>1191</v>
      </c>
      <c r="Q112" s="209" t="s">
        <v>1191</v>
      </c>
      <c r="R112" s="210" t="s">
        <v>1191</v>
      </c>
      <c r="S112" s="210" t="s">
        <v>1192</v>
      </c>
      <c r="T112" s="210" t="s">
        <v>49</v>
      </c>
      <c r="U112" s="228" t="s">
        <v>1191</v>
      </c>
      <c r="V112" s="228" t="s">
        <v>1192</v>
      </c>
      <c r="W112" s="210" t="s">
        <v>49</v>
      </c>
      <c r="X112" s="228" t="s">
        <v>1192</v>
      </c>
      <c r="Y112" s="228" t="s">
        <v>1192</v>
      </c>
      <c r="Z112" s="210" t="s">
        <v>49</v>
      </c>
      <c r="AA112" s="341" t="s">
        <v>203</v>
      </c>
      <c r="AB112" s="368" t="s">
        <v>203</v>
      </c>
    </row>
    <row r="113" spans="1:28" ht="15.75">
      <c r="A113" s="209" t="s">
        <v>1156</v>
      </c>
      <c r="B113" s="161" t="s">
        <v>1182</v>
      </c>
      <c r="C113" s="161" t="s">
        <v>36</v>
      </c>
      <c r="D113" s="209" t="s">
        <v>1183</v>
      </c>
      <c r="E113" s="209" t="s">
        <v>1434</v>
      </c>
      <c r="F113" s="161" t="s">
        <v>1435</v>
      </c>
      <c r="G113" s="161" t="s">
        <v>1436</v>
      </c>
      <c r="H113" s="230">
        <v>0.128</v>
      </c>
      <c r="I113" s="230" t="s">
        <v>1437</v>
      </c>
      <c r="J113" s="209" t="s">
        <v>1438</v>
      </c>
      <c r="K113" s="209"/>
      <c r="L113" s="209" t="s">
        <v>1182</v>
      </c>
      <c r="M113" s="214" t="s">
        <v>1216</v>
      </c>
      <c r="O113" s="228" t="s">
        <v>1192</v>
      </c>
      <c r="P113" s="228" t="s">
        <v>1192</v>
      </c>
      <c r="Q113" s="228" t="s">
        <v>1192</v>
      </c>
      <c r="R113" s="228" t="s">
        <v>1192</v>
      </c>
      <c r="S113" s="228" t="s">
        <v>1192</v>
      </c>
      <c r="T113" s="210" t="s">
        <v>49</v>
      </c>
      <c r="U113" s="228" t="s">
        <v>1192</v>
      </c>
      <c r="V113" s="228" t="s">
        <v>1192</v>
      </c>
      <c r="W113" s="210" t="s">
        <v>49</v>
      </c>
      <c r="X113" s="228" t="s">
        <v>1192</v>
      </c>
      <c r="Y113" s="228" t="s">
        <v>1192</v>
      </c>
      <c r="Z113" s="210" t="s">
        <v>49</v>
      </c>
      <c r="AA113" s="341" t="s">
        <v>203</v>
      </c>
      <c r="AB113" s="368" t="s">
        <v>203</v>
      </c>
    </row>
    <row r="114" spans="1:28" ht="15.75">
      <c r="A114" s="209" t="s">
        <v>1156</v>
      </c>
      <c r="B114" s="161" t="s">
        <v>1182</v>
      </c>
      <c r="C114" s="161" t="s">
        <v>952</v>
      </c>
      <c r="D114" s="209" t="s">
        <v>1269</v>
      </c>
      <c r="E114" s="209" t="s">
        <v>1270</v>
      </c>
      <c r="F114" s="161" t="s">
        <v>1439</v>
      </c>
      <c r="G114" s="161" t="s">
        <v>1272</v>
      </c>
      <c r="H114" s="230">
        <v>0.1240234375</v>
      </c>
      <c r="I114" s="230"/>
      <c r="J114" s="209" t="s">
        <v>1273</v>
      </c>
      <c r="K114" s="209"/>
      <c r="O114" s="228" t="s">
        <v>1192</v>
      </c>
      <c r="P114" s="228" t="s">
        <v>1192</v>
      </c>
      <c r="Q114" s="228" t="s">
        <v>1192</v>
      </c>
      <c r="R114" s="228" t="s">
        <v>1192</v>
      </c>
      <c r="S114" s="228" t="s">
        <v>1192</v>
      </c>
      <c r="T114" s="210" t="s">
        <v>49</v>
      </c>
      <c r="U114" s="228" t="s">
        <v>1192</v>
      </c>
      <c r="V114" s="228" t="s">
        <v>1192</v>
      </c>
      <c r="W114" s="210" t="s">
        <v>49</v>
      </c>
      <c r="X114" s="228" t="s">
        <v>1192</v>
      </c>
      <c r="Y114" s="228" t="s">
        <v>1192</v>
      </c>
      <c r="Z114" s="210" t="s">
        <v>49</v>
      </c>
      <c r="AA114" s="341" t="s">
        <v>203</v>
      </c>
      <c r="AB114" s="368" t="s">
        <v>203</v>
      </c>
    </row>
    <row r="115" spans="1:28" ht="15">
      <c r="A115" s="161" t="s">
        <v>571</v>
      </c>
      <c r="B115" s="161" t="s">
        <v>1182</v>
      </c>
      <c r="C115" s="209" t="s">
        <v>112</v>
      </c>
      <c r="D115" s="161" t="s">
        <v>1243</v>
      </c>
      <c r="E115" s="161" t="s">
        <v>1244</v>
      </c>
      <c r="F115" s="161" t="s">
        <v>598</v>
      </c>
      <c r="G115" s="161"/>
      <c r="H115" s="230">
        <v>0.124</v>
      </c>
      <c r="I115" s="230" t="s">
        <v>1267</v>
      </c>
      <c r="J115" s="209" t="s">
        <v>1267</v>
      </c>
      <c r="K115" s="209"/>
      <c r="L115" s="209" t="s">
        <v>1189</v>
      </c>
      <c r="M115" s="209" t="s">
        <v>1246</v>
      </c>
      <c r="N115" s="209" t="s">
        <v>1440</v>
      </c>
      <c r="O115" s="209" t="s">
        <v>1191</v>
      </c>
      <c r="P115" s="209" t="s">
        <v>1191</v>
      </c>
      <c r="Q115" s="209" t="s">
        <v>1191</v>
      </c>
      <c r="R115" s="209" t="s">
        <v>1191</v>
      </c>
      <c r="S115" s="209" t="s">
        <v>1191</v>
      </c>
      <c r="T115" s="210" t="s">
        <v>49</v>
      </c>
      <c r="U115" s="228" t="s">
        <v>1191</v>
      </c>
      <c r="V115" s="228" t="s">
        <v>1192</v>
      </c>
      <c r="W115" s="210" t="s">
        <v>49</v>
      </c>
      <c r="X115" s="228" t="s">
        <v>1192</v>
      </c>
      <c r="Y115" s="228" t="s">
        <v>1192</v>
      </c>
      <c r="Z115" s="210" t="s">
        <v>49</v>
      </c>
      <c r="AA115" s="341" t="s">
        <v>203</v>
      </c>
      <c r="AB115" s="341" t="s">
        <v>203</v>
      </c>
    </row>
    <row r="116" spans="1:28" ht="15.75">
      <c r="A116" s="272" t="s">
        <v>580</v>
      </c>
      <c r="B116" s="161" t="s">
        <v>1182</v>
      </c>
      <c r="C116" s="161" t="s">
        <v>17</v>
      </c>
      <c r="D116" s="209" t="s">
        <v>1183</v>
      </c>
      <c r="E116" s="209" t="s">
        <v>1184</v>
      </c>
      <c r="F116" s="161" t="s">
        <v>1441</v>
      </c>
      <c r="G116" s="161"/>
      <c r="H116" s="230">
        <v>0.11600000000000001</v>
      </c>
      <c r="I116" s="230" t="s">
        <v>1442</v>
      </c>
      <c r="J116" s="209" t="s">
        <v>1443</v>
      </c>
      <c r="K116" s="209"/>
      <c r="L116" s="210" t="s">
        <v>1182</v>
      </c>
      <c r="M116" s="210" t="s">
        <v>1216</v>
      </c>
      <c r="O116" s="228" t="s">
        <v>1191</v>
      </c>
      <c r="P116" s="228" t="s">
        <v>1191</v>
      </c>
      <c r="Q116" s="228" t="s">
        <v>1191</v>
      </c>
      <c r="R116" s="228" t="s">
        <v>1191</v>
      </c>
      <c r="S116" s="228" t="s">
        <v>1191</v>
      </c>
      <c r="T116" s="210" t="s">
        <v>49</v>
      </c>
      <c r="U116" s="228" t="s">
        <v>1444</v>
      </c>
      <c r="V116" s="228" t="s">
        <v>1192</v>
      </c>
      <c r="W116" s="210" t="s">
        <v>49</v>
      </c>
      <c r="X116" s="228" t="s">
        <v>1192</v>
      </c>
      <c r="Y116" s="228" t="s">
        <v>1192</v>
      </c>
      <c r="Z116" s="210" t="s">
        <v>49</v>
      </c>
      <c r="AA116" s="341" t="s">
        <v>203</v>
      </c>
      <c r="AB116" s="368" t="s">
        <v>203</v>
      </c>
    </row>
    <row r="117" spans="1:28" ht="15">
      <c r="A117" s="161" t="s">
        <v>571</v>
      </c>
      <c r="B117" s="161" t="s">
        <v>1182</v>
      </c>
      <c r="C117" s="209" t="s">
        <v>112</v>
      </c>
      <c r="D117" s="161" t="s">
        <v>1243</v>
      </c>
      <c r="E117" s="161" t="s">
        <v>1244</v>
      </c>
      <c r="F117" s="161" t="s">
        <v>662</v>
      </c>
      <c r="G117" s="161"/>
      <c r="H117" s="230">
        <v>0.111</v>
      </c>
      <c r="I117" s="230" t="s">
        <v>49</v>
      </c>
      <c r="J117" s="209"/>
      <c r="K117" s="209"/>
      <c r="L117" s="209" t="s">
        <v>1189</v>
      </c>
      <c r="M117" s="209" t="s">
        <v>1246</v>
      </c>
      <c r="N117" s="209" t="s">
        <v>1445</v>
      </c>
      <c r="O117" s="209" t="s">
        <v>1191</v>
      </c>
      <c r="P117" s="209" t="s">
        <v>1191</v>
      </c>
      <c r="Q117" s="209" t="s">
        <v>1191</v>
      </c>
      <c r="R117" s="209" t="s">
        <v>1191</v>
      </c>
      <c r="S117" s="209" t="s">
        <v>1191</v>
      </c>
      <c r="T117" s="210" t="s">
        <v>49</v>
      </c>
      <c r="U117" s="228" t="s">
        <v>1191</v>
      </c>
      <c r="V117" s="228" t="s">
        <v>1192</v>
      </c>
      <c r="W117" s="210" t="s">
        <v>49</v>
      </c>
      <c r="X117" s="228" t="s">
        <v>1192</v>
      </c>
      <c r="Y117" s="228" t="s">
        <v>1192</v>
      </c>
      <c r="Z117" s="210" t="s">
        <v>49</v>
      </c>
      <c r="AA117" s="341" t="s">
        <v>203</v>
      </c>
      <c r="AB117" s="341" t="s">
        <v>203</v>
      </c>
    </row>
    <row r="118" spans="1:28" ht="15.75">
      <c r="A118" s="161" t="s">
        <v>580</v>
      </c>
      <c r="B118" s="161" t="s">
        <v>1182</v>
      </c>
      <c r="C118" s="209" t="s">
        <v>17</v>
      </c>
      <c r="D118" s="161" t="s">
        <v>1274</v>
      </c>
      <c r="E118" s="161" t="s">
        <v>1184</v>
      </c>
      <c r="F118" s="161" t="s">
        <v>775</v>
      </c>
      <c r="G118" s="161"/>
      <c r="H118" s="230">
        <v>0.109</v>
      </c>
      <c r="I118" s="230" t="s">
        <v>1446</v>
      </c>
      <c r="J118" s="209" t="s">
        <v>1447</v>
      </c>
      <c r="K118" s="209"/>
      <c r="L118" s="209" t="s">
        <v>1182</v>
      </c>
      <c r="M118" s="214" t="s">
        <v>1304</v>
      </c>
      <c r="N118" s="161" t="s">
        <v>776</v>
      </c>
      <c r="O118" s="228" t="s">
        <v>1191</v>
      </c>
      <c r="P118" s="228" t="s">
        <v>1191</v>
      </c>
      <c r="Q118" s="228" t="s">
        <v>1191</v>
      </c>
      <c r="R118" s="228" t="s">
        <v>1191</v>
      </c>
      <c r="S118" s="228" t="s">
        <v>1191</v>
      </c>
      <c r="T118" s="210" t="s">
        <v>49</v>
      </c>
      <c r="U118" s="228" t="s">
        <v>1191</v>
      </c>
      <c r="V118" s="228" t="s">
        <v>1192</v>
      </c>
      <c r="W118" s="210" t="s">
        <v>49</v>
      </c>
      <c r="X118" s="228" t="s">
        <v>1192</v>
      </c>
      <c r="Y118" s="228" t="s">
        <v>1192</v>
      </c>
      <c r="Z118" s="210" t="s">
        <v>49</v>
      </c>
      <c r="AA118" s="341" t="s">
        <v>203</v>
      </c>
      <c r="AB118" s="368" t="s">
        <v>203</v>
      </c>
    </row>
    <row r="119" spans="1:28" ht="15.75">
      <c r="A119" s="209" t="s">
        <v>1156</v>
      </c>
      <c r="B119" s="161" t="s">
        <v>1182</v>
      </c>
      <c r="C119" s="161" t="s">
        <v>17</v>
      </c>
      <c r="D119" s="209" t="s">
        <v>1183</v>
      </c>
      <c r="E119" s="209" t="s">
        <v>1184</v>
      </c>
      <c r="F119" s="161" t="s">
        <v>1448</v>
      </c>
      <c r="G119" s="161" t="s">
        <v>1186</v>
      </c>
      <c r="H119" s="230">
        <v>0.109</v>
      </c>
      <c r="I119" s="230" t="s">
        <v>1412</v>
      </c>
      <c r="J119" s="209" t="s">
        <v>361</v>
      </c>
      <c r="K119" s="209"/>
      <c r="L119" s="210" t="s">
        <v>1182</v>
      </c>
      <c r="M119" s="210" t="s">
        <v>1216</v>
      </c>
      <c r="O119" s="228" t="s">
        <v>1191</v>
      </c>
      <c r="P119" s="228" t="s">
        <v>1191</v>
      </c>
      <c r="Q119" s="228" t="s">
        <v>1191</v>
      </c>
      <c r="R119" s="228" t="s">
        <v>1191</v>
      </c>
      <c r="S119" s="228" t="s">
        <v>1192</v>
      </c>
      <c r="T119" s="210" t="s">
        <v>49</v>
      </c>
      <c r="U119" s="228" t="s">
        <v>1192</v>
      </c>
      <c r="V119" s="228" t="s">
        <v>1192</v>
      </c>
      <c r="W119" s="210" t="s">
        <v>49</v>
      </c>
      <c r="X119" s="228" t="s">
        <v>1192</v>
      </c>
      <c r="Y119" s="228" t="s">
        <v>1192</v>
      </c>
      <c r="Z119" s="210" t="s">
        <v>49</v>
      </c>
      <c r="AA119" s="341" t="s">
        <v>203</v>
      </c>
      <c r="AB119" s="368" t="s">
        <v>203</v>
      </c>
    </row>
    <row r="120" spans="1:28" ht="15.75">
      <c r="A120" s="161" t="s">
        <v>609</v>
      </c>
      <c r="B120" s="161" t="s">
        <v>1182</v>
      </c>
      <c r="C120" s="209" t="s">
        <v>17</v>
      </c>
      <c r="D120" s="161" t="s">
        <v>1183</v>
      </c>
      <c r="E120" s="161" t="s">
        <v>1184</v>
      </c>
      <c r="F120" s="161" t="s">
        <v>1449</v>
      </c>
      <c r="G120" s="161"/>
      <c r="H120" s="230">
        <v>0.108</v>
      </c>
      <c r="I120" s="230" t="s">
        <v>1450</v>
      </c>
      <c r="J120" s="209" t="s">
        <v>1451</v>
      </c>
      <c r="K120" s="209"/>
      <c r="L120" s="209" t="s">
        <v>1182</v>
      </c>
      <c r="M120" s="214" t="s">
        <v>1216</v>
      </c>
      <c r="N120" s="161" t="s">
        <v>1452</v>
      </c>
      <c r="O120" s="228" t="s">
        <v>1191</v>
      </c>
      <c r="P120" s="228" t="s">
        <v>1191</v>
      </c>
      <c r="Q120" s="228" t="s">
        <v>1191</v>
      </c>
      <c r="R120" s="228" t="s">
        <v>1191</v>
      </c>
      <c r="S120" s="228" t="s">
        <v>1191</v>
      </c>
      <c r="T120" s="210" t="s">
        <v>49</v>
      </c>
      <c r="U120" s="228" t="s">
        <v>1444</v>
      </c>
      <c r="V120" s="228" t="s">
        <v>1192</v>
      </c>
      <c r="W120" s="210" t="s">
        <v>49</v>
      </c>
      <c r="X120" s="228" t="s">
        <v>1192</v>
      </c>
      <c r="Y120" s="228" t="s">
        <v>1192</v>
      </c>
      <c r="Z120" s="210" t="s">
        <v>49</v>
      </c>
      <c r="AA120" s="341" t="s">
        <v>203</v>
      </c>
      <c r="AB120" s="368" t="s">
        <v>951</v>
      </c>
    </row>
    <row r="121" spans="1:28" ht="15.75">
      <c r="A121" s="272" t="s">
        <v>609</v>
      </c>
      <c r="B121" s="161" t="s">
        <v>1189</v>
      </c>
      <c r="C121" s="161" t="s">
        <v>93</v>
      </c>
      <c r="D121" s="209" t="s">
        <v>1292</v>
      </c>
      <c r="E121" s="209" t="s">
        <v>1293</v>
      </c>
      <c r="F121" s="338" t="s">
        <v>1453</v>
      </c>
      <c r="G121" s="338" t="s">
        <v>1295</v>
      </c>
      <c r="H121" s="230">
        <v>8.984375E-2</v>
      </c>
      <c r="I121" s="230" t="s">
        <v>49</v>
      </c>
      <c r="J121" s="209" t="s">
        <v>361</v>
      </c>
      <c r="K121" s="209"/>
      <c r="O121" s="210" t="s">
        <v>49</v>
      </c>
      <c r="P121" s="210" t="s">
        <v>49</v>
      </c>
      <c r="Q121" s="210" t="s">
        <v>49</v>
      </c>
      <c r="R121" s="228" t="s">
        <v>49</v>
      </c>
      <c r="S121" s="228" t="s">
        <v>49</v>
      </c>
      <c r="T121" s="210" t="s">
        <v>1192</v>
      </c>
      <c r="U121" s="228" t="s">
        <v>49</v>
      </c>
      <c r="V121" s="228" t="s">
        <v>49</v>
      </c>
      <c r="W121" s="210" t="s">
        <v>1192</v>
      </c>
      <c r="X121" s="228" t="s">
        <v>49</v>
      </c>
      <c r="Y121" s="228" t="s">
        <v>49</v>
      </c>
      <c r="Z121" s="210" t="s">
        <v>1192</v>
      </c>
      <c r="AA121" s="341" t="s">
        <v>203</v>
      </c>
      <c r="AB121" s="368" t="s">
        <v>203</v>
      </c>
    </row>
    <row r="122" spans="1:28" ht="15">
      <c r="A122" s="161" t="s">
        <v>571</v>
      </c>
      <c r="B122" s="161" t="s">
        <v>1182</v>
      </c>
      <c r="C122" s="209" t="s">
        <v>112</v>
      </c>
      <c r="D122" s="161" t="s">
        <v>1243</v>
      </c>
      <c r="E122" s="161" t="s">
        <v>1244</v>
      </c>
      <c r="F122" s="161" t="s">
        <v>654</v>
      </c>
      <c r="G122" s="161"/>
      <c r="H122" s="230">
        <v>8.8999999999999996E-2</v>
      </c>
      <c r="I122" s="230" t="s">
        <v>1267</v>
      </c>
      <c r="J122" s="209" t="s">
        <v>1267</v>
      </c>
      <c r="K122" s="209"/>
      <c r="L122" s="209" t="s">
        <v>1189</v>
      </c>
      <c r="M122" s="209" t="s">
        <v>1246</v>
      </c>
      <c r="N122" s="209" t="s">
        <v>1454</v>
      </c>
      <c r="O122" s="209" t="s">
        <v>1191</v>
      </c>
      <c r="P122" s="209" t="s">
        <v>1191</v>
      </c>
      <c r="Q122" s="209" t="s">
        <v>1191</v>
      </c>
      <c r="R122" s="209" t="s">
        <v>1191</v>
      </c>
      <c r="S122" s="209" t="s">
        <v>1191</v>
      </c>
      <c r="T122" s="210" t="s">
        <v>49</v>
      </c>
      <c r="U122" s="228" t="s">
        <v>1191</v>
      </c>
      <c r="V122" s="228" t="s">
        <v>1192</v>
      </c>
      <c r="W122" s="210" t="s">
        <v>49</v>
      </c>
      <c r="X122" s="228" t="s">
        <v>1192</v>
      </c>
      <c r="Y122" s="228" t="s">
        <v>1192</v>
      </c>
      <c r="Z122" s="210" t="s">
        <v>49</v>
      </c>
      <c r="AA122" s="341" t="s">
        <v>203</v>
      </c>
      <c r="AB122" s="341" t="s">
        <v>203</v>
      </c>
    </row>
    <row r="123" spans="1:28" ht="15">
      <c r="A123" s="161" t="s">
        <v>571</v>
      </c>
      <c r="B123" s="161" t="s">
        <v>1182</v>
      </c>
      <c r="C123" s="209" t="s">
        <v>112</v>
      </c>
      <c r="D123" s="209" t="s">
        <v>1230</v>
      </c>
      <c r="E123" s="161" t="s">
        <v>1244</v>
      </c>
      <c r="F123" s="161" t="s">
        <v>742</v>
      </c>
      <c r="G123" s="161"/>
      <c r="H123" s="230">
        <v>8.2000000000000003E-2</v>
      </c>
      <c r="I123" s="230" t="s">
        <v>1267</v>
      </c>
      <c r="J123" s="209" t="s">
        <v>1267</v>
      </c>
      <c r="K123" s="209"/>
      <c r="L123" s="209" t="s">
        <v>1189</v>
      </c>
      <c r="M123" s="209" t="s">
        <v>1246</v>
      </c>
      <c r="N123" s="209" t="s">
        <v>1455</v>
      </c>
      <c r="O123" s="209" t="s">
        <v>1191</v>
      </c>
      <c r="P123" s="209" t="s">
        <v>1191</v>
      </c>
      <c r="Q123" s="209" t="s">
        <v>1191</v>
      </c>
      <c r="R123" s="209" t="s">
        <v>1191</v>
      </c>
      <c r="S123" s="209" t="s">
        <v>1191</v>
      </c>
      <c r="T123" s="210" t="s">
        <v>49</v>
      </c>
      <c r="U123" s="228" t="s">
        <v>1191</v>
      </c>
      <c r="V123" s="228" t="s">
        <v>1192</v>
      </c>
      <c r="W123" s="210" t="s">
        <v>49</v>
      </c>
      <c r="X123" s="228" t="s">
        <v>1192</v>
      </c>
      <c r="Y123" s="228" t="s">
        <v>1192</v>
      </c>
      <c r="Z123" s="210" t="s">
        <v>49</v>
      </c>
      <c r="AA123" s="341" t="s">
        <v>203</v>
      </c>
      <c r="AB123" s="341" t="s">
        <v>203</v>
      </c>
    </row>
    <row r="124" spans="1:28" ht="15.75">
      <c r="A124" s="161" t="s">
        <v>580</v>
      </c>
      <c r="B124" s="161" t="s">
        <v>1182</v>
      </c>
      <c r="C124" s="209" t="s">
        <v>17</v>
      </c>
      <c r="D124" s="161" t="s">
        <v>1183</v>
      </c>
      <c r="E124" s="161" t="s">
        <v>1184</v>
      </c>
      <c r="F124" s="168" t="s">
        <v>1456</v>
      </c>
      <c r="G124" s="168"/>
      <c r="H124" s="230">
        <v>7.8E-2</v>
      </c>
      <c r="I124" s="230" t="s">
        <v>1457</v>
      </c>
      <c r="J124" s="168" t="s">
        <v>1458</v>
      </c>
      <c r="K124" s="168"/>
      <c r="L124" s="209" t="s">
        <v>1182</v>
      </c>
      <c r="M124" s="214" t="s">
        <v>1216</v>
      </c>
      <c r="N124" s="161" t="s">
        <v>1459</v>
      </c>
      <c r="O124" s="228" t="s">
        <v>1191</v>
      </c>
      <c r="P124" s="228" t="s">
        <v>1191</v>
      </c>
      <c r="Q124" s="228" t="s">
        <v>1191</v>
      </c>
      <c r="R124" s="228" t="s">
        <v>1191</v>
      </c>
      <c r="S124" s="228" t="s">
        <v>1191</v>
      </c>
      <c r="T124" s="210" t="s">
        <v>49</v>
      </c>
      <c r="U124" s="228" t="s">
        <v>1191</v>
      </c>
      <c r="V124" s="228" t="s">
        <v>1192</v>
      </c>
      <c r="W124" s="210" t="s">
        <v>49</v>
      </c>
      <c r="X124" s="228" t="s">
        <v>1192</v>
      </c>
      <c r="Y124" s="228" t="s">
        <v>1192</v>
      </c>
      <c r="Z124" s="210" t="s">
        <v>49</v>
      </c>
      <c r="AA124" s="341" t="s">
        <v>203</v>
      </c>
      <c r="AB124" s="368" t="s">
        <v>203</v>
      </c>
    </row>
    <row r="125" spans="1:28" ht="30">
      <c r="A125" s="161" t="s">
        <v>580</v>
      </c>
      <c r="B125" s="161" t="s">
        <v>1182</v>
      </c>
      <c r="C125" s="209" t="s">
        <v>953</v>
      </c>
      <c r="D125" s="161" t="s">
        <v>1243</v>
      </c>
      <c r="E125" s="161" t="s">
        <v>1460</v>
      </c>
      <c r="F125" s="162" t="s">
        <v>583</v>
      </c>
      <c r="G125" s="162"/>
      <c r="H125" s="230">
        <v>7.5999999999999998E-2</v>
      </c>
      <c r="I125" s="230" t="s">
        <v>1461</v>
      </c>
      <c r="J125" s="209" t="s">
        <v>1462</v>
      </c>
      <c r="K125" s="209"/>
      <c r="L125" s="209" t="s">
        <v>1189</v>
      </c>
      <c r="M125" s="151" t="s">
        <v>1463</v>
      </c>
      <c r="N125" s="209" t="s">
        <v>1464</v>
      </c>
      <c r="O125" s="209" t="s">
        <v>1191</v>
      </c>
      <c r="P125" s="209" t="s">
        <v>1191</v>
      </c>
      <c r="Q125" s="209" t="s">
        <v>1191</v>
      </c>
      <c r="R125" s="209" t="s">
        <v>1191</v>
      </c>
      <c r="S125" s="228" t="s">
        <v>1192</v>
      </c>
      <c r="T125" s="210" t="s">
        <v>49</v>
      </c>
      <c r="U125" s="228" t="s">
        <v>1191</v>
      </c>
      <c r="V125" s="228" t="s">
        <v>1192</v>
      </c>
      <c r="W125" s="210" t="s">
        <v>49</v>
      </c>
      <c r="X125" s="228" t="s">
        <v>1192</v>
      </c>
      <c r="Y125" s="228" t="s">
        <v>1192</v>
      </c>
      <c r="Z125" s="210" t="s">
        <v>49</v>
      </c>
      <c r="AA125" s="341" t="s">
        <v>203</v>
      </c>
      <c r="AB125" s="368" t="s">
        <v>203</v>
      </c>
    </row>
    <row r="126" spans="1:28" ht="15.75">
      <c r="A126" s="209" t="s">
        <v>1156</v>
      </c>
      <c r="B126" s="161" t="s">
        <v>1182</v>
      </c>
      <c r="C126" s="161" t="s">
        <v>36</v>
      </c>
      <c r="D126" s="209" t="s">
        <v>1183</v>
      </c>
      <c r="E126" s="209" t="s">
        <v>1434</v>
      </c>
      <c r="F126" s="161" t="s">
        <v>1465</v>
      </c>
      <c r="G126" s="161" t="s">
        <v>1436</v>
      </c>
      <c r="H126" s="230">
        <v>7.3999999999999996E-2</v>
      </c>
      <c r="I126" s="230" t="s">
        <v>1466</v>
      </c>
      <c r="J126" s="209" t="s">
        <v>1467</v>
      </c>
      <c r="K126" s="209"/>
      <c r="L126" s="209" t="s">
        <v>1182</v>
      </c>
      <c r="M126" s="214" t="s">
        <v>1216</v>
      </c>
      <c r="O126" s="228" t="s">
        <v>1192</v>
      </c>
      <c r="P126" s="228" t="s">
        <v>1192</v>
      </c>
      <c r="Q126" s="228" t="s">
        <v>1192</v>
      </c>
      <c r="R126" s="228" t="s">
        <v>1192</v>
      </c>
      <c r="S126" s="228" t="s">
        <v>1192</v>
      </c>
      <c r="T126" s="210" t="s">
        <v>49</v>
      </c>
      <c r="U126" s="228" t="s">
        <v>1192</v>
      </c>
      <c r="V126" s="228" t="s">
        <v>1192</v>
      </c>
      <c r="W126" s="210" t="s">
        <v>49</v>
      </c>
      <c r="X126" s="228" t="s">
        <v>1192</v>
      </c>
      <c r="Y126" s="228" t="s">
        <v>1192</v>
      </c>
      <c r="Z126" s="210" t="s">
        <v>49</v>
      </c>
      <c r="AA126" s="341" t="s">
        <v>203</v>
      </c>
      <c r="AB126" s="368" t="s">
        <v>203</v>
      </c>
    </row>
    <row r="127" spans="1:28" ht="15">
      <c r="A127" s="161" t="s">
        <v>571</v>
      </c>
      <c r="B127" s="161" t="s">
        <v>1182</v>
      </c>
      <c r="C127" s="209" t="s">
        <v>112</v>
      </c>
      <c r="D127" s="209" t="s">
        <v>1230</v>
      </c>
      <c r="E127" s="161" t="s">
        <v>1244</v>
      </c>
      <c r="F127" s="161" t="s">
        <v>701</v>
      </c>
      <c r="G127" s="161"/>
      <c r="H127" s="230">
        <v>7.2999999999999995E-2</v>
      </c>
      <c r="I127" s="230" t="s">
        <v>1267</v>
      </c>
      <c r="J127" s="209" t="s">
        <v>1267</v>
      </c>
      <c r="K127" s="209"/>
      <c r="L127" s="209" t="s">
        <v>1189</v>
      </c>
      <c r="M127" s="209" t="s">
        <v>1246</v>
      </c>
      <c r="N127" s="209" t="s">
        <v>1468</v>
      </c>
      <c r="O127" s="209" t="s">
        <v>1191</v>
      </c>
      <c r="P127" s="209" t="s">
        <v>1191</v>
      </c>
      <c r="Q127" s="209" t="s">
        <v>1191</v>
      </c>
      <c r="R127" s="209" t="s">
        <v>1191</v>
      </c>
      <c r="S127" s="209" t="s">
        <v>1191</v>
      </c>
      <c r="T127" s="210" t="s">
        <v>49</v>
      </c>
      <c r="U127" s="228" t="s">
        <v>1191</v>
      </c>
      <c r="V127" s="228" t="s">
        <v>1192</v>
      </c>
      <c r="W127" s="210" t="s">
        <v>49</v>
      </c>
      <c r="X127" s="228" t="s">
        <v>1192</v>
      </c>
      <c r="Y127" s="228" t="s">
        <v>1192</v>
      </c>
      <c r="Z127" s="210" t="s">
        <v>49</v>
      </c>
      <c r="AA127" s="341" t="s">
        <v>203</v>
      </c>
      <c r="AB127" s="341" t="s">
        <v>203</v>
      </c>
    </row>
    <row r="128" spans="1:28" ht="15">
      <c r="A128" s="161" t="s">
        <v>571</v>
      </c>
      <c r="B128" s="161" t="s">
        <v>1182</v>
      </c>
      <c r="C128" s="209" t="s">
        <v>112</v>
      </c>
      <c r="D128" s="161" t="s">
        <v>1243</v>
      </c>
      <c r="E128" s="161" t="s">
        <v>1244</v>
      </c>
      <c r="F128" s="161" t="s">
        <v>658</v>
      </c>
      <c r="G128" s="161"/>
      <c r="H128" s="230">
        <v>7.1999999999999995E-2</v>
      </c>
      <c r="I128" s="230" t="s">
        <v>1267</v>
      </c>
      <c r="J128" s="209" t="s">
        <v>1267</v>
      </c>
      <c r="K128" s="209"/>
      <c r="L128" s="209" t="s">
        <v>1189</v>
      </c>
      <c r="M128" s="209" t="s">
        <v>1246</v>
      </c>
      <c r="N128" s="209" t="s">
        <v>1469</v>
      </c>
      <c r="O128" s="209" t="s">
        <v>1191</v>
      </c>
      <c r="P128" s="209" t="s">
        <v>1191</v>
      </c>
      <c r="Q128" s="209" t="s">
        <v>1191</v>
      </c>
      <c r="R128" s="209" t="s">
        <v>1191</v>
      </c>
      <c r="S128" s="209" t="s">
        <v>1191</v>
      </c>
      <c r="T128" s="210" t="s">
        <v>49</v>
      </c>
      <c r="U128" s="228" t="s">
        <v>1191</v>
      </c>
      <c r="V128" s="228" t="s">
        <v>1192</v>
      </c>
      <c r="W128" s="210" t="s">
        <v>49</v>
      </c>
      <c r="X128" s="228" t="s">
        <v>1192</v>
      </c>
      <c r="Y128" s="228" t="s">
        <v>1192</v>
      </c>
      <c r="Z128" s="210" t="s">
        <v>49</v>
      </c>
      <c r="AA128" s="341" t="s">
        <v>203</v>
      </c>
      <c r="AB128" s="341" t="s">
        <v>203</v>
      </c>
    </row>
    <row r="129" spans="1:28" ht="15">
      <c r="A129" s="161" t="s">
        <v>571</v>
      </c>
      <c r="B129" s="161" t="s">
        <v>1182</v>
      </c>
      <c r="C129" s="209" t="s">
        <v>112</v>
      </c>
      <c r="D129" s="161" t="s">
        <v>1243</v>
      </c>
      <c r="E129" s="161" t="s">
        <v>1244</v>
      </c>
      <c r="F129" s="161" t="s">
        <v>635</v>
      </c>
      <c r="G129" s="161"/>
      <c r="H129" s="230">
        <v>7.0000000000000007E-2</v>
      </c>
      <c r="I129" s="230" t="s">
        <v>1267</v>
      </c>
      <c r="J129" s="209" t="s">
        <v>1267</v>
      </c>
      <c r="K129" s="209"/>
      <c r="L129" s="209" t="s">
        <v>1189</v>
      </c>
      <c r="M129" s="209" t="s">
        <v>1246</v>
      </c>
      <c r="N129" s="209" t="s">
        <v>1470</v>
      </c>
      <c r="O129" s="209" t="s">
        <v>1191</v>
      </c>
      <c r="P129" s="209" t="s">
        <v>1191</v>
      </c>
      <c r="Q129" s="209" t="s">
        <v>1191</v>
      </c>
      <c r="R129" s="209" t="s">
        <v>1191</v>
      </c>
      <c r="S129" s="209" t="s">
        <v>1191</v>
      </c>
      <c r="T129" s="210" t="s">
        <v>49</v>
      </c>
      <c r="U129" s="228" t="s">
        <v>1191</v>
      </c>
      <c r="V129" s="228" t="s">
        <v>1192</v>
      </c>
      <c r="W129" s="210" t="s">
        <v>49</v>
      </c>
      <c r="X129" s="228" t="s">
        <v>1192</v>
      </c>
      <c r="Y129" s="228" t="s">
        <v>1192</v>
      </c>
      <c r="Z129" s="210" t="s">
        <v>49</v>
      </c>
      <c r="AA129" s="341" t="s">
        <v>203</v>
      </c>
      <c r="AB129" s="341" t="s">
        <v>203</v>
      </c>
    </row>
    <row r="130" spans="1:28" ht="15.75">
      <c r="A130" s="161" t="s">
        <v>580</v>
      </c>
      <c r="B130" s="161" t="s">
        <v>1182</v>
      </c>
      <c r="C130" s="209" t="s">
        <v>17</v>
      </c>
      <c r="D130" s="161" t="s">
        <v>1314</v>
      </c>
      <c r="E130" s="161" t="s">
        <v>1184</v>
      </c>
      <c r="F130" s="161" t="s">
        <v>743</v>
      </c>
      <c r="G130" s="161" t="s">
        <v>1199</v>
      </c>
      <c r="H130" s="230">
        <v>6.9000000000000006E-2</v>
      </c>
      <c r="I130" s="230" t="s">
        <v>1471</v>
      </c>
      <c r="J130" t="s">
        <v>1471</v>
      </c>
      <c r="K130" s="209"/>
      <c r="L130" s="209" t="s">
        <v>1182</v>
      </c>
      <c r="M130" s="214" t="s">
        <v>1216</v>
      </c>
      <c r="N130" s="161" t="s">
        <v>1472</v>
      </c>
      <c r="O130" s="228" t="s">
        <v>1191</v>
      </c>
      <c r="P130" s="228" t="s">
        <v>1191</v>
      </c>
      <c r="Q130" s="228" t="s">
        <v>1191</v>
      </c>
      <c r="R130" s="228" t="s">
        <v>1191</v>
      </c>
      <c r="S130" s="228" t="s">
        <v>1192</v>
      </c>
      <c r="T130" s="210" t="s">
        <v>49</v>
      </c>
      <c r="U130" s="228" t="s">
        <v>1191</v>
      </c>
      <c r="V130" s="228" t="s">
        <v>1192</v>
      </c>
      <c r="W130" s="210" t="s">
        <v>49</v>
      </c>
      <c r="X130" s="228" t="s">
        <v>1192</v>
      </c>
      <c r="Y130" s="228" t="s">
        <v>1192</v>
      </c>
      <c r="Z130" s="210" t="s">
        <v>49</v>
      </c>
      <c r="AA130" s="341" t="s">
        <v>203</v>
      </c>
      <c r="AB130" s="368" t="s">
        <v>203</v>
      </c>
    </row>
    <row r="131" spans="1:28" ht="15.75">
      <c r="A131" s="161" t="s">
        <v>585</v>
      </c>
      <c r="B131" s="161" t="s">
        <v>1182</v>
      </c>
      <c r="C131" s="209" t="s">
        <v>17</v>
      </c>
      <c r="D131" s="161" t="s">
        <v>1183</v>
      </c>
      <c r="E131" s="161" t="s">
        <v>1184</v>
      </c>
      <c r="F131" s="161" t="s">
        <v>691</v>
      </c>
      <c r="G131" s="161"/>
      <c r="H131" s="230">
        <v>6.3E-2</v>
      </c>
      <c r="I131" s="230" t="s">
        <v>1473</v>
      </c>
      <c r="J131" s="209" t="s">
        <v>1298</v>
      </c>
      <c r="K131" s="209"/>
      <c r="L131" s="161" t="s">
        <v>1182</v>
      </c>
      <c r="M131" s="209" t="s">
        <v>1216</v>
      </c>
      <c r="N131" s="161" t="s">
        <v>692</v>
      </c>
      <c r="O131" s="161" t="s">
        <v>1191</v>
      </c>
      <c r="P131" s="161" t="s">
        <v>1191</v>
      </c>
      <c r="Q131" s="161" t="s">
        <v>1191</v>
      </c>
      <c r="R131" s="161" t="s">
        <v>1191</v>
      </c>
      <c r="S131" s="161" t="s">
        <v>1191</v>
      </c>
      <c r="T131" s="210" t="s">
        <v>49</v>
      </c>
      <c r="U131" s="228" t="s">
        <v>1191</v>
      </c>
      <c r="V131" s="228" t="s">
        <v>1192</v>
      </c>
      <c r="W131" s="210" t="s">
        <v>49</v>
      </c>
      <c r="X131" s="228" t="s">
        <v>1192</v>
      </c>
      <c r="Y131" s="228" t="s">
        <v>1192</v>
      </c>
      <c r="Z131" s="210" t="s">
        <v>49</v>
      </c>
      <c r="AA131" s="341" t="s">
        <v>203</v>
      </c>
      <c r="AB131" s="368" t="s">
        <v>951</v>
      </c>
    </row>
    <row r="132" spans="1:28" ht="15">
      <c r="A132" s="161" t="s">
        <v>571</v>
      </c>
      <c r="B132" s="161" t="s">
        <v>1182</v>
      </c>
      <c r="C132" s="209" t="s">
        <v>112</v>
      </c>
      <c r="D132" s="161" t="s">
        <v>1243</v>
      </c>
      <c r="E132" s="161" t="s">
        <v>1244</v>
      </c>
      <c r="F132" s="161" t="s">
        <v>650</v>
      </c>
      <c r="G132" s="161"/>
      <c r="H132" s="230">
        <v>6.3E-2</v>
      </c>
      <c r="I132" s="230" t="s">
        <v>49</v>
      </c>
      <c r="J132" s="209"/>
      <c r="K132" s="209"/>
      <c r="L132" s="209" t="s">
        <v>1189</v>
      </c>
      <c r="M132" s="209" t="s">
        <v>1246</v>
      </c>
      <c r="N132" s="209" t="s">
        <v>1474</v>
      </c>
      <c r="O132" s="209" t="s">
        <v>1191</v>
      </c>
      <c r="P132" s="209" t="s">
        <v>1191</v>
      </c>
      <c r="Q132" s="209" t="s">
        <v>1191</v>
      </c>
      <c r="R132" s="209" t="s">
        <v>1191</v>
      </c>
      <c r="S132" s="209" t="s">
        <v>1191</v>
      </c>
      <c r="T132" s="210" t="s">
        <v>49</v>
      </c>
      <c r="U132" s="228" t="s">
        <v>1191</v>
      </c>
      <c r="V132" s="228" t="s">
        <v>1192</v>
      </c>
      <c r="W132" s="210" t="s">
        <v>49</v>
      </c>
      <c r="X132" s="228" t="s">
        <v>1192</v>
      </c>
      <c r="Y132" s="228" t="s">
        <v>1192</v>
      </c>
      <c r="Z132" s="210" t="s">
        <v>49</v>
      </c>
      <c r="AA132" s="341" t="s">
        <v>203</v>
      </c>
      <c r="AB132" s="341" t="s">
        <v>203</v>
      </c>
    </row>
    <row r="133" spans="1:28" ht="15.75">
      <c r="A133" s="161" t="s">
        <v>609</v>
      </c>
      <c r="B133" s="161" t="s">
        <v>1182</v>
      </c>
      <c r="C133" s="209" t="s">
        <v>17</v>
      </c>
      <c r="D133" s="161" t="s">
        <v>1183</v>
      </c>
      <c r="E133" s="161" t="s">
        <v>1184</v>
      </c>
      <c r="F133" s="161" t="s">
        <v>1475</v>
      </c>
      <c r="G133" s="161"/>
      <c r="H133" s="230">
        <v>6.3E-2</v>
      </c>
      <c r="I133" s="230" t="s">
        <v>1476</v>
      </c>
      <c r="J133" s="209" t="s">
        <v>1477</v>
      </c>
      <c r="K133" s="209"/>
      <c r="L133" s="209" t="s">
        <v>1182</v>
      </c>
      <c r="M133" s="214" t="s">
        <v>1216</v>
      </c>
      <c r="N133" s="161" t="s">
        <v>1478</v>
      </c>
      <c r="O133" s="228" t="s">
        <v>1191</v>
      </c>
      <c r="P133" s="228" t="s">
        <v>1191</v>
      </c>
      <c r="Q133" s="228" t="s">
        <v>1191</v>
      </c>
      <c r="R133" s="228" t="s">
        <v>1191</v>
      </c>
      <c r="S133" s="228" t="s">
        <v>1191</v>
      </c>
      <c r="T133" s="210" t="s">
        <v>49</v>
      </c>
      <c r="U133" s="228" t="s">
        <v>1191</v>
      </c>
      <c r="V133" s="228" t="s">
        <v>1192</v>
      </c>
      <c r="W133" s="210" t="s">
        <v>49</v>
      </c>
      <c r="X133" s="228" t="s">
        <v>1192</v>
      </c>
      <c r="Y133" s="228" t="s">
        <v>1192</v>
      </c>
      <c r="Z133" s="210" t="s">
        <v>49</v>
      </c>
      <c r="AA133" s="341" t="s">
        <v>203</v>
      </c>
      <c r="AB133" s="368" t="s">
        <v>203</v>
      </c>
    </row>
    <row r="134" spans="1:28" ht="15.75">
      <c r="A134" s="209" t="s">
        <v>1156</v>
      </c>
      <c r="B134" s="161" t="s">
        <v>1182</v>
      </c>
      <c r="C134" s="161" t="s">
        <v>17</v>
      </c>
      <c r="D134" s="209" t="s">
        <v>1314</v>
      </c>
      <c r="E134" s="209" t="s">
        <v>1184</v>
      </c>
      <c r="F134" s="161" t="s">
        <v>1479</v>
      </c>
      <c r="G134" s="161" t="s">
        <v>1186</v>
      </c>
      <c r="H134" s="230">
        <v>6.0999999999999999E-2</v>
      </c>
      <c r="I134" s="230" t="s">
        <v>1480</v>
      </c>
      <c r="J134" s="209" t="s">
        <v>1481</v>
      </c>
      <c r="K134" s="209"/>
      <c r="L134" s="209" t="s">
        <v>1182</v>
      </c>
      <c r="M134" s="214" t="s">
        <v>1216</v>
      </c>
      <c r="N134" s="228"/>
      <c r="O134" s="228" t="s">
        <v>1191</v>
      </c>
      <c r="P134" s="228" t="s">
        <v>1191</v>
      </c>
      <c r="Q134" s="228" t="s">
        <v>1191</v>
      </c>
      <c r="R134" s="228" t="s">
        <v>1191</v>
      </c>
      <c r="S134" s="228" t="s">
        <v>1192</v>
      </c>
      <c r="T134" s="210" t="s">
        <v>49</v>
      </c>
      <c r="U134" s="228" t="s">
        <v>1192</v>
      </c>
      <c r="V134" s="228" t="s">
        <v>1192</v>
      </c>
      <c r="W134" s="210" t="s">
        <v>49</v>
      </c>
      <c r="X134" s="228" t="s">
        <v>1192</v>
      </c>
      <c r="Y134" s="228" t="s">
        <v>1192</v>
      </c>
      <c r="Z134" s="210" t="s">
        <v>49</v>
      </c>
      <c r="AA134" s="341" t="s">
        <v>203</v>
      </c>
      <c r="AB134" s="368" t="s">
        <v>951</v>
      </c>
    </row>
    <row r="135" spans="1:28" ht="15.75">
      <c r="A135" s="161" t="s">
        <v>580</v>
      </c>
      <c r="B135" s="161" t="s">
        <v>1182</v>
      </c>
      <c r="C135" s="209" t="s">
        <v>17</v>
      </c>
      <c r="D135" s="161" t="s">
        <v>1183</v>
      </c>
      <c r="E135" s="161" t="s">
        <v>1184</v>
      </c>
      <c r="F135" s="161" t="s">
        <v>773</v>
      </c>
      <c r="G135" s="161" t="s">
        <v>1199</v>
      </c>
      <c r="H135" s="230">
        <v>6.0999999999999999E-2</v>
      </c>
      <c r="I135" s="230" t="s">
        <v>1482</v>
      </c>
      <c r="J135" t="s">
        <v>1482</v>
      </c>
      <c r="K135" s="209"/>
      <c r="L135" s="209" t="s">
        <v>1182</v>
      </c>
      <c r="M135" s="214"/>
      <c r="N135" s="161" t="s">
        <v>774</v>
      </c>
      <c r="O135" s="228" t="s">
        <v>1191</v>
      </c>
      <c r="P135" s="228" t="s">
        <v>1191</v>
      </c>
      <c r="Q135" s="228" t="s">
        <v>1191</v>
      </c>
      <c r="R135" s="228" t="s">
        <v>1191</v>
      </c>
      <c r="S135" s="228" t="s">
        <v>1192</v>
      </c>
      <c r="T135" s="210" t="s">
        <v>49</v>
      </c>
      <c r="U135" s="228" t="s">
        <v>1191</v>
      </c>
      <c r="V135" s="228" t="s">
        <v>1192</v>
      </c>
      <c r="W135" s="210" t="s">
        <v>49</v>
      </c>
      <c r="X135" s="228" t="s">
        <v>1192</v>
      </c>
      <c r="Y135" s="228" t="s">
        <v>1192</v>
      </c>
      <c r="Z135" s="210" t="s">
        <v>49</v>
      </c>
      <c r="AA135" s="341" t="s">
        <v>203</v>
      </c>
      <c r="AB135" s="368" t="s">
        <v>203</v>
      </c>
    </row>
    <row r="136" spans="1:28" ht="15.75">
      <c r="A136" s="209" t="s">
        <v>1156</v>
      </c>
      <c r="B136" s="161" t="s">
        <v>1182</v>
      </c>
      <c r="C136" s="161" t="s">
        <v>17</v>
      </c>
      <c r="D136" s="209" t="s">
        <v>1314</v>
      </c>
      <c r="E136" s="209" t="s">
        <v>1184</v>
      </c>
      <c r="F136" s="161" t="s">
        <v>1483</v>
      </c>
      <c r="G136" s="161" t="s">
        <v>1186</v>
      </c>
      <c r="H136" s="230">
        <v>5.8999999999999997E-2</v>
      </c>
      <c r="I136" s="230" t="s">
        <v>1484</v>
      </c>
      <c r="J136" s="209" t="s">
        <v>361</v>
      </c>
      <c r="K136" s="209"/>
      <c r="L136" s="209" t="s">
        <v>1182</v>
      </c>
      <c r="M136" s="214" t="s">
        <v>1216</v>
      </c>
      <c r="O136" s="228" t="s">
        <v>1191</v>
      </c>
      <c r="P136" s="228" t="s">
        <v>1191</v>
      </c>
      <c r="Q136" s="228" t="s">
        <v>1191</v>
      </c>
      <c r="R136" s="228" t="s">
        <v>1191</v>
      </c>
      <c r="S136" s="228" t="s">
        <v>1192</v>
      </c>
      <c r="T136" s="210" t="s">
        <v>49</v>
      </c>
      <c r="U136" s="228" t="s">
        <v>1192</v>
      </c>
      <c r="V136" s="228" t="s">
        <v>1192</v>
      </c>
      <c r="W136" s="210" t="s">
        <v>49</v>
      </c>
      <c r="X136" s="228" t="s">
        <v>1192</v>
      </c>
      <c r="Y136" s="228" t="s">
        <v>1192</v>
      </c>
      <c r="Z136" s="210" t="s">
        <v>49</v>
      </c>
      <c r="AA136" s="341" t="s">
        <v>203</v>
      </c>
      <c r="AB136" s="368" t="s">
        <v>203</v>
      </c>
    </row>
    <row r="137" spans="1:28" ht="15">
      <c r="A137" s="209" t="s">
        <v>1156</v>
      </c>
      <c r="B137" s="161" t="s">
        <v>1182</v>
      </c>
      <c r="C137" s="161" t="s">
        <v>66</v>
      </c>
      <c r="D137" s="209"/>
      <c r="E137" s="209" t="s">
        <v>1203</v>
      </c>
      <c r="F137" s="161" t="s">
        <v>1485</v>
      </c>
      <c r="G137" s="161" t="s">
        <v>1205</v>
      </c>
      <c r="H137" s="230">
        <v>5.8999999999999997E-2</v>
      </c>
      <c r="I137" s="230"/>
      <c r="J137" s="209" t="s">
        <v>1486</v>
      </c>
      <c r="K137" s="209"/>
      <c r="O137" s="210" t="s">
        <v>1191</v>
      </c>
      <c r="P137" s="210" t="s">
        <v>1191</v>
      </c>
      <c r="Q137" s="210" t="s">
        <v>1191</v>
      </c>
      <c r="R137" s="210" t="s">
        <v>1192</v>
      </c>
      <c r="S137" s="210" t="s">
        <v>1192</v>
      </c>
      <c r="T137" s="210" t="s">
        <v>49</v>
      </c>
      <c r="U137" s="210" t="s">
        <v>1192</v>
      </c>
      <c r="V137" s="210" t="s">
        <v>1192</v>
      </c>
      <c r="W137" s="210" t="s">
        <v>49</v>
      </c>
      <c r="X137" s="210" t="s">
        <v>1192</v>
      </c>
      <c r="Y137" s="210" t="s">
        <v>1192</v>
      </c>
      <c r="Z137" s="210" t="s">
        <v>49</v>
      </c>
      <c r="AA137" s="341" t="s">
        <v>203</v>
      </c>
      <c r="AB137" s="341" t="s">
        <v>203</v>
      </c>
    </row>
    <row r="138" spans="1:28" ht="15.75">
      <c r="A138" s="161" t="s">
        <v>585</v>
      </c>
      <c r="B138" s="161" t="s">
        <v>1182</v>
      </c>
      <c r="C138" s="209" t="s">
        <v>17</v>
      </c>
      <c r="D138" s="161" t="s">
        <v>1183</v>
      </c>
      <c r="E138" s="161" t="s">
        <v>1184</v>
      </c>
      <c r="F138" s="161" t="s">
        <v>686</v>
      </c>
      <c r="G138" s="161"/>
      <c r="H138" s="230">
        <v>5.6000000000000001E-2</v>
      </c>
      <c r="I138" s="230" t="s">
        <v>1418</v>
      </c>
      <c r="J138" s="209" t="s">
        <v>1298</v>
      </c>
      <c r="K138" s="209"/>
      <c r="L138" s="161" t="s">
        <v>1182</v>
      </c>
      <c r="M138" s="209" t="s">
        <v>1216</v>
      </c>
      <c r="N138" s="161" t="s">
        <v>687</v>
      </c>
      <c r="O138" s="161" t="s">
        <v>1191</v>
      </c>
      <c r="P138" s="161" t="s">
        <v>1191</v>
      </c>
      <c r="Q138" s="161" t="s">
        <v>1191</v>
      </c>
      <c r="R138" s="161" t="s">
        <v>1191</v>
      </c>
      <c r="S138" s="161" t="s">
        <v>1191</v>
      </c>
      <c r="T138" s="210" t="s">
        <v>49</v>
      </c>
      <c r="U138" s="228" t="s">
        <v>1191</v>
      </c>
      <c r="V138" s="228" t="s">
        <v>1192</v>
      </c>
      <c r="W138" s="210" t="s">
        <v>49</v>
      </c>
      <c r="X138" s="228" t="s">
        <v>1192</v>
      </c>
      <c r="Y138" s="228" t="s">
        <v>1192</v>
      </c>
      <c r="Z138" s="210" t="s">
        <v>49</v>
      </c>
      <c r="AA138" s="341" t="s">
        <v>203</v>
      </c>
      <c r="AB138" s="368" t="s">
        <v>951</v>
      </c>
    </row>
    <row r="139" spans="1:28" s="435" customFormat="1" ht="15">
      <c r="A139" s="335" t="s">
        <v>1156</v>
      </c>
      <c r="B139" s="338" t="s">
        <v>1182</v>
      </c>
      <c r="C139" s="338" t="s">
        <v>393</v>
      </c>
      <c r="D139" s="338" t="s">
        <v>1230</v>
      </c>
      <c r="E139" s="335" t="s">
        <v>1487</v>
      </c>
      <c r="F139" s="338" t="s">
        <v>1488</v>
      </c>
      <c r="G139" s="338" t="s">
        <v>1258</v>
      </c>
      <c r="H139" s="459">
        <v>5.6000000000000001E-2</v>
      </c>
      <c r="I139" s="459" t="s">
        <v>1489</v>
      </c>
      <c r="J139" s="335" t="s">
        <v>361</v>
      </c>
      <c r="K139" s="335"/>
      <c r="L139" s="435" t="s">
        <v>1182</v>
      </c>
      <c r="M139" s="338" t="s">
        <v>1490</v>
      </c>
      <c r="O139" s="460" t="s">
        <v>1192</v>
      </c>
      <c r="P139" s="460" t="s">
        <v>1192</v>
      </c>
      <c r="Q139" s="460" t="s">
        <v>1192</v>
      </c>
      <c r="R139" s="435" t="s">
        <v>1192</v>
      </c>
      <c r="S139" s="435" t="s">
        <v>1192</v>
      </c>
      <c r="T139" s="435" t="s">
        <v>49</v>
      </c>
      <c r="U139" s="435" t="s">
        <v>1192</v>
      </c>
      <c r="V139" s="435" t="s">
        <v>1192</v>
      </c>
      <c r="W139" s="435" t="s">
        <v>49</v>
      </c>
      <c r="X139" s="435" t="s">
        <v>1192</v>
      </c>
      <c r="Y139" s="435" t="s">
        <v>1192</v>
      </c>
      <c r="Z139" s="435" t="s">
        <v>49</v>
      </c>
      <c r="AA139" s="461" t="s">
        <v>203</v>
      </c>
      <c r="AB139" s="461" t="s">
        <v>203</v>
      </c>
    </row>
    <row r="140" spans="1:28" ht="15">
      <c r="A140" s="161" t="s">
        <v>571</v>
      </c>
      <c r="B140" s="161" t="s">
        <v>1182</v>
      </c>
      <c r="C140" s="209" t="s">
        <v>112</v>
      </c>
      <c r="D140" s="209" t="s">
        <v>1230</v>
      </c>
      <c r="E140" s="161" t="s">
        <v>1244</v>
      </c>
      <c r="F140" s="161" t="s">
        <v>695</v>
      </c>
      <c r="G140" s="161"/>
      <c r="H140" s="230">
        <v>5.1999999999999998E-2</v>
      </c>
      <c r="I140" s="230" t="s">
        <v>1267</v>
      </c>
      <c r="J140" s="209" t="s">
        <v>1267</v>
      </c>
      <c r="K140" s="209"/>
      <c r="L140" s="209" t="s">
        <v>1189</v>
      </c>
      <c r="M140" s="209" t="s">
        <v>1246</v>
      </c>
      <c r="N140" s="209" t="s">
        <v>1491</v>
      </c>
      <c r="O140" s="209" t="s">
        <v>1191</v>
      </c>
      <c r="P140" s="209" t="s">
        <v>1191</v>
      </c>
      <c r="Q140" s="209" t="s">
        <v>1191</v>
      </c>
      <c r="R140" s="209" t="s">
        <v>1191</v>
      </c>
      <c r="S140" s="209" t="s">
        <v>1191</v>
      </c>
      <c r="T140" s="210" t="s">
        <v>49</v>
      </c>
      <c r="U140" s="228" t="s">
        <v>1191</v>
      </c>
      <c r="V140" s="228" t="s">
        <v>1192</v>
      </c>
      <c r="W140" s="210" t="s">
        <v>49</v>
      </c>
      <c r="X140" s="228" t="s">
        <v>1192</v>
      </c>
      <c r="Y140" s="228" t="s">
        <v>1192</v>
      </c>
      <c r="Z140" s="210" t="s">
        <v>49</v>
      </c>
      <c r="AA140" s="341" t="s">
        <v>203</v>
      </c>
      <c r="AB140" s="341" t="s">
        <v>203</v>
      </c>
    </row>
    <row r="141" spans="1:28" ht="15">
      <c r="A141" s="161" t="s">
        <v>571</v>
      </c>
      <c r="B141" s="161" t="s">
        <v>1182</v>
      </c>
      <c r="C141" s="209" t="s">
        <v>112</v>
      </c>
      <c r="D141" s="209" t="s">
        <v>1230</v>
      </c>
      <c r="E141" s="161" t="s">
        <v>1244</v>
      </c>
      <c r="F141" s="161" t="s">
        <v>746</v>
      </c>
      <c r="G141" s="161"/>
      <c r="H141" s="230">
        <v>5.0999999999999997E-2</v>
      </c>
      <c r="I141" s="230" t="s">
        <v>1267</v>
      </c>
      <c r="J141" s="209" t="s">
        <v>1267</v>
      </c>
      <c r="K141" s="209"/>
      <c r="L141" s="209" t="s">
        <v>1189</v>
      </c>
      <c r="M141" s="209" t="s">
        <v>1246</v>
      </c>
      <c r="N141" s="209" t="s">
        <v>1492</v>
      </c>
      <c r="O141" s="209" t="s">
        <v>1191</v>
      </c>
      <c r="P141" s="209" t="s">
        <v>1191</v>
      </c>
      <c r="Q141" s="209" t="s">
        <v>1191</v>
      </c>
      <c r="R141" s="209" t="s">
        <v>1191</v>
      </c>
      <c r="S141" s="209" t="s">
        <v>1191</v>
      </c>
      <c r="T141" s="210" t="s">
        <v>49</v>
      </c>
      <c r="U141" s="228" t="s">
        <v>1191</v>
      </c>
      <c r="V141" s="228" t="s">
        <v>1192</v>
      </c>
      <c r="W141" s="210" t="s">
        <v>49</v>
      </c>
      <c r="X141" s="228" t="s">
        <v>1192</v>
      </c>
      <c r="Y141" s="228" t="s">
        <v>1192</v>
      </c>
      <c r="Z141" s="210" t="s">
        <v>49</v>
      </c>
      <c r="AA141" s="341" t="s">
        <v>203</v>
      </c>
      <c r="AB141" s="341" t="s">
        <v>203</v>
      </c>
    </row>
    <row r="142" spans="1:28" ht="15">
      <c r="A142" s="272" t="s">
        <v>609</v>
      </c>
      <c r="B142" s="161" t="s">
        <v>1189</v>
      </c>
      <c r="C142" s="161" t="s">
        <v>93</v>
      </c>
      <c r="D142" s="209" t="s">
        <v>1292</v>
      </c>
      <c r="E142" s="209" t="s">
        <v>1293</v>
      </c>
      <c r="F142" s="338" t="s">
        <v>1493</v>
      </c>
      <c r="G142" s="338" t="s">
        <v>1295</v>
      </c>
      <c r="H142" s="230">
        <v>4.9804688E-2</v>
      </c>
      <c r="I142" s="369" t="s">
        <v>1494</v>
      </c>
      <c r="J142" s="209" t="s">
        <v>361</v>
      </c>
      <c r="K142" s="209"/>
      <c r="O142" s="210" t="s">
        <v>49</v>
      </c>
      <c r="P142" s="210" t="s">
        <v>49</v>
      </c>
      <c r="Q142" s="210" t="s">
        <v>49</v>
      </c>
      <c r="R142" s="228" t="s">
        <v>49</v>
      </c>
      <c r="S142" s="228" t="s">
        <v>49</v>
      </c>
      <c r="T142" s="210" t="s">
        <v>1192</v>
      </c>
      <c r="U142" s="228" t="s">
        <v>49</v>
      </c>
      <c r="V142" s="228" t="s">
        <v>49</v>
      </c>
      <c r="W142" s="210" t="s">
        <v>1192</v>
      </c>
      <c r="X142" s="228" t="s">
        <v>49</v>
      </c>
      <c r="Y142" s="228" t="s">
        <v>49</v>
      </c>
      <c r="Z142" s="210" t="s">
        <v>1192</v>
      </c>
      <c r="AA142" s="341" t="s">
        <v>203</v>
      </c>
      <c r="AB142" s="341" t="s">
        <v>203</v>
      </c>
    </row>
    <row r="143" spans="1:28" ht="15.75">
      <c r="A143" s="161" t="s">
        <v>580</v>
      </c>
      <c r="B143" s="161" t="s">
        <v>1182</v>
      </c>
      <c r="C143" s="209" t="s">
        <v>17</v>
      </c>
      <c r="D143" s="161" t="s">
        <v>1274</v>
      </c>
      <c r="E143" s="161" t="s">
        <v>1184</v>
      </c>
      <c r="F143" s="161" t="s">
        <v>784</v>
      </c>
      <c r="G143" s="161"/>
      <c r="H143" s="230">
        <v>4.7E-2</v>
      </c>
      <c r="I143" s="230" t="s">
        <v>1495</v>
      </c>
      <c r="J143" s="209" t="s">
        <v>1496</v>
      </c>
      <c r="K143" s="209"/>
      <c r="L143" s="209" t="s">
        <v>1182</v>
      </c>
      <c r="M143" s="214" t="s">
        <v>1277</v>
      </c>
      <c r="N143" s="161" t="s">
        <v>785</v>
      </c>
      <c r="O143" s="228" t="s">
        <v>1191</v>
      </c>
      <c r="P143" s="228" t="s">
        <v>1191</v>
      </c>
      <c r="Q143" s="228" t="s">
        <v>1191</v>
      </c>
      <c r="R143" s="228" t="s">
        <v>1191</v>
      </c>
      <c r="S143" s="228" t="s">
        <v>1191</v>
      </c>
      <c r="T143" s="210" t="s">
        <v>49</v>
      </c>
      <c r="U143" s="228" t="s">
        <v>1191</v>
      </c>
      <c r="V143" s="228" t="s">
        <v>1192</v>
      </c>
      <c r="W143" s="210" t="s">
        <v>49</v>
      </c>
      <c r="X143" s="228" t="s">
        <v>1192</v>
      </c>
      <c r="Y143" s="228" t="s">
        <v>1192</v>
      </c>
      <c r="Z143" s="210" t="s">
        <v>49</v>
      </c>
      <c r="AA143" s="341" t="s">
        <v>203</v>
      </c>
      <c r="AB143" s="368" t="s">
        <v>951</v>
      </c>
    </row>
    <row r="144" spans="1:28" ht="15.75">
      <c r="A144" s="161" t="s">
        <v>580</v>
      </c>
      <c r="B144" s="161" t="s">
        <v>1182</v>
      </c>
      <c r="C144" s="209" t="s">
        <v>17</v>
      </c>
      <c r="D144" s="161" t="s">
        <v>1274</v>
      </c>
      <c r="E144" s="161" t="s">
        <v>1184</v>
      </c>
      <c r="F144" s="161" t="s">
        <v>757</v>
      </c>
      <c r="G144" s="161"/>
      <c r="H144" s="230">
        <v>4.4999999999999998E-2</v>
      </c>
      <c r="I144" s="230" t="s">
        <v>1497</v>
      </c>
      <c r="J144" s="209" t="s">
        <v>1498</v>
      </c>
      <c r="K144" s="209"/>
      <c r="L144" s="209" t="s">
        <v>1182</v>
      </c>
      <c r="M144" s="214" t="s">
        <v>1277</v>
      </c>
      <c r="N144" s="161" t="s">
        <v>758</v>
      </c>
      <c r="O144" s="228" t="s">
        <v>1191</v>
      </c>
      <c r="P144" s="228" t="s">
        <v>1191</v>
      </c>
      <c r="Q144" s="228" t="s">
        <v>1191</v>
      </c>
      <c r="R144" s="228" t="s">
        <v>1191</v>
      </c>
      <c r="S144" s="228" t="s">
        <v>1191</v>
      </c>
      <c r="T144" s="210" t="s">
        <v>49</v>
      </c>
      <c r="U144" s="228" t="s">
        <v>1191</v>
      </c>
      <c r="V144" s="228" t="s">
        <v>1192</v>
      </c>
      <c r="W144" s="210" t="s">
        <v>49</v>
      </c>
      <c r="X144" s="228" t="s">
        <v>1192</v>
      </c>
      <c r="Y144" s="228" t="s">
        <v>1192</v>
      </c>
      <c r="Z144" s="210" t="s">
        <v>49</v>
      </c>
      <c r="AA144" s="341" t="s">
        <v>203</v>
      </c>
      <c r="AB144" s="368" t="s">
        <v>203</v>
      </c>
    </row>
    <row r="145" spans="1:28" ht="15.75">
      <c r="A145" s="209" t="s">
        <v>1156</v>
      </c>
      <c r="B145" s="161" t="s">
        <v>1182</v>
      </c>
      <c r="C145" s="161" t="s">
        <v>17</v>
      </c>
      <c r="D145" s="209" t="s">
        <v>1183</v>
      </c>
      <c r="E145" s="209" t="s">
        <v>1184</v>
      </c>
      <c r="F145" s="161" t="s">
        <v>1499</v>
      </c>
      <c r="G145" s="161" t="s">
        <v>1186</v>
      </c>
      <c r="H145" s="230">
        <v>4.2999999999999997E-2</v>
      </c>
      <c r="I145" s="230" t="s">
        <v>1500</v>
      </c>
      <c r="J145" s="209" t="s">
        <v>1501</v>
      </c>
      <c r="K145" s="209"/>
      <c r="L145" s="209" t="s">
        <v>1182</v>
      </c>
      <c r="M145" s="214" t="s">
        <v>1216</v>
      </c>
      <c r="O145" s="228" t="s">
        <v>1191</v>
      </c>
      <c r="P145" s="228" t="s">
        <v>1191</v>
      </c>
      <c r="Q145" s="228" t="s">
        <v>1191</v>
      </c>
      <c r="R145" s="228" t="s">
        <v>1191</v>
      </c>
      <c r="S145" s="228" t="s">
        <v>1192</v>
      </c>
      <c r="T145" s="210" t="s">
        <v>49</v>
      </c>
      <c r="U145" s="228" t="s">
        <v>1192</v>
      </c>
      <c r="V145" s="228" t="s">
        <v>1192</v>
      </c>
      <c r="W145" s="210" t="s">
        <v>49</v>
      </c>
      <c r="X145" s="228" t="s">
        <v>1192</v>
      </c>
      <c r="Y145" s="228" t="s">
        <v>1192</v>
      </c>
      <c r="Z145" s="210" t="s">
        <v>49</v>
      </c>
      <c r="AA145" s="341" t="s">
        <v>203</v>
      </c>
      <c r="AB145" s="368" t="s">
        <v>203</v>
      </c>
    </row>
    <row r="146" spans="1:28" ht="15.75">
      <c r="A146" s="209" t="s">
        <v>1156</v>
      </c>
      <c r="B146" s="161" t="s">
        <v>1182</v>
      </c>
      <c r="C146" s="161" t="s">
        <v>17</v>
      </c>
      <c r="D146" s="209" t="s">
        <v>1183</v>
      </c>
      <c r="E146" s="209" t="s">
        <v>1184</v>
      </c>
      <c r="F146" s="161" t="s">
        <v>1502</v>
      </c>
      <c r="G146" s="161" t="s">
        <v>1186</v>
      </c>
      <c r="H146" s="230">
        <v>3.6999999999999998E-2</v>
      </c>
      <c r="I146" s="230" t="s">
        <v>1503</v>
      </c>
      <c r="J146" s="209" t="s">
        <v>1504</v>
      </c>
      <c r="K146" s="209"/>
      <c r="L146" s="209" t="s">
        <v>1182</v>
      </c>
      <c r="M146" s="214" t="s">
        <v>1216</v>
      </c>
      <c r="O146" s="228" t="s">
        <v>1191</v>
      </c>
      <c r="P146" s="228" t="s">
        <v>1191</v>
      </c>
      <c r="Q146" s="228" t="s">
        <v>1191</v>
      </c>
      <c r="R146" s="228" t="s">
        <v>1191</v>
      </c>
      <c r="S146" s="228" t="s">
        <v>1192</v>
      </c>
      <c r="T146" s="210" t="s">
        <v>49</v>
      </c>
      <c r="U146" s="228" t="s">
        <v>1192</v>
      </c>
      <c r="V146" s="228" t="s">
        <v>1192</v>
      </c>
      <c r="W146" s="210" t="s">
        <v>49</v>
      </c>
      <c r="X146" s="228" t="s">
        <v>1192</v>
      </c>
      <c r="Y146" s="228" t="s">
        <v>1192</v>
      </c>
      <c r="Z146" s="210" t="s">
        <v>49</v>
      </c>
      <c r="AA146" s="341" t="s">
        <v>203</v>
      </c>
      <c r="AB146" s="368" t="s">
        <v>951</v>
      </c>
    </row>
    <row r="147" spans="1:28" ht="15.75">
      <c r="A147" s="209" t="s">
        <v>1156</v>
      </c>
      <c r="B147" s="161" t="s">
        <v>1182</v>
      </c>
      <c r="C147" s="161" t="s">
        <v>17</v>
      </c>
      <c r="D147" s="209" t="s">
        <v>1274</v>
      </c>
      <c r="E147" s="209" t="s">
        <v>1184</v>
      </c>
      <c r="F147" s="161" t="s">
        <v>1505</v>
      </c>
      <c r="G147" s="161" t="s">
        <v>1186</v>
      </c>
      <c r="H147" s="230">
        <v>3.5000000000000003E-2</v>
      </c>
      <c r="I147" s="230" t="s">
        <v>1506</v>
      </c>
      <c r="J147" s="209" t="s">
        <v>1507</v>
      </c>
      <c r="K147" s="209"/>
      <c r="L147" s="209" t="s">
        <v>1182</v>
      </c>
      <c r="M147" s="214" t="s">
        <v>1277</v>
      </c>
      <c r="O147" s="228" t="s">
        <v>1191</v>
      </c>
      <c r="P147" s="228" t="s">
        <v>1191</v>
      </c>
      <c r="Q147" s="228" t="s">
        <v>1191</v>
      </c>
      <c r="R147" s="228" t="s">
        <v>1191</v>
      </c>
      <c r="S147" s="228" t="s">
        <v>1192</v>
      </c>
      <c r="T147" s="210" t="s">
        <v>49</v>
      </c>
      <c r="U147" s="228" t="s">
        <v>1192</v>
      </c>
      <c r="V147" s="228" t="s">
        <v>1192</v>
      </c>
      <c r="W147" s="210" t="s">
        <v>49</v>
      </c>
      <c r="X147" s="228" t="s">
        <v>1192</v>
      </c>
      <c r="Y147" s="228" t="s">
        <v>1192</v>
      </c>
      <c r="Z147" s="210" t="s">
        <v>49</v>
      </c>
      <c r="AA147" s="341" t="s">
        <v>203</v>
      </c>
      <c r="AB147" s="368" t="s">
        <v>951</v>
      </c>
    </row>
    <row r="148" spans="1:28" ht="67.5">
      <c r="A148" s="161" t="s">
        <v>580</v>
      </c>
      <c r="B148" s="161" t="s">
        <v>1182</v>
      </c>
      <c r="C148" s="209" t="s">
        <v>17</v>
      </c>
      <c r="D148" s="161" t="s">
        <v>1314</v>
      </c>
      <c r="E148" s="161" t="s">
        <v>1184</v>
      </c>
      <c r="F148" s="162" t="s">
        <v>789</v>
      </c>
      <c r="G148" s="162"/>
      <c r="H148" s="230">
        <v>3.4000000000000002E-2</v>
      </c>
      <c r="I148" s="230" t="s">
        <v>1226</v>
      </c>
      <c r="J148" s="209"/>
      <c r="K148" s="209"/>
      <c r="L148" s="271" t="s">
        <v>1182</v>
      </c>
      <c r="M148" s="214" t="s">
        <v>1508</v>
      </c>
      <c r="N148" s="161" t="s">
        <v>1509</v>
      </c>
      <c r="O148" s="228" t="s">
        <v>1191</v>
      </c>
      <c r="P148" s="228" t="s">
        <v>1191</v>
      </c>
      <c r="Q148" s="228" t="s">
        <v>1191</v>
      </c>
      <c r="R148" s="228" t="s">
        <v>1191</v>
      </c>
      <c r="S148" s="228" t="s">
        <v>1191</v>
      </c>
      <c r="T148" s="210" t="s">
        <v>49</v>
      </c>
      <c r="U148" s="228" t="s">
        <v>1191</v>
      </c>
      <c r="V148" s="228" t="s">
        <v>1192</v>
      </c>
      <c r="W148" s="210" t="s">
        <v>49</v>
      </c>
      <c r="X148" s="228" t="s">
        <v>1192</v>
      </c>
      <c r="Y148" s="228" t="s">
        <v>1192</v>
      </c>
      <c r="Z148" s="210" t="s">
        <v>49</v>
      </c>
      <c r="AA148" s="341" t="s">
        <v>203</v>
      </c>
      <c r="AB148" s="368" t="s">
        <v>203</v>
      </c>
    </row>
    <row r="149" spans="1:28" ht="15">
      <c r="A149" s="161" t="s">
        <v>571</v>
      </c>
      <c r="B149" s="161" t="s">
        <v>1182</v>
      </c>
      <c r="C149" s="209" t="s">
        <v>112</v>
      </c>
      <c r="D149" s="161" t="s">
        <v>1243</v>
      </c>
      <c r="E149" s="161" t="s">
        <v>1244</v>
      </c>
      <c r="F149" s="161" t="s">
        <v>616</v>
      </c>
      <c r="G149" s="161"/>
      <c r="H149" s="230">
        <v>3.4000000000000002E-2</v>
      </c>
      <c r="I149" s="230" t="s">
        <v>1267</v>
      </c>
      <c r="J149" s="209" t="s">
        <v>1267</v>
      </c>
      <c r="K149" s="209"/>
      <c r="L149" s="209" t="s">
        <v>1189</v>
      </c>
      <c r="M149" s="209" t="s">
        <v>1246</v>
      </c>
      <c r="N149" s="209" t="s">
        <v>1510</v>
      </c>
      <c r="O149" s="209" t="s">
        <v>1191</v>
      </c>
      <c r="P149" s="209" t="s">
        <v>1191</v>
      </c>
      <c r="Q149" s="209" t="s">
        <v>1191</v>
      </c>
      <c r="R149" s="209" t="s">
        <v>1191</v>
      </c>
      <c r="S149" s="209" t="s">
        <v>1191</v>
      </c>
      <c r="T149" s="210" t="s">
        <v>49</v>
      </c>
      <c r="U149" s="228" t="s">
        <v>1191</v>
      </c>
      <c r="V149" s="228" t="s">
        <v>1192</v>
      </c>
      <c r="W149" s="210" t="s">
        <v>49</v>
      </c>
      <c r="X149" s="228" t="s">
        <v>1192</v>
      </c>
      <c r="Y149" s="228" t="s">
        <v>1192</v>
      </c>
      <c r="Z149" s="210" t="s">
        <v>49</v>
      </c>
      <c r="AA149" s="341" t="s">
        <v>203</v>
      </c>
      <c r="AB149" s="341" t="s">
        <v>203</v>
      </c>
    </row>
    <row r="150" spans="1:28" ht="15.75">
      <c r="A150" s="209" t="s">
        <v>1156</v>
      </c>
      <c r="B150" s="161" t="s">
        <v>1182</v>
      </c>
      <c r="C150" s="161" t="s">
        <v>36</v>
      </c>
      <c r="D150" s="209" t="s">
        <v>1183</v>
      </c>
      <c r="E150" s="209" t="s">
        <v>1434</v>
      </c>
      <c r="F150" s="161" t="s">
        <v>1511</v>
      </c>
      <c r="G150" s="161" t="s">
        <v>1436</v>
      </c>
      <c r="H150" s="230">
        <v>3.4000000000000002E-2</v>
      </c>
      <c r="I150" s="230" t="s">
        <v>49</v>
      </c>
      <c r="J150" s="209" t="s">
        <v>1512</v>
      </c>
      <c r="K150" s="209"/>
      <c r="L150" s="209" t="s">
        <v>1189</v>
      </c>
      <c r="M150" s="214" t="s">
        <v>1216</v>
      </c>
      <c r="O150" s="228" t="s">
        <v>1192</v>
      </c>
      <c r="P150" s="228" t="s">
        <v>1192</v>
      </c>
      <c r="Q150" s="228" t="s">
        <v>1192</v>
      </c>
      <c r="R150" s="228" t="s">
        <v>1192</v>
      </c>
      <c r="S150" s="228" t="s">
        <v>1192</v>
      </c>
      <c r="T150" s="210" t="s">
        <v>49</v>
      </c>
      <c r="U150" s="228" t="s">
        <v>1192</v>
      </c>
      <c r="V150" s="228" t="s">
        <v>1192</v>
      </c>
      <c r="W150" s="210" t="s">
        <v>49</v>
      </c>
      <c r="X150" s="228" t="s">
        <v>1192</v>
      </c>
      <c r="Y150" s="228" t="s">
        <v>1192</v>
      </c>
      <c r="Z150" s="210" t="s">
        <v>49</v>
      </c>
      <c r="AA150" s="341" t="s">
        <v>203</v>
      </c>
      <c r="AB150" s="368" t="s">
        <v>203</v>
      </c>
    </row>
    <row r="151" spans="1:28" ht="15.75">
      <c r="A151" s="209" t="s">
        <v>1156</v>
      </c>
      <c r="B151" s="161" t="s">
        <v>1182</v>
      </c>
      <c r="C151" s="161" t="s">
        <v>17</v>
      </c>
      <c r="D151" s="209" t="s">
        <v>1183</v>
      </c>
      <c r="E151" s="209" t="s">
        <v>1184</v>
      </c>
      <c r="F151" s="161" t="s">
        <v>1513</v>
      </c>
      <c r="G151" s="161" t="s">
        <v>1186</v>
      </c>
      <c r="H151" s="230">
        <v>3.4000000000000002E-2</v>
      </c>
      <c r="I151" s="230" t="s">
        <v>49</v>
      </c>
      <c r="J151" s="209" t="s">
        <v>1514</v>
      </c>
      <c r="K151" s="209"/>
      <c r="L151" s="209" t="s">
        <v>1182</v>
      </c>
      <c r="M151" s="214" t="s">
        <v>1216</v>
      </c>
      <c r="O151" s="228" t="s">
        <v>1191</v>
      </c>
      <c r="P151" s="228" t="s">
        <v>1191</v>
      </c>
      <c r="Q151" s="228" t="s">
        <v>1191</v>
      </c>
      <c r="R151" s="228" t="s">
        <v>1191</v>
      </c>
      <c r="S151" s="228" t="s">
        <v>1192</v>
      </c>
      <c r="T151" s="210" t="s">
        <v>49</v>
      </c>
      <c r="U151" s="228" t="s">
        <v>1192</v>
      </c>
      <c r="V151" s="228" t="s">
        <v>1192</v>
      </c>
      <c r="W151" s="210" t="s">
        <v>49</v>
      </c>
      <c r="X151" s="228" t="s">
        <v>1192</v>
      </c>
      <c r="Y151" s="228" t="s">
        <v>1192</v>
      </c>
      <c r="Z151" s="210" t="s">
        <v>49</v>
      </c>
      <c r="AA151" s="341" t="s">
        <v>203</v>
      </c>
      <c r="AB151" s="368" t="s">
        <v>951</v>
      </c>
    </row>
    <row r="152" spans="1:28" ht="15.75">
      <c r="A152" s="209" t="s">
        <v>1156</v>
      </c>
      <c r="B152" s="161" t="s">
        <v>1189</v>
      </c>
      <c r="C152" s="161" t="s">
        <v>39</v>
      </c>
      <c r="D152" s="209" t="s">
        <v>1288</v>
      </c>
      <c r="E152" s="161" t="s">
        <v>1282</v>
      </c>
      <c r="F152" s="161" t="s">
        <v>1515</v>
      </c>
      <c r="G152" s="161" t="s">
        <v>1290</v>
      </c>
      <c r="H152" s="230">
        <v>3.3000000000000002E-2</v>
      </c>
      <c r="I152" s="230"/>
      <c r="J152" s="209" t="s">
        <v>1516</v>
      </c>
      <c r="K152" s="209"/>
      <c r="L152" s="209" t="s">
        <v>1182</v>
      </c>
      <c r="O152" s="228" t="s">
        <v>49</v>
      </c>
      <c r="P152" s="228" t="s">
        <v>49</v>
      </c>
      <c r="Q152" s="228" t="s">
        <v>49</v>
      </c>
      <c r="R152" s="228" t="s">
        <v>49</v>
      </c>
      <c r="S152" s="228" t="s">
        <v>49</v>
      </c>
      <c r="T152" s="210" t="s">
        <v>1192</v>
      </c>
      <c r="U152" s="228" t="s">
        <v>49</v>
      </c>
      <c r="V152" s="228" t="s">
        <v>49</v>
      </c>
      <c r="W152" s="210" t="s">
        <v>1192</v>
      </c>
      <c r="X152" s="228" t="s">
        <v>49</v>
      </c>
      <c r="Y152" s="228" t="s">
        <v>49</v>
      </c>
      <c r="Z152" s="210" t="s">
        <v>1192</v>
      </c>
      <c r="AA152" s="341" t="s">
        <v>203</v>
      </c>
      <c r="AB152" s="368" t="s">
        <v>203</v>
      </c>
    </row>
    <row r="153" spans="1:28" ht="15.75">
      <c r="A153" s="209" t="s">
        <v>1156</v>
      </c>
      <c r="B153" s="161" t="s">
        <v>1189</v>
      </c>
      <c r="C153" s="161" t="s">
        <v>39</v>
      </c>
      <c r="D153" s="209" t="s">
        <v>1288</v>
      </c>
      <c r="E153" s="161" t="s">
        <v>1282</v>
      </c>
      <c r="F153" s="161" t="s">
        <v>1517</v>
      </c>
      <c r="G153" s="161" t="s">
        <v>1290</v>
      </c>
      <c r="H153" s="230">
        <v>3.2000000000000001E-2</v>
      </c>
      <c r="I153" s="230"/>
      <c r="J153" s="209" t="s">
        <v>1518</v>
      </c>
      <c r="K153" s="209"/>
      <c r="L153" s="209" t="s">
        <v>1182</v>
      </c>
      <c r="O153" s="228" t="s">
        <v>49</v>
      </c>
      <c r="P153" s="228" t="s">
        <v>49</v>
      </c>
      <c r="Q153" s="228" t="s">
        <v>49</v>
      </c>
      <c r="R153" s="228" t="s">
        <v>49</v>
      </c>
      <c r="S153" s="228" t="s">
        <v>49</v>
      </c>
      <c r="T153" s="210" t="s">
        <v>1192</v>
      </c>
      <c r="U153" s="228" t="s">
        <v>49</v>
      </c>
      <c r="V153" s="228" t="s">
        <v>49</v>
      </c>
      <c r="W153" s="210" t="s">
        <v>1192</v>
      </c>
      <c r="X153" s="228" t="s">
        <v>49</v>
      </c>
      <c r="Y153" s="228" t="s">
        <v>49</v>
      </c>
      <c r="Z153" s="210" t="s">
        <v>1192</v>
      </c>
      <c r="AA153" s="341" t="s">
        <v>203</v>
      </c>
      <c r="AB153" s="368" t="s">
        <v>203</v>
      </c>
    </row>
    <row r="154" spans="1:28" ht="15.75">
      <c r="A154" s="161" t="s">
        <v>609</v>
      </c>
      <c r="B154" s="161" t="s">
        <v>1182</v>
      </c>
      <c r="C154" s="209" t="s">
        <v>17</v>
      </c>
      <c r="D154" s="161" t="s">
        <v>1183</v>
      </c>
      <c r="E154" s="161" t="s">
        <v>1184</v>
      </c>
      <c r="F154" s="161" t="s">
        <v>1519</v>
      </c>
      <c r="G154" s="161"/>
      <c r="H154" s="230">
        <v>3.1E-2</v>
      </c>
      <c r="I154" s="230" t="s">
        <v>1520</v>
      </c>
      <c r="J154" s="209" t="s">
        <v>1521</v>
      </c>
      <c r="K154" s="209"/>
      <c r="L154" s="209" t="s">
        <v>1182</v>
      </c>
      <c r="M154" s="214" t="s">
        <v>1216</v>
      </c>
      <c r="N154" s="161" t="s">
        <v>1522</v>
      </c>
      <c r="O154" s="228" t="s">
        <v>1191</v>
      </c>
      <c r="P154" s="228" t="s">
        <v>1191</v>
      </c>
      <c r="Q154" s="228" t="s">
        <v>1191</v>
      </c>
      <c r="R154" s="228" t="s">
        <v>1191</v>
      </c>
      <c r="S154" s="228" t="s">
        <v>1191</v>
      </c>
      <c r="T154" s="210" t="s">
        <v>49</v>
      </c>
      <c r="U154" s="228" t="s">
        <v>1191</v>
      </c>
      <c r="V154" s="228" t="s">
        <v>1192</v>
      </c>
      <c r="W154" s="210" t="s">
        <v>49</v>
      </c>
      <c r="X154" s="228" t="s">
        <v>1192</v>
      </c>
      <c r="Y154" s="228" t="s">
        <v>1192</v>
      </c>
      <c r="Z154" s="210" t="s">
        <v>49</v>
      </c>
      <c r="AA154" s="341" t="s">
        <v>203</v>
      </c>
      <c r="AB154" s="368" t="s">
        <v>203</v>
      </c>
    </row>
    <row r="155" spans="1:28" ht="15.75">
      <c r="A155" s="209" t="s">
        <v>1156</v>
      </c>
      <c r="B155" s="161" t="s">
        <v>1189</v>
      </c>
      <c r="C155" s="161" t="s">
        <v>39</v>
      </c>
      <c r="D155" s="209" t="s">
        <v>1288</v>
      </c>
      <c r="E155" s="161" t="s">
        <v>1282</v>
      </c>
      <c r="F155" s="161" t="s">
        <v>1523</v>
      </c>
      <c r="G155" s="161" t="s">
        <v>1290</v>
      </c>
      <c r="H155" s="230">
        <v>3.1E-2</v>
      </c>
      <c r="I155" s="230"/>
      <c r="J155" s="427" t="s">
        <v>1524</v>
      </c>
      <c r="K155" s="209"/>
      <c r="L155" s="209" t="s">
        <v>1182</v>
      </c>
      <c r="O155" s="228" t="s">
        <v>49</v>
      </c>
      <c r="P155" s="228" t="s">
        <v>49</v>
      </c>
      <c r="Q155" s="228" t="s">
        <v>49</v>
      </c>
      <c r="R155" s="228" t="s">
        <v>49</v>
      </c>
      <c r="S155" s="228" t="s">
        <v>49</v>
      </c>
      <c r="T155" s="210" t="s">
        <v>1192</v>
      </c>
      <c r="U155" s="228" t="s">
        <v>49</v>
      </c>
      <c r="V155" s="228" t="s">
        <v>49</v>
      </c>
      <c r="W155" s="210" t="s">
        <v>1192</v>
      </c>
      <c r="X155" s="228" t="s">
        <v>49</v>
      </c>
      <c r="Y155" s="228" t="s">
        <v>49</v>
      </c>
      <c r="Z155" s="210" t="s">
        <v>1192</v>
      </c>
      <c r="AA155" s="341" t="s">
        <v>203</v>
      </c>
      <c r="AB155" s="368" t="s">
        <v>203</v>
      </c>
    </row>
    <row r="156" spans="1:28" ht="15.75">
      <c r="A156" s="209" t="s">
        <v>1156</v>
      </c>
      <c r="B156" s="161" t="s">
        <v>1189</v>
      </c>
      <c r="C156" s="169" t="s">
        <v>39</v>
      </c>
      <c r="D156" s="209" t="s">
        <v>1281</v>
      </c>
      <c r="E156" s="161" t="s">
        <v>1282</v>
      </c>
      <c r="F156" s="161" t="s">
        <v>1525</v>
      </c>
      <c r="G156" s="161" t="s">
        <v>1290</v>
      </c>
      <c r="H156" s="209">
        <v>3.1E-2</v>
      </c>
      <c r="I156" s="209"/>
      <c r="J156" s="427" t="s">
        <v>1284</v>
      </c>
      <c r="K156" s="209"/>
      <c r="L156" s="210" t="s">
        <v>1189</v>
      </c>
      <c r="N156" s="228" t="s">
        <v>1526</v>
      </c>
      <c r="O156" s="228" t="s">
        <v>49</v>
      </c>
      <c r="P156" s="228" t="s">
        <v>49</v>
      </c>
      <c r="Q156" s="228" t="s">
        <v>49</v>
      </c>
      <c r="R156" s="228" t="s">
        <v>49</v>
      </c>
      <c r="S156" s="228" t="s">
        <v>49</v>
      </c>
      <c r="T156" s="210" t="s">
        <v>1192</v>
      </c>
      <c r="U156" s="228" t="s">
        <v>49</v>
      </c>
      <c r="V156" s="228" t="s">
        <v>49</v>
      </c>
      <c r="W156" s="210" t="s">
        <v>1192</v>
      </c>
      <c r="X156" s="228" t="s">
        <v>49</v>
      </c>
      <c r="Y156" s="228" t="s">
        <v>49</v>
      </c>
      <c r="Z156" s="210" t="s">
        <v>1192</v>
      </c>
      <c r="AA156" s="341" t="s">
        <v>203</v>
      </c>
      <c r="AB156" s="368" t="s">
        <v>203</v>
      </c>
    </row>
    <row r="157" spans="1:28" ht="15">
      <c r="A157" s="161" t="s">
        <v>571</v>
      </c>
      <c r="B157" s="161" t="s">
        <v>1182</v>
      </c>
      <c r="C157" s="209" t="s">
        <v>112</v>
      </c>
      <c r="D157" s="209" t="s">
        <v>1230</v>
      </c>
      <c r="E157" s="161" t="s">
        <v>1244</v>
      </c>
      <c r="F157" s="161" t="s">
        <v>763</v>
      </c>
      <c r="G157" s="161"/>
      <c r="H157" s="230">
        <v>2.9000000000000001E-2</v>
      </c>
      <c r="I157" s="230" t="s">
        <v>49</v>
      </c>
      <c r="J157" s="209"/>
      <c r="K157" s="209"/>
      <c r="L157" s="209" t="s">
        <v>1189</v>
      </c>
      <c r="M157" s="209" t="s">
        <v>1246</v>
      </c>
      <c r="N157" s="209" t="s">
        <v>1527</v>
      </c>
      <c r="O157" s="209" t="s">
        <v>1191</v>
      </c>
      <c r="P157" s="209" t="s">
        <v>1191</v>
      </c>
      <c r="Q157" s="209" t="s">
        <v>1191</v>
      </c>
      <c r="R157" s="209" t="s">
        <v>1191</v>
      </c>
      <c r="S157" s="209" t="s">
        <v>1191</v>
      </c>
      <c r="T157" s="210" t="s">
        <v>49</v>
      </c>
      <c r="U157" s="228" t="s">
        <v>1191</v>
      </c>
      <c r="V157" s="228" t="s">
        <v>1192</v>
      </c>
      <c r="W157" s="210" t="s">
        <v>49</v>
      </c>
      <c r="X157" s="228" t="s">
        <v>1192</v>
      </c>
      <c r="Y157" s="228" t="s">
        <v>1192</v>
      </c>
      <c r="Z157" s="210" t="s">
        <v>49</v>
      </c>
      <c r="AA157" s="341" t="s">
        <v>203</v>
      </c>
      <c r="AB157" s="341" t="s">
        <v>203</v>
      </c>
    </row>
    <row r="158" spans="1:28" ht="15.75">
      <c r="A158" s="209" t="s">
        <v>1156</v>
      </c>
      <c r="B158" s="161" t="s">
        <v>1182</v>
      </c>
      <c r="C158" s="161" t="s">
        <v>17</v>
      </c>
      <c r="D158" s="209" t="s">
        <v>1183</v>
      </c>
      <c r="E158" s="209" t="s">
        <v>1184</v>
      </c>
      <c r="F158" s="161" t="s">
        <v>1528</v>
      </c>
      <c r="G158" s="161" t="s">
        <v>1186</v>
      </c>
      <c r="H158" s="230">
        <v>2.9000000000000001E-2</v>
      </c>
      <c r="I158" s="230" t="s">
        <v>49</v>
      </c>
      <c r="J158" s="209" t="s">
        <v>1529</v>
      </c>
      <c r="K158" s="209"/>
      <c r="L158" s="209" t="s">
        <v>1182</v>
      </c>
      <c r="M158" s="214" t="s">
        <v>1216</v>
      </c>
      <c r="O158" s="228" t="s">
        <v>1191</v>
      </c>
      <c r="P158" s="228" t="s">
        <v>1191</v>
      </c>
      <c r="Q158" s="228" t="s">
        <v>1191</v>
      </c>
      <c r="R158" s="228" t="s">
        <v>1191</v>
      </c>
      <c r="S158" s="228" t="s">
        <v>1192</v>
      </c>
      <c r="T158" s="210" t="s">
        <v>49</v>
      </c>
      <c r="U158" s="228" t="s">
        <v>1192</v>
      </c>
      <c r="V158" s="228" t="s">
        <v>1192</v>
      </c>
      <c r="W158" s="210" t="s">
        <v>49</v>
      </c>
      <c r="X158" s="228" t="s">
        <v>1192</v>
      </c>
      <c r="Y158" s="228" t="s">
        <v>1192</v>
      </c>
      <c r="Z158" s="210" t="s">
        <v>49</v>
      </c>
      <c r="AA158" s="341" t="s">
        <v>203</v>
      </c>
      <c r="AB158" s="368" t="s">
        <v>951</v>
      </c>
    </row>
    <row r="159" spans="1:28" ht="30">
      <c r="A159" s="161" t="s">
        <v>580</v>
      </c>
      <c r="B159" s="161" t="s">
        <v>1182</v>
      </c>
      <c r="C159" s="209" t="s">
        <v>953</v>
      </c>
      <c r="D159" s="161" t="s">
        <v>1243</v>
      </c>
      <c r="E159" s="161" t="s">
        <v>1460</v>
      </c>
      <c r="F159" s="162" t="s">
        <v>610</v>
      </c>
      <c r="G159" s="162"/>
      <c r="H159" s="230">
        <v>2.5999999999999999E-2</v>
      </c>
      <c r="I159" s="230" t="s">
        <v>1530</v>
      </c>
      <c r="J159" s="209" t="s">
        <v>1462</v>
      </c>
      <c r="K159" s="209"/>
      <c r="L159" s="209" t="s">
        <v>1189</v>
      </c>
      <c r="M159" s="151" t="s">
        <v>1531</v>
      </c>
      <c r="N159" s="209" t="s">
        <v>1532</v>
      </c>
      <c r="O159" s="209" t="s">
        <v>1191</v>
      </c>
      <c r="P159" s="209" t="s">
        <v>1191</v>
      </c>
      <c r="Q159" s="209" t="s">
        <v>1191</v>
      </c>
      <c r="R159" s="209" t="s">
        <v>1191</v>
      </c>
      <c r="S159" s="210" t="s">
        <v>1192</v>
      </c>
      <c r="T159" s="210" t="s">
        <v>49</v>
      </c>
      <c r="U159" s="228" t="s">
        <v>1191</v>
      </c>
      <c r="V159" s="228" t="s">
        <v>1192</v>
      </c>
      <c r="W159" s="210" t="s">
        <v>49</v>
      </c>
      <c r="X159" s="228" t="s">
        <v>1192</v>
      </c>
      <c r="Y159" s="228" t="s">
        <v>1192</v>
      </c>
      <c r="Z159" s="210" t="s">
        <v>49</v>
      </c>
      <c r="AA159" s="341" t="s">
        <v>203</v>
      </c>
      <c r="AB159" s="341" t="s">
        <v>203</v>
      </c>
    </row>
    <row r="160" spans="1:28" ht="15">
      <c r="A160" s="161" t="s">
        <v>571</v>
      </c>
      <c r="B160" s="161" t="s">
        <v>1182</v>
      </c>
      <c r="C160" s="209" t="s">
        <v>112</v>
      </c>
      <c r="D160" s="209" t="s">
        <v>1230</v>
      </c>
      <c r="E160" s="161" t="s">
        <v>1244</v>
      </c>
      <c r="F160" s="161" t="s">
        <v>732</v>
      </c>
      <c r="G160" s="161"/>
      <c r="H160" s="230">
        <v>2.5999999999999999E-2</v>
      </c>
      <c r="I160" s="230" t="s">
        <v>1267</v>
      </c>
      <c r="J160" s="209" t="s">
        <v>1267</v>
      </c>
      <c r="K160" s="209"/>
      <c r="L160" s="209" t="s">
        <v>1189</v>
      </c>
      <c r="M160" s="209" t="s">
        <v>1246</v>
      </c>
      <c r="N160" s="209" t="s">
        <v>1533</v>
      </c>
      <c r="O160" s="209" t="s">
        <v>1191</v>
      </c>
      <c r="P160" s="209" t="s">
        <v>1191</v>
      </c>
      <c r="Q160" s="209" t="s">
        <v>1191</v>
      </c>
      <c r="R160" s="209" t="s">
        <v>1191</v>
      </c>
      <c r="S160" s="209" t="s">
        <v>1191</v>
      </c>
      <c r="T160" s="210" t="s">
        <v>49</v>
      </c>
      <c r="U160" s="228" t="s">
        <v>1191</v>
      </c>
      <c r="V160" s="228" t="s">
        <v>1192</v>
      </c>
      <c r="W160" s="210" t="s">
        <v>49</v>
      </c>
      <c r="X160" s="228" t="s">
        <v>1192</v>
      </c>
      <c r="Y160" s="228" t="s">
        <v>1192</v>
      </c>
      <c r="Z160" s="210" t="s">
        <v>49</v>
      </c>
      <c r="AA160" s="341" t="s">
        <v>203</v>
      </c>
      <c r="AB160" s="341" t="s">
        <v>203</v>
      </c>
    </row>
    <row r="161" spans="1:28" ht="15.75">
      <c r="A161" s="209" t="s">
        <v>1156</v>
      </c>
      <c r="B161" s="161" t="s">
        <v>1182</v>
      </c>
      <c r="C161" s="161" t="s">
        <v>17</v>
      </c>
      <c r="D161" s="209" t="s">
        <v>1183</v>
      </c>
      <c r="E161" s="209" t="s">
        <v>1184</v>
      </c>
      <c r="F161" s="161" t="s">
        <v>1534</v>
      </c>
      <c r="G161" s="161" t="s">
        <v>1186</v>
      </c>
      <c r="H161" s="230">
        <v>2.5999999999999999E-2</v>
      </c>
      <c r="I161" s="230" t="s">
        <v>49</v>
      </c>
      <c r="J161" s="209" t="s">
        <v>1298</v>
      </c>
      <c r="K161" s="209"/>
      <c r="L161" s="209" t="s">
        <v>1182</v>
      </c>
      <c r="M161" s="214" t="s">
        <v>1216</v>
      </c>
      <c r="O161" s="228" t="s">
        <v>1191</v>
      </c>
      <c r="P161" s="228" t="s">
        <v>1191</v>
      </c>
      <c r="Q161" s="228" t="s">
        <v>1191</v>
      </c>
      <c r="R161" s="228" t="s">
        <v>1191</v>
      </c>
      <c r="S161" s="228" t="s">
        <v>1192</v>
      </c>
      <c r="T161" s="210" t="s">
        <v>49</v>
      </c>
      <c r="U161" s="228" t="s">
        <v>1192</v>
      </c>
      <c r="V161" s="228" t="s">
        <v>1192</v>
      </c>
      <c r="W161" s="210" t="s">
        <v>49</v>
      </c>
      <c r="X161" s="228" t="s">
        <v>1192</v>
      </c>
      <c r="Y161" s="228" t="s">
        <v>1192</v>
      </c>
      <c r="Z161" s="210" t="s">
        <v>49</v>
      </c>
      <c r="AA161" s="341" t="s">
        <v>203</v>
      </c>
      <c r="AB161" s="368" t="s">
        <v>951</v>
      </c>
    </row>
    <row r="162" spans="1:28" ht="75">
      <c r="A162" s="161" t="s">
        <v>571</v>
      </c>
      <c r="B162" s="161" t="s">
        <v>1189</v>
      </c>
      <c r="C162" s="209" t="s">
        <v>57</v>
      </c>
      <c r="D162" s="161" t="s">
        <v>1236</v>
      </c>
      <c r="E162" s="161" t="s">
        <v>1237</v>
      </c>
      <c r="F162" s="162" t="s">
        <v>594</v>
      </c>
      <c r="G162" s="162"/>
      <c r="H162" s="230">
        <v>2.4E-2</v>
      </c>
      <c r="I162" s="230" t="s">
        <v>1535</v>
      </c>
      <c r="J162" s="209"/>
      <c r="K162" s="209"/>
      <c r="L162" s="209" t="s">
        <v>1182</v>
      </c>
      <c r="M162" s="209" t="s">
        <v>361</v>
      </c>
      <c r="N162" s="209" t="s">
        <v>1536</v>
      </c>
      <c r="O162" s="209" t="s">
        <v>49</v>
      </c>
      <c r="P162" s="209" t="s">
        <v>49</v>
      </c>
      <c r="Q162" s="209" t="s">
        <v>49</v>
      </c>
      <c r="R162" s="228" t="s">
        <v>49</v>
      </c>
      <c r="S162" s="210" t="s">
        <v>1191</v>
      </c>
      <c r="T162" s="210" t="s">
        <v>1191</v>
      </c>
      <c r="U162" s="228" t="s">
        <v>49</v>
      </c>
      <c r="V162" s="228" t="s">
        <v>49</v>
      </c>
      <c r="W162" s="210" t="s">
        <v>1191</v>
      </c>
      <c r="X162" s="228" t="s">
        <v>1192</v>
      </c>
      <c r="Y162" s="228" t="s">
        <v>49</v>
      </c>
      <c r="Z162" s="210" t="s">
        <v>1192</v>
      </c>
      <c r="AA162" s="341" t="s">
        <v>203</v>
      </c>
      <c r="AB162" s="368" t="s">
        <v>203</v>
      </c>
    </row>
    <row r="163" spans="1:28" ht="30">
      <c r="A163" s="161" t="s">
        <v>571</v>
      </c>
      <c r="B163" s="161" t="s">
        <v>1189</v>
      </c>
      <c r="C163" s="209" t="s">
        <v>39</v>
      </c>
      <c r="D163" s="161" t="s">
        <v>1288</v>
      </c>
      <c r="E163" s="161" t="s">
        <v>1282</v>
      </c>
      <c r="F163" s="162" t="s">
        <v>607</v>
      </c>
      <c r="G163" s="162"/>
      <c r="H163" s="230">
        <v>2.4E-2</v>
      </c>
      <c r="I163" s="230" t="s">
        <v>1299</v>
      </c>
      <c r="J163" s="209" t="s">
        <v>1537</v>
      </c>
      <c r="K163" s="209"/>
      <c r="L163" s="209" t="s">
        <v>1182</v>
      </c>
      <c r="M163" s="209" t="s">
        <v>361</v>
      </c>
      <c r="N163" s="161" t="s">
        <v>608</v>
      </c>
      <c r="O163" s="228" t="s">
        <v>49</v>
      </c>
      <c r="P163" s="228" t="s">
        <v>49</v>
      </c>
      <c r="Q163" s="228" t="s">
        <v>49</v>
      </c>
      <c r="R163" s="228" t="s">
        <v>49</v>
      </c>
      <c r="S163" s="228" t="s">
        <v>49</v>
      </c>
      <c r="T163" s="210" t="s">
        <v>1191</v>
      </c>
      <c r="U163" s="228" t="s">
        <v>49</v>
      </c>
      <c r="V163" s="228" t="s">
        <v>49</v>
      </c>
      <c r="W163" s="210" t="s">
        <v>1191</v>
      </c>
      <c r="X163" s="228" t="s">
        <v>1192</v>
      </c>
      <c r="Y163" s="228" t="s">
        <v>49</v>
      </c>
      <c r="Z163" s="210" t="s">
        <v>1192</v>
      </c>
      <c r="AA163" s="341" t="s">
        <v>203</v>
      </c>
      <c r="AB163" s="368" t="s">
        <v>203</v>
      </c>
    </row>
    <row r="164" spans="1:28" ht="15">
      <c r="A164" s="161" t="s">
        <v>571</v>
      </c>
      <c r="B164" s="161" t="s">
        <v>1182</v>
      </c>
      <c r="C164" s="209" t="s">
        <v>112</v>
      </c>
      <c r="D164" s="161" t="s">
        <v>1243</v>
      </c>
      <c r="E164" s="161" t="s">
        <v>1244</v>
      </c>
      <c r="F164" s="161" t="s">
        <v>672</v>
      </c>
      <c r="G164" s="161"/>
      <c r="H164" s="230">
        <v>2.1000000000000001E-2</v>
      </c>
      <c r="I164" s="230" t="s">
        <v>49</v>
      </c>
      <c r="J164" s="209"/>
      <c r="K164" s="209"/>
      <c r="L164" s="209" t="s">
        <v>1189</v>
      </c>
      <c r="M164" s="209" t="s">
        <v>1246</v>
      </c>
      <c r="N164" s="209" t="s">
        <v>1538</v>
      </c>
      <c r="O164" s="209" t="s">
        <v>1191</v>
      </c>
      <c r="P164" s="209" t="s">
        <v>1191</v>
      </c>
      <c r="Q164" s="209" t="s">
        <v>1191</v>
      </c>
      <c r="R164" s="209" t="s">
        <v>1191</v>
      </c>
      <c r="S164" s="209" t="s">
        <v>1191</v>
      </c>
      <c r="T164" s="210" t="s">
        <v>49</v>
      </c>
      <c r="U164" s="228" t="s">
        <v>1191</v>
      </c>
      <c r="V164" s="228" t="s">
        <v>1192</v>
      </c>
      <c r="W164" s="210" t="s">
        <v>49</v>
      </c>
      <c r="X164" s="228" t="s">
        <v>1192</v>
      </c>
      <c r="Y164" s="228" t="s">
        <v>1192</v>
      </c>
      <c r="Z164" s="210" t="s">
        <v>49</v>
      </c>
      <c r="AA164" s="341" t="s">
        <v>203</v>
      </c>
      <c r="AB164" s="341" t="s">
        <v>203</v>
      </c>
    </row>
    <row r="165" spans="1:28" ht="15">
      <c r="A165" s="161" t="s">
        <v>571</v>
      </c>
      <c r="B165" s="161" t="s">
        <v>1182</v>
      </c>
      <c r="C165" s="209" t="s">
        <v>112</v>
      </c>
      <c r="D165" s="209" t="s">
        <v>1230</v>
      </c>
      <c r="E165" s="161" t="s">
        <v>1244</v>
      </c>
      <c r="F165" s="161" t="s">
        <v>739</v>
      </c>
      <c r="G165" s="161"/>
      <c r="H165" s="230">
        <v>2.1000000000000001E-2</v>
      </c>
      <c r="I165" s="230" t="s">
        <v>1267</v>
      </c>
      <c r="J165" s="209" t="s">
        <v>1267</v>
      </c>
      <c r="K165" s="209"/>
      <c r="L165" s="209" t="s">
        <v>1189</v>
      </c>
      <c r="M165" s="209" t="s">
        <v>1246</v>
      </c>
      <c r="N165" s="209" t="s">
        <v>1539</v>
      </c>
      <c r="O165" s="209" t="s">
        <v>1191</v>
      </c>
      <c r="P165" s="209" t="s">
        <v>1191</v>
      </c>
      <c r="Q165" s="209" t="s">
        <v>1191</v>
      </c>
      <c r="R165" s="209" t="s">
        <v>1191</v>
      </c>
      <c r="S165" s="209" t="s">
        <v>1191</v>
      </c>
      <c r="T165" s="210" t="s">
        <v>49</v>
      </c>
      <c r="U165" s="228" t="s">
        <v>1191</v>
      </c>
      <c r="V165" s="228" t="s">
        <v>1192</v>
      </c>
      <c r="W165" s="210" t="s">
        <v>49</v>
      </c>
      <c r="X165" s="228" t="s">
        <v>1192</v>
      </c>
      <c r="Y165" s="228" t="s">
        <v>1192</v>
      </c>
      <c r="Z165" s="210" t="s">
        <v>49</v>
      </c>
      <c r="AA165" s="341" t="s">
        <v>203</v>
      </c>
      <c r="AB165" s="341" t="s">
        <v>203</v>
      </c>
    </row>
    <row r="166" spans="1:28" ht="15">
      <c r="A166" s="209" t="s">
        <v>1156</v>
      </c>
      <c r="B166" s="161" t="s">
        <v>1182</v>
      </c>
      <c r="C166" s="161" t="s">
        <v>66</v>
      </c>
      <c r="D166" s="209"/>
      <c r="E166" s="209" t="s">
        <v>1203</v>
      </c>
      <c r="F166" s="161" t="s">
        <v>1540</v>
      </c>
      <c r="G166" s="161" t="s">
        <v>1205</v>
      </c>
      <c r="H166" s="230">
        <v>0.02</v>
      </c>
      <c r="I166" s="230"/>
      <c r="J166" s="209" t="s">
        <v>361</v>
      </c>
      <c r="K166" s="209"/>
      <c r="O166" s="210" t="s">
        <v>1191</v>
      </c>
      <c r="P166" s="210" t="s">
        <v>1191</v>
      </c>
      <c r="Q166" s="210" t="s">
        <v>1191</v>
      </c>
      <c r="R166" s="210" t="s">
        <v>1192</v>
      </c>
      <c r="S166" s="210" t="s">
        <v>1192</v>
      </c>
      <c r="T166" s="210" t="s">
        <v>49</v>
      </c>
      <c r="U166" s="210" t="s">
        <v>1192</v>
      </c>
      <c r="V166" s="210" t="s">
        <v>1192</v>
      </c>
      <c r="W166" s="210" t="s">
        <v>49</v>
      </c>
      <c r="X166" s="210" t="s">
        <v>1192</v>
      </c>
      <c r="Y166" s="210" t="s">
        <v>1192</v>
      </c>
      <c r="Z166" s="210" t="s">
        <v>49</v>
      </c>
      <c r="AA166" s="341" t="s">
        <v>203</v>
      </c>
      <c r="AB166" s="341" t="s">
        <v>203</v>
      </c>
    </row>
    <row r="167" spans="1:28" ht="15">
      <c r="A167" s="161" t="s">
        <v>571</v>
      </c>
      <c r="B167" s="161" t="s">
        <v>1182</v>
      </c>
      <c r="C167" s="209" t="s">
        <v>112</v>
      </c>
      <c r="D167" s="161" t="s">
        <v>1243</v>
      </c>
      <c r="E167" s="161" t="s">
        <v>1244</v>
      </c>
      <c r="F167" s="161" t="s">
        <v>683</v>
      </c>
      <c r="G167" s="161"/>
      <c r="H167" s="230">
        <v>1.9E-2</v>
      </c>
      <c r="I167" s="230" t="s">
        <v>49</v>
      </c>
      <c r="J167" s="209"/>
      <c r="K167" s="209"/>
      <c r="L167" s="209" t="s">
        <v>1189</v>
      </c>
      <c r="M167" s="209" t="s">
        <v>1246</v>
      </c>
      <c r="N167" s="209" t="s">
        <v>1541</v>
      </c>
      <c r="O167" s="209" t="s">
        <v>1191</v>
      </c>
      <c r="P167" s="209" t="s">
        <v>1191</v>
      </c>
      <c r="Q167" s="209" t="s">
        <v>1191</v>
      </c>
      <c r="R167" s="209" t="s">
        <v>1191</v>
      </c>
      <c r="S167" s="209" t="s">
        <v>1191</v>
      </c>
      <c r="T167" s="210" t="s">
        <v>49</v>
      </c>
      <c r="U167" s="228" t="s">
        <v>1191</v>
      </c>
      <c r="V167" s="228" t="s">
        <v>1192</v>
      </c>
      <c r="W167" s="210" t="s">
        <v>49</v>
      </c>
      <c r="X167" s="228" t="s">
        <v>1192</v>
      </c>
      <c r="Y167" s="228" t="s">
        <v>1192</v>
      </c>
      <c r="Z167" s="210" t="s">
        <v>49</v>
      </c>
      <c r="AA167" s="341" t="s">
        <v>203</v>
      </c>
      <c r="AB167" s="341" t="s">
        <v>203</v>
      </c>
    </row>
    <row r="168" spans="1:28" ht="15.75">
      <c r="A168" s="272" t="s">
        <v>609</v>
      </c>
      <c r="B168" s="161" t="s">
        <v>1182</v>
      </c>
      <c r="C168" s="169" t="s">
        <v>955</v>
      </c>
      <c r="D168" s="209" t="s">
        <v>1193</v>
      </c>
      <c r="E168" s="209" t="s">
        <v>1194</v>
      </c>
      <c r="F168" s="161" t="s">
        <v>1542</v>
      </c>
      <c r="G168" s="338" t="s">
        <v>1543</v>
      </c>
      <c r="H168" s="230">
        <v>1.9E-2</v>
      </c>
      <c r="I168" s="230" t="s">
        <v>49</v>
      </c>
      <c r="J168" s="209" t="s">
        <v>361</v>
      </c>
      <c r="K168" s="209"/>
      <c r="L168" s="209" t="s">
        <v>1182</v>
      </c>
      <c r="O168" s="209" t="s">
        <v>1191</v>
      </c>
      <c r="P168" s="209" t="s">
        <v>1191</v>
      </c>
      <c r="Q168" s="209" t="s">
        <v>1191</v>
      </c>
      <c r="R168" s="209" t="s">
        <v>1191</v>
      </c>
      <c r="S168" s="228" t="s">
        <v>1192</v>
      </c>
      <c r="T168" s="210" t="s">
        <v>49</v>
      </c>
      <c r="U168" s="210" t="s">
        <v>1191</v>
      </c>
      <c r="V168" s="228" t="s">
        <v>1192</v>
      </c>
      <c r="W168" s="210" t="s">
        <v>49</v>
      </c>
      <c r="X168" s="228" t="s">
        <v>1192</v>
      </c>
      <c r="Y168" s="228" t="s">
        <v>1192</v>
      </c>
      <c r="Z168" s="210" t="s">
        <v>49</v>
      </c>
      <c r="AA168" s="341" t="s">
        <v>203</v>
      </c>
      <c r="AB168" s="368" t="s">
        <v>203</v>
      </c>
    </row>
    <row r="169" spans="1:28" ht="15" customHeight="1">
      <c r="A169" s="209" t="s">
        <v>1156</v>
      </c>
      <c r="B169" s="161" t="s">
        <v>1182</v>
      </c>
      <c r="C169" s="161" t="s">
        <v>952</v>
      </c>
      <c r="D169" s="209" t="s">
        <v>1269</v>
      </c>
      <c r="E169" s="209" t="s">
        <v>1270</v>
      </c>
      <c r="F169" s="161" t="s">
        <v>1544</v>
      </c>
      <c r="G169" s="161"/>
      <c r="H169" s="230">
        <v>1.8433000000000001E-2</v>
      </c>
      <c r="I169" s="230"/>
      <c r="J169" s="209" t="s">
        <v>361</v>
      </c>
      <c r="K169" s="209"/>
      <c r="O169" s="228" t="s">
        <v>1192</v>
      </c>
      <c r="P169" s="228" t="s">
        <v>1192</v>
      </c>
      <c r="Q169" s="228" t="s">
        <v>1192</v>
      </c>
      <c r="R169" s="228" t="s">
        <v>1192</v>
      </c>
      <c r="S169" s="228" t="s">
        <v>1192</v>
      </c>
      <c r="T169" s="210" t="s">
        <v>49</v>
      </c>
      <c r="U169" s="228" t="s">
        <v>1192</v>
      </c>
      <c r="V169" s="228" t="s">
        <v>1192</v>
      </c>
      <c r="W169" s="210" t="s">
        <v>49</v>
      </c>
      <c r="X169" s="228" t="s">
        <v>1192</v>
      </c>
      <c r="Y169" s="228" t="s">
        <v>1192</v>
      </c>
      <c r="Z169" s="210" t="s">
        <v>49</v>
      </c>
      <c r="AA169" s="341" t="s">
        <v>203</v>
      </c>
      <c r="AB169" s="368" t="s">
        <v>203</v>
      </c>
    </row>
    <row r="170" spans="1:28" ht="15" customHeight="1">
      <c r="A170" s="161" t="s">
        <v>580</v>
      </c>
      <c r="B170" s="161" t="s">
        <v>1182</v>
      </c>
      <c r="C170" s="209" t="s">
        <v>17</v>
      </c>
      <c r="D170" s="161" t="s">
        <v>1183</v>
      </c>
      <c r="E170" s="161" t="s">
        <v>1184</v>
      </c>
      <c r="F170" s="161" t="s">
        <v>777</v>
      </c>
      <c r="G170" s="161"/>
      <c r="H170" s="230">
        <v>1.7999999999999999E-2</v>
      </c>
      <c r="I170" s="230" t="s">
        <v>1545</v>
      </c>
      <c r="J170" s="209" t="s">
        <v>1546</v>
      </c>
      <c r="K170" s="209"/>
      <c r="L170" s="209" t="s">
        <v>1182</v>
      </c>
      <c r="M170" s="214"/>
      <c r="N170" s="161" t="s">
        <v>778</v>
      </c>
      <c r="O170" s="228" t="s">
        <v>1191</v>
      </c>
      <c r="P170" s="228" t="s">
        <v>1191</v>
      </c>
      <c r="Q170" s="228" t="s">
        <v>1191</v>
      </c>
      <c r="R170" s="228" t="s">
        <v>1191</v>
      </c>
      <c r="S170" s="228" t="s">
        <v>1191</v>
      </c>
      <c r="T170" s="210" t="s">
        <v>49</v>
      </c>
      <c r="U170" s="228" t="s">
        <v>1191</v>
      </c>
      <c r="V170" s="228" t="s">
        <v>1192</v>
      </c>
      <c r="W170" s="210" t="s">
        <v>49</v>
      </c>
      <c r="X170" s="228" t="s">
        <v>1192</v>
      </c>
      <c r="Y170" s="228" t="s">
        <v>1192</v>
      </c>
      <c r="Z170" s="210" t="s">
        <v>49</v>
      </c>
      <c r="AA170" s="341" t="s">
        <v>203</v>
      </c>
      <c r="AB170" s="368" t="s">
        <v>203</v>
      </c>
    </row>
    <row r="171" spans="1:28" ht="15" customHeight="1">
      <c r="A171" s="161" t="s">
        <v>571</v>
      </c>
      <c r="B171" s="161" t="s">
        <v>1182</v>
      </c>
      <c r="C171" s="209" t="s">
        <v>112</v>
      </c>
      <c r="D171" s="161" t="s">
        <v>1243</v>
      </c>
      <c r="E171" s="161" t="s">
        <v>1244</v>
      </c>
      <c r="F171" s="161" t="s">
        <v>611</v>
      </c>
      <c r="G171" s="161"/>
      <c r="H171" s="230">
        <v>1.7000000000000001E-2</v>
      </c>
      <c r="I171" s="230" t="s">
        <v>1267</v>
      </c>
      <c r="J171" s="209" t="s">
        <v>1267</v>
      </c>
      <c r="K171" s="209"/>
      <c r="L171" s="209" t="s">
        <v>1189</v>
      </c>
      <c r="M171" s="209" t="s">
        <v>1246</v>
      </c>
      <c r="N171" s="209" t="s">
        <v>1547</v>
      </c>
      <c r="O171" s="209" t="s">
        <v>1191</v>
      </c>
      <c r="P171" s="209" t="s">
        <v>1191</v>
      </c>
      <c r="Q171" s="209" t="s">
        <v>1191</v>
      </c>
      <c r="R171" s="209" t="s">
        <v>1191</v>
      </c>
      <c r="S171" s="209" t="s">
        <v>1191</v>
      </c>
      <c r="T171" s="210" t="s">
        <v>49</v>
      </c>
      <c r="U171" s="228" t="s">
        <v>1191</v>
      </c>
      <c r="V171" s="228" t="s">
        <v>1192</v>
      </c>
      <c r="W171" s="210" t="s">
        <v>49</v>
      </c>
      <c r="X171" s="228" t="s">
        <v>1192</v>
      </c>
      <c r="Y171" s="228" t="s">
        <v>1192</v>
      </c>
      <c r="Z171" s="210" t="s">
        <v>49</v>
      </c>
      <c r="AA171" s="341" t="s">
        <v>203</v>
      </c>
      <c r="AB171" s="341" t="s">
        <v>203</v>
      </c>
    </row>
    <row r="172" spans="1:28" ht="15" customHeight="1">
      <c r="A172" s="483" t="s">
        <v>585</v>
      </c>
      <c r="B172" s="161" t="s">
        <v>1189</v>
      </c>
      <c r="C172" s="209" t="s">
        <v>57</v>
      </c>
      <c r="D172" s="209" t="s">
        <v>1236</v>
      </c>
      <c r="E172" s="209" t="s">
        <v>1237</v>
      </c>
      <c r="F172" s="161" t="s">
        <v>1544</v>
      </c>
      <c r="G172" s="161"/>
      <c r="H172" s="230">
        <v>1.6448999999999998E-2</v>
      </c>
      <c r="I172" s="230" t="s">
        <v>1548</v>
      </c>
      <c r="J172" s="484" t="s">
        <v>1548</v>
      </c>
      <c r="K172" s="209"/>
      <c r="L172" s="210" t="s">
        <v>1182</v>
      </c>
      <c r="O172" s="209" t="s">
        <v>49</v>
      </c>
      <c r="P172" s="209" t="s">
        <v>49</v>
      </c>
      <c r="Q172" s="209" t="s">
        <v>49</v>
      </c>
      <c r="R172" s="228" t="s">
        <v>49</v>
      </c>
      <c r="S172" s="228" t="s">
        <v>49</v>
      </c>
      <c r="T172" s="210" t="s">
        <v>1192</v>
      </c>
      <c r="U172" s="228" t="s">
        <v>49</v>
      </c>
      <c r="V172" s="228" t="s">
        <v>49</v>
      </c>
      <c r="W172" s="210" t="s">
        <v>1192</v>
      </c>
      <c r="X172" s="228" t="s">
        <v>49</v>
      </c>
      <c r="Y172" s="228" t="s">
        <v>49</v>
      </c>
      <c r="Z172" s="210" t="s">
        <v>1192</v>
      </c>
      <c r="AA172" s="341" t="s">
        <v>203</v>
      </c>
      <c r="AB172" s="368" t="s">
        <v>203</v>
      </c>
    </row>
    <row r="173" spans="1:28" ht="15" customHeight="1">
      <c r="A173" s="209" t="s">
        <v>1156</v>
      </c>
      <c r="B173" s="161" t="s">
        <v>1189</v>
      </c>
      <c r="C173" s="161" t="s">
        <v>39</v>
      </c>
      <c r="D173" s="209" t="s">
        <v>1288</v>
      </c>
      <c r="E173" s="161" t="s">
        <v>1282</v>
      </c>
      <c r="F173" s="161" t="s">
        <v>1549</v>
      </c>
      <c r="G173" s="161" t="s">
        <v>1290</v>
      </c>
      <c r="H173" s="230">
        <v>1.6E-2</v>
      </c>
      <c r="I173" s="230"/>
      <c r="J173" s="209" t="s">
        <v>1516</v>
      </c>
      <c r="K173" s="209"/>
      <c r="L173" s="209" t="s">
        <v>1182</v>
      </c>
      <c r="O173" s="228" t="s">
        <v>49</v>
      </c>
      <c r="P173" s="228" t="s">
        <v>49</v>
      </c>
      <c r="Q173" s="228" t="s">
        <v>49</v>
      </c>
      <c r="R173" s="228" t="s">
        <v>49</v>
      </c>
      <c r="S173" s="228" t="s">
        <v>49</v>
      </c>
      <c r="T173" s="210" t="s">
        <v>1192</v>
      </c>
      <c r="U173" s="228" t="s">
        <v>49</v>
      </c>
      <c r="V173" s="228" t="s">
        <v>49</v>
      </c>
      <c r="W173" s="210" t="s">
        <v>1192</v>
      </c>
      <c r="X173" s="228" t="s">
        <v>49</v>
      </c>
      <c r="Y173" s="228" t="s">
        <v>49</v>
      </c>
      <c r="Z173" s="210" t="s">
        <v>1192</v>
      </c>
      <c r="AA173" s="341" t="s">
        <v>203</v>
      </c>
      <c r="AB173" s="368" t="s">
        <v>203</v>
      </c>
    </row>
    <row r="174" spans="1:28" ht="15" customHeight="1">
      <c r="A174" s="161" t="s">
        <v>609</v>
      </c>
      <c r="B174" s="161" t="s">
        <v>1182</v>
      </c>
      <c r="C174" s="209" t="s">
        <v>17</v>
      </c>
      <c r="D174" s="161" t="s">
        <v>1183</v>
      </c>
      <c r="E174" s="161" t="s">
        <v>1184</v>
      </c>
      <c r="F174" s="161" t="s">
        <v>1550</v>
      </c>
      <c r="G174" s="161"/>
      <c r="H174" s="230">
        <v>1.4999999999999999E-2</v>
      </c>
      <c r="I174" s="230" t="s">
        <v>1551</v>
      </c>
      <c r="J174" s="209" t="s">
        <v>1552</v>
      </c>
      <c r="K174" s="209"/>
      <c r="L174" s="209" t="s">
        <v>1182</v>
      </c>
      <c r="M174" s="214" t="s">
        <v>1216</v>
      </c>
      <c r="N174" s="161" t="s">
        <v>1553</v>
      </c>
      <c r="O174" s="228" t="s">
        <v>1191</v>
      </c>
      <c r="P174" s="228" t="s">
        <v>1191</v>
      </c>
      <c r="Q174" s="228" t="s">
        <v>1191</v>
      </c>
      <c r="R174" s="228" t="s">
        <v>1191</v>
      </c>
      <c r="S174" s="228" t="s">
        <v>1191</v>
      </c>
      <c r="T174" s="210" t="s">
        <v>49</v>
      </c>
      <c r="U174" s="228" t="s">
        <v>1191</v>
      </c>
      <c r="V174" s="228" t="s">
        <v>1192</v>
      </c>
      <c r="W174" s="210" t="s">
        <v>49</v>
      </c>
      <c r="X174" s="228" t="s">
        <v>1192</v>
      </c>
      <c r="Y174" s="228" t="s">
        <v>1192</v>
      </c>
      <c r="Z174" s="210" t="s">
        <v>49</v>
      </c>
      <c r="AA174" s="341" t="s">
        <v>203</v>
      </c>
      <c r="AB174" s="368" t="s">
        <v>203</v>
      </c>
    </row>
    <row r="175" spans="1:28" ht="15" customHeight="1">
      <c r="A175" s="161" t="s">
        <v>571</v>
      </c>
      <c r="B175" s="161" t="s">
        <v>1182</v>
      </c>
      <c r="C175" s="209" t="s">
        <v>36</v>
      </c>
      <c r="D175" s="161" t="s">
        <v>1183</v>
      </c>
      <c r="E175" s="161" t="s">
        <v>1434</v>
      </c>
      <c r="F175" s="161" t="s">
        <v>576</v>
      </c>
      <c r="G175" s="161"/>
      <c r="H175" s="230">
        <v>1.4E-2</v>
      </c>
      <c r="I175" s="230" t="s">
        <v>1554</v>
      </c>
      <c r="J175" s="209" t="s">
        <v>1555</v>
      </c>
      <c r="K175" s="209"/>
      <c r="L175" s="209" t="s">
        <v>1182</v>
      </c>
      <c r="M175" s="214" t="s">
        <v>1216</v>
      </c>
      <c r="N175" s="209" t="s">
        <v>1556</v>
      </c>
      <c r="O175" s="209" t="s">
        <v>1191</v>
      </c>
      <c r="P175" s="209" t="s">
        <v>1191</v>
      </c>
      <c r="Q175" s="209" t="s">
        <v>1191</v>
      </c>
      <c r="R175" s="228" t="s">
        <v>1191</v>
      </c>
      <c r="S175" s="228" t="s">
        <v>1191</v>
      </c>
      <c r="T175" s="210" t="s">
        <v>49</v>
      </c>
      <c r="U175" s="228" t="s">
        <v>1191</v>
      </c>
      <c r="V175" s="228" t="s">
        <v>1192</v>
      </c>
      <c r="W175" s="210" t="s">
        <v>49</v>
      </c>
      <c r="X175" s="228" t="s">
        <v>1192</v>
      </c>
      <c r="Y175" s="228" t="s">
        <v>1192</v>
      </c>
      <c r="Z175" s="210" t="s">
        <v>49</v>
      </c>
      <c r="AA175" s="341" t="s">
        <v>203</v>
      </c>
      <c r="AB175" s="368" t="s">
        <v>203</v>
      </c>
    </row>
    <row r="176" spans="1:28" ht="15" customHeight="1">
      <c r="A176" s="209" t="s">
        <v>1156</v>
      </c>
      <c r="B176" s="161" t="s">
        <v>1182</v>
      </c>
      <c r="C176" s="161" t="s">
        <v>17</v>
      </c>
      <c r="D176" s="209" t="s">
        <v>1183</v>
      </c>
      <c r="E176" s="209" t="s">
        <v>1184</v>
      </c>
      <c r="F176" s="161" t="s">
        <v>1557</v>
      </c>
      <c r="G176" s="161" t="s">
        <v>1186</v>
      </c>
      <c r="H176" s="230">
        <v>1.2999999999999999E-2</v>
      </c>
      <c r="I176" s="230" t="s">
        <v>49</v>
      </c>
      <c r="J176" s="209" t="s">
        <v>1558</v>
      </c>
      <c r="K176" s="209"/>
      <c r="L176" s="209" t="s">
        <v>1182</v>
      </c>
      <c r="M176" s="214" t="s">
        <v>1216</v>
      </c>
      <c r="O176" s="228" t="s">
        <v>1191</v>
      </c>
      <c r="P176" s="228" t="s">
        <v>1191</v>
      </c>
      <c r="Q176" s="228" t="s">
        <v>1191</v>
      </c>
      <c r="R176" s="228" t="s">
        <v>1191</v>
      </c>
      <c r="S176" s="228" t="s">
        <v>1192</v>
      </c>
      <c r="T176" s="210" t="s">
        <v>49</v>
      </c>
      <c r="U176" s="228" t="s">
        <v>1192</v>
      </c>
      <c r="V176" s="228" t="s">
        <v>1192</v>
      </c>
      <c r="W176" s="210" t="s">
        <v>49</v>
      </c>
      <c r="X176" s="228" t="s">
        <v>1192</v>
      </c>
      <c r="Y176" s="228" t="s">
        <v>1192</v>
      </c>
      <c r="Z176" s="210" t="s">
        <v>49</v>
      </c>
      <c r="AA176" s="341" t="s">
        <v>203</v>
      </c>
      <c r="AB176" s="368" t="s">
        <v>203</v>
      </c>
    </row>
    <row r="177" spans="1:28" ht="15" customHeight="1">
      <c r="A177" s="209" t="s">
        <v>1156</v>
      </c>
      <c r="B177" s="161" t="s">
        <v>1182</v>
      </c>
      <c r="C177" s="161" t="s">
        <v>17</v>
      </c>
      <c r="D177" s="209" t="s">
        <v>1314</v>
      </c>
      <c r="E177" s="209" t="s">
        <v>1184</v>
      </c>
      <c r="F177" s="161" t="s">
        <v>1559</v>
      </c>
      <c r="G177" s="161" t="s">
        <v>1186</v>
      </c>
      <c r="H177" s="230">
        <v>1.0999999999999999E-2</v>
      </c>
      <c r="I177" s="230" t="s">
        <v>49</v>
      </c>
      <c r="J177" s="209" t="s">
        <v>1560</v>
      </c>
      <c r="K177" s="209"/>
      <c r="L177" s="209" t="s">
        <v>1182</v>
      </c>
      <c r="M177" s="214" t="s">
        <v>1216</v>
      </c>
      <c r="O177" s="228" t="s">
        <v>1191</v>
      </c>
      <c r="P177" s="228" t="s">
        <v>1191</v>
      </c>
      <c r="Q177" s="228" t="s">
        <v>1191</v>
      </c>
      <c r="R177" s="228" t="s">
        <v>1191</v>
      </c>
      <c r="S177" s="228" t="s">
        <v>1192</v>
      </c>
      <c r="T177" s="210" t="s">
        <v>49</v>
      </c>
      <c r="U177" s="228" t="s">
        <v>1192</v>
      </c>
      <c r="V177" s="228" t="s">
        <v>1192</v>
      </c>
      <c r="W177" s="210" t="s">
        <v>49</v>
      </c>
      <c r="X177" s="228" t="s">
        <v>1192</v>
      </c>
      <c r="Y177" s="228" t="s">
        <v>1192</v>
      </c>
      <c r="Z177" s="210" t="s">
        <v>49</v>
      </c>
      <c r="AA177" s="341" t="s">
        <v>203</v>
      </c>
      <c r="AB177" s="368" t="s">
        <v>203</v>
      </c>
    </row>
    <row r="178" spans="1:28" ht="15" customHeight="1">
      <c r="A178" s="209" t="s">
        <v>1156</v>
      </c>
      <c r="B178" s="161" t="s">
        <v>1182</v>
      </c>
      <c r="C178" s="161" t="s">
        <v>36</v>
      </c>
      <c r="D178" s="209" t="s">
        <v>1183</v>
      </c>
      <c r="E178" s="209" t="s">
        <v>1434</v>
      </c>
      <c r="F178" s="161" t="s">
        <v>1561</v>
      </c>
      <c r="G178" s="161" t="s">
        <v>1436</v>
      </c>
      <c r="H178" s="230">
        <v>1.0999999999999999E-2</v>
      </c>
      <c r="I178" s="230" t="s">
        <v>49</v>
      </c>
      <c r="J178" s="209" t="s">
        <v>1562</v>
      </c>
      <c r="K178" s="209"/>
      <c r="L178" s="209" t="s">
        <v>1182</v>
      </c>
      <c r="M178" s="214" t="s">
        <v>1216</v>
      </c>
      <c r="O178" s="228" t="s">
        <v>1192</v>
      </c>
      <c r="P178" s="228" t="s">
        <v>1192</v>
      </c>
      <c r="Q178" s="228" t="s">
        <v>1192</v>
      </c>
      <c r="R178" s="228" t="s">
        <v>1192</v>
      </c>
      <c r="S178" s="228" t="s">
        <v>1192</v>
      </c>
      <c r="T178" s="210" t="s">
        <v>49</v>
      </c>
      <c r="U178" s="228" t="s">
        <v>1192</v>
      </c>
      <c r="V178" s="228" t="s">
        <v>1192</v>
      </c>
      <c r="W178" s="210" t="s">
        <v>49</v>
      </c>
      <c r="X178" s="228" t="s">
        <v>1192</v>
      </c>
      <c r="Y178" s="228" t="s">
        <v>1192</v>
      </c>
      <c r="Z178" s="210" t="s">
        <v>49</v>
      </c>
      <c r="AA178" s="341" t="s">
        <v>203</v>
      </c>
      <c r="AB178" s="368" t="s">
        <v>203</v>
      </c>
    </row>
    <row r="179" spans="1:28" ht="15" customHeight="1">
      <c r="A179" s="209" t="s">
        <v>1156</v>
      </c>
      <c r="B179" s="161" t="s">
        <v>1182</v>
      </c>
      <c r="C179" s="161" t="s">
        <v>17</v>
      </c>
      <c r="D179" s="209" t="s">
        <v>1183</v>
      </c>
      <c r="E179" s="209" t="s">
        <v>1184</v>
      </c>
      <c r="F179" s="161" t="s">
        <v>1563</v>
      </c>
      <c r="G179" s="161" t="s">
        <v>1186</v>
      </c>
      <c r="H179" s="230">
        <v>0.01</v>
      </c>
      <c r="I179" s="230" t="s">
        <v>49</v>
      </c>
      <c r="J179" s="209" t="s">
        <v>361</v>
      </c>
      <c r="K179" s="209"/>
      <c r="L179" s="209" t="s">
        <v>1182</v>
      </c>
      <c r="M179" s="214" t="s">
        <v>1216</v>
      </c>
      <c r="O179" s="228" t="s">
        <v>1191</v>
      </c>
      <c r="P179" s="210" t="s">
        <v>1191</v>
      </c>
      <c r="Q179" s="228" t="s">
        <v>1191</v>
      </c>
      <c r="R179" s="228" t="s">
        <v>1191</v>
      </c>
      <c r="S179" s="228" t="s">
        <v>1192</v>
      </c>
      <c r="T179" s="210" t="s">
        <v>49</v>
      </c>
      <c r="U179" s="228" t="s">
        <v>1192</v>
      </c>
      <c r="V179" s="228" t="s">
        <v>1192</v>
      </c>
      <c r="W179" s="210" t="s">
        <v>49</v>
      </c>
      <c r="X179" s="228" t="s">
        <v>1192</v>
      </c>
      <c r="Y179" s="228" t="s">
        <v>1192</v>
      </c>
      <c r="Z179" s="210" t="s">
        <v>49</v>
      </c>
      <c r="AA179" s="341" t="s">
        <v>203</v>
      </c>
      <c r="AB179" s="368" t="s">
        <v>203</v>
      </c>
    </row>
    <row r="180" spans="1:28" ht="15" customHeight="1">
      <c r="A180" s="209" t="s">
        <v>1156</v>
      </c>
      <c r="B180" s="161" t="s">
        <v>1189</v>
      </c>
      <c r="C180" s="161" t="s">
        <v>39</v>
      </c>
      <c r="D180" s="209" t="s">
        <v>1288</v>
      </c>
      <c r="E180" s="161" t="s">
        <v>1282</v>
      </c>
      <c r="F180" s="161" t="s">
        <v>1564</v>
      </c>
      <c r="G180" s="161" t="s">
        <v>1290</v>
      </c>
      <c r="H180" s="230">
        <v>8.9999999999999993E-3</v>
      </c>
      <c r="I180" s="230"/>
      <c r="J180" s="209" t="s">
        <v>1565</v>
      </c>
      <c r="K180" s="209"/>
      <c r="L180" s="209" t="s">
        <v>1182</v>
      </c>
      <c r="O180" s="228" t="s">
        <v>49</v>
      </c>
      <c r="P180" s="228" t="s">
        <v>49</v>
      </c>
      <c r="Q180" s="228" t="s">
        <v>49</v>
      </c>
      <c r="R180" s="228" t="s">
        <v>49</v>
      </c>
      <c r="S180" s="228" t="s">
        <v>49</v>
      </c>
      <c r="T180" s="210" t="s">
        <v>1192</v>
      </c>
      <c r="U180" s="228" t="s">
        <v>49</v>
      </c>
      <c r="V180" s="228" t="s">
        <v>49</v>
      </c>
      <c r="W180" s="210" t="s">
        <v>1192</v>
      </c>
      <c r="X180" s="228" t="s">
        <v>49</v>
      </c>
      <c r="Y180" s="228" t="s">
        <v>49</v>
      </c>
      <c r="Z180" s="210" t="s">
        <v>1192</v>
      </c>
      <c r="AA180" s="341" t="s">
        <v>203</v>
      </c>
      <c r="AB180" s="368" t="s">
        <v>203</v>
      </c>
    </row>
    <row r="181" spans="1:28" ht="15" customHeight="1">
      <c r="A181" s="161" t="s">
        <v>609</v>
      </c>
      <c r="B181" s="161" t="s">
        <v>1182</v>
      </c>
      <c r="C181" s="209" t="s">
        <v>17</v>
      </c>
      <c r="D181" s="161" t="s">
        <v>1183</v>
      </c>
      <c r="E181" s="161" t="s">
        <v>1184</v>
      </c>
      <c r="F181" s="161" t="s">
        <v>1566</v>
      </c>
      <c r="G181" s="161"/>
      <c r="H181" s="230">
        <v>8.0000000000000002E-3</v>
      </c>
      <c r="I181" s="230" t="s">
        <v>1418</v>
      </c>
      <c r="J181" s="209" t="s">
        <v>1298</v>
      </c>
      <c r="K181" s="209"/>
      <c r="L181" s="209" t="s">
        <v>1182</v>
      </c>
      <c r="M181" s="214" t="s">
        <v>1216</v>
      </c>
      <c r="N181" s="161" t="s">
        <v>1567</v>
      </c>
      <c r="O181" s="228" t="s">
        <v>1191</v>
      </c>
      <c r="P181" s="228" t="s">
        <v>1191</v>
      </c>
      <c r="Q181" s="228" t="s">
        <v>1191</v>
      </c>
      <c r="R181" s="228" t="s">
        <v>1191</v>
      </c>
      <c r="S181" s="228" t="s">
        <v>1191</v>
      </c>
      <c r="T181" s="210" t="s">
        <v>49</v>
      </c>
      <c r="U181" s="228" t="s">
        <v>1191</v>
      </c>
      <c r="V181" s="228" t="s">
        <v>1192</v>
      </c>
      <c r="W181" s="210" t="s">
        <v>49</v>
      </c>
      <c r="X181" s="228" t="s">
        <v>1192</v>
      </c>
      <c r="Y181" s="228" t="s">
        <v>1192</v>
      </c>
      <c r="Z181" s="210" t="s">
        <v>49</v>
      </c>
      <c r="AA181" s="341" t="s">
        <v>203</v>
      </c>
      <c r="AB181" s="368" t="s">
        <v>203</v>
      </c>
    </row>
    <row r="182" spans="1:28" ht="15" customHeight="1">
      <c r="A182" s="209" t="s">
        <v>1156</v>
      </c>
      <c r="B182" s="161" t="s">
        <v>1182</v>
      </c>
      <c r="C182" s="161" t="s">
        <v>17</v>
      </c>
      <c r="D182" s="209" t="s">
        <v>1183</v>
      </c>
      <c r="E182" s="209" t="s">
        <v>1184</v>
      </c>
      <c r="F182" s="161" t="s">
        <v>1568</v>
      </c>
      <c r="G182" s="161" t="s">
        <v>1186</v>
      </c>
      <c r="H182" s="230">
        <v>8.0000000000000002E-3</v>
      </c>
      <c r="I182" s="230" t="s">
        <v>49</v>
      </c>
      <c r="J182" s="209" t="s">
        <v>1569</v>
      </c>
      <c r="K182" s="209"/>
      <c r="L182" s="210" t="s">
        <v>1182</v>
      </c>
      <c r="M182" s="210" t="s">
        <v>1216</v>
      </c>
      <c r="O182" s="228" t="s">
        <v>1191</v>
      </c>
      <c r="P182" s="228" t="s">
        <v>1191</v>
      </c>
      <c r="Q182" s="228" t="s">
        <v>1191</v>
      </c>
      <c r="R182" s="228" t="s">
        <v>1191</v>
      </c>
      <c r="S182" s="228" t="s">
        <v>1192</v>
      </c>
      <c r="T182" s="210" t="s">
        <v>49</v>
      </c>
      <c r="U182" s="228" t="s">
        <v>1192</v>
      </c>
      <c r="V182" s="228" t="s">
        <v>1192</v>
      </c>
      <c r="W182" s="210" t="s">
        <v>49</v>
      </c>
      <c r="X182" s="228" t="s">
        <v>1192</v>
      </c>
      <c r="Y182" s="228" t="s">
        <v>1192</v>
      </c>
      <c r="Z182" s="210" t="s">
        <v>49</v>
      </c>
      <c r="AA182" s="341" t="s">
        <v>203</v>
      </c>
      <c r="AB182" s="368" t="s">
        <v>203</v>
      </c>
    </row>
    <row r="183" spans="1:28" ht="15.75">
      <c r="A183" s="209" t="s">
        <v>1156</v>
      </c>
      <c r="B183" s="161" t="s">
        <v>1182</v>
      </c>
      <c r="C183" s="161" t="s">
        <v>17</v>
      </c>
      <c r="D183" s="209" t="s">
        <v>1183</v>
      </c>
      <c r="E183" s="209" t="s">
        <v>1184</v>
      </c>
      <c r="F183" s="161" t="s">
        <v>1570</v>
      </c>
      <c r="G183" s="161" t="s">
        <v>1186</v>
      </c>
      <c r="H183" s="230">
        <v>7.0000000000000001E-3</v>
      </c>
      <c r="I183" s="230" t="s">
        <v>49</v>
      </c>
      <c r="J183" s="209" t="s">
        <v>1298</v>
      </c>
      <c r="K183" s="209"/>
      <c r="L183" s="209" t="s">
        <v>1182</v>
      </c>
      <c r="M183" s="214" t="s">
        <v>1216</v>
      </c>
      <c r="O183" s="228" t="s">
        <v>1191</v>
      </c>
      <c r="P183" s="228" t="s">
        <v>1191</v>
      </c>
      <c r="Q183" s="228" t="s">
        <v>1191</v>
      </c>
      <c r="R183" s="228" t="s">
        <v>1191</v>
      </c>
      <c r="S183" s="228" t="s">
        <v>1192</v>
      </c>
      <c r="T183" s="210" t="s">
        <v>49</v>
      </c>
      <c r="U183" s="228" t="s">
        <v>1192</v>
      </c>
      <c r="V183" s="228" t="s">
        <v>1192</v>
      </c>
      <c r="W183" s="210" t="s">
        <v>49</v>
      </c>
      <c r="X183" s="228" t="s">
        <v>1192</v>
      </c>
      <c r="Y183" s="228" t="s">
        <v>1192</v>
      </c>
      <c r="Z183" s="210" t="s">
        <v>49</v>
      </c>
      <c r="AA183" s="341" t="s">
        <v>203</v>
      </c>
      <c r="AB183" s="368" t="s">
        <v>951</v>
      </c>
    </row>
    <row r="184" spans="1:28" ht="15.75">
      <c r="A184" s="209" t="s">
        <v>1156</v>
      </c>
      <c r="B184" s="161" t="s">
        <v>1189</v>
      </c>
      <c r="C184" s="161" t="s">
        <v>39</v>
      </c>
      <c r="D184" s="209" t="s">
        <v>1288</v>
      </c>
      <c r="E184" s="161" t="s">
        <v>1282</v>
      </c>
      <c r="F184" s="161" t="s">
        <v>1571</v>
      </c>
      <c r="G184" s="161" t="s">
        <v>1290</v>
      </c>
      <c r="H184" s="230">
        <v>7.0000000000000001E-3</v>
      </c>
      <c r="I184" s="230"/>
      <c r="J184" s="209" t="s">
        <v>1572</v>
      </c>
      <c r="K184" s="209"/>
      <c r="L184" s="209" t="s">
        <v>1182</v>
      </c>
      <c r="O184" s="228" t="s">
        <v>49</v>
      </c>
      <c r="P184" s="228" t="s">
        <v>49</v>
      </c>
      <c r="Q184" s="228" t="s">
        <v>49</v>
      </c>
      <c r="R184" s="228" t="s">
        <v>49</v>
      </c>
      <c r="S184" s="228" t="s">
        <v>49</v>
      </c>
      <c r="T184" s="210" t="s">
        <v>1192</v>
      </c>
      <c r="U184" s="228" t="s">
        <v>49</v>
      </c>
      <c r="V184" s="228" t="s">
        <v>49</v>
      </c>
      <c r="W184" s="210" t="s">
        <v>1192</v>
      </c>
      <c r="X184" s="228" t="s">
        <v>49</v>
      </c>
      <c r="Y184" s="228" t="s">
        <v>49</v>
      </c>
      <c r="Z184" s="210" t="s">
        <v>1192</v>
      </c>
      <c r="AA184" s="341" t="s">
        <v>203</v>
      </c>
      <c r="AB184" s="368" t="s">
        <v>203</v>
      </c>
    </row>
    <row r="185" spans="1:28" ht="15.75">
      <c r="A185" s="209" t="s">
        <v>1156</v>
      </c>
      <c r="B185" s="161" t="s">
        <v>1189</v>
      </c>
      <c r="C185" s="161" t="s">
        <v>39</v>
      </c>
      <c r="D185" s="209" t="s">
        <v>1408</v>
      </c>
      <c r="E185" s="161" t="s">
        <v>1282</v>
      </c>
      <c r="F185" s="161" t="s">
        <v>1573</v>
      </c>
      <c r="G185" s="161" t="s">
        <v>1290</v>
      </c>
      <c r="H185" s="230">
        <v>6.79E-3</v>
      </c>
      <c r="I185" s="230"/>
      <c r="J185" s="209" t="s">
        <v>1574</v>
      </c>
      <c r="K185" s="209"/>
      <c r="L185" s="209" t="s">
        <v>1182</v>
      </c>
      <c r="O185" s="228" t="s">
        <v>49</v>
      </c>
      <c r="P185" s="228" t="s">
        <v>49</v>
      </c>
      <c r="Q185" s="228" t="s">
        <v>49</v>
      </c>
      <c r="R185" s="228" t="s">
        <v>49</v>
      </c>
      <c r="S185" s="228" t="s">
        <v>49</v>
      </c>
      <c r="T185" s="210" t="s">
        <v>1192</v>
      </c>
      <c r="U185" s="228" t="s">
        <v>49</v>
      </c>
      <c r="V185" s="228" t="s">
        <v>49</v>
      </c>
      <c r="W185" s="210" t="s">
        <v>1192</v>
      </c>
      <c r="X185" s="228" t="s">
        <v>49</v>
      </c>
      <c r="Y185" s="228" t="s">
        <v>49</v>
      </c>
      <c r="Z185" s="210" t="s">
        <v>1192</v>
      </c>
      <c r="AA185" s="341" t="s">
        <v>203</v>
      </c>
      <c r="AB185" s="368" t="s">
        <v>203</v>
      </c>
    </row>
    <row r="186" spans="1:28" ht="15" customHeight="1">
      <c r="A186" s="161" t="s">
        <v>580</v>
      </c>
      <c r="B186" s="161" t="s">
        <v>1182</v>
      </c>
      <c r="C186" s="209" t="s">
        <v>17</v>
      </c>
      <c r="D186" s="161" t="s">
        <v>1183</v>
      </c>
      <c r="E186" s="161" t="s">
        <v>1184</v>
      </c>
      <c r="F186" s="161" t="s">
        <v>761</v>
      </c>
      <c r="G186" s="161" t="s">
        <v>1199</v>
      </c>
      <c r="H186" s="230">
        <v>5.0000000000000001E-3</v>
      </c>
      <c r="I186" s="230" t="s">
        <v>1418</v>
      </c>
      <c r="J186" t="s">
        <v>1418</v>
      </c>
      <c r="K186" s="209"/>
      <c r="L186" s="209" t="s">
        <v>1182</v>
      </c>
      <c r="M186" s="214" t="s">
        <v>1216</v>
      </c>
      <c r="N186" s="161" t="s">
        <v>1575</v>
      </c>
      <c r="O186" s="228" t="s">
        <v>1191</v>
      </c>
      <c r="P186" s="228" t="s">
        <v>1191</v>
      </c>
      <c r="Q186" s="228" t="s">
        <v>1191</v>
      </c>
      <c r="R186" s="228" t="s">
        <v>1191</v>
      </c>
      <c r="S186" s="228" t="s">
        <v>1192</v>
      </c>
      <c r="T186" s="210" t="s">
        <v>49</v>
      </c>
      <c r="U186" s="437" t="s">
        <v>1191</v>
      </c>
      <c r="V186" s="228" t="s">
        <v>1192</v>
      </c>
      <c r="W186" s="210" t="s">
        <v>49</v>
      </c>
      <c r="X186" s="228" t="s">
        <v>1192</v>
      </c>
      <c r="Y186" s="228" t="s">
        <v>1192</v>
      </c>
      <c r="Z186" s="210" t="s">
        <v>49</v>
      </c>
      <c r="AA186" s="341" t="s">
        <v>203</v>
      </c>
      <c r="AB186" s="368" t="s">
        <v>203</v>
      </c>
    </row>
    <row r="187" spans="1:28" ht="15" customHeight="1">
      <c r="A187" s="161" t="s">
        <v>580</v>
      </c>
      <c r="B187" s="161" t="s">
        <v>1182</v>
      </c>
      <c r="C187" s="209" t="s">
        <v>955</v>
      </c>
      <c r="D187" s="161" t="s">
        <v>1193</v>
      </c>
      <c r="E187" s="161" t="s">
        <v>1194</v>
      </c>
      <c r="F187" s="162" t="s">
        <v>730</v>
      </c>
      <c r="G187" s="162"/>
      <c r="H187" s="230">
        <v>5.0000000000000001E-3</v>
      </c>
      <c r="I187" s="230" t="s">
        <v>1212</v>
      </c>
      <c r="J187" s="209" t="s">
        <v>1212</v>
      </c>
      <c r="K187" s="209"/>
      <c r="L187" s="209" t="s">
        <v>1182</v>
      </c>
      <c r="M187" s="209" t="s">
        <v>361</v>
      </c>
      <c r="N187" s="161" t="s">
        <v>731</v>
      </c>
      <c r="O187" s="209" t="s">
        <v>1191</v>
      </c>
      <c r="P187" s="209" t="s">
        <v>1191</v>
      </c>
      <c r="Q187" s="209" t="s">
        <v>1191</v>
      </c>
      <c r="R187" s="210" t="s">
        <v>1191</v>
      </c>
      <c r="S187" s="210" t="s">
        <v>1192</v>
      </c>
      <c r="T187" s="210" t="s">
        <v>49</v>
      </c>
      <c r="U187" s="228" t="s">
        <v>1191</v>
      </c>
      <c r="V187" s="228" t="s">
        <v>1192</v>
      </c>
      <c r="W187" s="210" t="s">
        <v>49</v>
      </c>
      <c r="X187" s="228" t="s">
        <v>1192</v>
      </c>
      <c r="Y187" s="228" t="s">
        <v>1192</v>
      </c>
      <c r="Z187" s="210" t="s">
        <v>49</v>
      </c>
      <c r="AA187" s="341" t="s">
        <v>203</v>
      </c>
      <c r="AB187" s="368" t="s">
        <v>203</v>
      </c>
    </row>
    <row r="188" spans="1:28" ht="15" customHeight="1">
      <c r="A188" s="161" t="s">
        <v>580</v>
      </c>
      <c r="B188" s="161" t="s">
        <v>1182</v>
      </c>
      <c r="C188" s="209" t="s">
        <v>955</v>
      </c>
      <c r="D188" s="161" t="s">
        <v>1193</v>
      </c>
      <c r="E188" s="161" t="s">
        <v>1194</v>
      </c>
      <c r="F188" s="162" t="s">
        <v>734</v>
      </c>
      <c r="G188" s="162"/>
      <c r="H188" s="230">
        <v>5.0000000000000001E-3</v>
      </c>
      <c r="I188" s="230" t="s">
        <v>1212</v>
      </c>
      <c r="J188" s="209" t="s">
        <v>1212</v>
      </c>
      <c r="K188" s="209"/>
      <c r="L188" s="209" t="s">
        <v>1182</v>
      </c>
      <c r="M188" s="209" t="s">
        <v>361</v>
      </c>
      <c r="N188" s="161" t="s">
        <v>735</v>
      </c>
      <c r="O188" s="209" t="s">
        <v>1191</v>
      </c>
      <c r="P188" s="209" t="s">
        <v>1191</v>
      </c>
      <c r="Q188" s="209" t="s">
        <v>1191</v>
      </c>
      <c r="R188" s="210" t="s">
        <v>1191</v>
      </c>
      <c r="S188" s="210" t="s">
        <v>1192</v>
      </c>
      <c r="T188" s="210" t="s">
        <v>49</v>
      </c>
      <c r="U188" s="228" t="s">
        <v>1191</v>
      </c>
      <c r="V188" s="228" t="s">
        <v>1192</v>
      </c>
      <c r="W188" s="210" t="s">
        <v>49</v>
      </c>
      <c r="X188" s="228" t="s">
        <v>1192</v>
      </c>
      <c r="Y188" s="228" t="s">
        <v>1192</v>
      </c>
      <c r="Z188" s="210" t="s">
        <v>49</v>
      </c>
      <c r="AA188" s="341" t="s">
        <v>203</v>
      </c>
      <c r="AB188" s="368" t="s">
        <v>203</v>
      </c>
    </row>
    <row r="189" spans="1:28" ht="15" customHeight="1">
      <c r="A189" s="161" t="s">
        <v>571</v>
      </c>
      <c r="B189" s="161" t="s">
        <v>1182</v>
      </c>
      <c r="C189" s="209" t="s">
        <v>112</v>
      </c>
      <c r="D189" s="161" t="s">
        <v>1243</v>
      </c>
      <c r="E189" s="161" t="s">
        <v>1244</v>
      </c>
      <c r="F189" s="161" t="s">
        <v>622</v>
      </c>
      <c r="G189" s="161"/>
      <c r="H189" s="230">
        <v>5.0000000000000001E-3</v>
      </c>
      <c r="I189" s="230" t="s">
        <v>1267</v>
      </c>
      <c r="J189" s="209" t="s">
        <v>1267</v>
      </c>
      <c r="K189" s="209"/>
      <c r="L189" s="209" t="s">
        <v>1189</v>
      </c>
      <c r="M189" s="209" t="s">
        <v>1246</v>
      </c>
      <c r="N189" s="209" t="s">
        <v>1576</v>
      </c>
      <c r="O189" s="209" t="s">
        <v>1191</v>
      </c>
      <c r="P189" s="209" t="s">
        <v>1191</v>
      </c>
      <c r="Q189" s="209" t="s">
        <v>1191</v>
      </c>
      <c r="R189" s="209" t="s">
        <v>1191</v>
      </c>
      <c r="S189" s="209" t="s">
        <v>1191</v>
      </c>
      <c r="T189" s="210" t="s">
        <v>49</v>
      </c>
      <c r="U189" s="228" t="s">
        <v>1191</v>
      </c>
      <c r="V189" s="228" t="s">
        <v>1192</v>
      </c>
      <c r="W189" s="210" t="s">
        <v>49</v>
      </c>
      <c r="X189" s="228" t="s">
        <v>1192</v>
      </c>
      <c r="Y189" s="228" t="s">
        <v>1192</v>
      </c>
      <c r="Z189" s="210" t="s">
        <v>49</v>
      </c>
      <c r="AA189" s="341" t="s">
        <v>203</v>
      </c>
      <c r="AB189" s="341" t="s">
        <v>203</v>
      </c>
    </row>
    <row r="190" spans="1:28" ht="15" customHeight="1">
      <c r="A190" s="161" t="s">
        <v>580</v>
      </c>
      <c r="B190" s="161" t="s">
        <v>1182</v>
      </c>
      <c r="C190" s="169" t="s">
        <v>393</v>
      </c>
      <c r="D190" s="161" t="s">
        <v>1230</v>
      </c>
      <c r="E190" s="161" t="s">
        <v>1231</v>
      </c>
      <c r="F190" s="161" t="s">
        <v>599</v>
      </c>
      <c r="G190" s="161" t="s">
        <v>1232</v>
      </c>
      <c r="H190" s="230">
        <v>5.0000000000000001E-3</v>
      </c>
      <c r="I190" s="230" t="s">
        <v>1577</v>
      </c>
      <c r="J190" s="209"/>
      <c r="K190" s="209"/>
      <c r="L190" s="209" t="s">
        <v>1182</v>
      </c>
      <c r="M190" s="209" t="s">
        <v>1578</v>
      </c>
      <c r="N190" s="209" t="s">
        <v>1579</v>
      </c>
      <c r="O190" s="209" t="s">
        <v>1191</v>
      </c>
      <c r="P190" s="209" t="s">
        <v>1191</v>
      </c>
      <c r="Q190" s="209" t="s">
        <v>1191</v>
      </c>
      <c r="R190" s="210" t="s">
        <v>1191</v>
      </c>
      <c r="S190" s="210" t="s">
        <v>1192</v>
      </c>
      <c r="T190" s="210" t="s">
        <v>49</v>
      </c>
      <c r="U190" s="210" t="s">
        <v>1191</v>
      </c>
      <c r="V190" s="210" t="s">
        <v>1192</v>
      </c>
      <c r="W190" s="210" t="s">
        <v>49</v>
      </c>
      <c r="X190" s="210" t="s">
        <v>1192</v>
      </c>
      <c r="Y190" s="210" t="s">
        <v>1192</v>
      </c>
      <c r="Z190" s="210" t="s">
        <v>49</v>
      </c>
      <c r="AA190" s="341" t="s">
        <v>203</v>
      </c>
      <c r="AB190" s="341" t="s">
        <v>203</v>
      </c>
    </row>
    <row r="191" spans="1:28" ht="15" customHeight="1">
      <c r="A191" s="209" t="s">
        <v>1156</v>
      </c>
      <c r="B191" s="161" t="s">
        <v>1182</v>
      </c>
      <c r="C191" s="161" t="s">
        <v>17</v>
      </c>
      <c r="D191" s="209" t="s">
        <v>1274</v>
      </c>
      <c r="E191" s="209" t="s">
        <v>1184</v>
      </c>
      <c r="F191" s="161" t="s">
        <v>1580</v>
      </c>
      <c r="G191" s="161" t="s">
        <v>1186</v>
      </c>
      <c r="H191" s="230">
        <v>4.0000000000000001E-3</v>
      </c>
      <c r="I191" s="230" t="s">
        <v>1581</v>
      </c>
      <c r="J191" s="209" t="s">
        <v>1582</v>
      </c>
      <c r="K191" s="209"/>
      <c r="L191" s="209" t="s">
        <v>1182</v>
      </c>
      <c r="M191" s="214" t="s">
        <v>1304</v>
      </c>
      <c r="O191" s="228" t="s">
        <v>1191</v>
      </c>
      <c r="P191" s="228" t="s">
        <v>1191</v>
      </c>
      <c r="Q191" s="228" t="s">
        <v>1191</v>
      </c>
      <c r="R191" s="228" t="s">
        <v>1191</v>
      </c>
      <c r="S191" s="228" t="s">
        <v>1192</v>
      </c>
      <c r="T191" s="210" t="s">
        <v>49</v>
      </c>
      <c r="U191" s="228" t="s">
        <v>1192</v>
      </c>
      <c r="V191" s="228" t="s">
        <v>1192</v>
      </c>
      <c r="W191" s="210" t="s">
        <v>49</v>
      </c>
      <c r="X191" s="228" t="s">
        <v>1192</v>
      </c>
      <c r="Y191" s="228" t="s">
        <v>1192</v>
      </c>
      <c r="Z191" s="210" t="s">
        <v>49</v>
      </c>
      <c r="AA191" s="341" t="s">
        <v>203</v>
      </c>
      <c r="AB191" s="368" t="s">
        <v>951</v>
      </c>
    </row>
    <row r="192" spans="1:28" ht="15" customHeight="1">
      <c r="A192" s="161" t="s">
        <v>609</v>
      </c>
      <c r="B192" s="161" t="s">
        <v>1182</v>
      </c>
      <c r="C192" s="209" t="s">
        <v>17</v>
      </c>
      <c r="D192" s="161" t="s">
        <v>1314</v>
      </c>
      <c r="E192" s="161" t="s">
        <v>1184</v>
      </c>
      <c r="F192" s="338" t="s">
        <v>1583</v>
      </c>
      <c r="G192" s="338" t="s">
        <v>1584</v>
      </c>
      <c r="H192" s="230">
        <v>4.0000000000000001E-3</v>
      </c>
      <c r="I192" s="230" t="s">
        <v>1585</v>
      </c>
      <c r="J192" s="209" t="s">
        <v>1586</v>
      </c>
      <c r="K192" s="209"/>
      <c r="L192" s="209" t="s">
        <v>1182</v>
      </c>
      <c r="M192" s="214" t="s">
        <v>1216</v>
      </c>
      <c r="N192" s="161" t="s">
        <v>1587</v>
      </c>
      <c r="O192" s="371" t="s">
        <v>1191</v>
      </c>
      <c r="P192" s="371" t="s">
        <v>1191</v>
      </c>
      <c r="Q192" s="371" t="s">
        <v>1191</v>
      </c>
      <c r="R192" s="371" t="s">
        <v>1191</v>
      </c>
      <c r="S192" s="228" t="s">
        <v>1191</v>
      </c>
      <c r="T192" s="210" t="s">
        <v>49</v>
      </c>
      <c r="U192" s="228" t="s">
        <v>1192</v>
      </c>
      <c r="V192" s="228" t="s">
        <v>1192</v>
      </c>
      <c r="W192" s="210" t="s">
        <v>49</v>
      </c>
      <c r="X192" s="228" t="s">
        <v>1192</v>
      </c>
      <c r="Y192" s="228" t="s">
        <v>1192</v>
      </c>
      <c r="Z192" s="210" t="s">
        <v>49</v>
      </c>
      <c r="AA192" s="341" t="s">
        <v>203</v>
      </c>
      <c r="AB192" s="368" t="s">
        <v>203</v>
      </c>
    </row>
    <row r="193" spans="1:28" ht="15" customHeight="1">
      <c r="A193" s="161" t="s">
        <v>609</v>
      </c>
      <c r="B193" s="161" t="s">
        <v>1182</v>
      </c>
      <c r="C193" s="209" t="s">
        <v>17</v>
      </c>
      <c r="D193" s="161" t="s">
        <v>1183</v>
      </c>
      <c r="E193" s="161" t="s">
        <v>1184</v>
      </c>
      <c r="F193" s="161" t="s">
        <v>1588</v>
      </c>
      <c r="G193" s="161"/>
      <c r="H193" s="230">
        <v>3.0000000000000001E-3</v>
      </c>
      <c r="I193" s="230" t="s">
        <v>1589</v>
      </c>
      <c r="J193" s="209" t="s">
        <v>1590</v>
      </c>
      <c r="K193" s="209"/>
      <c r="L193" s="209" t="s">
        <v>1182</v>
      </c>
      <c r="M193" s="214" t="s">
        <v>1216</v>
      </c>
      <c r="N193" s="161" t="s">
        <v>1591</v>
      </c>
      <c r="O193" s="228" t="s">
        <v>1191</v>
      </c>
      <c r="P193" s="228" t="s">
        <v>1191</v>
      </c>
      <c r="Q193" s="228" t="s">
        <v>1191</v>
      </c>
      <c r="R193" s="228" t="s">
        <v>1191</v>
      </c>
      <c r="S193" s="228" t="s">
        <v>1191</v>
      </c>
      <c r="T193" s="210" t="s">
        <v>49</v>
      </c>
      <c r="U193" s="228" t="s">
        <v>1191</v>
      </c>
      <c r="V193" s="228" t="s">
        <v>1192</v>
      </c>
      <c r="W193" s="210" t="s">
        <v>49</v>
      </c>
      <c r="X193" s="228" t="s">
        <v>1192</v>
      </c>
      <c r="Y193" s="228" t="s">
        <v>1192</v>
      </c>
      <c r="Z193" s="210" t="s">
        <v>49</v>
      </c>
      <c r="AA193" s="341" t="s">
        <v>203</v>
      </c>
      <c r="AB193" s="368" t="s">
        <v>203</v>
      </c>
    </row>
    <row r="194" spans="1:28" ht="15" customHeight="1">
      <c r="A194" s="209" t="s">
        <v>1156</v>
      </c>
      <c r="B194" s="161" t="s">
        <v>1182</v>
      </c>
      <c r="C194" s="161" t="s">
        <v>17</v>
      </c>
      <c r="D194" s="209" t="s">
        <v>1183</v>
      </c>
      <c r="E194" s="209" t="s">
        <v>1184</v>
      </c>
      <c r="F194" s="161" t="s">
        <v>1592</v>
      </c>
      <c r="G194" s="161" t="s">
        <v>1186</v>
      </c>
      <c r="H194" s="230">
        <v>3.0000000000000001E-3</v>
      </c>
      <c r="I194" s="230" t="s">
        <v>49</v>
      </c>
      <c r="J194" s="209" t="s">
        <v>1593</v>
      </c>
      <c r="K194" s="209"/>
      <c r="L194" s="209" t="s">
        <v>1182</v>
      </c>
      <c r="M194" s="214" t="s">
        <v>1216</v>
      </c>
      <c r="O194" s="228" t="s">
        <v>1191</v>
      </c>
      <c r="P194" s="228" t="s">
        <v>1191</v>
      </c>
      <c r="Q194" s="228" t="s">
        <v>1191</v>
      </c>
      <c r="R194" s="228" t="s">
        <v>1191</v>
      </c>
      <c r="S194" s="228" t="s">
        <v>1192</v>
      </c>
      <c r="T194" s="210" t="s">
        <v>49</v>
      </c>
      <c r="U194" s="228" t="s">
        <v>1192</v>
      </c>
      <c r="V194" s="228" t="s">
        <v>1192</v>
      </c>
      <c r="W194" s="210" t="s">
        <v>49</v>
      </c>
      <c r="X194" s="228" t="s">
        <v>1192</v>
      </c>
      <c r="Y194" s="228" t="s">
        <v>1192</v>
      </c>
      <c r="Z194" s="210" t="s">
        <v>49</v>
      </c>
      <c r="AA194" s="341" t="s">
        <v>203</v>
      </c>
      <c r="AB194" s="368" t="s">
        <v>951</v>
      </c>
    </row>
    <row r="195" spans="1:28" ht="15.75">
      <c r="A195" s="209" t="s">
        <v>1156</v>
      </c>
      <c r="B195" s="161" t="s">
        <v>1182</v>
      </c>
      <c r="C195" s="161" t="s">
        <v>36</v>
      </c>
      <c r="D195" s="209" t="s">
        <v>1183</v>
      </c>
      <c r="E195" s="209" t="s">
        <v>1434</v>
      </c>
      <c r="F195" s="161" t="s">
        <v>1594</v>
      </c>
      <c r="G195" s="161" t="s">
        <v>1436</v>
      </c>
      <c r="H195" s="230">
        <v>3.0000000000000001E-3</v>
      </c>
      <c r="I195" s="230" t="s">
        <v>49</v>
      </c>
      <c r="J195" s="209" t="s">
        <v>1512</v>
      </c>
      <c r="K195" s="209"/>
      <c r="L195" s="209" t="s">
        <v>1189</v>
      </c>
      <c r="M195" s="214" t="s">
        <v>1216</v>
      </c>
      <c r="O195" s="228" t="s">
        <v>1192</v>
      </c>
      <c r="P195" s="228" t="s">
        <v>1192</v>
      </c>
      <c r="Q195" s="228" t="s">
        <v>1192</v>
      </c>
      <c r="R195" s="228" t="s">
        <v>1192</v>
      </c>
      <c r="S195" s="228" t="s">
        <v>1192</v>
      </c>
      <c r="T195" s="210" t="s">
        <v>49</v>
      </c>
      <c r="U195" s="228" t="s">
        <v>1192</v>
      </c>
      <c r="V195" s="228" t="s">
        <v>1192</v>
      </c>
      <c r="W195" s="210" t="s">
        <v>49</v>
      </c>
      <c r="X195" s="228" t="s">
        <v>1192</v>
      </c>
      <c r="Y195" s="228" t="s">
        <v>1192</v>
      </c>
      <c r="Z195" s="210" t="s">
        <v>49</v>
      </c>
      <c r="AA195" s="341" t="s">
        <v>203</v>
      </c>
      <c r="AB195" s="368" t="s">
        <v>203</v>
      </c>
    </row>
    <row r="196" spans="1:28" ht="15.75">
      <c r="A196" s="209" t="s">
        <v>1156</v>
      </c>
      <c r="B196" s="161" t="s">
        <v>1182</v>
      </c>
      <c r="C196" s="161" t="s">
        <v>36</v>
      </c>
      <c r="D196" s="209" t="s">
        <v>1183</v>
      </c>
      <c r="E196" s="209" t="s">
        <v>1434</v>
      </c>
      <c r="F196" s="161" t="s">
        <v>1595</v>
      </c>
      <c r="G196" s="161" t="s">
        <v>1436</v>
      </c>
      <c r="H196" s="230">
        <v>3.0000000000000001E-3</v>
      </c>
      <c r="I196" s="230" t="s">
        <v>49</v>
      </c>
      <c r="J196" s="209" t="s">
        <v>1596</v>
      </c>
      <c r="K196" s="209"/>
      <c r="L196" s="209" t="s">
        <v>1182</v>
      </c>
      <c r="M196" s="214" t="s">
        <v>1216</v>
      </c>
      <c r="O196" s="228" t="s">
        <v>1192</v>
      </c>
      <c r="P196" s="228" t="s">
        <v>1192</v>
      </c>
      <c r="Q196" s="228" t="s">
        <v>1192</v>
      </c>
      <c r="R196" s="228" t="s">
        <v>1192</v>
      </c>
      <c r="S196" s="228" t="s">
        <v>1192</v>
      </c>
      <c r="T196" s="210" t="s">
        <v>49</v>
      </c>
      <c r="U196" s="228" t="s">
        <v>1192</v>
      </c>
      <c r="V196" s="228" t="s">
        <v>1192</v>
      </c>
      <c r="W196" s="210" t="s">
        <v>49</v>
      </c>
      <c r="X196" s="228" t="s">
        <v>1192</v>
      </c>
      <c r="Y196" s="228" t="s">
        <v>1192</v>
      </c>
      <c r="Z196" s="210" t="s">
        <v>49</v>
      </c>
      <c r="AA196" s="341" t="s">
        <v>203</v>
      </c>
      <c r="AB196" s="368" t="s">
        <v>203</v>
      </c>
    </row>
    <row r="197" spans="1:28" ht="15.75">
      <c r="A197" s="272" t="s">
        <v>580</v>
      </c>
      <c r="B197" s="161" t="s">
        <v>1182</v>
      </c>
      <c r="C197" s="161" t="s">
        <v>17</v>
      </c>
      <c r="D197" s="209" t="s">
        <v>1183</v>
      </c>
      <c r="E197" s="209" t="s">
        <v>1184</v>
      </c>
      <c r="F197" s="161" t="s">
        <v>1597</v>
      </c>
      <c r="G197" s="161"/>
      <c r="H197" s="230">
        <v>3.0000000000000001E-3</v>
      </c>
      <c r="I197" s="230" t="s">
        <v>1598</v>
      </c>
      <c r="J197" s="209" t="s">
        <v>1599</v>
      </c>
      <c r="K197" s="209"/>
      <c r="L197" s="210" t="s">
        <v>1182</v>
      </c>
      <c r="M197" s="210" t="s">
        <v>1216</v>
      </c>
      <c r="O197" s="228" t="s">
        <v>1191</v>
      </c>
      <c r="P197" s="228" t="s">
        <v>1191</v>
      </c>
      <c r="Q197" s="228" t="s">
        <v>1191</v>
      </c>
      <c r="R197" s="228" t="s">
        <v>1191</v>
      </c>
      <c r="S197" s="228" t="s">
        <v>1191</v>
      </c>
      <c r="T197" s="210" t="s">
        <v>49</v>
      </c>
      <c r="U197" s="228" t="s">
        <v>1191</v>
      </c>
      <c r="V197" s="228" t="s">
        <v>1192</v>
      </c>
      <c r="W197" s="210" t="s">
        <v>49</v>
      </c>
      <c r="X197" s="228" t="s">
        <v>1192</v>
      </c>
      <c r="Y197" s="228" t="s">
        <v>1192</v>
      </c>
      <c r="Z197" s="210" t="s">
        <v>49</v>
      </c>
      <c r="AA197" s="341" t="s">
        <v>203</v>
      </c>
      <c r="AB197" s="368" t="s">
        <v>951</v>
      </c>
    </row>
    <row r="198" spans="1:28" ht="15.75">
      <c r="A198" s="209" t="s">
        <v>1156</v>
      </c>
      <c r="B198" s="161" t="s">
        <v>1182</v>
      </c>
      <c r="C198" s="161" t="s">
        <v>17</v>
      </c>
      <c r="D198" s="209" t="s">
        <v>1314</v>
      </c>
      <c r="E198" s="209" t="s">
        <v>1184</v>
      </c>
      <c r="F198" s="161" t="s">
        <v>1600</v>
      </c>
      <c r="G198" s="161" t="s">
        <v>1186</v>
      </c>
      <c r="H198" s="230">
        <v>2E-3</v>
      </c>
      <c r="I198" s="230" t="s">
        <v>49</v>
      </c>
      <c r="J198" s="209" t="s">
        <v>1422</v>
      </c>
      <c r="K198" s="209"/>
      <c r="L198" s="209" t="s">
        <v>1182</v>
      </c>
      <c r="M198" s="214" t="s">
        <v>1216</v>
      </c>
      <c r="O198" s="228" t="s">
        <v>1191</v>
      </c>
      <c r="P198" s="228" t="s">
        <v>1191</v>
      </c>
      <c r="Q198" s="228" t="s">
        <v>1191</v>
      </c>
      <c r="R198" s="228" t="s">
        <v>1191</v>
      </c>
      <c r="S198" s="228" t="s">
        <v>1192</v>
      </c>
      <c r="T198" s="210" t="s">
        <v>49</v>
      </c>
      <c r="U198" s="228" t="s">
        <v>1192</v>
      </c>
      <c r="V198" s="228" t="s">
        <v>1192</v>
      </c>
      <c r="W198" s="210" t="s">
        <v>49</v>
      </c>
      <c r="X198" s="228" t="s">
        <v>1192</v>
      </c>
      <c r="Y198" s="228" t="s">
        <v>1192</v>
      </c>
      <c r="Z198" s="210" t="s">
        <v>49</v>
      </c>
      <c r="AA198" s="341" t="s">
        <v>203</v>
      </c>
      <c r="AB198" s="368" t="s">
        <v>203</v>
      </c>
    </row>
    <row r="199" spans="1:28" ht="15.75">
      <c r="A199" s="209" t="s">
        <v>1156</v>
      </c>
      <c r="B199" s="161" t="s">
        <v>1182</v>
      </c>
      <c r="C199" s="161" t="s">
        <v>17</v>
      </c>
      <c r="D199" s="209" t="s">
        <v>1314</v>
      </c>
      <c r="E199" s="209" t="s">
        <v>1184</v>
      </c>
      <c r="F199" s="161" t="s">
        <v>1601</v>
      </c>
      <c r="G199" s="161" t="s">
        <v>1186</v>
      </c>
      <c r="H199" s="230">
        <v>2E-3</v>
      </c>
      <c r="I199" s="230" t="s">
        <v>49</v>
      </c>
      <c r="J199" s="209" t="s">
        <v>1422</v>
      </c>
      <c r="K199" s="209"/>
      <c r="L199" s="209" t="s">
        <v>1182</v>
      </c>
      <c r="M199" s="214" t="s">
        <v>1216</v>
      </c>
      <c r="O199" s="228" t="s">
        <v>1191</v>
      </c>
      <c r="P199" s="228" t="s">
        <v>1191</v>
      </c>
      <c r="Q199" s="228" t="s">
        <v>1191</v>
      </c>
      <c r="R199" s="228" t="s">
        <v>1191</v>
      </c>
      <c r="S199" s="228" t="s">
        <v>1192</v>
      </c>
      <c r="T199" s="210" t="s">
        <v>49</v>
      </c>
      <c r="U199" s="228" t="s">
        <v>1192</v>
      </c>
      <c r="V199" s="228" t="s">
        <v>1192</v>
      </c>
      <c r="W199" s="210" t="s">
        <v>49</v>
      </c>
      <c r="X199" s="228" t="s">
        <v>1192</v>
      </c>
      <c r="Y199" s="228" t="s">
        <v>1192</v>
      </c>
      <c r="Z199" s="210" t="s">
        <v>49</v>
      </c>
      <c r="AA199" s="341" t="s">
        <v>203</v>
      </c>
      <c r="AB199" s="368" t="s">
        <v>203</v>
      </c>
    </row>
    <row r="200" spans="1:28" ht="15">
      <c r="A200" s="161" t="s">
        <v>571</v>
      </c>
      <c r="B200" s="161" t="s">
        <v>1182</v>
      </c>
      <c r="C200" s="209" t="s">
        <v>112</v>
      </c>
      <c r="D200" s="161" t="s">
        <v>1243</v>
      </c>
      <c r="E200" s="161" t="s">
        <v>1244</v>
      </c>
      <c r="F200" s="161" t="s">
        <v>640</v>
      </c>
      <c r="G200" s="161"/>
      <c r="H200" s="230">
        <v>2E-3</v>
      </c>
      <c r="I200" s="230" t="s">
        <v>49</v>
      </c>
      <c r="J200" s="209"/>
      <c r="K200" s="209"/>
      <c r="L200" s="209" t="s">
        <v>1189</v>
      </c>
      <c r="M200" s="209" t="s">
        <v>1246</v>
      </c>
      <c r="N200" s="209" t="s">
        <v>1602</v>
      </c>
      <c r="O200" s="209" t="s">
        <v>1191</v>
      </c>
      <c r="P200" s="209" t="s">
        <v>1191</v>
      </c>
      <c r="Q200" s="209" t="s">
        <v>1191</v>
      </c>
      <c r="R200" s="209" t="s">
        <v>1191</v>
      </c>
      <c r="S200" s="209" t="s">
        <v>1191</v>
      </c>
      <c r="T200" s="210" t="s">
        <v>49</v>
      </c>
      <c r="U200" s="228" t="s">
        <v>1191</v>
      </c>
      <c r="V200" s="228" t="s">
        <v>1192</v>
      </c>
      <c r="W200" s="210" t="s">
        <v>49</v>
      </c>
      <c r="X200" s="228" t="s">
        <v>1192</v>
      </c>
      <c r="Y200" s="228" t="s">
        <v>1192</v>
      </c>
      <c r="Z200" s="210" t="s">
        <v>49</v>
      </c>
      <c r="AA200" s="341" t="s">
        <v>203</v>
      </c>
      <c r="AB200" s="341" t="s">
        <v>203</v>
      </c>
    </row>
    <row r="201" spans="1:28" ht="15.75">
      <c r="A201" s="209" t="s">
        <v>1156</v>
      </c>
      <c r="B201" s="161" t="s">
        <v>1182</v>
      </c>
      <c r="C201" s="161" t="s">
        <v>36</v>
      </c>
      <c r="D201" s="209" t="s">
        <v>1183</v>
      </c>
      <c r="E201" s="209" t="s">
        <v>1434</v>
      </c>
      <c r="F201" s="161" t="s">
        <v>1603</v>
      </c>
      <c r="G201" s="161" t="s">
        <v>1436</v>
      </c>
      <c r="H201" s="230">
        <v>2E-3</v>
      </c>
      <c r="I201" s="230" t="s">
        <v>49</v>
      </c>
      <c r="J201" s="209" t="s">
        <v>1604</v>
      </c>
      <c r="K201" s="209"/>
      <c r="L201" s="209" t="s">
        <v>1182</v>
      </c>
      <c r="M201" s="214" t="s">
        <v>1216</v>
      </c>
      <c r="O201" s="228" t="s">
        <v>1192</v>
      </c>
      <c r="P201" s="228" t="s">
        <v>1192</v>
      </c>
      <c r="Q201" s="228" t="s">
        <v>1192</v>
      </c>
      <c r="R201" s="228" t="s">
        <v>1192</v>
      </c>
      <c r="S201" s="228" t="s">
        <v>1192</v>
      </c>
      <c r="T201" s="210" t="s">
        <v>49</v>
      </c>
      <c r="U201" s="228" t="s">
        <v>1192</v>
      </c>
      <c r="V201" s="228" t="s">
        <v>1192</v>
      </c>
      <c r="W201" s="210" t="s">
        <v>49</v>
      </c>
      <c r="X201" s="228" t="s">
        <v>1192</v>
      </c>
      <c r="Y201" s="228" t="s">
        <v>1192</v>
      </c>
      <c r="Z201" s="210" t="s">
        <v>49</v>
      </c>
      <c r="AA201" s="341" t="s">
        <v>203</v>
      </c>
      <c r="AB201" s="368" t="s">
        <v>951</v>
      </c>
    </row>
    <row r="202" spans="1:28" ht="15.75">
      <c r="A202" s="209" t="s">
        <v>1156</v>
      </c>
      <c r="B202" s="161" t="s">
        <v>1182</v>
      </c>
      <c r="C202" s="161" t="s">
        <v>36</v>
      </c>
      <c r="D202" s="209" t="s">
        <v>1183</v>
      </c>
      <c r="E202" s="209" t="s">
        <v>1434</v>
      </c>
      <c r="F202" s="161" t="s">
        <v>1605</v>
      </c>
      <c r="G202" s="161" t="s">
        <v>1436</v>
      </c>
      <c r="H202" s="230">
        <v>2E-3</v>
      </c>
      <c r="I202" s="230" t="s">
        <v>49</v>
      </c>
      <c r="J202" s="209" t="s">
        <v>1606</v>
      </c>
      <c r="K202" s="209"/>
      <c r="L202" s="209" t="s">
        <v>1182</v>
      </c>
      <c r="M202" s="214" t="s">
        <v>1216</v>
      </c>
      <c r="O202" s="228" t="s">
        <v>1192</v>
      </c>
      <c r="P202" s="228" t="s">
        <v>1192</v>
      </c>
      <c r="Q202" s="228" t="s">
        <v>1192</v>
      </c>
      <c r="R202" s="228" t="s">
        <v>1192</v>
      </c>
      <c r="S202" s="228" t="s">
        <v>1192</v>
      </c>
      <c r="T202" s="210" t="s">
        <v>49</v>
      </c>
      <c r="U202" s="228" t="s">
        <v>1192</v>
      </c>
      <c r="V202" s="228" t="s">
        <v>1192</v>
      </c>
      <c r="W202" s="210" t="s">
        <v>49</v>
      </c>
      <c r="X202" s="228" t="s">
        <v>1192</v>
      </c>
      <c r="Y202" s="228" t="s">
        <v>1192</v>
      </c>
      <c r="Z202" s="210" t="s">
        <v>49</v>
      </c>
      <c r="AA202" s="341" t="s">
        <v>203</v>
      </c>
      <c r="AB202" s="368" t="s">
        <v>203</v>
      </c>
    </row>
    <row r="203" spans="1:28" ht="15.75">
      <c r="A203" s="209" t="s">
        <v>1156</v>
      </c>
      <c r="B203" s="161" t="s">
        <v>1182</v>
      </c>
      <c r="C203" s="161" t="s">
        <v>36</v>
      </c>
      <c r="D203" s="209" t="s">
        <v>1183</v>
      </c>
      <c r="E203" s="209" t="s">
        <v>1434</v>
      </c>
      <c r="F203" s="161" t="s">
        <v>1607</v>
      </c>
      <c r="G203" s="161" t="s">
        <v>1436</v>
      </c>
      <c r="H203" s="230">
        <v>2E-3</v>
      </c>
      <c r="I203" s="230" t="s">
        <v>49</v>
      </c>
      <c r="J203" s="209" t="s">
        <v>1608</v>
      </c>
      <c r="K203" s="209"/>
      <c r="L203" s="209" t="s">
        <v>1189</v>
      </c>
      <c r="M203" s="214" t="s">
        <v>1190</v>
      </c>
      <c r="O203" s="228" t="s">
        <v>1192</v>
      </c>
      <c r="P203" s="228" t="s">
        <v>1192</v>
      </c>
      <c r="Q203" s="228" t="s">
        <v>1192</v>
      </c>
      <c r="R203" s="228" t="s">
        <v>1192</v>
      </c>
      <c r="S203" s="228" t="s">
        <v>1192</v>
      </c>
      <c r="T203" s="210" t="s">
        <v>49</v>
      </c>
      <c r="U203" s="228" t="s">
        <v>1192</v>
      </c>
      <c r="V203" s="228" t="s">
        <v>1192</v>
      </c>
      <c r="W203" s="210" t="s">
        <v>49</v>
      </c>
      <c r="X203" s="228" t="s">
        <v>1192</v>
      </c>
      <c r="Y203" s="228" t="s">
        <v>1192</v>
      </c>
      <c r="Z203" s="210" t="s">
        <v>49</v>
      </c>
      <c r="AA203" s="341" t="s">
        <v>203</v>
      </c>
      <c r="AB203" s="368" t="s">
        <v>203</v>
      </c>
    </row>
    <row r="204" spans="1:28" ht="15.75">
      <c r="A204" s="209" t="s">
        <v>1156</v>
      </c>
      <c r="B204" s="161" t="s">
        <v>1182</v>
      </c>
      <c r="C204" s="161" t="s">
        <v>36</v>
      </c>
      <c r="D204" s="209" t="s">
        <v>1183</v>
      </c>
      <c r="E204" s="209" t="s">
        <v>1434</v>
      </c>
      <c r="F204" s="161" t="s">
        <v>1609</v>
      </c>
      <c r="G204" s="161" t="s">
        <v>1436</v>
      </c>
      <c r="H204" s="230">
        <v>2E-3</v>
      </c>
      <c r="I204" s="230" t="s">
        <v>49</v>
      </c>
      <c r="J204" s="209" t="s">
        <v>1555</v>
      </c>
      <c r="K204" s="209"/>
      <c r="L204" s="209" t="s">
        <v>1182</v>
      </c>
      <c r="M204" s="214" t="s">
        <v>1216</v>
      </c>
      <c r="O204" s="228" t="s">
        <v>1192</v>
      </c>
      <c r="P204" s="228" t="s">
        <v>1192</v>
      </c>
      <c r="Q204" s="228" t="s">
        <v>1192</v>
      </c>
      <c r="R204" s="228" t="s">
        <v>1192</v>
      </c>
      <c r="S204" s="228" t="s">
        <v>1192</v>
      </c>
      <c r="T204" s="210" t="s">
        <v>49</v>
      </c>
      <c r="U204" s="228" t="s">
        <v>1192</v>
      </c>
      <c r="V204" s="228" t="s">
        <v>1192</v>
      </c>
      <c r="W204" s="210" t="s">
        <v>49</v>
      </c>
      <c r="X204" s="228" t="s">
        <v>1192</v>
      </c>
      <c r="Y204" s="228" t="s">
        <v>1192</v>
      </c>
      <c r="Z204" s="210" t="s">
        <v>49</v>
      </c>
      <c r="AA204" s="341" t="s">
        <v>203</v>
      </c>
      <c r="AB204" s="368" t="s">
        <v>203</v>
      </c>
    </row>
    <row r="205" spans="1:28" ht="15.75">
      <c r="A205" s="161" t="s">
        <v>571</v>
      </c>
      <c r="B205" s="161" t="s">
        <v>1182</v>
      </c>
      <c r="C205" s="209" t="s">
        <v>17</v>
      </c>
      <c r="D205" s="161" t="s">
        <v>1274</v>
      </c>
      <c r="E205" s="161" t="s">
        <v>1184</v>
      </c>
      <c r="F205" s="161" t="s">
        <v>614</v>
      </c>
      <c r="G205" s="161"/>
      <c r="H205" s="230">
        <v>1E-3</v>
      </c>
      <c r="I205" s="230" t="s">
        <v>1610</v>
      </c>
      <c r="J205" s="209" t="s">
        <v>1610</v>
      </c>
      <c r="K205" s="209"/>
      <c r="L205" s="161" t="s">
        <v>1182</v>
      </c>
      <c r="M205" s="209" t="s">
        <v>1304</v>
      </c>
      <c r="N205" s="161" t="s">
        <v>615</v>
      </c>
      <c r="O205" s="161" t="s">
        <v>1191</v>
      </c>
      <c r="P205" s="161" t="s">
        <v>1191</v>
      </c>
      <c r="Q205" s="161" t="s">
        <v>1191</v>
      </c>
      <c r="R205" s="161" t="s">
        <v>1191</v>
      </c>
      <c r="S205" s="161" t="s">
        <v>1191</v>
      </c>
      <c r="T205" s="210" t="s">
        <v>49</v>
      </c>
      <c r="U205" s="228" t="s">
        <v>1191</v>
      </c>
      <c r="V205" s="228" t="s">
        <v>1192</v>
      </c>
      <c r="W205" s="210" t="s">
        <v>49</v>
      </c>
      <c r="X205" s="228" t="s">
        <v>1192</v>
      </c>
      <c r="Y205" s="228" t="s">
        <v>1192</v>
      </c>
      <c r="Z205" s="210" t="s">
        <v>49</v>
      </c>
      <c r="AA205" s="341" t="s">
        <v>203</v>
      </c>
      <c r="AB205" s="368" t="s">
        <v>951</v>
      </c>
    </row>
    <row r="206" spans="1:28" ht="15.75">
      <c r="A206" s="161" t="s">
        <v>580</v>
      </c>
      <c r="B206" s="161" t="s">
        <v>1182</v>
      </c>
      <c r="C206" s="209" t="s">
        <v>17</v>
      </c>
      <c r="D206" s="161" t="s">
        <v>1274</v>
      </c>
      <c r="E206" s="161" t="s">
        <v>1184</v>
      </c>
      <c r="F206" s="161" t="s">
        <v>792</v>
      </c>
      <c r="G206" s="161"/>
      <c r="H206" s="230">
        <v>1E-3</v>
      </c>
      <c r="I206" s="230" t="s">
        <v>1610</v>
      </c>
      <c r="J206" s="209" t="s">
        <v>1610</v>
      </c>
      <c r="K206" s="209"/>
      <c r="L206" s="209" t="s">
        <v>1182</v>
      </c>
      <c r="M206" s="214" t="s">
        <v>1304</v>
      </c>
      <c r="N206" s="161" t="s">
        <v>793</v>
      </c>
      <c r="O206" s="228" t="s">
        <v>1191</v>
      </c>
      <c r="P206" s="228" t="s">
        <v>1191</v>
      </c>
      <c r="Q206" s="228" t="s">
        <v>1191</v>
      </c>
      <c r="R206" s="228" t="s">
        <v>1191</v>
      </c>
      <c r="S206" s="228" t="s">
        <v>1191</v>
      </c>
      <c r="T206" s="210" t="s">
        <v>49</v>
      </c>
      <c r="U206" s="228" t="s">
        <v>1191</v>
      </c>
      <c r="V206" s="228" t="s">
        <v>1192</v>
      </c>
      <c r="W206" s="210" t="s">
        <v>49</v>
      </c>
      <c r="X206" s="228" t="s">
        <v>1192</v>
      </c>
      <c r="Y206" s="228" t="s">
        <v>1192</v>
      </c>
      <c r="Z206" s="210" t="s">
        <v>49</v>
      </c>
      <c r="AA206" s="341" t="s">
        <v>203</v>
      </c>
      <c r="AB206" s="368" t="s">
        <v>203</v>
      </c>
    </row>
    <row r="207" spans="1:28" ht="15.75">
      <c r="A207" s="209" t="s">
        <v>1156</v>
      </c>
      <c r="B207" s="161" t="s">
        <v>1182</v>
      </c>
      <c r="C207" s="161" t="s">
        <v>17</v>
      </c>
      <c r="D207" s="209" t="s">
        <v>1274</v>
      </c>
      <c r="E207" s="209" t="s">
        <v>1184</v>
      </c>
      <c r="F207" s="161" t="s">
        <v>1611</v>
      </c>
      <c r="G207" s="161" t="s">
        <v>1186</v>
      </c>
      <c r="H207" s="230">
        <v>1E-3</v>
      </c>
      <c r="I207" s="230" t="s">
        <v>1612</v>
      </c>
      <c r="J207" s="209" t="s">
        <v>1613</v>
      </c>
      <c r="K207" s="209"/>
      <c r="L207" s="209" t="s">
        <v>1182</v>
      </c>
      <c r="M207" s="214" t="s">
        <v>1277</v>
      </c>
      <c r="O207" s="228" t="s">
        <v>1191</v>
      </c>
      <c r="P207" s="228" t="s">
        <v>1191</v>
      </c>
      <c r="Q207" s="228" t="s">
        <v>1191</v>
      </c>
      <c r="R207" s="228" t="s">
        <v>1191</v>
      </c>
      <c r="S207" s="228" t="s">
        <v>1192</v>
      </c>
      <c r="T207" s="210" t="s">
        <v>49</v>
      </c>
      <c r="U207" s="228" t="s">
        <v>1192</v>
      </c>
      <c r="V207" s="228" t="s">
        <v>1192</v>
      </c>
      <c r="W207" s="210" t="s">
        <v>49</v>
      </c>
      <c r="X207" s="228" t="s">
        <v>1192</v>
      </c>
      <c r="Y207" s="228" t="s">
        <v>1192</v>
      </c>
      <c r="Z207" s="210" t="s">
        <v>49</v>
      </c>
      <c r="AA207" s="341" t="s">
        <v>203</v>
      </c>
      <c r="AB207" s="368" t="s">
        <v>203</v>
      </c>
    </row>
    <row r="208" spans="1:28" ht="15.75">
      <c r="A208" s="161" t="s">
        <v>580</v>
      </c>
      <c r="B208" s="161" t="s">
        <v>1182</v>
      </c>
      <c r="C208" s="209" t="s">
        <v>17</v>
      </c>
      <c r="D208" s="161" t="s">
        <v>1314</v>
      </c>
      <c r="E208" s="161" t="s">
        <v>1184</v>
      </c>
      <c r="F208" s="161" t="s">
        <v>718</v>
      </c>
      <c r="G208" s="161" t="s">
        <v>1199</v>
      </c>
      <c r="H208" s="230">
        <v>1E-3</v>
      </c>
      <c r="I208" s="230" t="s">
        <v>1614</v>
      </c>
      <c r="J208" t="s">
        <v>1614</v>
      </c>
      <c r="K208" s="209"/>
      <c r="L208" s="161" t="s">
        <v>1182</v>
      </c>
      <c r="M208" s="209" t="s">
        <v>1216</v>
      </c>
      <c r="N208" s="161" t="s">
        <v>1615</v>
      </c>
      <c r="O208" s="371" t="s">
        <v>1191</v>
      </c>
      <c r="P208" s="371" t="s">
        <v>1191</v>
      </c>
      <c r="Q208" s="371" t="s">
        <v>1191</v>
      </c>
      <c r="R208" s="371" t="s">
        <v>1191</v>
      </c>
      <c r="S208" s="228" t="s">
        <v>1192</v>
      </c>
      <c r="T208" s="210" t="s">
        <v>49</v>
      </c>
      <c r="U208" s="437" t="s">
        <v>1191</v>
      </c>
      <c r="V208" s="228" t="s">
        <v>1192</v>
      </c>
      <c r="W208" s="210" t="s">
        <v>49</v>
      </c>
      <c r="X208" s="228" t="s">
        <v>1192</v>
      </c>
      <c r="Y208" s="228" t="s">
        <v>1192</v>
      </c>
      <c r="Z208" s="210" t="s">
        <v>49</v>
      </c>
      <c r="AA208" s="341" t="s">
        <v>203</v>
      </c>
      <c r="AB208" s="368" t="s">
        <v>203</v>
      </c>
    </row>
    <row r="209" spans="1:28" ht="15.75">
      <c r="A209" s="161" t="s">
        <v>580</v>
      </c>
      <c r="B209" s="161" t="s">
        <v>1182</v>
      </c>
      <c r="C209" s="209" t="s">
        <v>17</v>
      </c>
      <c r="D209" s="161" t="s">
        <v>1183</v>
      </c>
      <c r="E209" s="161" t="s">
        <v>1184</v>
      </c>
      <c r="F209" s="161" t="s">
        <v>771</v>
      </c>
      <c r="G209" s="161"/>
      <c r="H209" s="230">
        <v>1E-3</v>
      </c>
      <c r="I209" s="230" t="s">
        <v>1616</v>
      </c>
      <c r="J209" s="209" t="s">
        <v>1617</v>
      </c>
      <c r="K209" s="209"/>
      <c r="L209" s="209" t="s">
        <v>1182</v>
      </c>
      <c r="M209" s="214" t="s">
        <v>1216</v>
      </c>
      <c r="N209" s="161" t="s">
        <v>772</v>
      </c>
      <c r="O209" s="228" t="s">
        <v>1191</v>
      </c>
      <c r="P209" s="228" t="s">
        <v>1191</v>
      </c>
      <c r="Q209" s="228" t="s">
        <v>1191</v>
      </c>
      <c r="R209" s="228" t="s">
        <v>1191</v>
      </c>
      <c r="S209" s="228" t="s">
        <v>1191</v>
      </c>
      <c r="T209" s="210" t="s">
        <v>49</v>
      </c>
      <c r="U209" s="437" t="s">
        <v>1191</v>
      </c>
      <c r="V209" s="228" t="s">
        <v>1192</v>
      </c>
      <c r="W209" s="210" t="s">
        <v>49</v>
      </c>
      <c r="X209" s="228" t="s">
        <v>1192</v>
      </c>
      <c r="Y209" s="228" t="s">
        <v>1192</v>
      </c>
      <c r="Z209" s="210" t="s">
        <v>49</v>
      </c>
      <c r="AA209" s="341" t="s">
        <v>203</v>
      </c>
      <c r="AB209" s="368" t="s">
        <v>951</v>
      </c>
    </row>
    <row r="210" spans="1:28" ht="15.75">
      <c r="A210" s="161" t="s">
        <v>585</v>
      </c>
      <c r="B210" s="161" t="s">
        <v>1182</v>
      </c>
      <c r="C210" s="209" t="s">
        <v>955</v>
      </c>
      <c r="D210" s="161" t="s">
        <v>1193</v>
      </c>
      <c r="E210" s="161" t="s">
        <v>1194</v>
      </c>
      <c r="F210" s="161" t="s">
        <v>752</v>
      </c>
      <c r="G210" s="161"/>
      <c r="H210" s="230">
        <v>1E-3</v>
      </c>
      <c r="I210" s="230" t="s">
        <v>1212</v>
      </c>
      <c r="J210" s="209" t="s">
        <v>1618</v>
      </c>
      <c r="K210" s="209"/>
      <c r="L210" s="209" t="s">
        <v>1182</v>
      </c>
      <c r="M210" s="209" t="s">
        <v>361</v>
      </c>
      <c r="N210" s="161" t="s">
        <v>1619</v>
      </c>
      <c r="O210" s="161" t="s">
        <v>1191</v>
      </c>
      <c r="P210" s="161" t="s">
        <v>1191</v>
      </c>
      <c r="Q210" s="161" t="s">
        <v>1191</v>
      </c>
      <c r="R210" s="161" t="s">
        <v>1191</v>
      </c>
      <c r="S210" s="228" t="s">
        <v>1213</v>
      </c>
      <c r="T210" s="210" t="s">
        <v>49</v>
      </c>
      <c r="U210" s="228" t="s">
        <v>1191</v>
      </c>
      <c r="V210" s="228" t="s">
        <v>1192</v>
      </c>
      <c r="W210" s="210" t="s">
        <v>49</v>
      </c>
      <c r="X210" s="228" t="s">
        <v>1192</v>
      </c>
      <c r="Y210" s="228" t="s">
        <v>1192</v>
      </c>
      <c r="Z210" s="210" t="s">
        <v>49</v>
      </c>
      <c r="AA210" s="341" t="s">
        <v>203</v>
      </c>
      <c r="AB210" s="368" t="s">
        <v>203</v>
      </c>
    </row>
    <row r="211" spans="1:28" ht="45">
      <c r="A211" s="161" t="s">
        <v>580</v>
      </c>
      <c r="B211" s="161" t="s">
        <v>1182</v>
      </c>
      <c r="C211" s="209" t="s">
        <v>955</v>
      </c>
      <c r="D211" s="161" t="s">
        <v>1193</v>
      </c>
      <c r="E211" s="161" t="s">
        <v>1194</v>
      </c>
      <c r="F211" s="162" t="s">
        <v>740</v>
      </c>
      <c r="G211" s="162"/>
      <c r="H211" s="230">
        <v>1E-3</v>
      </c>
      <c r="I211" s="230" t="s">
        <v>1212</v>
      </c>
      <c r="J211" s="209" t="s">
        <v>1212</v>
      </c>
      <c r="K211" s="209"/>
      <c r="L211" s="209" t="s">
        <v>1182</v>
      </c>
      <c r="M211" s="209" t="s">
        <v>361</v>
      </c>
      <c r="N211" s="161" t="s">
        <v>741</v>
      </c>
      <c r="O211" s="209" t="s">
        <v>1191</v>
      </c>
      <c r="P211" s="209" t="s">
        <v>1191</v>
      </c>
      <c r="Q211" s="209" t="s">
        <v>1191</v>
      </c>
      <c r="R211" s="210" t="s">
        <v>1191</v>
      </c>
      <c r="S211" s="210" t="s">
        <v>1192</v>
      </c>
      <c r="T211" s="210" t="s">
        <v>49</v>
      </c>
      <c r="U211" s="228" t="s">
        <v>1191</v>
      </c>
      <c r="V211" s="228" t="s">
        <v>1192</v>
      </c>
      <c r="W211" s="210" t="s">
        <v>49</v>
      </c>
      <c r="X211" s="228" t="s">
        <v>1192</v>
      </c>
      <c r="Y211" s="228" t="s">
        <v>1192</v>
      </c>
      <c r="Z211" s="210" t="s">
        <v>49</v>
      </c>
      <c r="AA211" s="341" t="s">
        <v>203</v>
      </c>
      <c r="AB211" s="368" t="s">
        <v>203</v>
      </c>
    </row>
    <row r="212" spans="1:28" ht="30">
      <c r="A212" s="161" t="s">
        <v>580</v>
      </c>
      <c r="B212" s="161" t="s">
        <v>1182</v>
      </c>
      <c r="C212" s="209" t="s">
        <v>955</v>
      </c>
      <c r="D212" s="161" t="s">
        <v>1193</v>
      </c>
      <c r="E212" s="161" t="s">
        <v>1194</v>
      </c>
      <c r="F212" s="162" t="s">
        <v>754</v>
      </c>
      <c r="G212" s="162"/>
      <c r="H212" s="230">
        <v>1E-3</v>
      </c>
      <c r="I212" s="230" t="s">
        <v>1212</v>
      </c>
      <c r="J212" s="209" t="s">
        <v>1212</v>
      </c>
      <c r="K212" s="209"/>
      <c r="L212" s="209" t="s">
        <v>1182</v>
      </c>
      <c r="M212" s="209" t="s">
        <v>361</v>
      </c>
      <c r="N212" s="161" t="s">
        <v>755</v>
      </c>
      <c r="O212" s="209" t="s">
        <v>1191</v>
      </c>
      <c r="P212" s="209" t="s">
        <v>1191</v>
      </c>
      <c r="Q212" s="209" t="s">
        <v>1191</v>
      </c>
      <c r="R212" s="210" t="s">
        <v>1191</v>
      </c>
      <c r="S212" s="210" t="s">
        <v>1192</v>
      </c>
      <c r="T212" s="210" t="s">
        <v>49</v>
      </c>
      <c r="U212" s="228" t="s">
        <v>1191</v>
      </c>
      <c r="V212" s="228" t="s">
        <v>1192</v>
      </c>
      <c r="W212" s="210" t="s">
        <v>49</v>
      </c>
      <c r="X212" s="228" t="s">
        <v>1192</v>
      </c>
      <c r="Y212" s="228" t="s">
        <v>1192</v>
      </c>
      <c r="Z212" s="210" t="s">
        <v>49</v>
      </c>
      <c r="AA212" s="341" t="s">
        <v>203</v>
      </c>
      <c r="AB212" s="368" t="s">
        <v>203</v>
      </c>
    </row>
    <row r="213" spans="1:28" ht="30">
      <c r="A213" s="161" t="s">
        <v>580</v>
      </c>
      <c r="B213" s="161" t="s">
        <v>1182</v>
      </c>
      <c r="C213" s="209" t="s">
        <v>955</v>
      </c>
      <c r="D213" s="161" t="s">
        <v>1193</v>
      </c>
      <c r="E213" s="161" t="s">
        <v>1194</v>
      </c>
      <c r="F213" s="162" t="s">
        <v>759</v>
      </c>
      <c r="G213" s="162"/>
      <c r="H213" s="230">
        <v>1E-3</v>
      </c>
      <c r="I213" s="230" t="s">
        <v>1620</v>
      </c>
      <c r="J213" s="209" t="s">
        <v>1212</v>
      </c>
      <c r="K213" s="209"/>
      <c r="L213" s="209" t="s">
        <v>1182</v>
      </c>
      <c r="M213" s="209" t="s">
        <v>361</v>
      </c>
      <c r="N213" s="161" t="s">
        <v>1621</v>
      </c>
      <c r="O213" s="209" t="s">
        <v>1191</v>
      </c>
      <c r="P213" s="209" t="s">
        <v>1191</v>
      </c>
      <c r="Q213" s="209" t="s">
        <v>1191</v>
      </c>
      <c r="R213" s="210" t="s">
        <v>1191</v>
      </c>
      <c r="S213" s="210" t="s">
        <v>1192</v>
      </c>
      <c r="T213" s="210" t="s">
        <v>49</v>
      </c>
      <c r="U213" s="228" t="s">
        <v>1191</v>
      </c>
      <c r="V213" s="228" t="s">
        <v>1192</v>
      </c>
      <c r="W213" s="210" t="s">
        <v>49</v>
      </c>
      <c r="X213" s="228" t="s">
        <v>1192</v>
      </c>
      <c r="Y213" s="228" t="s">
        <v>1192</v>
      </c>
      <c r="Z213" s="210" t="s">
        <v>49</v>
      </c>
      <c r="AA213" s="341" t="s">
        <v>203</v>
      </c>
      <c r="AB213" s="368" t="s">
        <v>203</v>
      </c>
    </row>
    <row r="214" spans="1:28" ht="15">
      <c r="A214" s="161" t="s">
        <v>571</v>
      </c>
      <c r="B214" s="161" t="s">
        <v>1182</v>
      </c>
      <c r="C214" s="209" t="s">
        <v>112</v>
      </c>
      <c r="D214" s="161" t="s">
        <v>1243</v>
      </c>
      <c r="E214" s="161" t="s">
        <v>1244</v>
      </c>
      <c r="F214" s="161" t="s">
        <v>669</v>
      </c>
      <c r="G214" s="161"/>
      <c r="H214" s="230">
        <v>1E-3</v>
      </c>
      <c r="I214" s="230" t="s">
        <v>49</v>
      </c>
      <c r="J214" s="209"/>
      <c r="K214" s="209"/>
      <c r="L214" s="209" t="s">
        <v>1189</v>
      </c>
      <c r="M214" s="209" t="s">
        <v>1246</v>
      </c>
      <c r="N214" s="209" t="s">
        <v>1622</v>
      </c>
      <c r="O214" s="209" t="s">
        <v>1191</v>
      </c>
      <c r="P214" s="209" t="s">
        <v>1191</v>
      </c>
      <c r="Q214" s="209" t="s">
        <v>1191</v>
      </c>
      <c r="R214" s="209" t="s">
        <v>1191</v>
      </c>
      <c r="S214" s="209" t="s">
        <v>1191</v>
      </c>
      <c r="T214" s="210" t="s">
        <v>49</v>
      </c>
      <c r="U214" s="228" t="s">
        <v>1191</v>
      </c>
      <c r="V214" s="228" t="s">
        <v>1192</v>
      </c>
      <c r="W214" s="210" t="s">
        <v>49</v>
      </c>
      <c r="X214" s="228" t="s">
        <v>1192</v>
      </c>
      <c r="Y214" s="228" t="s">
        <v>1192</v>
      </c>
      <c r="Z214" s="210" t="s">
        <v>49</v>
      </c>
      <c r="AA214" s="341" t="s">
        <v>203</v>
      </c>
      <c r="AB214" s="341" t="s">
        <v>203</v>
      </c>
    </row>
    <row r="215" spans="1:28" ht="15">
      <c r="A215" s="161" t="s">
        <v>571</v>
      </c>
      <c r="B215" s="161" t="s">
        <v>1182</v>
      </c>
      <c r="C215" s="209" t="s">
        <v>112</v>
      </c>
      <c r="D215" s="209" t="s">
        <v>1230</v>
      </c>
      <c r="E215" s="161" t="s">
        <v>1244</v>
      </c>
      <c r="F215" s="161" t="s">
        <v>728</v>
      </c>
      <c r="G215" s="161"/>
      <c r="H215" s="230">
        <v>1E-3</v>
      </c>
      <c r="I215" s="230" t="s">
        <v>49</v>
      </c>
      <c r="J215" s="209"/>
      <c r="K215" s="209"/>
      <c r="L215" s="209" t="s">
        <v>1189</v>
      </c>
      <c r="M215" s="209" t="s">
        <v>1246</v>
      </c>
      <c r="N215" s="209" t="s">
        <v>1623</v>
      </c>
      <c r="O215" s="209" t="s">
        <v>1191</v>
      </c>
      <c r="P215" s="209" t="s">
        <v>1191</v>
      </c>
      <c r="Q215" s="209" t="s">
        <v>1191</v>
      </c>
      <c r="R215" s="209" t="s">
        <v>1191</v>
      </c>
      <c r="S215" s="209" t="s">
        <v>1191</v>
      </c>
      <c r="T215" s="210" t="s">
        <v>49</v>
      </c>
      <c r="U215" s="228" t="s">
        <v>1191</v>
      </c>
      <c r="V215" s="228" t="s">
        <v>1192</v>
      </c>
      <c r="W215" s="210" t="s">
        <v>49</v>
      </c>
      <c r="X215" s="228" t="s">
        <v>1192</v>
      </c>
      <c r="Y215" s="228" t="s">
        <v>1192</v>
      </c>
      <c r="Z215" s="210" t="s">
        <v>49</v>
      </c>
      <c r="AA215" s="341" t="s">
        <v>203</v>
      </c>
      <c r="AB215" s="341" t="s">
        <v>203</v>
      </c>
    </row>
    <row r="216" spans="1:28" ht="15">
      <c r="A216" s="161" t="s">
        <v>571</v>
      </c>
      <c r="B216" s="161" t="s">
        <v>1182</v>
      </c>
      <c r="C216" s="209" t="s">
        <v>112</v>
      </c>
      <c r="D216" s="209" t="s">
        <v>1230</v>
      </c>
      <c r="E216" s="161" t="s">
        <v>1244</v>
      </c>
      <c r="F216" s="161" t="s">
        <v>768</v>
      </c>
      <c r="G216" s="161"/>
      <c r="H216" s="230">
        <v>1E-3</v>
      </c>
      <c r="I216" s="230" t="s">
        <v>49</v>
      </c>
      <c r="J216" s="209"/>
      <c r="K216" s="209"/>
      <c r="L216" s="209" t="s">
        <v>1189</v>
      </c>
      <c r="M216" s="209" t="s">
        <v>1246</v>
      </c>
      <c r="N216" s="209" t="s">
        <v>1624</v>
      </c>
      <c r="O216" s="209" t="s">
        <v>1191</v>
      </c>
      <c r="P216" s="209" t="s">
        <v>1191</v>
      </c>
      <c r="Q216" s="209" t="s">
        <v>1191</v>
      </c>
      <c r="R216" s="209" t="s">
        <v>1191</v>
      </c>
      <c r="S216" s="209" t="s">
        <v>1191</v>
      </c>
      <c r="T216" s="210" t="s">
        <v>49</v>
      </c>
      <c r="U216" s="228" t="s">
        <v>1191</v>
      </c>
      <c r="V216" s="228" t="s">
        <v>1192</v>
      </c>
      <c r="W216" s="210" t="s">
        <v>49</v>
      </c>
      <c r="X216" s="228" t="s">
        <v>1192</v>
      </c>
      <c r="Y216" s="228" t="s">
        <v>1192</v>
      </c>
      <c r="Z216" s="210" t="s">
        <v>49</v>
      </c>
      <c r="AA216" s="341" t="s">
        <v>203</v>
      </c>
      <c r="AB216" s="341" t="s">
        <v>203</v>
      </c>
    </row>
    <row r="217" spans="1:28" ht="15.75">
      <c r="A217" s="209" t="s">
        <v>1156</v>
      </c>
      <c r="B217" s="161" t="s">
        <v>1182</v>
      </c>
      <c r="C217" s="161" t="s">
        <v>36</v>
      </c>
      <c r="D217" s="209" t="s">
        <v>1183</v>
      </c>
      <c r="E217" s="209" t="s">
        <v>1434</v>
      </c>
      <c r="F217" s="161" t="s">
        <v>1625</v>
      </c>
      <c r="G217" s="161" t="s">
        <v>1436</v>
      </c>
      <c r="H217" s="230">
        <v>1E-3</v>
      </c>
      <c r="I217" s="230" t="s">
        <v>49</v>
      </c>
      <c r="J217" s="209" t="s">
        <v>1626</v>
      </c>
      <c r="K217" s="209"/>
      <c r="L217" s="209" t="s">
        <v>1182</v>
      </c>
      <c r="M217" s="214" t="s">
        <v>1216</v>
      </c>
      <c r="O217" s="228" t="s">
        <v>1192</v>
      </c>
      <c r="P217" s="228" t="s">
        <v>1192</v>
      </c>
      <c r="Q217" s="228" t="s">
        <v>1192</v>
      </c>
      <c r="R217" s="228" t="s">
        <v>1192</v>
      </c>
      <c r="S217" s="228" t="s">
        <v>1192</v>
      </c>
      <c r="T217" s="210" t="s">
        <v>49</v>
      </c>
      <c r="U217" s="228" t="s">
        <v>1192</v>
      </c>
      <c r="V217" s="228" t="s">
        <v>1192</v>
      </c>
      <c r="W217" s="210" t="s">
        <v>49</v>
      </c>
      <c r="X217" s="228" t="s">
        <v>1192</v>
      </c>
      <c r="Y217" s="228" t="s">
        <v>1192</v>
      </c>
      <c r="Z217" s="210" t="s">
        <v>49</v>
      </c>
      <c r="AA217" s="341" t="s">
        <v>203</v>
      </c>
      <c r="AB217" s="368" t="s">
        <v>951</v>
      </c>
    </row>
    <row r="218" spans="1:28" ht="15.75">
      <c r="A218" s="209" t="s">
        <v>1156</v>
      </c>
      <c r="B218" s="161" t="s">
        <v>1182</v>
      </c>
      <c r="C218" s="169" t="s">
        <v>955</v>
      </c>
      <c r="D218" s="209" t="s">
        <v>1193</v>
      </c>
      <c r="E218" s="209" t="s">
        <v>1194</v>
      </c>
      <c r="F218" s="161" t="s">
        <v>1627</v>
      </c>
      <c r="G218" s="161" t="s">
        <v>1258</v>
      </c>
      <c r="H218" s="230">
        <v>1E-3</v>
      </c>
      <c r="I218" s="230"/>
      <c r="J218" s="209" t="s">
        <v>361</v>
      </c>
      <c r="K218" s="209"/>
      <c r="L218" s="209" t="s">
        <v>1182</v>
      </c>
      <c r="O218" s="228" t="s">
        <v>1192</v>
      </c>
      <c r="P218" s="161" t="s">
        <v>1191</v>
      </c>
      <c r="Q218" s="161" t="s">
        <v>1191</v>
      </c>
      <c r="R218" s="161" t="s">
        <v>1191</v>
      </c>
      <c r="S218" s="228" t="s">
        <v>1192</v>
      </c>
      <c r="T218" s="210" t="s">
        <v>49</v>
      </c>
      <c r="U218" s="228" t="s">
        <v>1192</v>
      </c>
      <c r="V218" s="228" t="s">
        <v>1192</v>
      </c>
      <c r="W218" s="210" t="s">
        <v>49</v>
      </c>
      <c r="X218" s="228" t="s">
        <v>1192</v>
      </c>
      <c r="Y218" s="228" t="s">
        <v>1192</v>
      </c>
      <c r="Z218" s="210" t="s">
        <v>49</v>
      </c>
      <c r="AA218" s="341" t="s">
        <v>203</v>
      </c>
      <c r="AB218" s="368" t="s">
        <v>203</v>
      </c>
    </row>
    <row r="219" spans="1:28" ht="15.75">
      <c r="A219" s="272" t="s">
        <v>609</v>
      </c>
      <c r="B219" s="161" t="s">
        <v>1189</v>
      </c>
      <c r="C219" s="161" t="s">
        <v>39</v>
      </c>
      <c r="D219" s="209" t="s">
        <v>1288</v>
      </c>
      <c r="E219" s="161" t="s">
        <v>1282</v>
      </c>
      <c r="F219" s="161" t="s">
        <v>1628</v>
      </c>
      <c r="G219" s="161"/>
      <c r="H219" s="230">
        <v>1.22E-4</v>
      </c>
      <c r="I219" s="209" t="s">
        <v>1629</v>
      </c>
      <c r="J219" s="209" t="s">
        <v>1629</v>
      </c>
      <c r="K219" s="209"/>
      <c r="L219" s="209" t="s">
        <v>1182</v>
      </c>
      <c r="O219" s="228" t="s">
        <v>49</v>
      </c>
      <c r="P219" s="228" t="s">
        <v>49</v>
      </c>
      <c r="Q219" s="228" t="s">
        <v>49</v>
      </c>
      <c r="R219" s="228" t="s">
        <v>49</v>
      </c>
      <c r="S219" s="228" t="s">
        <v>49</v>
      </c>
      <c r="T219" s="210" t="s">
        <v>1191</v>
      </c>
      <c r="U219" s="228" t="s">
        <v>49</v>
      </c>
      <c r="V219" s="228" t="s">
        <v>49</v>
      </c>
      <c r="W219" s="210" t="s">
        <v>1191</v>
      </c>
      <c r="X219" s="228" t="s">
        <v>49</v>
      </c>
      <c r="Y219" s="228" t="s">
        <v>49</v>
      </c>
      <c r="Z219" s="210" t="s">
        <v>1192</v>
      </c>
      <c r="AA219" s="341" t="s">
        <v>203</v>
      </c>
      <c r="AB219" s="368" t="s">
        <v>203</v>
      </c>
    </row>
    <row r="220" spans="1:28" ht="15">
      <c r="A220" s="209" t="s">
        <v>1156</v>
      </c>
      <c r="B220" s="161" t="s">
        <v>1189</v>
      </c>
      <c r="C220" s="161" t="s">
        <v>39</v>
      </c>
      <c r="D220" s="209" t="s">
        <v>1408</v>
      </c>
      <c r="E220" s="161" t="s">
        <v>1282</v>
      </c>
      <c r="F220" s="161" t="s">
        <v>1630</v>
      </c>
      <c r="G220" s="161" t="s">
        <v>1290</v>
      </c>
      <c r="H220" s="230">
        <v>3.1000000000000001E-5</v>
      </c>
      <c r="I220" s="230"/>
      <c r="J220" s="427" t="s">
        <v>1631</v>
      </c>
      <c r="K220" s="209"/>
      <c r="L220" s="209" t="s">
        <v>1182</v>
      </c>
      <c r="O220" s="228" t="s">
        <v>49</v>
      </c>
      <c r="P220" s="228" t="s">
        <v>49</v>
      </c>
      <c r="Q220" s="228" t="s">
        <v>49</v>
      </c>
      <c r="R220" s="228" t="s">
        <v>49</v>
      </c>
      <c r="S220" s="228" t="s">
        <v>49</v>
      </c>
      <c r="T220" s="210" t="s">
        <v>1192</v>
      </c>
      <c r="U220" s="228" t="s">
        <v>49</v>
      </c>
      <c r="V220" s="228" t="s">
        <v>49</v>
      </c>
      <c r="W220" s="210" t="s">
        <v>1192</v>
      </c>
      <c r="X220" s="228" t="s">
        <v>49</v>
      </c>
      <c r="Y220" s="228" t="s">
        <v>49</v>
      </c>
      <c r="Z220" s="210" t="s">
        <v>1192</v>
      </c>
      <c r="AA220" s="341" t="s">
        <v>203</v>
      </c>
      <c r="AB220" s="341" t="s">
        <v>182</v>
      </c>
    </row>
    <row r="221" spans="1:28" ht="15.75">
      <c r="A221" s="161" t="s">
        <v>585</v>
      </c>
      <c r="B221" s="161" t="s">
        <v>1182</v>
      </c>
      <c r="C221" s="209" t="s">
        <v>17</v>
      </c>
      <c r="D221" s="161" t="s">
        <v>1274</v>
      </c>
      <c r="E221" s="161" t="s">
        <v>1184</v>
      </c>
      <c r="F221" s="161" t="s">
        <v>648</v>
      </c>
      <c r="G221" s="161"/>
      <c r="H221" s="230">
        <v>0</v>
      </c>
      <c r="I221" s="230" t="s">
        <v>1632</v>
      </c>
      <c r="J221" s="209" t="s">
        <v>1633</v>
      </c>
      <c r="K221" s="209"/>
      <c r="L221" s="161" t="s">
        <v>1182</v>
      </c>
      <c r="M221" s="209" t="s">
        <v>1304</v>
      </c>
      <c r="N221" s="161" t="s">
        <v>649</v>
      </c>
      <c r="O221" s="161" t="s">
        <v>1191</v>
      </c>
      <c r="P221" s="161" t="s">
        <v>1191</v>
      </c>
      <c r="Q221" s="161" t="s">
        <v>1191</v>
      </c>
      <c r="R221" s="161" t="s">
        <v>1191</v>
      </c>
      <c r="S221" s="161" t="s">
        <v>1191</v>
      </c>
      <c r="T221" s="210" t="s">
        <v>49</v>
      </c>
      <c r="U221" s="228" t="s">
        <v>1191</v>
      </c>
      <c r="V221" s="228" t="s">
        <v>1192</v>
      </c>
      <c r="W221" s="210" t="s">
        <v>49</v>
      </c>
      <c r="X221" s="228" t="s">
        <v>1192</v>
      </c>
      <c r="Y221" s="228" t="s">
        <v>1192</v>
      </c>
      <c r="Z221" s="210" t="s">
        <v>49</v>
      </c>
      <c r="AA221" s="341" t="s">
        <v>203</v>
      </c>
      <c r="AB221" s="368" t="s">
        <v>203</v>
      </c>
    </row>
    <row r="222" spans="1:28" ht="15.75">
      <c r="A222" s="161" t="s">
        <v>585</v>
      </c>
      <c r="B222" s="161" t="s">
        <v>1182</v>
      </c>
      <c r="C222" s="209" t="s">
        <v>17</v>
      </c>
      <c r="D222" s="161" t="s">
        <v>1274</v>
      </c>
      <c r="E222" s="161" t="s">
        <v>1184</v>
      </c>
      <c r="F222" s="161" t="s">
        <v>651</v>
      </c>
      <c r="G222" s="161"/>
      <c r="H222" s="230">
        <v>0</v>
      </c>
      <c r="I222" s="230" t="s">
        <v>1634</v>
      </c>
      <c r="J222" s="209" t="s">
        <v>1634</v>
      </c>
      <c r="K222" s="209"/>
      <c r="L222" s="161" t="s">
        <v>1182</v>
      </c>
      <c r="M222" s="209" t="s">
        <v>1277</v>
      </c>
      <c r="N222" s="161" t="s">
        <v>652</v>
      </c>
      <c r="O222" s="161" t="s">
        <v>1191</v>
      </c>
      <c r="P222" s="161" t="s">
        <v>1191</v>
      </c>
      <c r="Q222" s="161" t="s">
        <v>1191</v>
      </c>
      <c r="R222" s="161" t="s">
        <v>1191</v>
      </c>
      <c r="S222" s="161" t="s">
        <v>1191</v>
      </c>
      <c r="T222" s="210" t="s">
        <v>49</v>
      </c>
      <c r="U222" s="228" t="s">
        <v>1191</v>
      </c>
      <c r="V222" s="228" t="s">
        <v>1192</v>
      </c>
      <c r="W222" s="210" t="s">
        <v>49</v>
      </c>
      <c r="X222" s="228" t="s">
        <v>1192</v>
      </c>
      <c r="Y222" s="228" t="s">
        <v>1192</v>
      </c>
      <c r="Z222" s="210" t="s">
        <v>49</v>
      </c>
      <c r="AA222" s="341" t="s">
        <v>203</v>
      </c>
      <c r="AB222" s="368" t="s">
        <v>203</v>
      </c>
    </row>
    <row r="223" spans="1:28" ht="15.75">
      <c r="A223" s="209" t="s">
        <v>1156</v>
      </c>
      <c r="B223" s="161" t="s">
        <v>1182</v>
      </c>
      <c r="C223" s="161" t="s">
        <v>17</v>
      </c>
      <c r="D223" s="209" t="s">
        <v>1314</v>
      </c>
      <c r="E223" s="209" t="s">
        <v>1184</v>
      </c>
      <c r="F223" s="161" t="s">
        <v>1635</v>
      </c>
      <c r="G223" s="161" t="s">
        <v>1186</v>
      </c>
      <c r="H223" s="230">
        <v>0</v>
      </c>
      <c r="I223" s="230" t="s">
        <v>49</v>
      </c>
      <c r="J223" s="209" t="s">
        <v>361</v>
      </c>
      <c r="K223" s="209"/>
      <c r="L223" s="209" t="s">
        <v>1182</v>
      </c>
      <c r="M223" s="214" t="s">
        <v>1216</v>
      </c>
      <c r="N223" s="228" t="s">
        <v>1636</v>
      </c>
      <c r="O223" s="228" t="s">
        <v>1191</v>
      </c>
      <c r="P223" s="228" t="s">
        <v>1191</v>
      </c>
      <c r="Q223" s="228" t="s">
        <v>1191</v>
      </c>
      <c r="R223" s="228" t="s">
        <v>1191</v>
      </c>
      <c r="S223" s="228" t="s">
        <v>1192</v>
      </c>
      <c r="T223" s="210" t="s">
        <v>49</v>
      </c>
      <c r="U223" s="228" t="s">
        <v>1192</v>
      </c>
      <c r="V223" s="228" t="s">
        <v>1192</v>
      </c>
      <c r="W223" s="210" t="s">
        <v>49</v>
      </c>
      <c r="X223" s="228" t="s">
        <v>1192</v>
      </c>
      <c r="Y223" s="228" t="s">
        <v>1192</v>
      </c>
      <c r="Z223" s="210" t="s">
        <v>49</v>
      </c>
      <c r="AA223" s="341" t="s">
        <v>203</v>
      </c>
      <c r="AB223" s="368" t="s">
        <v>203</v>
      </c>
    </row>
    <row r="224" spans="1:28" ht="15.75">
      <c r="A224" s="209" t="s">
        <v>1156</v>
      </c>
      <c r="B224" s="161" t="s">
        <v>1182</v>
      </c>
      <c r="C224" s="161" t="s">
        <v>17</v>
      </c>
      <c r="D224" s="209" t="s">
        <v>1314</v>
      </c>
      <c r="E224" s="209" t="s">
        <v>1184</v>
      </c>
      <c r="F224" s="161" t="s">
        <v>1637</v>
      </c>
      <c r="G224" s="161" t="s">
        <v>1186</v>
      </c>
      <c r="H224" s="230">
        <v>0</v>
      </c>
      <c r="I224" s="230" t="s">
        <v>49</v>
      </c>
      <c r="J224" s="209" t="s">
        <v>1638</v>
      </c>
      <c r="K224" s="209"/>
      <c r="L224" s="209" t="s">
        <v>1182</v>
      </c>
      <c r="M224" s="214" t="s">
        <v>1216</v>
      </c>
      <c r="O224" s="228" t="s">
        <v>1191</v>
      </c>
      <c r="P224" s="228" t="s">
        <v>1191</v>
      </c>
      <c r="Q224" s="228" t="s">
        <v>1191</v>
      </c>
      <c r="R224" s="228" t="s">
        <v>1191</v>
      </c>
      <c r="S224" s="228" t="s">
        <v>1192</v>
      </c>
      <c r="T224" s="210" t="s">
        <v>49</v>
      </c>
      <c r="U224" s="228" t="s">
        <v>1192</v>
      </c>
      <c r="V224" s="228" t="s">
        <v>1192</v>
      </c>
      <c r="W224" s="210" t="s">
        <v>49</v>
      </c>
      <c r="X224" s="228" t="s">
        <v>1192</v>
      </c>
      <c r="Y224" s="228" t="s">
        <v>1192</v>
      </c>
      <c r="Z224" s="210" t="s">
        <v>49</v>
      </c>
      <c r="AA224" s="341" t="s">
        <v>203</v>
      </c>
      <c r="AB224" s="368" t="s">
        <v>203</v>
      </c>
    </row>
    <row r="225" spans="1:28" ht="15.75">
      <c r="A225" s="161" t="s">
        <v>580</v>
      </c>
      <c r="B225" s="161" t="s">
        <v>1182</v>
      </c>
      <c r="C225" s="209" t="s">
        <v>17</v>
      </c>
      <c r="D225" s="161" t="s">
        <v>1183</v>
      </c>
      <c r="E225" s="161" t="s">
        <v>1184</v>
      </c>
      <c r="F225" s="338" t="s">
        <v>708</v>
      </c>
      <c r="G225" s="338"/>
      <c r="H225" s="230">
        <v>0</v>
      </c>
      <c r="I225" s="230" t="s">
        <v>1639</v>
      </c>
      <c r="J225" s="209"/>
      <c r="K225" s="209"/>
      <c r="L225" s="161" t="s">
        <v>1182</v>
      </c>
      <c r="M225" s="209" t="s">
        <v>1216</v>
      </c>
      <c r="N225" s="161" t="s">
        <v>1640</v>
      </c>
      <c r="O225" s="371" t="s">
        <v>49</v>
      </c>
      <c r="P225" s="371" t="s">
        <v>49</v>
      </c>
      <c r="Q225" s="371" t="s">
        <v>49</v>
      </c>
      <c r="R225" s="371" t="s">
        <v>49</v>
      </c>
      <c r="S225" s="371" t="s">
        <v>49</v>
      </c>
      <c r="T225" s="210" t="s">
        <v>49</v>
      </c>
      <c r="U225" s="437" t="s">
        <v>49</v>
      </c>
      <c r="V225" s="228" t="s">
        <v>1192</v>
      </c>
      <c r="W225" s="210" t="s">
        <v>49</v>
      </c>
      <c r="X225" s="228" t="s">
        <v>1192</v>
      </c>
      <c r="Y225" s="228" t="s">
        <v>1192</v>
      </c>
      <c r="Z225" s="210" t="s">
        <v>49</v>
      </c>
      <c r="AA225" s="341" t="s">
        <v>203</v>
      </c>
      <c r="AB225" s="368" t="s">
        <v>203</v>
      </c>
    </row>
    <row r="226" spans="1:28" ht="15.75">
      <c r="A226" s="161" t="s">
        <v>580</v>
      </c>
      <c r="B226" s="161" t="s">
        <v>1182</v>
      </c>
      <c r="C226" s="209" t="s">
        <v>17</v>
      </c>
      <c r="D226" s="161" t="s">
        <v>1183</v>
      </c>
      <c r="E226" s="161" t="s">
        <v>1184</v>
      </c>
      <c r="F226" s="338" t="s">
        <v>733</v>
      </c>
      <c r="G226" s="338"/>
      <c r="H226" s="230">
        <v>0</v>
      </c>
      <c r="I226" s="230" t="s">
        <v>1641</v>
      </c>
      <c r="J226" s="209"/>
      <c r="K226" s="209"/>
      <c r="L226" s="209" t="s">
        <v>1182</v>
      </c>
      <c r="M226" s="214"/>
      <c r="N226" s="161" t="s">
        <v>1642</v>
      </c>
      <c r="O226" s="371" t="s">
        <v>49</v>
      </c>
      <c r="P226" s="371" t="s">
        <v>49</v>
      </c>
      <c r="Q226" s="371" t="s">
        <v>49</v>
      </c>
      <c r="R226" s="371" t="s">
        <v>49</v>
      </c>
      <c r="S226" s="371" t="s">
        <v>49</v>
      </c>
      <c r="T226" s="210" t="s">
        <v>49</v>
      </c>
      <c r="U226" s="437" t="s">
        <v>49</v>
      </c>
      <c r="V226" s="228" t="s">
        <v>1192</v>
      </c>
      <c r="W226" s="210" t="s">
        <v>49</v>
      </c>
      <c r="X226" s="228" t="s">
        <v>1192</v>
      </c>
      <c r="Y226" s="228" t="s">
        <v>1192</v>
      </c>
      <c r="Z226" s="210" t="s">
        <v>49</v>
      </c>
      <c r="AA226" s="341" t="s">
        <v>203</v>
      </c>
      <c r="AB226" s="368" t="s">
        <v>203</v>
      </c>
    </row>
    <row r="227" spans="1:28" ht="15.75">
      <c r="A227" s="161" t="s">
        <v>580</v>
      </c>
      <c r="B227" s="161" t="s">
        <v>1182</v>
      </c>
      <c r="C227" s="209" t="s">
        <v>17</v>
      </c>
      <c r="D227" s="161" t="s">
        <v>1183</v>
      </c>
      <c r="E227" s="161" t="s">
        <v>1184</v>
      </c>
      <c r="F227" s="161" t="s">
        <v>769</v>
      </c>
      <c r="G227" s="161"/>
      <c r="H227" s="230">
        <v>0</v>
      </c>
      <c r="I227" s="230" t="s">
        <v>1643</v>
      </c>
      <c r="J227" s="209"/>
      <c r="K227" s="209"/>
      <c r="L227" s="209" t="s">
        <v>1182</v>
      </c>
      <c r="M227" s="214" t="s">
        <v>1216</v>
      </c>
      <c r="N227" s="161" t="s">
        <v>770</v>
      </c>
      <c r="O227" s="228" t="s">
        <v>1191</v>
      </c>
      <c r="P227" s="228" t="s">
        <v>1191</v>
      </c>
      <c r="Q227" s="228" t="s">
        <v>1191</v>
      </c>
      <c r="R227" s="228" t="s">
        <v>1191</v>
      </c>
      <c r="S227" s="228" t="s">
        <v>1191</v>
      </c>
      <c r="T227" s="210" t="s">
        <v>49</v>
      </c>
      <c r="U227" s="437" t="s">
        <v>1191</v>
      </c>
      <c r="V227" s="228" t="s">
        <v>1192</v>
      </c>
      <c r="W227" s="210" t="s">
        <v>49</v>
      </c>
      <c r="X227" s="228" t="s">
        <v>1192</v>
      </c>
      <c r="Y227" s="228" t="s">
        <v>1192</v>
      </c>
      <c r="Z227" s="210" t="s">
        <v>49</v>
      </c>
      <c r="AA227" s="341" t="s">
        <v>203</v>
      </c>
      <c r="AB227" s="368" t="s">
        <v>951</v>
      </c>
    </row>
    <row r="228" spans="1:28" ht="15.75">
      <c r="A228" s="161" t="s">
        <v>585</v>
      </c>
      <c r="B228" s="161" t="s">
        <v>1182</v>
      </c>
      <c r="C228" s="209" t="s">
        <v>955</v>
      </c>
      <c r="D228" s="161" t="s">
        <v>1193</v>
      </c>
      <c r="E228" s="161" t="s">
        <v>1194</v>
      </c>
      <c r="F228" s="161" t="s">
        <v>682</v>
      </c>
      <c r="G228" s="161"/>
      <c r="H228" s="230">
        <v>0</v>
      </c>
      <c r="I228" s="230" t="s">
        <v>1212</v>
      </c>
      <c r="J228" s="209"/>
      <c r="K228" s="209"/>
      <c r="L228" s="209" t="s">
        <v>1182</v>
      </c>
      <c r="M228" s="209" t="s">
        <v>361</v>
      </c>
      <c r="N228" s="161" t="s">
        <v>627</v>
      </c>
      <c r="O228" s="161" t="s">
        <v>1191</v>
      </c>
      <c r="P228" s="161" t="s">
        <v>1191</v>
      </c>
      <c r="Q228" s="161" t="s">
        <v>1191</v>
      </c>
      <c r="R228" s="161" t="s">
        <v>1191</v>
      </c>
      <c r="S228" s="228" t="s">
        <v>1213</v>
      </c>
      <c r="T228" s="210" t="s">
        <v>49</v>
      </c>
      <c r="U228" s="228" t="s">
        <v>1191</v>
      </c>
      <c r="V228" s="228" t="s">
        <v>1192</v>
      </c>
      <c r="W228" s="210" t="s">
        <v>49</v>
      </c>
      <c r="X228" s="228" t="s">
        <v>1192</v>
      </c>
      <c r="Y228" s="228" t="s">
        <v>1192</v>
      </c>
      <c r="Z228" s="210" t="s">
        <v>49</v>
      </c>
      <c r="AA228" s="341" t="s">
        <v>203</v>
      </c>
      <c r="AB228" s="368" t="s">
        <v>203</v>
      </c>
    </row>
    <row r="229" spans="1:28" ht="30">
      <c r="A229" s="161" t="s">
        <v>580</v>
      </c>
      <c r="B229" s="161" t="s">
        <v>1182</v>
      </c>
      <c r="C229" s="209" t="s">
        <v>955</v>
      </c>
      <c r="D229" s="161" t="s">
        <v>1193</v>
      </c>
      <c r="E229" s="161" t="s">
        <v>1194</v>
      </c>
      <c r="F229" s="162" t="s">
        <v>671</v>
      </c>
      <c r="G229" s="162"/>
      <c r="H229" s="230">
        <v>0</v>
      </c>
      <c r="I229" s="310" t="s">
        <v>1212</v>
      </c>
      <c r="J229" s="209" t="s">
        <v>1212</v>
      </c>
      <c r="K229" s="209"/>
      <c r="L229" s="209" t="s">
        <v>1182</v>
      </c>
      <c r="M229" s="209" t="s">
        <v>361</v>
      </c>
      <c r="N229" s="161" t="s">
        <v>1644</v>
      </c>
      <c r="O229" s="209" t="s">
        <v>1191</v>
      </c>
      <c r="P229" s="209" t="s">
        <v>1191</v>
      </c>
      <c r="Q229" s="209" t="s">
        <v>1191</v>
      </c>
      <c r="R229" s="210" t="s">
        <v>1191</v>
      </c>
      <c r="S229" s="210" t="s">
        <v>1192</v>
      </c>
      <c r="T229" s="210" t="s">
        <v>49</v>
      </c>
      <c r="U229" s="228" t="s">
        <v>1191</v>
      </c>
      <c r="V229" s="228" t="s">
        <v>1192</v>
      </c>
      <c r="W229" s="210" t="s">
        <v>49</v>
      </c>
      <c r="X229" s="228" t="s">
        <v>1192</v>
      </c>
      <c r="Y229" s="228" t="s">
        <v>1192</v>
      </c>
      <c r="Z229" s="210" t="s">
        <v>49</v>
      </c>
      <c r="AA229" s="341" t="s">
        <v>203</v>
      </c>
      <c r="AB229" s="368" t="s">
        <v>203</v>
      </c>
    </row>
    <row r="230" spans="1:28" ht="30">
      <c r="A230" s="161" t="s">
        <v>580</v>
      </c>
      <c r="B230" s="161" t="s">
        <v>1182</v>
      </c>
      <c r="C230" s="209" t="s">
        <v>955</v>
      </c>
      <c r="D230" s="161" t="s">
        <v>1193</v>
      </c>
      <c r="E230" s="161" t="s">
        <v>1194</v>
      </c>
      <c r="F230" s="162" t="s">
        <v>726</v>
      </c>
      <c r="G230" s="162"/>
      <c r="H230" s="230">
        <v>0</v>
      </c>
      <c r="I230" s="230" t="s">
        <v>1645</v>
      </c>
      <c r="J230" s="209" t="s">
        <v>1645</v>
      </c>
      <c r="K230" s="209"/>
      <c r="L230" s="209" t="s">
        <v>1182</v>
      </c>
      <c r="M230" s="209" t="s">
        <v>361</v>
      </c>
      <c r="N230" s="161" t="s">
        <v>727</v>
      </c>
      <c r="O230" s="209" t="s">
        <v>1191</v>
      </c>
      <c r="P230" s="209" t="s">
        <v>1191</v>
      </c>
      <c r="Q230" s="209" t="s">
        <v>1191</v>
      </c>
      <c r="R230" s="210" t="s">
        <v>1191</v>
      </c>
      <c r="S230" s="210" t="s">
        <v>1192</v>
      </c>
      <c r="T230" s="210" t="s">
        <v>49</v>
      </c>
      <c r="U230" s="228" t="s">
        <v>1191</v>
      </c>
      <c r="V230" s="228" t="s">
        <v>1192</v>
      </c>
      <c r="W230" s="210" t="s">
        <v>49</v>
      </c>
      <c r="X230" s="228" t="s">
        <v>1192</v>
      </c>
      <c r="Y230" s="228" t="s">
        <v>1192</v>
      </c>
      <c r="Z230" s="210" t="s">
        <v>49</v>
      </c>
      <c r="AA230" s="341" t="s">
        <v>203</v>
      </c>
      <c r="AB230" s="368" t="s">
        <v>203</v>
      </c>
    </row>
    <row r="231" spans="1:28" ht="30">
      <c r="A231" s="161" t="s">
        <v>580</v>
      </c>
      <c r="B231" s="161" t="s">
        <v>1182</v>
      </c>
      <c r="C231" s="209" t="s">
        <v>955</v>
      </c>
      <c r="D231" s="161" t="s">
        <v>1193</v>
      </c>
      <c r="E231" s="161" t="s">
        <v>1194</v>
      </c>
      <c r="F231" s="162" t="s">
        <v>749</v>
      </c>
      <c r="G231" s="162"/>
      <c r="H231" s="230">
        <v>0</v>
      </c>
      <c r="I231" s="230" t="s">
        <v>1212</v>
      </c>
      <c r="J231" s="209" t="s">
        <v>1212</v>
      </c>
      <c r="K231" s="209"/>
      <c r="L231" s="209" t="s">
        <v>1182</v>
      </c>
      <c r="M231" s="209" t="s">
        <v>361</v>
      </c>
      <c r="N231" s="161" t="s">
        <v>750</v>
      </c>
      <c r="O231" s="209" t="s">
        <v>1191</v>
      </c>
      <c r="P231" s="209" t="s">
        <v>1191</v>
      </c>
      <c r="Q231" s="209" t="s">
        <v>1191</v>
      </c>
      <c r="R231" s="210" t="s">
        <v>1191</v>
      </c>
      <c r="S231" s="210" t="s">
        <v>1192</v>
      </c>
      <c r="T231" s="210" t="s">
        <v>49</v>
      </c>
      <c r="U231" s="228" t="s">
        <v>1191</v>
      </c>
      <c r="V231" s="228" t="s">
        <v>1192</v>
      </c>
      <c r="W231" s="210" t="s">
        <v>49</v>
      </c>
      <c r="X231" s="228" t="s">
        <v>1192</v>
      </c>
      <c r="Y231" s="228" t="s">
        <v>1192</v>
      </c>
      <c r="Z231" s="210" t="s">
        <v>49</v>
      </c>
      <c r="AA231" s="341" t="s">
        <v>203</v>
      </c>
      <c r="AB231" s="368" t="s">
        <v>203</v>
      </c>
    </row>
    <row r="232" spans="1:28" ht="60">
      <c r="A232" s="161" t="s">
        <v>580</v>
      </c>
      <c r="B232" s="161" t="s">
        <v>1182</v>
      </c>
      <c r="C232" s="209" t="s">
        <v>953</v>
      </c>
      <c r="D232" s="161" t="s">
        <v>1243</v>
      </c>
      <c r="E232" s="161" t="s">
        <v>1460</v>
      </c>
      <c r="F232" s="162" t="s">
        <v>597</v>
      </c>
      <c r="G232" s="162" t="s">
        <v>1199</v>
      </c>
      <c r="H232" s="230">
        <v>0</v>
      </c>
      <c r="I232" s="230" t="s">
        <v>49</v>
      </c>
      <c r="J232" s="209" t="s">
        <v>1646</v>
      </c>
      <c r="K232" s="209"/>
      <c r="L232" s="209" t="s">
        <v>1182</v>
      </c>
      <c r="M232" s="209" t="s">
        <v>361</v>
      </c>
      <c r="N232" s="209" t="s">
        <v>1647</v>
      </c>
      <c r="O232" s="209" t="s">
        <v>1191</v>
      </c>
      <c r="P232" s="209" t="s">
        <v>1191</v>
      </c>
      <c r="Q232" s="209" t="s">
        <v>1191</v>
      </c>
      <c r="R232" s="209" t="s">
        <v>1191</v>
      </c>
      <c r="S232" s="210" t="s">
        <v>1192</v>
      </c>
      <c r="T232" s="210" t="s">
        <v>49</v>
      </c>
      <c r="U232" s="228" t="s">
        <v>1191</v>
      </c>
      <c r="V232" s="228" t="s">
        <v>1192</v>
      </c>
      <c r="W232" s="210" t="s">
        <v>49</v>
      </c>
      <c r="X232" s="228" t="s">
        <v>1192</v>
      </c>
      <c r="Y232" s="228" t="s">
        <v>1192</v>
      </c>
      <c r="Z232" s="210" t="s">
        <v>49</v>
      </c>
      <c r="AA232" s="341" t="s">
        <v>203</v>
      </c>
      <c r="AB232" s="341" t="s">
        <v>203</v>
      </c>
    </row>
    <row r="233" spans="1:28" ht="15">
      <c r="A233" s="161" t="s">
        <v>571</v>
      </c>
      <c r="B233" s="161" t="s">
        <v>1182</v>
      </c>
      <c r="C233" s="209" t="s">
        <v>112</v>
      </c>
      <c r="D233" s="161" t="s">
        <v>1243</v>
      </c>
      <c r="E233" s="161" t="s">
        <v>1244</v>
      </c>
      <c r="F233" s="161" t="s">
        <v>667</v>
      </c>
      <c r="G233" s="161"/>
      <c r="H233" s="230">
        <v>0</v>
      </c>
      <c r="I233" s="230" t="s">
        <v>49</v>
      </c>
      <c r="J233" s="209"/>
      <c r="K233" s="209"/>
      <c r="L233" s="209" t="s">
        <v>1189</v>
      </c>
      <c r="M233" s="209" t="s">
        <v>1246</v>
      </c>
      <c r="N233" s="209" t="s">
        <v>1648</v>
      </c>
      <c r="O233" s="209" t="s">
        <v>1191</v>
      </c>
      <c r="P233" s="209" t="s">
        <v>1191</v>
      </c>
      <c r="Q233" s="209" t="s">
        <v>1191</v>
      </c>
      <c r="R233" s="209" t="s">
        <v>1191</v>
      </c>
      <c r="S233" s="209" t="s">
        <v>1191</v>
      </c>
      <c r="T233" s="210" t="s">
        <v>49</v>
      </c>
      <c r="U233" s="228" t="s">
        <v>1191</v>
      </c>
      <c r="V233" s="228" t="s">
        <v>1192</v>
      </c>
      <c r="W233" s="210" t="s">
        <v>49</v>
      </c>
      <c r="X233" s="228" t="s">
        <v>1192</v>
      </c>
      <c r="Y233" s="228" t="s">
        <v>1192</v>
      </c>
      <c r="Z233" s="210" t="s">
        <v>49</v>
      </c>
      <c r="AA233" s="341" t="s">
        <v>203</v>
      </c>
      <c r="AB233" s="341" t="s">
        <v>203</v>
      </c>
    </row>
    <row r="234" spans="1:28" ht="15">
      <c r="A234" s="161" t="s">
        <v>571</v>
      </c>
      <c r="B234" s="161" t="s">
        <v>1182</v>
      </c>
      <c r="C234" s="209" t="s">
        <v>112</v>
      </c>
      <c r="D234" s="209" t="s">
        <v>1230</v>
      </c>
      <c r="E234" s="161" t="s">
        <v>1244</v>
      </c>
      <c r="F234" s="161" t="s">
        <v>756</v>
      </c>
      <c r="G234" s="161"/>
      <c r="H234" s="230">
        <v>0</v>
      </c>
      <c r="I234" s="230" t="s">
        <v>1267</v>
      </c>
      <c r="J234" s="209" t="s">
        <v>1267</v>
      </c>
      <c r="K234" s="209"/>
      <c r="L234" s="209" t="s">
        <v>1189</v>
      </c>
      <c r="M234" s="209" t="s">
        <v>1246</v>
      </c>
      <c r="N234" s="209" t="s">
        <v>1649</v>
      </c>
      <c r="O234" s="209" t="s">
        <v>1191</v>
      </c>
      <c r="P234" s="209" t="s">
        <v>1191</v>
      </c>
      <c r="Q234" s="209" t="s">
        <v>1191</v>
      </c>
      <c r="R234" s="209" t="s">
        <v>1191</v>
      </c>
      <c r="S234" s="209" t="s">
        <v>1191</v>
      </c>
      <c r="T234" s="210" t="s">
        <v>49</v>
      </c>
      <c r="U234" s="228" t="s">
        <v>1191</v>
      </c>
      <c r="V234" s="228" t="s">
        <v>1192</v>
      </c>
      <c r="W234" s="210" t="s">
        <v>49</v>
      </c>
      <c r="X234" s="228" t="s">
        <v>1192</v>
      </c>
      <c r="Y234" s="228" t="s">
        <v>1192</v>
      </c>
      <c r="Z234" s="210" t="s">
        <v>49</v>
      </c>
      <c r="AA234" s="341" t="s">
        <v>203</v>
      </c>
      <c r="AB234" s="341" t="s">
        <v>203</v>
      </c>
    </row>
    <row r="235" spans="1:28" ht="15">
      <c r="A235" s="161" t="s">
        <v>580</v>
      </c>
      <c r="B235" s="161" t="s">
        <v>1182</v>
      </c>
      <c r="C235" s="169" t="s">
        <v>393</v>
      </c>
      <c r="D235" s="161" t="s">
        <v>1230</v>
      </c>
      <c r="E235" s="161" t="s">
        <v>1231</v>
      </c>
      <c r="F235" s="161" t="s">
        <v>584</v>
      </c>
      <c r="G235" s="161" t="s">
        <v>1232</v>
      </c>
      <c r="H235" s="230">
        <v>0</v>
      </c>
      <c r="I235" s="230" t="s">
        <v>1650</v>
      </c>
      <c r="J235" s="209"/>
      <c r="K235" s="209"/>
      <c r="L235" s="209" t="s">
        <v>1182</v>
      </c>
      <c r="M235" s="209" t="s">
        <v>49</v>
      </c>
      <c r="N235" s="209" t="s">
        <v>1651</v>
      </c>
      <c r="O235" s="209" t="s">
        <v>1191</v>
      </c>
      <c r="P235" s="209" t="s">
        <v>1191</v>
      </c>
      <c r="Q235" s="209" t="s">
        <v>1191</v>
      </c>
      <c r="R235" s="210" t="s">
        <v>1191</v>
      </c>
      <c r="S235" s="210" t="s">
        <v>1192</v>
      </c>
      <c r="T235" s="210" t="s">
        <v>49</v>
      </c>
      <c r="U235" s="210" t="s">
        <v>1191</v>
      </c>
      <c r="V235" s="210" t="s">
        <v>1192</v>
      </c>
      <c r="W235" s="210" t="s">
        <v>49</v>
      </c>
      <c r="X235" s="210" t="s">
        <v>1192</v>
      </c>
      <c r="Y235" s="210" t="s">
        <v>1192</v>
      </c>
      <c r="Z235" s="210" t="s">
        <v>49</v>
      </c>
      <c r="AA235" s="341" t="s">
        <v>203</v>
      </c>
      <c r="AB235" s="341" t="s">
        <v>203</v>
      </c>
    </row>
    <row r="236" spans="1:28" ht="30">
      <c r="A236" s="161" t="s">
        <v>585</v>
      </c>
      <c r="B236" s="161" t="s">
        <v>1182</v>
      </c>
      <c r="C236" s="209" t="s">
        <v>71</v>
      </c>
      <c r="D236" s="161" t="s">
        <v>1243</v>
      </c>
      <c r="E236" s="161" t="s">
        <v>1365</v>
      </c>
      <c r="F236" s="162" t="s">
        <v>613</v>
      </c>
      <c r="G236" s="162"/>
      <c r="H236" s="230">
        <v>0</v>
      </c>
      <c r="I236" s="230" t="s">
        <v>1366</v>
      </c>
      <c r="J236" s="209" t="s">
        <v>1366</v>
      </c>
      <c r="K236" s="161" t="s">
        <v>1366</v>
      </c>
      <c r="L236" s="209" t="s">
        <v>1182</v>
      </c>
      <c r="M236" s="209" t="s">
        <v>361</v>
      </c>
      <c r="N236" s="228" t="s">
        <v>1652</v>
      </c>
      <c r="O236" s="228" t="s">
        <v>1191</v>
      </c>
      <c r="P236" s="228" t="s">
        <v>1191</v>
      </c>
      <c r="Q236" s="228" t="s">
        <v>1191</v>
      </c>
      <c r="R236" s="228" t="s">
        <v>1191</v>
      </c>
      <c r="S236" s="228" t="s">
        <v>1191</v>
      </c>
      <c r="T236" s="210" t="s">
        <v>49</v>
      </c>
      <c r="U236" s="228" t="s">
        <v>1191</v>
      </c>
      <c r="V236" s="228" t="s">
        <v>1192</v>
      </c>
      <c r="W236" s="210" t="s">
        <v>49</v>
      </c>
      <c r="X236" s="228" t="s">
        <v>1192</v>
      </c>
      <c r="Y236" s="228" t="s">
        <v>1192</v>
      </c>
      <c r="Z236" s="210" t="s">
        <v>49</v>
      </c>
      <c r="AA236" s="341" t="s">
        <v>203</v>
      </c>
      <c r="AB236" s="341" t="s">
        <v>951</v>
      </c>
    </row>
    <row r="237" spans="1:28" ht="15.75">
      <c r="A237" s="161" t="s">
        <v>580</v>
      </c>
      <c r="B237" s="161" t="s">
        <v>1182</v>
      </c>
      <c r="C237" s="209" t="s">
        <v>17</v>
      </c>
      <c r="D237" s="161" t="s">
        <v>1183</v>
      </c>
      <c r="E237" s="161" t="s">
        <v>1184</v>
      </c>
      <c r="F237" s="161" t="s">
        <v>790</v>
      </c>
      <c r="G237" s="161"/>
      <c r="H237" s="230">
        <v>0</v>
      </c>
      <c r="I237" s="230" t="s">
        <v>1653</v>
      </c>
      <c r="J237" s="209" t="s">
        <v>1654</v>
      </c>
      <c r="K237" s="209"/>
      <c r="L237" s="209" t="s">
        <v>1182</v>
      </c>
      <c r="M237" s="214" t="s">
        <v>1216</v>
      </c>
      <c r="N237" s="161" t="s">
        <v>791</v>
      </c>
      <c r="O237" s="228" t="s">
        <v>1191</v>
      </c>
      <c r="P237" s="228" t="s">
        <v>1191</v>
      </c>
      <c r="Q237" s="228" t="s">
        <v>1191</v>
      </c>
      <c r="R237" s="228" t="s">
        <v>1191</v>
      </c>
      <c r="S237" s="228" t="s">
        <v>1191</v>
      </c>
      <c r="T237" s="210" t="s">
        <v>49</v>
      </c>
      <c r="U237" s="437" t="s">
        <v>1191</v>
      </c>
      <c r="V237" s="228" t="s">
        <v>1192</v>
      </c>
      <c r="W237" s="210" t="s">
        <v>49</v>
      </c>
      <c r="X237" s="228" t="s">
        <v>1192</v>
      </c>
      <c r="Y237" s="228" t="s">
        <v>1192</v>
      </c>
      <c r="Z237" s="210" t="s">
        <v>49</v>
      </c>
      <c r="AA237" s="341" t="s">
        <v>203</v>
      </c>
      <c r="AB237" s="368" t="s">
        <v>203</v>
      </c>
    </row>
    <row r="238" spans="1:28" ht="15.75">
      <c r="A238" s="161" t="s">
        <v>609</v>
      </c>
      <c r="B238" s="161" t="s">
        <v>1182</v>
      </c>
      <c r="C238" s="209" t="s">
        <v>17</v>
      </c>
      <c r="D238" s="161" t="s">
        <v>1183</v>
      </c>
      <c r="E238" s="161" t="s">
        <v>1184</v>
      </c>
      <c r="F238" s="161" t="s">
        <v>1655</v>
      </c>
      <c r="G238" s="161"/>
      <c r="H238" s="230">
        <v>0</v>
      </c>
      <c r="I238" s="230" t="s">
        <v>1656</v>
      </c>
      <c r="J238" s="209" t="s">
        <v>1657</v>
      </c>
      <c r="K238" s="209"/>
      <c r="L238" s="209" t="s">
        <v>1182</v>
      </c>
      <c r="M238" s="214" t="s">
        <v>1216</v>
      </c>
      <c r="N238" s="161" t="s">
        <v>1658</v>
      </c>
      <c r="O238" s="228" t="s">
        <v>1191</v>
      </c>
      <c r="P238" s="228" t="s">
        <v>1191</v>
      </c>
      <c r="Q238" s="228" t="s">
        <v>1191</v>
      </c>
      <c r="R238" s="228" t="s">
        <v>1191</v>
      </c>
      <c r="S238" s="228" t="s">
        <v>1191</v>
      </c>
      <c r="T238" s="210" t="s">
        <v>49</v>
      </c>
      <c r="U238" s="437" t="s">
        <v>1191</v>
      </c>
      <c r="V238" s="228" t="s">
        <v>1192</v>
      </c>
      <c r="W238" s="210" t="s">
        <v>49</v>
      </c>
      <c r="X238" s="228" t="s">
        <v>1192</v>
      </c>
      <c r="Y238" s="228" t="s">
        <v>1192</v>
      </c>
      <c r="Z238" s="210" t="s">
        <v>49</v>
      </c>
      <c r="AA238" s="341" t="s">
        <v>203</v>
      </c>
      <c r="AB238" s="368" t="s">
        <v>951</v>
      </c>
    </row>
    <row r="239" spans="1:28" ht="15.75">
      <c r="A239" s="161" t="s">
        <v>609</v>
      </c>
      <c r="B239" s="161" t="s">
        <v>1182</v>
      </c>
      <c r="C239" s="209" t="s">
        <v>17</v>
      </c>
      <c r="D239" s="161" t="s">
        <v>1183</v>
      </c>
      <c r="E239" s="161" t="s">
        <v>1184</v>
      </c>
      <c r="F239" s="161" t="s">
        <v>1659</v>
      </c>
      <c r="G239" s="161" t="s">
        <v>1199</v>
      </c>
      <c r="H239" s="230">
        <v>0</v>
      </c>
      <c r="I239" s="230" t="s">
        <v>1660</v>
      </c>
      <c r="J239" t="s">
        <v>1660</v>
      </c>
      <c r="K239" s="209"/>
      <c r="L239" s="209" t="s">
        <v>1182</v>
      </c>
      <c r="M239" s="214" t="s">
        <v>1216</v>
      </c>
      <c r="N239" s="161" t="s">
        <v>1661</v>
      </c>
      <c r="O239" s="228" t="s">
        <v>1191</v>
      </c>
      <c r="P239" s="228" t="s">
        <v>1191</v>
      </c>
      <c r="Q239" s="228" t="s">
        <v>1191</v>
      </c>
      <c r="R239" s="228" t="s">
        <v>1191</v>
      </c>
      <c r="S239" s="228" t="s">
        <v>1192</v>
      </c>
      <c r="T239" s="210" t="s">
        <v>49</v>
      </c>
      <c r="U239" s="437" t="s">
        <v>1191</v>
      </c>
      <c r="V239" s="228" t="s">
        <v>1192</v>
      </c>
      <c r="W239" s="210" t="s">
        <v>49</v>
      </c>
      <c r="X239" s="228" t="s">
        <v>1192</v>
      </c>
      <c r="Y239" s="228" t="s">
        <v>1192</v>
      </c>
      <c r="Z239" s="210" t="s">
        <v>49</v>
      </c>
      <c r="AA239" s="341" t="s">
        <v>203</v>
      </c>
      <c r="AB239" s="368" t="s">
        <v>203</v>
      </c>
    </row>
    <row r="240" spans="1:28" ht="15.75">
      <c r="A240" s="161" t="s">
        <v>609</v>
      </c>
      <c r="B240" s="161" t="s">
        <v>1182</v>
      </c>
      <c r="C240" s="209" t="s">
        <v>17</v>
      </c>
      <c r="D240" s="161" t="s">
        <v>1183</v>
      </c>
      <c r="E240" s="161" t="s">
        <v>1184</v>
      </c>
      <c r="F240" s="161" t="s">
        <v>1662</v>
      </c>
      <c r="G240" s="161"/>
      <c r="H240" s="230">
        <v>0</v>
      </c>
      <c r="I240" s="230" t="s">
        <v>1663</v>
      </c>
      <c r="J240" s="209"/>
      <c r="K240" s="209"/>
      <c r="L240" s="209" t="s">
        <v>1182</v>
      </c>
      <c r="M240" s="214" t="s">
        <v>1216</v>
      </c>
      <c r="N240" s="161" t="s">
        <v>1664</v>
      </c>
      <c r="O240" s="228" t="s">
        <v>1191</v>
      </c>
      <c r="P240" s="228" t="s">
        <v>1191</v>
      </c>
      <c r="Q240" s="228" t="s">
        <v>1191</v>
      </c>
      <c r="R240" s="228" t="s">
        <v>1191</v>
      </c>
      <c r="S240" s="228" t="s">
        <v>1191</v>
      </c>
      <c r="T240" s="210" t="s">
        <v>49</v>
      </c>
      <c r="U240" s="437" t="s">
        <v>1191</v>
      </c>
      <c r="V240" s="228" t="s">
        <v>1192</v>
      </c>
      <c r="W240" s="210" t="s">
        <v>49</v>
      </c>
      <c r="X240" s="228" t="s">
        <v>1192</v>
      </c>
      <c r="Y240" s="228" t="s">
        <v>1192</v>
      </c>
      <c r="Z240" s="210" t="s">
        <v>49</v>
      </c>
      <c r="AA240" s="341" t="s">
        <v>203</v>
      </c>
      <c r="AB240" s="368" t="s">
        <v>203</v>
      </c>
    </row>
    <row r="241" spans="1:28" ht="15.75">
      <c r="A241" s="209" t="s">
        <v>1156</v>
      </c>
      <c r="B241" s="161" t="s">
        <v>1182</v>
      </c>
      <c r="C241" s="161" t="s">
        <v>17</v>
      </c>
      <c r="D241" s="209" t="s">
        <v>1183</v>
      </c>
      <c r="E241" s="209" t="s">
        <v>1184</v>
      </c>
      <c r="F241" s="161" t="s">
        <v>1665</v>
      </c>
      <c r="G241" s="161" t="s">
        <v>1186</v>
      </c>
      <c r="H241" s="230">
        <v>0</v>
      </c>
      <c r="I241" s="230" t="s">
        <v>49</v>
      </c>
      <c r="J241" s="209" t="s">
        <v>361</v>
      </c>
      <c r="K241" s="209"/>
      <c r="L241" s="209" t="s">
        <v>1182</v>
      </c>
      <c r="M241" s="214" t="s">
        <v>1216</v>
      </c>
      <c r="O241" s="228" t="s">
        <v>1191</v>
      </c>
      <c r="P241" s="228" t="s">
        <v>1191</v>
      </c>
      <c r="Q241" s="228" t="s">
        <v>1191</v>
      </c>
      <c r="R241" s="228" t="s">
        <v>1191</v>
      </c>
      <c r="S241" s="228" t="s">
        <v>1192</v>
      </c>
      <c r="T241" s="210" t="s">
        <v>49</v>
      </c>
      <c r="U241" s="228" t="s">
        <v>1192</v>
      </c>
      <c r="V241" s="228" t="s">
        <v>1192</v>
      </c>
      <c r="W241" s="210" t="s">
        <v>49</v>
      </c>
      <c r="X241" s="228" t="s">
        <v>1192</v>
      </c>
      <c r="Y241" s="228" t="s">
        <v>1192</v>
      </c>
      <c r="Z241" s="210" t="s">
        <v>49</v>
      </c>
      <c r="AA241" s="341" t="s">
        <v>203</v>
      </c>
      <c r="AB241" s="368" t="s">
        <v>203</v>
      </c>
    </row>
    <row r="242" spans="1:28" ht="15.75">
      <c r="A242" s="209" t="s">
        <v>1156</v>
      </c>
      <c r="B242" s="161" t="s">
        <v>1182</v>
      </c>
      <c r="C242" s="161" t="s">
        <v>17</v>
      </c>
      <c r="D242" s="209" t="s">
        <v>1183</v>
      </c>
      <c r="E242" s="209" t="s">
        <v>1184</v>
      </c>
      <c r="F242" s="161" t="s">
        <v>1666</v>
      </c>
      <c r="G242" s="161" t="s">
        <v>1186</v>
      </c>
      <c r="H242" s="230">
        <v>0</v>
      </c>
      <c r="I242" s="230" t="s">
        <v>49</v>
      </c>
      <c r="J242" s="209" t="s">
        <v>1667</v>
      </c>
      <c r="K242" s="209"/>
      <c r="L242" s="209" t="s">
        <v>1182</v>
      </c>
      <c r="M242" s="214" t="s">
        <v>1216</v>
      </c>
      <c r="O242" s="228" t="s">
        <v>1191</v>
      </c>
      <c r="P242" s="228" t="s">
        <v>1191</v>
      </c>
      <c r="Q242" s="228" t="s">
        <v>1191</v>
      </c>
      <c r="R242" s="228" t="s">
        <v>1191</v>
      </c>
      <c r="S242" s="228" t="s">
        <v>1192</v>
      </c>
      <c r="T242" s="210" t="s">
        <v>49</v>
      </c>
      <c r="U242" s="228" t="s">
        <v>1192</v>
      </c>
      <c r="V242" s="228" t="s">
        <v>1192</v>
      </c>
      <c r="W242" s="210" t="s">
        <v>49</v>
      </c>
      <c r="X242" s="228" t="s">
        <v>1192</v>
      </c>
      <c r="Y242" s="228" t="s">
        <v>1192</v>
      </c>
      <c r="Z242" s="210" t="s">
        <v>49</v>
      </c>
      <c r="AA242" s="341" t="s">
        <v>203</v>
      </c>
      <c r="AB242" s="368" t="s">
        <v>203</v>
      </c>
    </row>
    <row r="243" spans="1:28" ht="15.75">
      <c r="A243" s="209" t="s">
        <v>1156</v>
      </c>
      <c r="B243" s="161" t="s">
        <v>1182</v>
      </c>
      <c r="C243" s="161" t="s">
        <v>36</v>
      </c>
      <c r="D243" s="209" t="s">
        <v>1183</v>
      </c>
      <c r="E243" s="209" t="s">
        <v>1434</v>
      </c>
      <c r="F243" s="161" t="s">
        <v>1668</v>
      </c>
      <c r="G243" s="161" t="s">
        <v>1436</v>
      </c>
      <c r="H243" s="230">
        <v>0</v>
      </c>
      <c r="I243" s="230" t="s">
        <v>49</v>
      </c>
      <c r="J243" s="209" t="s">
        <v>1669</v>
      </c>
      <c r="K243" s="209"/>
      <c r="L243" s="209" t="s">
        <v>1182</v>
      </c>
      <c r="M243" s="214" t="s">
        <v>1216</v>
      </c>
      <c r="O243" s="228" t="s">
        <v>1192</v>
      </c>
      <c r="P243" s="228" t="s">
        <v>1192</v>
      </c>
      <c r="Q243" s="228" t="s">
        <v>1192</v>
      </c>
      <c r="R243" s="228" t="s">
        <v>1192</v>
      </c>
      <c r="S243" s="228" t="s">
        <v>1192</v>
      </c>
      <c r="T243" s="210" t="s">
        <v>49</v>
      </c>
      <c r="U243" s="228" t="s">
        <v>1192</v>
      </c>
      <c r="V243" s="228" t="s">
        <v>1192</v>
      </c>
      <c r="W243" s="210" t="s">
        <v>49</v>
      </c>
      <c r="X243" s="228" t="s">
        <v>1192</v>
      </c>
      <c r="Y243" s="228" t="s">
        <v>1192</v>
      </c>
      <c r="Z243" s="210" t="s">
        <v>49</v>
      </c>
      <c r="AA243" s="341" t="s">
        <v>203</v>
      </c>
      <c r="AB243" s="368" t="s">
        <v>203</v>
      </c>
    </row>
    <row r="244" spans="1:28" ht="15" customHeight="1">
      <c r="A244" s="209" t="s">
        <v>1156</v>
      </c>
      <c r="B244" s="161" t="s">
        <v>1182</v>
      </c>
      <c r="C244" s="161" t="s">
        <v>36</v>
      </c>
      <c r="D244" s="209" t="s">
        <v>1183</v>
      </c>
      <c r="E244" s="209" t="s">
        <v>1434</v>
      </c>
      <c r="F244" s="161" t="s">
        <v>1670</v>
      </c>
      <c r="G244" s="161" t="s">
        <v>1436</v>
      </c>
      <c r="H244" s="230">
        <v>0</v>
      </c>
      <c r="I244" s="230" t="s">
        <v>49</v>
      </c>
      <c r="J244" s="209" t="s">
        <v>361</v>
      </c>
      <c r="K244" s="209"/>
      <c r="L244" s="209" t="s">
        <v>1182</v>
      </c>
      <c r="M244" s="214" t="s">
        <v>1216</v>
      </c>
      <c r="O244" s="228" t="s">
        <v>1192</v>
      </c>
      <c r="P244" s="228" t="s">
        <v>1192</v>
      </c>
      <c r="Q244" s="228" t="s">
        <v>1192</v>
      </c>
      <c r="R244" s="228" t="s">
        <v>1192</v>
      </c>
      <c r="S244" s="228" t="s">
        <v>1192</v>
      </c>
      <c r="T244" s="210" t="s">
        <v>49</v>
      </c>
      <c r="U244" s="228" t="s">
        <v>1192</v>
      </c>
      <c r="V244" s="228" t="s">
        <v>1192</v>
      </c>
      <c r="W244" s="210" t="s">
        <v>49</v>
      </c>
      <c r="X244" s="228" t="s">
        <v>1192</v>
      </c>
      <c r="Y244" s="228" t="s">
        <v>1192</v>
      </c>
      <c r="Z244" s="210" t="s">
        <v>49</v>
      </c>
      <c r="AA244" s="341" t="s">
        <v>203</v>
      </c>
      <c r="AB244" s="368" t="s">
        <v>203</v>
      </c>
    </row>
    <row r="245" spans="1:28" ht="15.75">
      <c r="A245" s="209" t="s">
        <v>1156</v>
      </c>
      <c r="B245" s="161" t="s">
        <v>1182</v>
      </c>
      <c r="C245" s="161" t="s">
        <v>36</v>
      </c>
      <c r="D245" s="209" t="s">
        <v>1183</v>
      </c>
      <c r="E245" s="209" t="s">
        <v>1434</v>
      </c>
      <c r="F245" s="161" t="s">
        <v>1671</v>
      </c>
      <c r="G245" s="161" t="s">
        <v>1436</v>
      </c>
      <c r="H245" s="230">
        <v>0</v>
      </c>
      <c r="I245" s="230" t="s">
        <v>49</v>
      </c>
      <c r="J245" s="209" t="s">
        <v>361</v>
      </c>
      <c r="K245" s="209"/>
      <c r="L245" s="209" t="s">
        <v>1182</v>
      </c>
      <c r="M245" s="214" t="s">
        <v>1216</v>
      </c>
      <c r="O245" s="228" t="s">
        <v>1192</v>
      </c>
      <c r="P245" s="228" t="s">
        <v>1192</v>
      </c>
      <c r="Q245" s="228" t="s">
        <v>1192</v>
      </c>
      <c r="R245" s="228" t="s">
        <v>1192</v>
      </c>
      <c r="S245" s="228" t="s">
        <v>1192</v>
      </c>
      <c r="T245" s="210" t="s">
        <v>49</v>
      </c>
      <c r="U245" s="228" t="s">
        <v>1192</v>
      </c>
      <c r="V245" s="228" t="s">
        <v>1192</v>
      </c>
      <c r="W245" s="210" t="s">
        <v>49</v>
      </c>
      <c r="X245" s="228" t="s">
        <v>1192</v>
      </c>
      <c r="Y245" s="228" t="s">
        <v>1192</v>
      </c>
      <c r="Z245" s="210" t="s">
        <v>49</v>
      </c>
      <c r="AA245" s="341" t="s">
        <v>203</v>
      </c>
      <c r="AB245" s="368" t="s">
        <v>203</v>
      </c>
    </row>
    <row r="246" spans="1:28" ht="15" customHeight="1">
      <c r="A246" s="209" t="s">
        <v>1156</v>
      </c>
      <c r="B246" s="161" t="s">
        <v>1182</v>
      </c>
      <c r="C246" s="161" t="s">
        <v>36</v>
      </c>
      <c r="D246" s="209" t="s">
        <v>1183</v>
      </c>
      <c r="E246" s="209" t="s">
        <v>1434</v>
      </c>
      <c r="F246" s="161" t="s">
        <v>1672</v>
      </c>
      <c r="G246" s="161" t="s">
        <v>1436</v>
      </c>
      <c r="H246" s="230">
        <v>0</v>
      </c>
      <c r="I246" s="230" t="s">
        <v>49</v>
      </c>
      <c r="J246" s="209" t="s">
        <v>361</v>
      </c>
      <c r="K246" s="209"/>
      <c r="L246" s="209" t="s">
        <v>361</v>
      </c>
      <c r="M246" s="214" t="s">
        <v>1673</v>
      </c>
      <c r="O246" s="228" t="s">
        <v>1192</v>
      </c>
      <c r="P246" s="228" t="s">
        <v>1192</v>
      </c>
      <c r="Q246" s="228" t="s">
        <v>1192</v>
      </c>
      <c r="R246" s="228" t="s">
        <v>1192</v>
      </c>
      <c r="S246" s="228" t="s">
        <v>1192</v>
      </c>
      <c r="T246" s="210" t="s">
        <v>49</v>
      </c>
      <c r="U246" s="228" t="s">
        <v>1192</v>
      </c>
      <c r="V246" s="228" t="s">
        <v>1192</v>
      </c>
      <c r="W246" s="210" t="s">
        <v>49</v>
      </c>
      <c r="X246" s="228" t="s">
        <v>1192</v>
      </c>
      <c r="Y246" s="228" t="s">
        <v>1192</v>
      </c>
      <c r="Z246" s="210" t="s">
        <v>49</v>
      </c>
      <c r="AA246" s="341" t="s">
        <v>203</v>
      </c>
      <c r="AB246" s="368" t="s">
        <v>203</v>
      </c>
    </row>
    <row r="247" spans="1:28" ht="15.75">
      <c r="A247" s="209" t="s">
        <v>1156</v>
      </c>
      <c r="B247" s="161" t="s">
        <v>1182</v>
      </c>
      <c r="C247" s="161" t="s">
        <v>36</v>
      </c>
      <c r="D247" s="209" t="s">
        <v>1183</v>
      </c>
      <c r="E247" s="209" t="s">
        <v>1434</v>
      </c>
      <c r="F247" s="161" t="s">
        <v>1674</v>
      </c>
      <c r="G247" s="161" t="s">
        <v>1436</v>
      </c>
      <c r="H247" s="230">
        <v>0</v>
      </c>
      <c r="I247" s="230" t="s">
        <v>49</v>
      </c>
      <c r="J247" s="209" t="s">
        <v>1675</v>
      </c>
      <c r="K247" s="209"/>
      <c r="L247" s="209" t="s">
        <v>1182</v>
      </c>
      <c r="M247" s="214" t="s">
        <v>1216</v>
      </c>
      <c r="O247" s="228" t="s">
        <v>1192</v>
      </c>
      <c r="P247" s="228" t="s">
        <v>1192</v>
      </c>
      <c r="Q247" s="228" t="s">
        <v>1192</v>
      </c>
      <c r="R247" s="228" t="s">
        <v>1192</v>
      </c>
      <c r="S247" s="228" t="s">
        <v>1192</v>
      </c>
      <c r="T247" s="210" t="s">
        <v>49</v>
      </c>
      <c r="U247" s="228" t="s">
        <v>1192</v>
      </c>
      <c r="V247" s="228" t="s">
        <v>1192</v>
      </c>
      <c r="W247" s="210" t="s">
        <v>49</v>
      </c>
      <c r="X247" s="228" t="s">
        <v>1192</v>
      </c>
      <c r="Y247" s="228" t="s">
        <v>1192</v>
      </c>
      <c r="Z247" s="210" t="s">
        <v>49</v>
      </c>
      <c r="AA247" s="341" t="s">
        <v>203</v>
      </c>
      <c r="AB247" s="368" t="s">
        <v>203</v>
      </c>
    </row>
    <row r="248" spans="1:28" ht="15" customHeight="1">
      <c r="A248" s="209" t="s">
        <v>1156</v>
      </c>
      <c r="B248" s="161" t="s">
        <v>1182</v>
      </c>
      <c r="C248" s="161" t="s">
        <v>36</v>
      </c>
      <c r="D248" s="209" t="s">
        <v>1183</v>
      </c>
      <c r="E248" s="209" t="s">
        <v>1434</v>
      </c>
      <c r="F248" s="161" t="s">
        <v>1676</v>
      </c>
      <c r="G248" s="161" t="s">
        <v>1436</v>
      </c>
      <c r="H248" s="230">
        <v>0</v>
      </c>
      <c r="I248" s="230" t="s">
        <v>49</v>
      </c>
      <c r="J248" s="209" t="s">
        <v>1677</v>
      </c>
      <c r="K248" s="209"/>
      <c r="L248" s="209" t="s">
        <v>1189</v>
      </c>
      <c r="M248" s="214" t="s">
        <v>1216</v>
      </c>
      <c r="O248" s="228" t="s">
        <v>1192</v>
      </c>
      <c r="P248" s="228" t="s">
        <v>1192</v>
      </c>
      <c r="Q248" s="228" t="s">
        <v>1192</v>
      </c>
      <c r="R248" s="228" t="s">
        <v>1192</v>
      </c>
      <c r="S248" s="228" t="s">
        <v>1192</v>
      </c>
      <c r="T248" s="210" t="s">
        <v>49</v>
      </c>
      <c r="U248" s="228" t="s">
        <v>1192</v>
      </c>
      <c r="V248" s="228" t="s">
        <v>1192</v>
      </c>
      <c r="W248" s="210" t="s">
        <v>49</v>
      </c>
      <c r="X248" s="228" t="s">
        <v>1192</v>
      </c>
      <c r="Y248" s="228" t="s">
        <v>1192</v>
      </c>
      <c r="Z248" s="210" t="s">
        <v>49</v>
      </c>
      <c r="AA248" s="341" t="s">
        <v>203</v>
      </c>
      <c r="AB248" s="368" t="s">
        <v>203</v>
      </c>
    </row>
    <row r="249" spans="1:28" ht="15.75">
      <c r="A249" s="209" t="s">
        <v>1156</v>
      </c>
      <c r="B249" s="161" t="s">
        <v>1182</v>
      </c>
      <c r="C249" s="161" t="s">
        <v>36</v>
      </c>
      <c r="D249" s="209" t="s">
        <v>1183</v>
      </c>
      <c r="E249" s="209" t="s">
        <v>1434</v>
      </c>
      <c r="F249" s="161" t="s">
        <v>1678</v>
      </c>
      <c r="G249" s="161" t="s">
        <v>1436</v>
      </c>
      <c r="H249" s="230">
        <v>0</v>
      </c>
      <c r="I249" s="230" t="s">
        <v>49</v>
      </c>
      <c r="J249" s="209" t="s">
        <v>1679</v>
      </c>
      <c r="K249" s="209"/>
      <c r="L249" s="209" t="s">
        <v>1182</v>
      </c>
      <c r="M249" s="214" t="s">
        <v>1216</v>
      </c>
      <c r="O249" s="228" t="s">
        <v>1192</v>
      </c>
      <c r="P249" s="228" t="s">
        <v>1192</v>
      </c>
      <c r="Q249" s="228" t="s">
        <v>1192</v>
      </c>
      <c r="R249" s="228" t="s">
        <v>1192</v>
      </c>
      <c r="S249" s="228" t="s">
        <v>1192</v>
      </c>
      <c r="T249" s="210" t="s">
        <v>49</v>
      </c>
      <c r="U249" s="228" t="s">
        <v>1192</v>
      </c>
      <c r="V249" s="228" t="s">
        <v>1192</v>
      </c>
      <c r="W249" s="210" t="s">
        <v>49</v>
      </c>
      <c r="X249" s="228" t="s">
        <v>1192</v>
      </c>
      <c r="Y249" s="228" t="s">
        <v>1192</v>
      </c>
      <c r="Z249" s="210" t="s">
        <v>49</v>
      </c>
      <c r="AA249" s="341" t="s">
        <v>203</v>
      </c>
      <c r="AB249" s="368" t="s">
        <v>203</v>
      </c>
    </row>
    <row r="250" spans="1:28" ht="15.75">
      <c r="A250" s="209" t="s">
        <v>1156</v>
      </c>
      <c r="B250" s="161" t="s">
        <v>1182</v>
      </c>
      <c r="C250" s="161" t="s">
        <v>36</v>
      </c>
      <c r="D250" s="209" t="s">
        <v>1183</v>
      </c>
      <c r="E250" s="209" t="s">
        <v>1434</v>
      </c>
      <c r="F250" s="161" t="s">
        <v>1680</v>
      </c>
      <c r="G250" s="161" t="s">
        <v>1436</v>
      </c>
      <c r="H250" s="230">
        <v>0</v>
      </c>
      <c r="I250" s="230" t="s">
        <v>49</v>
      </c>
      <c r="J250" s="209" t="s">
        <v>361</v>
      </c>
      <c r="K250" s="209"/>
      <c r="L250" s="209" t="s">
        <v>1182</v>
      </c>
      <c r="M250" s="214" t="s">
        <v>1216</v>
      </c>
      <c r="O250" s="228" t="s">
        <v>1192</v>
      </c>
      <c r="P250" s="228" t="s">
        <v>1192</v>
      </c>
      <c r="Q250" s="228" t="s">
        <v>1192</v>
      </c>
      <c r="R250" s="228" t="s">
        <v>1192</v>
      </c>
      <c r="S250" s="228" t="s">
        <v>1192</v>
      </c>
      <c r="T250" s="210" t="s">
        <v>49</v>
      </c>
      <c r="U250" s="228" t="s">
        <v>1192</v>
      </c>
      <c r="V250" s="228" t="s">
        <v>1192</v>
      </c>
      <c r="W250" s="210" t="s">
        <v>49</v>
      </c>
      <c r="X250" s="228" t="s">
        <v>1192</v>
      </c>
      <c r="Y250" s="228" t="s">
        <v>1192</v>
      </c>
      <c r="Z250" s="210" t="s">
        <v>49</v>
      </c>
      <c r="AA250" s="341" t="s">
        <v>203</v>
      </c>
      <c r="AB250" s="368" t="s">
        <v>203</v>
      </c>
    </row>
    <row r="251" spans="1:28" ht="15.75">
      <c r="A251" s="209" t="s">
        <v>1156</v>
      </c>
      <c r="B251" s="161" t="s">
        <v>1182</v>
      </c>
      <c r="C251" s="161" t="s">
        <v>36</v>
      </c>
      <c r="D251" s="209" t="s">
        <v>1183</v>
      </c>
      <c r="E251" s="209" t="s">
        <v>1434</v>
      </c>
      <c r="F251" s="161" t="s">
        <v>1681</v>
      </c>
      <c r="G251" s="161" t="s">
        <v>1436</v>
      </c>
      <c r="H251" s="230">
        <v>0</v>
      </c>
      <c r="I251" s="230" t="s">
        <v>49</v>
      </c>
      <c r="J251" s="209" t="s">
        <v>1682</v>
      </c>
      <c r="K251" s="209"/>
      <c r="L251" s="209" t="s">
        <v>1182</v>
      </c>
      <c r="M251" s="214" t="s">
        <v>1216</v>
      </c>
      <c r="O251" s="228" t="s">
        <v>1192</v>
      </c>
      <c r="P251" s="228" t="s">
        <v>1192</v>
      </c>
      <c r="Q251" s="228" t="s">
        <v>1192</v>
      </c>
      <c r="R251" s="228" t="s">
        <v>1192</v>
      </c>
      <c r="S251" s="228" t="s">
        <v>1192</v>
      </c>
      <c r="T251" s="210" t="s">
        <v>49</v>
      </c>
      <c r="U251" s="228" t="s">
        <v>1192</v>
      </c>
      <c r="V251" s="228" t="s">
        <v>1192</v>
      </c>
      <c r="W251" s="210" t="s">
        <v>49</v>
      </c>
      <c r="X251" s="228" t="s">
        <v>1192</v>
      </c>
      <c r="Y251" s="228" t="s">
        <v>1192</v>
      </c>
      <c r="Z251" s="210" t="s">
        <v>49</v>
      </c>
      <c r="AA251" s="341" t="s">
        <v>203</v>
      </c>
      <c r="AB251" s="368" t="s">
        <v>203</v>
      </c>
    </row>
    <row r="252" spans="1:28" ht="15.75">
      <c r="A252" s="209" t="s">
        <v>1156</v>
      </c>
      <c r="B252" s="161" t="s">
        <v>1182</v>
      </c>
      <c r="C252" s="161" t="s">
        <v>36</v>
      </c>
      <c r="D252" s="209" t="s">
        <v>1183</v>
      </c>
      <c r="E252" s="209" t="s">
        <v>1434</v>
      </c>
      <c r="F252" s="161" t="s">
        <v>1683</v>
      </c>
      <c r="G252" s="161" t="s">
        <v>1436</v>
      </c>
      <c r="H252" s="230">
        <v>0</v>
      </c>
      <c r="I252" s="230" t="s">
        <v>49</v>
      </c>
      <c r="J252" s="209" t="s">
        <v>1682</v>
      </c>
      <c r="K252" s="209"/>
      <c r="L252" s="209" t="s">
        <v>1182</v>
      </c>
      <c r="M252" s="214" t="s">
        <v>1216</v>
      </c>
      <c r="O252" s="228" t="s">
        <v>1192</v>
      </c>
      <c r="P252" s="228" t="s">
        <v>1192</v>
      </c>
      <c r="Q252" s="228" t="s">
        <v>1192</v>
      </c>
      <c r="R252" s="228" t="s">
        <v>1192</v>
      </c>
      <c r="S252" s="228" t="s">
        <v>1192</v>
      </c>
      <c r="T252" s="210" t="s">
        <v>49</v>
      </c>
      <c r="U252" s="228" t="s">
        <v>1192</v>
      </c>
      <c r="V252" s="228" t="s">
        <v>1192</v>
      </c>
      <c r="W252" s="210" t="s">
        <v>49</v>
      </c>
      <c r="X252" s="228" t="s">
        <v>1192</v>
      </c>
      <c r="Y252" s="228" t="s">
        <v>1192</v>
      </c>
      <c r="Z252" s="210" t="s">
        <v>49</v>
      </c>
      <c r="AA252" s="341" t="s">
        <v>203</v>
      </c>
      <c r="AB252" s="368" t="s">
        <v>951</v>
      </c>
    </row>
    <row r="253" spans="1:28" ht="15.75">
      <c r="A253" s="209" t="s">
        <v>1156</v>
      </c>
      <c r="B253" s="161" t="s">
        <v>1189</v>
      </c>
      <c r="C253" s="161" t="s">
        <v>39</v>
      </c>
      <c r="D253" s="209" t="s">
        <v>1408</v>
      </c>
      <c r="E253" s="161" t="s">
        <v>1282</v>
      </c>
      <c r="F253" s="161" t="s">
        <v>1684</v>
      </c>
      <c r="G253" s="161" t="s">
        <v>1290</v>
      </c>
      <c r="H253" s="230">
        <v>0</v>
      </c>
      <c r="I253" s="230"/>
      <c r="J253" s="209" t="s">
        <v>1685</v>
      </c>
      <c r="K253" s="209"/>
      <c r="L253" s="209" t="s">
        <v>1182</v>
      </c>
      <c r="O253" s="228" t="s">
        <v>49</v>
      </c>
      <c r="P253" s="228" t="s">
        <v>49</v>
      </c>
      <c r="Q253" s="228" t="s">
        <v>49</v>
      </c>
      <c r="R253" s="228" t="s">
        <v>49</v>
      </c>
      <c r="S253" s="228" t="s">
        <v>49</v>
      </c>
      <c r="T253" s="210" t="s">
        <v>1192</v>
      </c>
      <c r="U253" s="228" t="s">
        <v>49</v>
      </c>
      <c r="V253" s="228" t="s">
        <v>49</v>
      </c>
      <c r="W253" s="210" t="s">
        <v>1192</v>
      </c>
      <c r="X253" s="228" t="s">
        <v>49</v>
      </c>
      <c r="Y253" s="228" t="s">
        <v>49</v>
      </c>
      <c r="Z253" s="210" t="s">
        <v>1192</v>
      </c>
      <c r="AA253" s="341" t="s">
        <v>203</v>
      </c>
      <c r="AB253" s="368" t="s">
        <v>203</v>
      </c>
    </row>
    <row r="254" spans="1:28" ht="15.75">
      <c r="A254" s="209" t="s">
        <v>1156</v>
      </c>
      <c r="B254" s="161" t="s">
        <v>1189</v>
      </c>
      <c r="C254" s="161" t="s">
        <v>39</v>
      </c>
      <c r="D254" s="209" t="s">
        <v>1408</v>
      </c>
      <c r="E254" s="161" t="s">
        <v>1282</v>
      </c>
      <c r="F254" s="161" t="s">
        <v>1686</v>
      </c>
      <c r="G254" s="161" t="s">
        <v>1290</v>
      </c>
      <c r="H254" s="230">
        <v>0</v>
      </c>
      <c r="I254" s="230"/>
      <c r="J254" s="209" t="s">
        <v>1687</v>
      </c>
      <c r="K254" s="209"/>
      <c r="L254" s="209" t="s">
        <v>1182</v>
      </c>
      <c r="O254" s="228" t="s">
        <v>49</v>
      </c>
      <c r="P254" s="228" t="s">
        <v>49</v>
      </c>
      <c r="Q254" s="228" t="s">
        <v>49</v>
      </c>
      <c r="R254" s="228" t="s">
        <v>49</v>
      </c>
      <c r="S254" s="228" t="s">
        <v>49</v>
      </c>
      <c r="T254" s="210" t="s">
        <v>1192</v>
      </c>
      <c r="U254" s="228" t="s">
        <v>49</v>
      </c>
      <c r="V254" s="228" t="s">
        <v>49</v>
      </c>
      <c r="W254" s="210" t="s">
        <v>1192</v>
      </c>
      <c r="X254" s="228" t="s">
        <v>49</v>
      </c>
      <c r="Y254" s="228" t="s">
        <v>49</v>
      </c>
      <c r="Z254" s="210" t="s">
        <v>1192</v>
      </c>
      <c r="AA254" s="341" t="s">
        <v>203</v>
      </c>
      <c r="AB254" s="368" t="s">
        <v>203</v>
      </c>
    </row>
    <row r="255" spans="1:28" ht="15.75">
      <c r="A255" s="209" t="s">
        <v>1156</v>
      </c>
      <c r="B255" s="161" t="s">
        <v>1189</v>
      </c>
      <c r="C255" s="161" t="s">
        <v>39</v>
      </c>
      <c r="D255" s="209" t="s">
        <v>1288</v>
      </c>
      <c r="E255" s="161" t="s">
        <v>1282</v>
      </c>
      <c r="F255" s="161" t="s">
        <v>1688</v>
      </c>
      <c r="G255" s="161" t="s">
        <v>1290</v>
      </c>
      <c r="H255" s="230">
        <v>0</v>
      </c>
      <c r="I255" s="230"/>
      <c r="J255" s="209" t="s">
        <v>1689</v>
      </c>
      <c r="K255" s="209"/>
      <c r="L255" s="209" t="s">
        <v>1182</v>
      </c>
      <c r="O255" s="228" t="s">
        <v>49</v>
      </c>
      <c r="P255" s="228" t="s">
        <v>49</v>
      </c>
      <c r="Q255" s="228" t="s">
        <v>49</v>
      </c>
      <c r="R255" s="228" t="s">
        <v>49</v>
      </c>
      <c r="S255" s="228" t="s">
        <v>49</v>
      </c>
      <c r="T255" s="210" t="s">
        <v>1192</v>
      </c>
      <c r="U255" s="228" t="s">
        <v>49</v>
      </c>
      <c r="V255" s="228" t="s">
        <v>49</v>
      </c>
      <c r="W255" s="210" t="s">
        <v>1192</v>
      </c>
      <c r="X255" s="228" t="s">
        <v>49</v>
      </c>
      <c r="Y255" s="228" t="s">
        <v>49</v>
      </c>
      <c r="Z255" s="210" t="s">
        <v>1192</v>
      </c>
      <c r="AA255" s="341" t="s">
        <v>203</v>
      </c>
      <c r="AB255" s="368" t="s">
        <v>203</v>
      </c>
    </row>
    <row r="256" spans="1:28" ht="15.75">
      <c r="A256" s="272" t="s">
        <v>580</v>
      </c>
      <c r="B256" s="161" t="s">
        <v>1182</v>
      </c>
      <c r="C256" s="161" t="s">
        <v>17</v>
      </c>
      <c r="D256" s="209" t="s">
        <v>1183</v>
      </c>
      <c r="E256" s="209" t="s">
        <v>1184</v>
      </c>
      <c r="F256" s="161" t="s">
        <v>1690</v>
      </c>
      <c r="G256" s="161"/>
      <c r="H256" s="230">
        <v>0</v>
      </c>
      <c r="I256" s="230" t="s">
        <v>1418</v>
      </c>
      <c r="J256" s="209" t="s">
        <v>1298</v>
      </c>
      <c r="K256" s="209"/>
      <c r="L256" s="209" t="s">
        <v>1182</v>
      </c>
      <c r="M256" s="214" t="s">
        <v>1216</v>
      </c>
      <c r="O256" s="228" t="s">
        <v>1191</v>
      </c>
      <c r="P256" s="228" t="s">
        <v>1191</v>
      </c>
      <c r="Q256" s="228" t="s">
        <v>1191</v>
      </c>
      <c r="R256" s="228" t="s">
        <v>1191</v>
      </c>
      <c r="S256" s="228" t="s">
        <v>1191</v>
      </c>
      <c r="T256" s="210" t="s">
        <v>49</v>
      </c>
      <c r="U256" s="437" t="s">
        <v>1191</v>
      </c>
      <c r="V256" s="228" t="s">
        <v>1192</v>
      </c>
      <c r="W256" s="210" t="s">
        <v>49</v>
      </c>
      <c r="X256" s="228" t="s">
        <v>1192</v>
      </c>
      <c r="Y256" s="228" t="s">
        <v>1192</v>
      </c>
      <c r="Z256" s="210" t="s">
        <v>49</v>
      </c>
      <c r="AA256" s="341" t="s">
        <v>203</v>
      </c>
      <c r="AB256" s="368" t="s">
        <v>203</v>
      </c>
    </row>
    <row r="257" spans="1:28" ht="15.75">
      <c r="A257" s="209" t="s">
        <v>1156</v>
      </c>
      <c r="B257" s="161" t="s">
        <v>1182</v>
      </c>
      <c r="C257" s="161" t="s">
        <v>17</v>
      </c>
      <c r="D257" s="209" t="s">
        <v>1183</v>
      </c>
      <c r="E257" s="209" t="s">
        <v>1184</v>
      </c>
      <c r="F257" s="161" t="s">
        <v>1691</v>
      </c>
      <c r="G257" s="161" t="s">
        <v>1186</v>
      </c>
      <c r="H257" s="230">
        <v>0</v>
      </c>
      <c r="I257" s="230" t="s">
        <v>49</v>
      </c>
      <c r="J257" s="209" t="s">
        <v>361</v>
      </c>
      <c r="K257" s="209"/>
      <c r="L257" s="210" t="s">
        <v>1182</v>
      </c>
      <c r="M257" s="210" t="s">
        <v>1216</v>
      </c>
      <c r="O257" s="228" t="s">
        <v>1191</v>
      </c>
      <c r="P257" s="228" t="s">
        <v>1191</v>
      </c>
      <c r="Q257" s="228" t="s">
        <v>1191</v>
      </c>
      <c r="R257" s="228" t="s">
        <v>1191</v>
      </c>
      <c r="S257" s="228" t="s">
        <v>1192</v>
      </c>
      <c r="T257" s="210" t="s">
        <v>49</v>
      </c>
      <c r="U257" s="228" t="s">
        <v>1192</v>
      </c>
      <c r="V257" s="228" t="s">
        <v>1192</v>
      </c>
      <c r="W257" s="210" t="s">
        <v>49</v>
      </c>
      <c r="X257" s="228" t="s">
        <v>1192</v>
      </c>
      <c r="Y257" s="228" t="s">
        <v>1192</v>
      </c>
      <c r="Z257" s="210" t="s">
        <v>49</v>
      </c>
      <c r="AA257" s="341" t="s">
        <v>203</v>
      </c>
      <c r="AB257" s="368" t="s">
        <v>203</v>
      </c>
    </row>
    <row r="258" spans="1:28" ht="15" customHeight="1">
      <c r="A258" s="209" t="s">
        <v>1156</v>
      </c>
      <c r="B258" s="161" t="s">
        <v>1182</v>
      </c>
      <c r="C258" s="161" t="s">
        <v>66</v>
      </c>
      <c r="D258" s="209"/>
      <c r="E258" s="209" t="s">
        <v>1203</v>
      </c>
      <c r="F258" s="161" t="s">
        <v>1692</v>
      </c>
      <c r="G258" s="161" t="s">
        <v>1205</v>
      </c>
      <c r="H258" s="230">
        <v>0</v>
      </c>
      <c r="I258" s="230"/>
      <c r="J258" s="161" t="s">
        <v>1693</v>
      </c>
      <c r="K258" s="209"/>
      <c r="O258" s="210" t="s">
        <v>1191</v>
      </c>
      <c r="P258" s="210" t="s">
        <v>1191</v>
      </c>
      <c r="Q258" s="210" t="s">
        <v>1191</v>
      </c>
      <c r="R258" s="210" t="s">
        <v>1192</v>
      </c>
      <c r="S258" s="210" t="s">
        <v>1192</v>
      </c>
      <c r="T258" s="210" t="s">
        <v>49</v>
      </c>
      <c r="U258" s="210" t="s">
        <v>1192</v>
      </c>
      <c r="V258" s="210" t="s">
        <v>1192</v>
      </c>
      <c r="W258" s="210" t="s">
        <v>49</v>
      </c>
      <c r="X258" s="210" t="s">
        <v>1192</v>
      </c>
      <c r="Y258" s="210" t="s">
        <v>1192</v>
      </c>
      <c r="Z258" s="210" t="s">
        <v>49</v>
      </c>
      <c r="AA258" s="341" t="s">
        <v>203</v>
      </c>
      <c r="AB258" s="341" t="s">
        <v>203</v>
      </c>
    </row>
    <row r="259" spans="1:28" ht="15" customHeight="1">
      <c r="A259" s="209" t="s">
        <v>1156</v>
      </c>
      <c r="B259" s="161" t="s">
        <v>1182</v>
      </c>
      <c r="C259" s="169" t="s">
        <v>955</v>
      </c>
      <c r="D259" s="209" t="s">
        <v>1193</v>
      </c>
      <c r="E259" s="209" t="s">
        <v>1194</v>
      </c>
      <c r="F259" s="161" t="s">
        <v>1694</v>
      </c>
      <c r="G259" s="161" t="s">
        <v>1258</v>
      </c>
      <c r="H259" s="230">
        <v>0</v>
      </c>
      <c r="I259" s="230"/>
      <c r="J259" s="209" t="s">
        <v>361</v>
      </c>
      <c r="K259" s="209"/>
      <c r="L259" s="209" t="s">
        <v>1182</v>
      </c>
      <c r="O259" s="228" t="s">
        <v>1192</v>
      </c>
      <c r="P259" s="209" t="s">
        <v>1191</v>
      </c>
      <c r="Q259" s="209" t="s">
        <v>1191</v>
      </c>
      <c r="R259" s="209" t="s">
        <v>1191</v>
      </c>
      <c r="S259" s="228" t="s">
        <v>1192</v>
      </c>
      <c r="T259" s="210" t="s">
        <v>49</v>
      </c>
      <c r="U259" s="228" t="s">
        <v>1192</v>
      </c>
      <c r="V259" s="228" t="s">
        <v>1192</v>
      </c>
      <c r="W259" s="210" t="s">
        <v>49</v>
      </c>
      <c r="X259" s="228" t="s">
        <v>1192</v>
      </c>
      <c r="Y259" s="228" t="s">
        <v>1192</v>
      </c>
      <c r="Z259" s="210" t="s">
        <v>49</v>
      </c>
      <c r="AA259" s="341" t="s">
        <v>203</v>
      </c>
      <c r="AB259" s="368" t="s">
        <v>203</v>
      </c>
    </row>
    <row r="260" spans="1:28" ht="15">
      <c r="A260" s="272" t="s">
        <v>609</v>
      </c>
      <c r="B260" s="161" t="s">
        <v>1182</v>
      </c>
      <c r="C260" s="169" t="s">
        <v>954</v>
      </c>
      <c r="D260" s="209" t="s">
        <v>1193</v>
      </c>
      <c r="E260" s="209" t="s">
        <v>1695</v>
      </c>
      <c r="F260" s="161" t="s">
        <v>1696</v>
      </c>
      <c r="G260" s="161"/>
      <c r="H260" s="230">
        <v>0</v>
      </c>
      <c r="I260" s="230" t="s">
        <v>49</v>
      </c>
      <c r="J260" s="209" t="s">
        <v>361</v>
      </c>
      <c r="K260" s="209"/>
      <c r="L260" s="209" t="s">
        <v>1182</v>
      </c>
      <c r="O260" s="161" t="s">
        <v>1191</v>
      </c>
      <c r="P260" s="161" t="s">
        <v>1191</v>
      </c>
      <c r="Q260" s="161" t="s">
        <v>1191</v>
      </c>
      <c r="R260" s="228" t="s">
        <v>1191</v>
      </c>
      <c r="S260" s="228" t="s">
        <v>1192</v>
      </c>
      <c r="T260" s="210" t="s">
        <v>49</v>
      </c>
      <c r="U260" s="228" t="s">
        <v>1191</v>
      </c>
      <c r="V260" s="228" t="s">
        <v>1192</v>
      </c>
      <c r="W260" s="210" t="s">
        <v>49</v>
      </c>
      <c r="X260" s="228" t="s">
        <v>1192</v>
      </c>
      <c r="Y260" s="228" t="s">
        <v>1192</v>
      </c>
      <c r="Z260" s="210" t="s">
        <v>49</v>
      </c>
      <c r="AA260" s="341" t="s">
        <v>203</v>
      </c>
      <c r="AB260" s="341" t="s">
        <v>203</v>
      </c>
    </row>
    <row r="261" spans="1:28" ht="15.75">
      <c r="A261" s="209" t="s">
        <v>1156</v>
      </c>
      <c r="B261" s="161" t="s">
        <v>1189</v>
      </c>
      <c r="C261" s="169" t="s">
        <v>39</v>
      </c>
      <c r="D261" s="209" t="s">
        <v>1281</v>
      </c>
      <c r="E261" s="161" t="s">
        <v>1282</v>
      </c>
      <c r="F261" s="161" t="s">
        <v>1697</v>
      </c>
      <c r="G261" s="161" t="s">
        <v>1290</v>
      </c>
      <c r="H261" s="209">
        <v>0</v>
      </c>
      <c r="I261" s="209"/>
      <c r="J261" s="427" t="s">
        <v>1284</v>
      </c>
      <c r="K261" s="209"/>
      <c r="L261" s="210" t="s">
        <v>1189</v>
      </c>
      <c r="N261" s="228" t="s">
        <v>1405</v>
      </c>
      <c r="O261" s="228" t="s">
        <v>49</v>
      </c>
      <c r="P261" s="228" t="s">
        <v>49</v>
      </c>
      <c r="Q261" s="228" t="s">
        <v>49</v>
      </c>
      <c r="R261" s="228" t="s">
        <v>49</v>
      </c>
      <c r="S261" s="228" t="s">
        <v>49</v>
      </c>
      <c r="T261" s="210" t="s">
        <v>1192</v>
      </c>
      <c r="U261" s="228" t="s">
        <v>49</v>
      </c>
      <c r="V261" s="228" t="s">
        <v>49</v>
      </c>
      <c r="W261" s="210" t="s">
        <v>1192</v>
      </c>
      <c r="X261" s="228" t="s">
        <v>49</v>
      </c>
      <c r="Y261" s="228" t="s">
        <v>49</v>
      </c>
      <c r="Z261" s="210" t="s">
        <v>1192</v>
      </c>
      <c r="AA261" s="341" t="s">
        <v>203</v>
      </c>
      <c r="AB261" s="368" t="s">
        <v>203</v>
      </c>
    </row>
    <row r="262" spans="1:28" ht="15.75">
      <c r="A262" s="209" t="s">
        <v>1156</v>
      </c>
      <c r="B262" s="161" t="s">
        <v>1189</v>
      </c>
      <c r="C262" s="169" t="s">
        <v>39</v>
      </c>
      <c r="D262" s="209" t="s">
        <v>1281</v>
      </c>
      <c r="E262" s="161" t="s">
        <v>1282</v>
      </c>
      <c r="F262" s="161" t="s">
        <v>1698</v>
      </c>
      <c r="G262" s="161" t="s">
        <v>1290</v>
      </c>
      <c r="H262" s="209">
        <v>0</v>
      </c>
      <c r="I262" s="209"/>
      <c r="J262" s="427" t="s">
        <v>1699</v>
      </c>
      <c r="K262" s="209"/>
      <c r="L262" s="210" t="s">
        <v>1189</v>
      </c>
      <c r="O262" s="228" t="s">
        <v>49</v>
      </c>
      <c r="P262" s="228" t="s">
        <v>49</v>
      </c>
      <c r="Q262" s="228" t="s">
        <v>49</v>
      </c>
      <c r="R262" s="228" t="s">
        <v>49</v>
      </c>
      <c r="S262" s="228" t="s">
        <v>49</v>
      </c>
      <c r="T262" s="210" t="s">
        <v>1192</v>
      </c>
      <c r="U262" s="228" t="s">
        <v>49</v>
      </c>
      <c r="V262" s="228" t="s">
        <v>49</v>
      </c>
      <c r="W262" s="210" t="s">
        <v>1192</v>
      </c>
      <c r="X262" s="228" t="s">
        <v>49</v>
      </c>
      <c r="Y262" s="228" t="s">
        <v>49</v>
      </c>
      <c r="Z262" s="210" t="s">
        <v>1192</v>
      </c>
      <c r="AA262" s="341" t="s">
        <v>203</v>
      </c>
      <c r="AB262" s="368" t="s">
        <v>203</v>
      </c>
    </row>
    <row r="263" spans="1:28" ht="15">
      <c r="A263" s="209" t="s">
        <v>585</v>
      </c>
      <c r="B263" s="161" t="s">
        <v>1182</v>
      </c>
      <c r="C263" s="169" t="s">
        <v>110</v>
      </c>
      <c r="D263" s="209" t="s">
        <v>1700</v>
      </c>
      <c r="E263" s="209"/>
      <c r="F263" s="161" t="s">
        <v>1701</v>
      </c>
      <c r="G263" s="161" t="s">
        <v>1702</v>
      </c>
      <c r="H263" s="230">
        <v>0</v>
      </c>
      <c r="I263" s="230" t="s">
        <v>1703</v>
      </c>
      <c r="J263" s="230" t="s">
        <v>1703</v>
      </c>
      <c r="K263" s="209"/>
      <c r="O263" s="210" t="s">
        <v>49</v>
      </c>
      <c r="P263" s="210" t="s">
        <v>49</v>
      </c>
      <c r="Q263" s="210" t="s">
        <v>49</v>
      </c>
      <c r="R263" s="228" t="s">
        <v>1191</v>
      </c>
      <c r="S263" s="228" t="s">
        <v>1192</v>
      </c>
      <c r="T263" s="210" t="s">
        <v>49</v>
      </c>
      <c r="U263" s="228" t="s">
        <v>49</v>
      </c>
      <c r="V263" s="228" t="s">
        <v>1192</v>
      </c>
      <c r="W263" s="210" t="s">
        <v>49</v>
      </c>
      <c r="X263" s="228" t="s">
        <v>1192</v>
      </c>
      <c r="Y263" s="228" t="s">
        <v>1192</v>
      </c>
      <c r="Z263" s="210" t="s">
        <v>49</v>
      </c>
      <c r="AA263" s="341" t="s">
        <v>203</v>
      </c>
      <c r="AB263" s="341" t="s">
        <v>203</v>
      </c>
    </row>
    <row r="264" spans="1:28" ht="15.75">
      <c r="A264" s="161" t="s">
        <v>585</v>
      </c>
      <c r="B264" s="161" t="s">
        <v>1182</v>
      </c>
      <c r="C264" s="209" t="s">
        <v>17</v>
      </c>
      <c r="D264" s="161" t="s">
        <v>1274</v>
      </c>
      <c r="E264" s="161" t="s">
        <v>1184</v>
      </c>
      <c r="F264" s="161" t="s">
        <v>670</v>
      </c>
      <c r="G264" s="161"/>
      <c r="H264" s="230"/>
      <c r="I264" s="230" t="s">
        <v>1704</v>
      </c>
      <c r="J264" s="209" t="s">
        <v>1705</v>
      </c>
      <c r="K264" s="209"/>
      <c r="L264" s="161" t="s">
        <v>1182</v>
      </c>
      <c r="M264" s="209" t="s">
        <v>1304</v>
      </c>
      <c r="N264" s="161" t="s">
        <v>1706</v>
      </c>
      <c r="O264" s="161" t="s">
        <v>1191</v>
      </c>
      <c r="P264" s="161" t="s">
        <v>1191</v>
      </c>
      <c r="Q264" s="161" t="s">
        <v>1191</v>
      </c>
      <c r="R264" s="161" t="s">
        <v>1191</v>
      </c>
      <c r="S264" s="161" t="s">
        <v>1191</v>
      </c>
      <c r="T264" s="210" t="s">
        <v>49</v>
      </c>
      <c r="U264" s="228" t="s">
        <v>1191</v>
      </c>
      <c r="V264" s="228" t="s">
        <v>1192</v>
      </c>
      <c r="W264" s="210" t="s">
        <v>49</v>
      </c>
      <c r="X264" s="228" t="s">
        <v>1192</v>
      </c>
      <c r="Y264" s="228" t="s">
        <v>1192</v>
      </c>
      <c r="Z264" s="210" t="s">
        <v>49</v>
      </c>
      <c r="AA264" s="341" t="s">
        <v>203</v>
      </c>
      <c r="AB264" s="368" t="s">
        <v>203</v>
      </c>
    </row>
    <row r="265" spans="1:28" ht="15.75">
      <c r="A265" s="161" t="s">
        <v>580</v>
      </c>
      <c r="B265" s="161" t="s">
        <v>1182</v>
      </c>
      <c r="C265" s="209" t="s">
        <v>17</v>
      </c>
      <c r="D265" s="161" t="s">
        <v>1314</v>
      </c>
      <c r="E265" s="161" t="s">
        <v>1184</v>
      </c>
      <c r="F265" s="161" t="s">
        <v>729</v>
      </c>
      <c r="G265" s="161" t="s">
        <v>1199</v>
      </c>
      <c r="H265" s="230"/>
      <c r="I265" s="230" t="s">
        <v>1226</v>
      </c>
      <c r="J265" t="s">
        <v>1226</v>
      </c>
      <c r="K265" s="209"/>
      <c r="L265" s="209" t="s">
        <v>1182</v>
      </c>
      <c r="M265" s="214" t="s">
        <v>1707</v>
      </c>
      <c r="N265" s="161" t="s">
        <v>1708</v>
      </c>
      <c r="O265" s="371" t="s">
        <v>1191</v>
      </c>
      <c r="P265" s="371" t="s">
        <v>1191</v>
      </c>
      <c r="Q265" s="371" t="s">
        <v>1191</v>
      </c>
      <c r="R265" s="371" t="s">
        <v>1191</v>
      </c>
      <c r="S265" s="228" t="s">
        <v>1192</v>
      </c>
      <c r="T265" s="210" t="s">
        <v>49</v>
      </c>
      <c r="U265" s="437" t="s">
        <v>1191</v>
      </c>
      <c r="V265" s="228" t="s">
        <v>1192</v>
      </c>
      <c r="W265" s="210" t="s">
        <v>49</v>
      </c>
      <c r="X265" s="228" t="s">
        <v>1192</v>
      </c>
      <c r="Y265" s="228" t="s">
        <v>1192</v>
      </c>
      <c r="Z265" s="210" t="s">
        <v>49</v>
      </c>
      <c r="AA265" s="341" t="s">
        <v>203</v>
      </c>
      <c r="AB265" s="368" t="s">
        <v>203</v>
      </c>
    </row>
    <row r="266" spans="1:28" ht="15.75">
      <c r="A266" s="209" t="s">
        <v>1156</v>
      </c>
      <c r="B266" s="161" t="s">
        <v>1182</v>
      </c>
      <c r="C266" s="161" t="s">
        <v>17</v>
      </c>
      <c r="D266" s="209" t="s">
        <v>1314</v>
      </c>
      <c r="E266" s="209" t="s">
        <v>1184</v>
      </c>
      <c r="F266" s="161" t="s">
        <v>1709</v>
      </c>
      <c r="G266" s="161" t="s">
        <v>1186</v>
      </c>
      <c r="H266" s="230"/>
      <c r="I266" s="230" t="s">
        <v>49</v>
      </c>
      <c r="J266" s="209" t="s">
        <v>361</v>
      </c>
      <c r="K266" s="209"/>
      <c r="L266" s="210" t="s">
        <v>1182</v>
      </c>
      <c r="M266" s="210" t="s">
        <v>1216</v>
      </c>
      <c r="O266" s="228" t="s">
        <v>1191</v>
      </c>
      <c r="P266" s="228" t="s">
        <v>1191</v>
      </c>
      <c r="Q266" s="228" t="s">
        <v>1191</v>
      </c>
      <c r="R266" s="228" t="s">
        <v>1191</v>
      </c>
      <c r="S266" s="228" t="s">
        <v>1192</v>
      </c>
      <c r="T266" s="210" t="s">
        <v>49</v>
      </c>
      <c r="U266" s="228" t="s">
        <v>1192</v>
      </c>
      <c r="V266" s="228" t="s">
        <v>1192</v>
      </c>
      <c r="W266" s="210" t="s">
        <v>49</v>
      </c>
      <c r="X266" s="228" t="s">
        <v>1192</v>
      </c>
      <c r="Y266" s="228" t="s">
        <v>1192</v>
      </c>
      <c r="Z266" s="210" t="s">
        <v>49</v>
      </c>
      <c r="AA266" s="341" t="s">
        <v>203</v>
      </c>
      <c r="AB266" s="368" t="s">
        <v>203</v>
      </c>
    </row>
    <row r="267" spans="1:28" ht="150">
      <c r="A267" s="209" t="s">
        <v>1156</v>
      </c>
      <c r="B267" s="161" t="s">
        <v>1182</v>
      </c>
      <c r="C267" s="169" t="s">
        <v>17</v>
      </c>
      <c r="D267" s="209" t="s">
        <v>1710</v>
      </c>
      <c r="E267" s="209" t="s">
        <v>1184</v>
      </c>
      <c r="F267" s="161" t="s">
        <v>1711</v>
      </c>
      <c r="G267" s="161" t="s">
        <v>1186</v>
      </c>
      <c r="H267" s="230"/>
      <c r="I267" s="230" t="s">
        <v>1712</v>
      </c>
      <c r="J267" s="209" t="s">
        <v>361</v>
      </c>
      <c r="K267" s="209"/>
      <c r="L267" s="209" t="s">
        <v>1182</v>
      </c>
      <c r="M267" s="162" t="s">
        <v>1713</v>
      </c>
      <c r="O267" s="228" t="s">
        <v>1191</v>
      </c>
      <c r="P267" s="228" t="s">
        <v>1191</v>
      </c>
      <c r="Q267" s="228" t="s">
        <v>1191</v>
      </c>
      <c r="R267" s="228" t="s">
        <v>1191</v>
      </c>
      <c r="S267" s="228" t="s">
        <v>1192</v>
      </c>
      <c r="T267" s="210" t="s">
        <v>49</v>
      </c>
      <c r="U267" s="228" t="s">
        <v>1192</v>
      </c>
      <c r="V267" s="228" t="s">
        <v>1192</v>
      </c>
      <c r="W267" s="210" t="s">
        <v>49</v>
      </c>
      <c r="X267" s="228" t="s">
        <v>1192</v>
      </c>
      <c r="Y267" s="228" t="s">
        <v>1192</v>
      </c>
      <c r="Z267" s="210" t="s">
        <v>49</v>
      </c>
      <c r="AA267" s="341" t="s">
        <v>203</v>
      </c>
      <c r="AB267" s="368" t="s">
        <v>203</v>
      </c>
    </row>
    <row r="268" spans="1:28" ht="15">
      <c r="A268" s="161" t="s">
        <v>580</v>
      </c>
      <c r="B268" s="161" t="s">
        <v>1182</v>
      </c>
      <c r="C268" s="169" t="s">
        <v>954</v>
      </c>
      <c r="D268" s="161" t="s">
        <v>1193</v>
      </c>
      <c r="E268" s="161" t="s">
        <v>1695</v>
      </c>
      <c r="F268" s="161" t="s">
        <v>704</v>
      </c>
      <c r="G268" s="161"/>
      <c r="H268" s="230"/>
      <c r="I268" s="230" t="s">
        <v>1714</v>
      </c>
      <c r="J268" s="209"/>
      <c r="K268" s="209"/>
      <c r="L268" s="209" t="s">
        <v>1182</v>
      </c>
      <c r="M268" s="209" t="s">
        <v>361</v>
      </c>
      <c r="N268" s="161" t="s">
        <v>1715</v>
      </c>
      <c r="O268" s="161" t="s">
        <v>1191</v>
      </c>
      <c r="P268" s="161" t="s">
        <v>1191</v>
      </c>
      <c r="Q268" s="161" t="s">
        <v>1191</v>
      </c>
      <c r="R268" s="161" t="s">
        <v>1191</v>
      </c>
      <c r="S268" s="161" t="s">
        <v>1191</v>
      </c>
      <c r="T268" s="210" t="s">
        <v>49</v>
      </c>
      <c r="U268" s="228" t="s">
        <v>1191</v>
      </c>
      <c r="V268" s="228" t="s">
        <v>1192</v>
      </c>
      <c r="W268" s="210" t="s">
        <v>49</v>
      </c>
      <c r="X268" s="228" t="s">
        <v>1192</v>
      </c>
      <c r="Y268" s="228" t="s">
        <v>1192</v>
      </c>
      <c r="Z268" s="210" t="s">
        <v>49</v>
      </c>
      <c r="AA268" s="341" t="s">
        <v>203</v>
      </c>
      <c r="AB268" s="341" t="s">
        <v>203</v>
      </c>
    </row>
    <row r="269" spans="1:28" ht="15">
      <c r="A269" s="161" t="s">
        <v>580</v>
      </c>
      <c r="B269" s="161" t="s">
        <v>1182</v>
      </c>
      <c r="C269" s="169" t="s">
        <v>954</v>
      </c>
      <c r="D269" s="161" t="s">
        <v>1193</v>
      </c>
      <c r="E269" s="161" t="s">
        <v>1695</v>
      </c>
      <c r="F269" s="338" t="s">
        <v>744</v>
      </c>
      <c r="G269" s="338"/>
      <c r="H269" s="230"/>
      <c r="I269" s="230" t="s">
        <v>1212</v>
      </c>
      <c r="J269" s="209" t="s">
        <v>1212</v>
      </c>
      <c r="K269" s="209"/>
      <c r="L269" s="209" t="s">
        <v>1189</v>
      </c>
      <c r="M269" s="370" t="s">
        <v>1716</v>
      </c>
      <c r="N269" s="161" t="s">
        <v>1717</v>
      </c>
      <c r="O269" s="161" t="s">
        <v>1191</v>
      </c>
      <c r="P269" s="161" t="s">
        <v>1191</v>
      </c>
      <c r="Q269" s="161" t="s">
        <v>1191</v>
      </c>
      <c r="R269" s="161" t="s">
        <v>1191</v>
      </c>
      <c r="S269" s="161" t="s">
        <v>1191</v>
      </c>
      <c r="T269" s="210" t="s">
        <v>49</v>
      </c>
      <c r="U269" s="228" t="s">
        <v>1191</v>
      </c>
      <c r="V269" s="228" t="s">
        <v>1192</v>
      </c>
      <c r="W269" s="210" t="s">
        <v>49</v>
      </c>
      <c r="X269" s="228" t="s">
        <v>1192</v>
      </c>
      <c r="Y269" s="228" t="s">
        <v>1192</v>
      </c>
      <c r="Z269" s="210" t="s">
        <v>49</v>
      </c>
      <c r="AA269" s="341" t="s">
        <v>203</v>
      </c>
      <c r="AB269" s="341" t="s">
        <v>203</v>
      </c>
    </row>
    <row r="270" spans="1:28" ht="15">
      <c r="A270" s="161" t="s">
        <v>580</v>
      </c>
      <c r="B270" s="161" t="s">
        <v>1182</v>
      </c>
      <c r="C270" s="209" t="s">
        <v>954</v>
      </c>
      <c r="D270" s="161" t="s">
        <v>1193</v>
      </c>
      <c r="E270" s="161" t="s">
        <v>1695</v>
      </c>
      <c r="F270" s="162" t="s">
        <v>600</v>
      </c>
      <c r="G270" s="162"/>
      <c r="H270" s="230"/>
      <c r="I270" s="230" t="s">
        <v>1718</v>
      </c>
      <c r="J270" s="209" t="s">
        <v>1379</v>
      </c>
      <c r="K270" s="209"/>
      <c r="L270" s="209" t="s">
        <v>1182</v>
      </c>
      <c r="M270" s="209" t="s">
        <v>361</v>
      </c>
      <c r="N270" s="161" t="s">
        <v>1719</v>
      </c>
      <c r="O270" s="161" t="s">
        <v>1191</v>
      </c>
      <c r="P270" s="161" t="s">
        <v>1191</v>
      </c>
      <c r="Q270" s="161" t="s">
        <v>1191</v>
      </c>
      <c r="R270" s="228" t="s">
        <v>1191</v>
      </c>
      <c r="S270" s="228" t="s">
        <v>1192</v>
      </c>
      <c r="T270" s="210" t="s">
        <v>49</v>
      </c>
      <c r="U270" s="228" t="s">
        <v>1191</v>
      </c>
      <c r="V270" s="228" t="s">
        <v>1192</v>
      </c>
      <c r="W270" s="210" t="s">
        <v>49</v>
      </c>
      <c r="X270" s="228" t="s">
        <v>1192</v>
      </c>
      <c r="Y270" s="228" t="s">
        <v>1192</v>
      </c>
      <c r="Z270" s="210" t="s">
        <v>49</v>
      </c>
      <c r="AA270" s="341" t="s">
        <v>203</v>
      </c>
      <c r="AB270" s="341" t="s">
        <v>203</v>
      </c>
    </row>
    <row r="271" spans="1:28" ht="15">
      <c r="A271" s="161" t="s">
        <v>580</v>
      </c>
      <c r="B271" s="161" t="s">
        <v>1182</v>
      </c>
      <c r="C271" s="169" t="s">
        <v>954</v>
      </c>
      <c r="D271" s="161" t="s">
        <v>1193</v>
      </c>
      <c r="E271" s="161" t="s">
        <v>1695</v>
      </c>
      <c r="F271" s="162" t="s">
        <v>738</v>
      </c>
      <c r="G271" s="162"/>
      <c r="H271" s="230"/>
      <c r="I271" s="230" t="s">
        <v>1212</v>
      </c>
      <c r="J271" s="209"/>
      <c r="K271" s="209"/>
      <c r="L271" s="209" t="s">
        <v>1182</v>
      </c>
      <c r="M271" s="209" t="s">
        <v>361</v>
      </c>
      <c r="N271" s="161" t="s">
        <v>1720</v>
      </c>
      <c r="O271" s="161" t="s">
        <v>1191</v>
      </c>
      <c r="P271" s="161" t="s">
        <v>1191</v>
      </c>
      <c r="Q271" s="161" t="s">
        <v>1191</v>
      </c>
      <c r="R271" s="228" t="s">
        <v>1191</v>
      </c>
      <c r="S271" s="228" t="s">
        <v>1192</v>
      </c>
      <c r="T271" s="210" t="s">
        <v>49</v>
      </c>
      <c r="U271" s="228" t="s">
        <v>1191</v>
      </c>
      <c r="V271" s="228" t="s">
        <v>1192</v>
      </c>
      <c r="W271" s="210" t="s">
        <v>49</v>
      </c>
      <c r="X271" s="228" t="s">
        <v>1192</v>
      </c>
      <c r="Y271" s="228" t="s">
        <v>1192</v>
      </c>
      <c r="Z271" s="210" t="s">
        <v>49</v>
      </c>
      <c r="AA271" s="341" t="s">
        <v>203</v>
      </c>
      <c r="AB271" s="341" t="s">
        <v>203</v>
      </c>
    </row>
    <row r="272" spans="1:28" ht="15.75">
      <c r="A272" s="209" t="s">
        <v>1156</v>
      </c>
      <c r="B272" s="161" t="s">
        <v>1182</v>
      </c>
      <c r="C272" s="161" t="s">
        <v>36</v>
      </c>
      <c r="D272" s="209" t="s">
        <v>1183</v>
      </c>
      <c r="E272" s="209" t="s">
        <v>1434</v>
      </c>
      <c r="F272" s="161" t="s">
        <v>1721</v>
      </c>
      <c r="G272" s="161" t="s">
        <v>1436</v>
      </c>
      <c r="H272" s="230"/>
      <c r="I272" s="209" t="s">
        <v>1722</v>
      </c>
      <c r="J272" s="209" t="s">
        <v>1723</v>
      </c>
      <c r="K272" s="209"/>
      <c r="L272" s="209" t="s">
        <v>1189</v>
      </c>
      <c r="M272" s="214" t="s">
        <v>1190</v>
      </c>
      <c r="O272" s="228" t="s">
        <v>1192</v>
      </c>
      <c r="P272" s="228" t="s">
        <v>1192</v>
      </c>
      <c r="Q272" s="228" t="s">
        <v>1192</v>
      </c>
      <c r="R272" s="228" t="s">
        <v>1192</v>
      </c>
      <c r="S272" s="228" t="s">
        <v>1192</v>
      </c>
      <c r="T272" s="210" t="s">
        <v>49</v>
      </c>
      <c r="U272" s="228" t="s">
        <v>1192</v>
      </c>
      <c r="V272" s="228" t="s">
        <v>1192</v>
      </c>
      <c r="W272" s="210" t="s">
        <v>49</v>
      </c>
      <c r="X272" s="228" t="s">
        <v>1192</v>
      </c>
      <c r="Y272" s="228" t="s">
        <v>1192</v>
      </c>
      <c r="Z272" s="210" t="s">
        <v>49</v>
      </c>
      <c r="AA272" s="341" t="s">
        <v>203</v>
      </c>
      <c r="AB272" s="368" t="s">
        <v>203</v>
      </c>
    </row>
    <row r="273" spans="1:28" ht="15.75">
      <c r="A273" s="209" t="s">
        <v>1156</v>
      </c>
      <c r="B273" s="161" t="s">
        <v>1182</v>
      </c>
      <c r="C273" s="169" t="s">
        <v>17</v>
      </c>
      <c r="D273" s="209" t="s">
        <v>1183</v>
      </c>
      <c r="E273" s="209" t="s">
        <v>1184</v>
      </c>
      <c r="F273" s="161" t="s">
        <v>1724</v>
      </c>
      <c r="G273" s="161" t="s">
        <v>1186</v>
      </c>
      <c r="H273" s="230"/>
      <c r="I273" s="230" t="s">
        <v>49</v>
      </c>
      <c r="J273" s="209" t="s">
        <v>361</v>
      </c>
      <c r="K273" s="209"/>
      <c r="L273" s="209" t="s">
        <v>1182</v>
      </c>
      <c r="M273" s="214" t="s">
        <v>1216</v>
      </c>
      <c r="O273" s="228" t="s">
        <v>1191</v>
      </c>
      <c r="P273" s="228" t="s">
        <v>1191</v>
      </c>
      <c r="Q273" s="228" t="s">
        <v>1191</v>
      </c>
      <c r="R273" s="228" t="s">
        <v>1191</v>
      </c>
      <c r="S273" s="228" t="s">
        <v>1192</v>
      </c>
      <c r="T273" s="210" t="s">
        <v>49</v>
      </c>
      <c r="U273" s="228" t="s">
        <v>1192</v>
      </c>
      <c r="V273" s="228" t="s">
        <v>1192</v>
      </c>
      <c r="W273" s="210" t="s">
        <v>49</v>
      </c>
      <c r="X273" s="228" t="s">
        <v>1192</v>
      </c>
      <c r="Y273" s="228" t="s">
        <v>1192</v>
      </c>
      <c r="Z273" s="210" t="s">
        <v>49</v>
      </c>
      <c r="AA273" s="341" t="s">
        <v>203</v>
      </c>
      <c r="AB273" s="368" t="s">
        <v>203</v>
      </c>
    </row>
    <row r="274" spans="1:28" ht="15">
      <c r="A274" s="209" t="s">
        <v>1156</v>
      </c>
      <c r="B274" s="161" t="s">
        <v>1182</v>
      </c>
      <c r="C274" s="169" t="s">
        <v>954</v>
      </c>
      <c r="D274" s="209" t="s">
        <v>1193</v>
      </c>
      <c r="E274" s="209" t="s">
        <v>1695</v>
      </c>
      <c r="F274" s="161" t="s">
        <v>1725</v>
      </c>
      <c r="G274" s="161" t="s">
        <v>1258</v>
      </c>
      <c r="H274" s="230"/>
      <c r="I274" s="230"/>
      <c r="J274" s="209" t="s">
        <v>361</v>
      </c>
      <c r="K274" s="209"/>
      <c r="L274" s="209" t="s">
        <v>1182</v>
      </c>
      <c r="O274" s="228" t="s">
        <v>1192</v>
      </c>
      <c r="P274" s="228" t="s">
        <v>1192</v>
      </c>
      <c r="Q274" s="228" t="s">
        <v>1192</v>
      </c>
      <c r="R274" s="228" t="s">
        <v>1192</v>
      </c>
      <c r="S274" s="228" t="s">
        <v>1192</v>
      </c>
      <c r="T274" s="210" t="s">
        <v>49</v>
      </c>
      <c r="U274" s="228" t="s">
        <v>1192</v>
      </c>
      <c r="V274" s="228" t="s">
        <v>1192</v>
      </c>
      <c r="W274" s="210" t="s">
        <v>49</v>
      </c>
      <c r="X274" s="228" t="s">
        <v>1192</v>
      </c>
      <c r="Y274" s="228" t="s">
        <v>1192</v>
      </c>
      <c r="Z274" s="210" t="s">
        <v>49</v>
      </c>
      <c r="AA274" s="341" t="s">
        <v>203</v>
      </c>
      <c r="AB274" s="341" t="s">
        <v>203</v>
      </c>
    </row>
    <row r="275" spans="1:28" ht="13.5" customHeight="1">
      <c r="A275" s="209" t="s">
        <v>585</v>
      </c>
      <c r="B275" s="161" t="s">
        <v>1182</v>
      </c>
      <c r="C275" s="209" t="s">
        <v>955</v>
      </c>
      <c r="D275" s="161" t="s">
        <v>1193</v>
      </c>
      <c r="E275" s="161" t="s">
        <v>1194</v>
      </c>
      <c r="F275" s="162" t="s">
        <v>1726</v>
      </c>
      <c r="G275" s="162"/>
      <c r="H275" s="230"/>
      <c r="I275" s="230" t="s">
        <v>1645</v>
      </c>
      <c r="J275" s="209"/>
      <c r="K275" s="209"/>
      <c r="L275" s="209" t="s">
        <v>1182</v>
      </c>
      <c r="M275" s="209" t="s">
        <v>361</v>
      </c>
      <c r="N275" s="161" t="s">
        <v>1405</v>
      </c>
      <c r="O275" s="161" t="s">
        <v>1191</v>
      </c>
      <c r="P275" s="161" t="s">
        <v>1191</v>
      </c>
      <c r="Q275" s="161" t="s">
        <v>1191</v>
      </c>
      <c r="R275" s="161" t="s">
        <v>1191</v>
      </c>
      <c r="S275" s="228" t="s">
        <v>1213</v>
      </c>
      <c r="T275" s="210" t="s">
        <v>49</v>
      </c>
      <c r="U275" s="228" t="s">
        <v>1191</v>
      </c>
      <c r="V275" s="228" t="s">
        <v>1192</v>
      </c>
      <c r="W275" s="210" t="s">
        <v>49</v>
      </c>
      <c r="X275" s="228" t="s">
        <v>1192</v>
      </c>
      <c r="Y275" s="228" t="s">
        <v>1192</v>
      </c>
      <c r="Z275" s="210" t="s">
        <v>49</v>
      </c>
      <c r="AA275" s="341" t="s">
        <v>203</v>
      </c>
      <c r="AB275" s="368" t="s">
        <v>203</v>
      </c>
    </row>
    <row r="276" spans="1:28" ht="13.5" customHeight="1">
      <c r="A276" s="209" t="s">
        <v>580</v>
      </c>
      <c r="B276" s="161" t="s">
        <v>1182</v>
      </c>
      <c r="C276" s="209" t="s">
        <v>955</v>
      </c>
      <c r="D276" s="161" t="s">
        <v>1193</v>
      </c>
      <c r="E276" s="161" t="s">
        <v>1194</v>
      </c>
      <c r="F276" s="417" t="s">
        <v>1727</v>
      </c>
      <c r="G276" s="338" t="s">
        <v>1543</v>
      </c>
      <c r="I276" s="210" t="s">
        <v>49</v>
      </c>
      <c r="L276" s="210" t="s">
        <v>1189</v>
      </c>
      <c r="M276" s="210" t="s">
        <v>1728</v>
      </c>
      <c r="O276" s="209" t="s">
        <v>1191</v>
      </c>
      <c r="P276" s="210" t="s">
        <v>1192</v>
      </c>
      <c r="Q276" s="210" t="s">
        <v>1192</v>
      </c>
      <c r="R276" s="210" t="s">
        <v>1192</v>
      </c>
      <c r="S276" s="210" t="s">
        <v>1192</v>
      </c>
      <c r="T276" s="210" t="s">
        <v>49</v>
      </c>
      <c r="U276" s="210" t="s">
        <v>1192</v>
      </c>
      <c r="V276" s="210" t="s">
        <v>1192</v>
      </c>
      <c r="W276" s="210" t="s">
        <v>49</v>
      </c>
      <c r="X276" s="210" t="s">
        <v>1192</v>
      </c>
      <c r="Y276" s="210" t="s">
        <v>1192</v>
      </c>
      <c r="Z276" s="210" t="s">
        <v>49</v>
      </c>
      <c r="AA276" s="341" t="s">
        <v>203</v>
      </c>
      <c r="AB276" s="368" t="s">
        <v>203</v>
      </c>
    </row>
    <row r="277" spans="1:28" ht="13.5" customHeight="1">
      <c r="A277" s="209" t="s">
        <v>580</v>
      </c>
      <c r="B277" s="210" t="s">
        <v>1182</v>
      </c>
      <c r="C277" s="169" t="s">
        <v>17</v>
      </c>
      <c r="D277" s="209" t="s">
        <v>1183</v>
      </c>
      <c r="E277" s="209" t="s">
        <v>1184</v>
      </c>
      <c r="F277" s="161" t="s">
        <v>1729</v>
      </c>
      <c r="G277" s="161" t="s">
        <v>1199</v>
      </c>
      <c r="H277" s="161"/>
      <c r="I277" s="230" t="s">
        <v>1730</v>
      </c>
      <c r="J277" t="s">
        <v>1730</v>
      </c>
      <c r="K277" s="161"/>
      <c r="L277" s="161" t="s">
        <v>1189</v>
      </c>
      <c r="M277" s="169" t="s">
        <v>1190</v>
      </c>
      <c r="O277" s="228" t="s">
        <v>1191</v>
      </c>
      <c r="P277" s="228" t="s">
        <v>1191</v>
      </c>
      <c r="Q277" s="228" t="s">
        <v>1191</v>
      </c>
      <c r="R277" s="210" t="s">
        <v>1191</v>
      </c>
      <c r="S277" s="228" t="s">
        <v>1192</v>
      </c>
      <c r="T277" s="210" t="s">
        <v>49</v>
      </c>
      <c r="U277" s="437" t="s">
        <v>1191</v>
      </c>
      <c r="V277" s="210" t="s">
        <v>1192</v>
      </c>
      <c r="W277" s="210" t="s">
        <v>49</v>
      </c>
      <c r="X277" s="210" t="s">
        <v>1192</v>
      </c>
      <c r="Y277" s="210" t="s">
        <v>1192</v>
      </c>
      <c r="Z277" s="210" t="s">
        <v>49</v>
      </c>
      <c r="AA277" s="341" t="s">
        <v>203</v>
      </c>
      <c r="AB277" s="368" t="s">
        <v>203</v>
      </c>
    </row>
    <row r="278" spans="1:28" ht="13.5" customHeight="1">
      <c r="A278" s="209" t="s">
        <v>580</v>
      </c>
      <c r="B278" s="210" t="s">
        <v>1182</v>
      </c>
      <c r="C278" s="169" t="s">
        <v>17</v>
      </c>
      <c r="D278" s="209" t="s">
        <v>1183</v>
      </c>
      <c r="E278" s="209" t="s">
        <v>1184</v>
      </c>
      <c r="F278" s="161" t="s">
        <v>1731</v>
      </c>
      <c r="G278" s="161" t="s">
        <v>1199</v>
      </c>
      <c r="H278" s="161"/>
      <c r="I278" s="230" t="s">
        <v>1732</v>
      </c>
      <c r="J278" t="s">
        <v>1731</v>
      </c>
      <c r="K278" s="161"/>
      <c r="L278" s="161" t="s">
        <v>1189</v>
      </c>
      <c r="M278" s="169" t="s">
        <v>1190</v>
      </c>
      <c r="O278" s="228" t="s">
        <v>1191</v>
      </c>
      <c r="P278" s="228" t="s">
        <v>1191</v>
      </c>
      <c r="Q278" s="228" t="s">
        <v>1191</v>
      </c>
      <c r="R278" s="210" t="s">
        <v>1191</v>
      </c>
      <c r="S278" s="228" t="s">
        <v>1192</v>
      </c>
      <c r="T278" s="210" t="s">
        <v>49</v>
      </c>
      <c r="U278" s="437" t="s">
        <v>1191</v>
      </c>
      <c r="V278" s="210" t="s">
        <v>1192</v>
      </c>
      <c r="W278" s="210" t="s">
        <v>49</v>
      </c>
      <c r="X278" s="210" t="s">
        <v>1192</v>
      </c>
      <c r="Y278" s="210" t="s">
        <v>1192</v>
      </c>
      <c r="Z278" s="210" t="s">
        <v>49</v>
      </c>
      <c r="AA278" s="341" t="s">
        <v>203</v>
      </c>
      <c r="AB278" s="368" t="s">
        <v>203</v>
      </c>
    </row>
    <row r="279" spans="1:28" ht="13.5" customHeight="1">
      <c r="A279" s="210" t="s">
        <v>580</v>
      </c>
      <c r="B279" s="210" t="s">
        <v>1182</v>
      </c>
      <c r="C279" s="169" t="s">
        <v>17</v>
      </c>
      <c r="D279" s="209" t="s">
        <v>1183</v>
      </c>
      <c r="E279" s="209" t="s">
        <v>1184</v>
      </c>
      <c r="F279" s="161" t="s">
        <v>1733</v>
      </c>
      <c r="G279" s="161"/>
      <c r="H279" s="161"/>
      <c r="I279" s="230" t="s">
        <v>1734</v>
      </c>
      <c r="J279" s="161"/>
      <c r="K279" s="161"/>
      <c r="L279" s="161" t="s">
        <v>1182</v>
      </c>
      <c r="M279" s="161"/>
      <c r="O279" s="228" t="s">
        <v>1191</v>
      </c>
      <c r="P279" s="228" t="s">
        <v>1191</v>
      </c>
      <c r="Q279" s="228" t="s">
        <v>1191</v>
      </c>
      <c r="R279" s="210" t="s">
        <v>1191</v>
      </c>
      <c r="S279" s="228" t="s">
        <v>1191</v>
      </c>
      <c r="T279" s="210" t="s">
        <v>49</v>
      </c>
      <c r="U279" s="210" t="s">
        <v>1192</v>
      </c>
      <c r="V279" s="210" t="s">
        <v>1192</v>
      </c>
      <c r="W279" s="210" t="s">
        <v>49</v>
      </c>
      <c r="X279" s="210" t="s">
        <v>1192</v>
      </c>
      <c r="Y279" s="210" t="s">
        <v>1192</v>
      </c>
      <c r="Z279" s="210" t="s">
        <v>49</v>
      </c>
      <c r="AA279" s="341" t="s">
        <v>203</v>
      </c>
      <c r="AB279" s="368" t="s">
        <v>951</v>
      </c>
    </row>
    <row r="280" spans="1:28" ht="13.5" customHeight="1">
      <c r="A280" s="210" t="s">
        <v>585</v>
      </c>
      <c r="B280" s="210" t="s">
        <v>1182</v>
      </c>
      <c r="C280" s="210" t="s">
        <v>112</v>
      </c>
      <c r="D280" s="210" t="s">
        <v>1230</v>
      </c>
      <c r="E280" s="210" t="s">
        <v>112</v>
      </c>
      <c r="F280" s="161" t="s">
        <v>1735</v>
      </c>
      <c r="G280" s="161"/>
      <c r="H280" s="161"/>
      <c r="I280" s="161" t="s">
        <v>49</v>
      </c>
      <c r="J280" s="161"/>
      <c r="K280" s="161"/>
      <c r="L280" s="209" t="s">
        <v>1182</v>
      </c>
      <c r="M280" s="209" t="s">
        <v>1246</v>
      </c>
      <c r="N280" s="210" t="s">
        <v>1736</v>
      </c>
      <c r="O280" s="209" t="s">
        <v>1191</v>
      </c>
      <c r="P280" s="210" t="s">
        <v>1191</v>
      </c>
      <c r="Q280" s="209" t="s">
        <v>1191</v>
      </c>
      <c r="R280" s="209" t="s">
        <v>1191</v>
      </c>
      <c r="S280" s="209" t="s">
        <v>1191</v>
      </c>
      <c r="T280" s="210" t="s">
        <v>49</v>
      </c>
      <c r="U280" s="228" t="s">
        <v>1191</v>
      </c>
      <c r="V280" s="228" t="s">
        <v>1192</v>
      </c>
      <c r="W280" s="210" t="s">
        <v>49</v>
      </c>
      <c r="X280" s="228" t="s">
        <v>1192</v>
      </c>
      <c r="Y280" s="228" t="s">
        <v>1192</v>
      </c>
      <c r="Z280" s="210" t="s">
        <v>49</v>
      </c>
      <c r="AA280" s="341" t="s">
        <v>203</v>
      </c>
      <c r="AB280" s="341" t="s">
        <v>203</v>
      </c>
    </row>
    <row r="281" spans="1:28" ht="13.5" customHeight="1">
      <c r="A281" s="210" t="s">
        <v>580</v>
      </c>
      <c r="B281" s="210" t="s">
        <v>1182</v>
      </c>
      <c r="C281" s="210" t="s">
        <v>17</v>
      </c>
      <c r="D281" s="210" t="s">
        <v>1183</v>
      </c>
      <c r="E281" s="210" t="s">
        <v>1184</v>
      </c>
      <c r="F281" s="161" t="s">
        <v>1737</v>
      </c>
      <c r="G281" s="161"/>
      <c r="H281" s="161"/>
      <c r="I281" s="230" t="s">
        <v>1418</v>
      </c>
      <c r="J281" s="161"/>
      <c r="K281" s="161"/>
      <c r="L281" s="209" t="s">
        <v>1182</v>
      </c>
      <c r="M281" s="161"/>
      <c r="O281" s="228" t="s">
        <v>1191</v>
      </c>
      <c r="P281" s="228" t="s">
        <v>1191</v>
      </c>
      <c r="Q281" s="228" t="s">
        <v>1191</v>
      </c>
      <c r="R281" s="210" t="s">
        <v>1191</v>
      </c>
      <c r="S281" s="228" t="s">
        <v>1191</v>
      </c>
      <c r="T281" s="210" t="s">
        <v>49</v>
      </c>
      <c r="U281" s="210" t="s">
        <v>1191</v>
      </c>
      <c r="V281" s="210" t="s">
        <v>1192</v>
      </c>
      <c r="W281" s="210" t="s">
        <v>49</v>
      </c>
      <c r="X281" s="210" t="s">
        <v>1192</v>
      </c>
      <c r="Y281" s="210" t="s">
        <v>1192</v>
      </c>
      <c r="Z281" s="210" t="s">
        <v>49</v>
      </c>
      <c r="AA281" s="341" t="s">
        <v>203</v>
      </c>
      <c r="AB281" s="368" t="s">
        <v>951</v>
      </c>
    </row>
    <row r="282" spans="1:28" ht="13.5" customHeight="1">
      <c r="A282" s="210" t="s">
        <v>580</v>
      </c>
      <c r="B282" s="210" t="s">
        <v>1182</v>
      </c>
      <c r="C282" s="210" t="s">
        <v>17</v>
      </c>
      <c r="D282" s="161" t="s">
        <v>1274</v>
      </c>
      <c r="E282" s="210" t="s">
        <v>1184</v>
      </c>
      <c r="F282" s="161" t="s">
        <v>1738</v>
      </c>
      <c r="G282" s="161"/>
      <c r="H282" s="161"/>
      <c r="I282" s="161" t="s">
        <v>1610</v>
      </c>
      <c r="J282" s="161"/>
      <c r="K282" s="161"/>
      <c r="L282" s="161" t="s">
        <v>1182</v>
      </c>
      <c r="M282" s="161" t="s">
        <v>1277</v>
      </c>
      <c r="O282" s="228" t="s">
        <v>1191</v>
      </c>
      <c r="P282" s="228" t="s">
        <v>1191</v>
      </c>
      <c r="Q282" s="228" t="s">
        <v>1191</v>
      </c>
      <c r="R282" s="210" t="s">
        <v>1191</v>
      </c>
      <c r="S282" s="228" t="s">
        <v>1191</v>
      </c>
      <c r="T282" s="210" t="s">
        <v>49</v>
      </c>
      <c r="U282" s="210" t="s">
        <v>1191</v>
      </c>
      <c r="V282" s="210" t="s">
        <v>1192</v>
      </c>
      <c r="W282" s="210" t="s">
        <v>49</v>
      </c>
      <c r="X282" s="210" t="s">
        <v>1192</v>
      </c>
      <c r="Y282" s="210" t="s">
        <v>1192</v>
      </c>
      <c r="Z282" s="210" t="s">
        <v>49</v>
      </c>
      <c r="AA282" s="341" t="s">
        <v>203</v>
      </c>
      <c r="AB282" s="368" t="s">
        <v>951</v>
      </c>
    </row>
    <row r="283" spans="1:28" ht="13.5" customHeight="1">
      <c r="A283" s="210" t="s">
        <v>580</v>
      </c>
      <c r="B283" s="210" t="s">
        <v>1182</v>
      </c>
      <c r="C283" s="210" t="s">
        <v>43</v>
      </c>
      <c r="D283" t="s">
        <v>1248</v>
      </c>
      <c r="E283" s="210" t="s">
        <v>1739</v>
      </c>
      <c r="F283" s="161" t="s">
        <v>1740</v>
      </c>
      <c r="G283" s="161"/>
      <c r="H283" s="161"/>
      <c r="I283" s="161" t="s">
        <v>49</v>
      </c>
      <c r="J283" s="161"/>
      <c r="K283" s="161"/>
      <c r="L283" s="161" t="s">
        <v>1189</v>
      </c>
      <c r="M283" s="161" t="s">
        <v>1252</v>
      </c>
      <c r="O283" s="209" t="s">
        <v>1191</v>
      </c>
      <c r="P283" s="209" t="s">
        <v>1191</v>
      </c>
      <c r="Q283" s="209" t="s">
        <v>1191</v>
      </c>
      <c r="R283" s="209" t="s">
        <v>1191</v>
      </c>
      <c r="S283" s="209" t="s">
        <v>1191</v>
      </c>
      <c r="T283" s="210" t="s">
        <v>49</v>
      </c>
      <c r="U283" s="210" t="s">
        <v>1192</v>
      </c>
      <c r="V283" s="210" t="s">
        <v>1192</v>
      </c>
      <c r="W283" s="210" t="s">
        <v>49</v>
      </c>
      <c r="X283" s="210" t="s">
        <v>1192</v>
      </c>
      <c r="Y283" s="210" t="s">
        <v>1192</v>
      </c>
      <c r="Z283" s="210" t="s">
        <v>49</v>
      </c>
      <c r="AA283" s="341" t="s">
        <v>203</v>
      </c>
      <c r="AB283" s="341" t="s">
        <v>203</v>
      </c>
    </row>
    <row r="284" spans="1:28" ht="13.5" customHeight="1">
      <c r="A284" s="210" t="s">
        <v>580</v>
      </c>
      <c r="B284" s="210" t="s">
        <v>1182</v>
      </c>
      <c r="C284" s="210" t="s">
        <v>43</v>
      </c>
      <c r="D284" t="s">
        <v>1248</v>
      </c>
      <c r="E284" s="210" t="s">
        <v>1739</v>
      </c>
      <c r="F284" s="161" t="s">
        <v>1741</v>
      </c>
      <c r="G284" s="161"/>
      <c r="H284" s="161"/>
      <c r="I284" s="161" t="s">
        <v>1742</v>
      </c>
      <c r="J284" s="161"/>
      <c r="K284" s="161"/>
      <c r="L284" s="161" t="s">
        <v>1182</v>
      </c>
      <c r="M284" s="161"/>
      <c r="O284" s="209" t="s">
        <v>1191</v>
      </c>
      <c r="P284" s="209" t="s">
        <v>1191</v>
      </c>
      <c r="Q284" s="209" t="s">
        <v>1191</v>
      </c>
      <c r="R284" s="209" t="s">
        <v>1191</v>
      </c>
      <c r="S284" s="209" t="s">
        <v>1191</v>
      </c>
      <c r="T284" s="210" t="s">
        <v>49</v>
      </c>
      <c r="U284" s="210" t="s">
        <v>1191</v>
      </c>
      <c r="V284" s="210" t="s">
        <v>1192</v>
      </c>
      <c r="W284" s="210" t="s">
        <v>49</v>
      </c>
      <c r="X284" s="210" t="s">
        <v>1192</v>
      </c>
      <c r="Y284" s="210" t="s">
        <v>1192</v>
      </c>
      <c r="Z284" s="210" t="s">
        <v>49</v>
      </c>
      <c r="AA284" s="341" t="s">
        <v>203</v>
      </c>
      <c r="AB284" s="341" t="s">
        <v>203</v>
      </c>
    </row>
    <row r="285" spans="1:28" ht="13.5" customHeight="1">
      <c r="A285" s="210" t="s">
        <v>580</v>
      </c>
      <c r="B285" s="210" t="s">
        <v>1182</v>
      </c>
      <c r="C285" s="210" t="s">
        <v>43</v>
      </c>
      <c r="D285" t="s">
        <v>1248</v>
      </c>
      <c r="E285" s="210" t="s">
        <v>1739</v>
      </c>
      <c r="F285" s="161" t="s">
        <v>1743</v>
      </c>
      <c r="G285" s="161"/>
      <c r="H285" s="161"/>
      <c r="I285" s="161" t="s">
        <v>1744</v>
      </c>
      <c r="J285" s="161"/>
      <c r="K285" s="161"/>
      <c r="L285" s="161" t="s">
        <v>1182</v>
      </c>
      <c r="M285" s="161"/>
      <c r="O285" s="209" t="s">
        <v>1191</v>
      </c>
      <c r="P285" s="209" t="s">
        <v>1191</v>
      </c>
      <c r="Q285" s="209" t="s">
        <v>1191</v>
      </c>
      <c r="R285" s="209" t="s">
        <v>1191</v>
      </c>
      <c r="S285" s="209" t="s">
        <v>1191</v>
      </c>
      <c r="T285" s="210" t="s">
        <v>49</v>
      </c>
      <c r="U285" s="210" t="s">
        <v>1191</v>
      </c>
      <c r="V285" s="210" t="s">
        <v>1192</v>
      </c>
      <c r="W285" s="210" t="s">
        <v>49</v>
      </c>
      <c r="X285" s="210" t="s">
        <v>1192</v>
      </c>
      <c r="Y285" s="210" t="s">
        <v>1192</v>
      </c>
      <c r="Z285" s="210" t="s">
        <v>49</v>
      </c>
      <c r="AA285" s="341" t="s">
        <v>203</v>
      </c>
      <c r="AB285" s="341" t="s">
        <v>203</v>
      </c>
    </row>
    <row r="286" spans="1:28" ht="13.5" customHeight="1">
      <c r="A286" s="210" t="s">
        <v>580</v>
      </c>
      <c r="B286" s="210" t="s">
        <v>1182</v>
      </c>
      <c r="C286" s="210" t="s">
        <v>43</v>
      </c>
      <c r="D286" t="s">
        <v>1248</v>
      </c>
      <c r="E286" s="210" t="s">
        <v>1739</v>
      </c>
      <c r="F286" s="161" t="s">
        <v>1745</v>
      </c>
      <c r="G286" s="161"/>
      <c r="H286" s="161"/>
      <c r="I286" s="161" t="s">
        <v>1746</v>
      </c>
      <c r="J286" s="161"/>
      <c r="K286" s="161"/>
      <c r="L286" s="161" t="s">
        <v>1182</v>
      </c>
      <c r="M286" s="161"/>
      <c r="O286" s="209" t="s">
        <v>1191</v>
      </c>
      <c r="P286" s="209" t="s">
        <v>1191</v>
      </c>
      <c r="Q286" s="209" t="s">
        <v>1191</v>
      </c>
      <c r="R286" s="209" t="s">
        <v>1191</v>
      </c>
      <c r="S286" s="209" t="s">
        <v>1191</v>
      </c>
      <c r="T286" s="210" t="s">
        <v>49</v>
      </c>
      <c r="U286" s="210" t="s">
        <v>1191</v>
      </c>
      <c r="V286" s="210" t="s">
        <v>1192</v>
      </c>
      <c r="W286" s="210" t="s">
        <v>49</v>
      </c>
      <c r="X286" s="210" t="s">
        <v>1192</v>
      </c>
      <c r="Y286" s="210" t="s">
        <v>1192</v>
      </c>
      <c r="Z286" s="210" t="s">
        <v>49</v>
      </c>
      <c r="AA286" s="341" t="s">
        <v>203</v>
      </c>
      <c r="AB286" s="341" t="s">
        <v>203</v>
      </c>
    </row>
    <row r="287" spans="1:28" ht="13.5" customHeight="1">
      <c r="A287" s="210" t="s">
        <v>580</v>
      </c>
      <c r="B287" s="210" t="s">
        <v>1182</v>
      </c>
      <c r="C287" s="210" t="s">
        <v>43</v>
      </c>
      <c r="D287" t="s">
        <v>1248</v>
      </c>
      <c r="E287" s="210" t="s">
        <v>1739</v>
      </c>
      <c r="F287" s="161" t="s">
        <v>1747</v>
      </c>
      <c r="G287" s="161"/>
      <c r="H287" s="161"/>
      <c r="I287" s="161" t="s">
        <v>1748</v>
      </c>
      <c r="J287" s="161"/>
      <c r="K287" s="161"/>
      <c r="L287" s="161" t="s">
        <v>1182</v>
      </c>
      <c r="M287" s="161"/>
      <c r="O287" s="210" t="s">
        <v>1191</v>
      </c>
      <c r="P287" s="210" t="s">
        <v>1191</v>
      </c>
      <c r="Q287" s="210" t="s">
        <v>1191</v>
      </c>
      <c r="R287" s="210" t="s">
        <v>1191</v>
      </c>
      <c r="S287" s="209" t="s">
        <v>1191</v>
      </c>
      <c r="T287" s="210" t="s">
        <v>49</v>
      </c>
      <c r="U287" s="210" t="s">
        <v>1191</v>
      </c>
      <c r="V287" s="210" t="s">
        <v>1192</v>
      </c>
      <c r="W287" s="210" t="s">
        <v>49</v>
      </c>
      <c r="X287" s="210" t="s">
        <v>1192</v>
      </c>
      <c r="Y287" s="210" t="s">
        <v>1192</v>
      </c>
      <c r="Z287" s="210" t="s">
        <v>49</v>
      </c>
      <c r="AA287" s="341" t="s">
        <v>203</v>
      </c>
      <c r="AB287" s="341" t="s">
        <v>203</v>
      </c>
    </row>
    <row r="288" spans="1:28" ht="13.5" customHeight="1">
      <c r="A288" s="210" t="s">
        <v>580</v>
      </c>
      <c r="B288" s="210" t="s">
        <v>1182</v>
      </c>
      <c r="C288" s="210" t="s">
        <v>43</v>
      </c>
      <c r="D288" t="s">
        <v>1248</v>
      </c>
      <c r="E288" s="210" t="s">
        <v>1739</v>
      </c>
      <c r="F288" s="161" t="s">
        <v>1749</v>
      </c>
      <c r="G288" s="161"/>
      <c r="H288" s="161"/>
      <c r="I288" s="162" t="s">
        <v>1750</v>
      </c>
      <c r="J288" s="161"/>
      <c r="K288" s="161"/>
      <c r="L288" s="161" t="s">
        <v>1182</v>
      </c>
      <c r="M288" s="161"/>
      <c r="O288" s="209" t="s">
        <v>1191</v>
      </c>
      <c r="P288" s="209" t="s">
        <v>1191</v>
      </c>
      <c r="Q288" s="209" t="s">
        <v>1191</v>
      </c>
      <c r="R288" s="209" t="s">
        <v>1191</v>
      </c>
      <c r="S288" s="209" t="s">
        <v>1191</v>
      </c>
      <c r="T288" s="210" t="s">
        <v>49</v>
      </c>
      <c r="U288" s="210" t="s">
        <v>1191</v>
      </c>
      <c r="V288" s="210" t="s">
        <v>1192</v>
      </c>
      <c r="W288" s="210" t="s">
        <v>49</v>
      </c>
      <c r="X288" s="210" t="s">
        <v>1192</v>
      </c>
      <c r="Y288" s="210" t="s">
        <v>1192</v>
      </c>
      <c r="Z288" s="210" t="s">
        <v>49</v>
      </c>
      <c r="AA288" s="341" t="s">
        <v>203</v>
      </c>
      <c r="AB288" s="341" t="s">
        <v>203</v>
      </c>
    </row>
    <row r="289" spans="1:28" ht="13.5" customHeight="1">
      <c r="A289" s="210" t="s">
        <v>580</v>
      </c>
      <c r="B289" s="161" t="s">
        <v>1182</v>
      </c>
      <c r="C289" s="209" t="s">
        <v>953</v>
      </c>
      <c r="D289" s="161" t="s">
        <v>1243</v>
      </c>
      <c r="E289" s="161" t="s">
        <v>1460</v>
      </c>
      <c r="F289" s="161" t="s">
        <v>1751</v>
      </c>
      <c r="G289" s="161"/>
      <c r="H289" s="161"/>
      <c r="I289" s="161" t="s">
        <v>1370</v>
      </c>
      <c r="J289" s="161"/>
      <c r="K289" s="161"/>
      <c r="L289" s="210" t="s">
        <v>1182</v>
      </c>
      <c r="O289" s="209" t="s">
        <v>1191</v>
      </c>
      <c r="P289" s="209" t="s">
        <v>1191</v>
      </c>
      <c r="Q289" s="209" t="s">
        <v>1191</v>
      </c>
      <c r="R289" s="209" t="s">
        <v>1191</v>
      </c>
      <c r="S289" s="210" t="s">
        <v>1192</v>
      </c>
      <c r="T289" s="210" t="s">
        <v>49</v>
      </c>
      <c r="U289" s="210" t="s">
        <v>1191</v>
      </c>
      <c r="V289" s="210" t="s">
        <v>1192</v>
      </c>
      <c r="W289" s="210" t="s">
        <v>49</v>
      </c>
      <c r="X289" s="210" t="s">
        <v>1192</v>
      </c>
      <c r="Y289" s="210" t="s">
        <v>1192</v>
      </c>
      <c r="Z289" s="210" t="s">
        <v>49</v>
      </c>
      <c r="AA289" s="341" t="s">
        <v>203</v>
      </c>
      <c r="AB289" s="341" t="s">
        <v>203</v>
      </c>
    </row>
    <row r="290" spans="1:28" ht="13.5" customHeight="1">
      <c r="A290" s="210" t="s">
        <v>609</v>
      </c>
      <c r="B290" s="210" t="s">
        <v>1182</v>
      </c>
      <c r="C290" s="210" t="s">
        <v>17</v>
      </c>
      <c r="D290" s="209" t="s">
        <v>1183</v>
      </c>
      <c r="E290" s="209" t="s">
        <v>1184</v>
      </c>
      <c r="F290" s="417" t="s">
        <v>815</v>
      </c>
      <c r="G290" s="417" t="s">
        <v>1752</v>
      </c>
      <c r="H290" s="161"/>
      <c r="I290" s="230" t="s">
        <v>1418</v>
      </c>
      <c r="J290" s="161"/>
      <c r="K290" s="161"/>
      <c r="L290" s="209" t="s">
        <v>1182</v>
      </c>
      <c r="O290" s="372" t="s">
        <v>1192</v>
      </c>
      <c r="P290" s="371" t="s">
        <v>1192</v>
      </c>
      <c r="Q290" s="372" t="s">
        <v>1192</v>
      </c>
      <c r="R290" s="372" t="s">
        <v>1192</v>
      </c>
      <c r="S290" s="372" t="s">
        <v>1192</v>
      </c>
      <c r="T290" s="210" t="s">
        <v>49</v>
      </c>
      <c r="U290" s="210" t="s">
        <v>1192</v>
      </c>
      <c r="V290" s="210" t="s">
        <v>1192</v>
      </c>
      <c r="W290" s="210" t="s">
        <v>49</v>
      </c>
      <c r="X290" s="210" t="s">
        <v>1192</v>
      </c>
      <c r="Y290" s="210" t="s">
        <v>1192</v>
      </c>
      <c r="Z290" s="210" t="s">
        <v>49</v>
      </c>
      <c r="AA290" s="341" t="s">
        <v>203</v>
      </c>
      <c r="AB290" s="368" t="s">
        <v>203</v>
      </c>
    </row>
    <row r="291" spans="1:28" ht="13.5" customHeight="1">
      <c r="A291" s="210" t="s">
        <v>580</v>
      </c>
      <c r="B291" s="210" t="s">
        <v>1182</v>
      </c>
      <c r="C291" s="210" t="s">
        <v>26</v>
      </c>
      <c r="D291" s="209" t="s">
        <v>1193</v>
      </c>
      <c r="E291" s="210" t="s">
        <v>1194</v>
      </c>
      <c r="F291" s="161" t="s">
        <v>1753</v>
      </c>
      <c r="G291" s="338" t="s">
        <v>1543</v>
      </c>
      <c r="H291" s="161"/>
      <c r="I291" s="161" t="s">
        <v>49</v>
      </c>
      <c r="J291" s="161"/>
      <c r="K291" s="161"/>
      <c r="L291" s="209" t="s">
        <v>1182</v>
      </c>
      <c r="O291" s="209" t="s">
        <v>1191</v>
      </c>
      <c r="P291" s="209" t="s">
        <v>1191</v>
      </c>
      <c r="Q291" s="209" t="s">
        <v>1191</v>
      </c>
      <c r="R291" s="209" t="s">
        <v>1191</v>
      </c>
      <c r="S291" s="210" t="s">
        <v>1192</v>
      </c>
      <c r="T291" s="210" t="s">
        <v>49</v>
      </c>
      <c r="U291" s="210" t="s">
        <v>1191</v>
      </c>
      <c r="V291" s="210" t="s">
        <v>1192</v>
      </c>
      <c r="W291" s="210" t="s">
        <v>49</v>
      </c>
      <c r="X291" s="210" t="s">
        <v>1192</v>
      </c>
      <c r="Y291" s="210" t="s">
        <v>1192</v>
      </c>
      <c r="Z291" s="210" t="s">
        <v>49</v>
      </c>
      <c r="AA291" s="341" t="s">
        <v>203</v>
      </c>
      <c r="AB291" s="368" t="s">
        <v>203</v>
      </c>
    </row>
    <row r="292" spans="1:28" ht="13.5" customHeight="1">
      <c r="A292" s="210" t="s">
        <v>580</v>
      </c>
      <c r="B292" s="210" t="s">
        <v>1182</v>
      </c>
      <c r="C292" s="210" t="s">
        <v>26</v>
      </c>
      <c r="D292" s="209" t="s">
        <v>1193</v>
      </c>
      <c r="E292" s="210" t="s">
        <v>1194</v>
      </c>
      <c r="F292" s="163" t="s">
        <v>1754</v>
      </c>
      <c r="G292" s="338" t="s">
        <v>1543</v>
      </c>
      <c r="H292" s="161"/>
      <c r="I292" s="161" t="s">
        <v>49</v>
      </c>
      <c r="J292" s="161"/>
      <c r="K292" s="161"/>
      <c r="L292" s="209" t="s">
        <v>1182</v>
      </c>
      <c r="O292" s="209" t="s">
        <v>1191</v>
      </c>
      <c r="P292" s="209" t="s">
        <v>1191</v>
      </c>
      <c r="Q292" s="209" t="s">
        <v>1191</v>
      </c>
      <c r="R292" s="209" t="s">
        <v>1191</v>
      </c>
      <c r="S292" s="210" t="s">
        <v>1192</v>
      </c>
      <c r="T292" s="210" t="s">
        <v>49</v>
      </c>
      <c r="U292" s="210" t="s">
        <v>1191</v>
      </c>
      <c r="V292" s="210" t="s">
        <v>1192</v>
      </c>
      <c r="W292" s="210" t="s">
        <v>49</v>
      </c>
      <c r="X292" s="210" t="s">
        <v>1192</v>
      </c>
      <c r="Y292" s="210" t="s">
        <v>1192</v>
      </c>
      <c r="Z292" s="210" t="s">
        <v>49</v>
      </c>
      <c r="AA292" s="341" t="s">
        <v>203</v>
      </c>
      <c r="AB292" s="368" t="s">
        <v>203</v>
      </c>
    </row>
    <row r="293" spans="1:28" ht="13.5" customHeight="1">
      <c r="A293" s="210" t="s">
        <v>609</v>
      </c>
      <c r="B293" s="210" t="s">
        <v>1182</v>
      </c>
      <c r="C293" s="169" t="s">
        <v>17</v>
      </c>
      <c r="D293" s="209" t="s">
        <v>1314</v>
      </c>
      <c r="E293" s="209" t="s">
        <v>1184</v>
      </c>
      <c r="F293" s="210" t="s">
        <v>1755</v>
      </c>
      <c r="G293" s="161" t="s">
        <v>1199</v>
      </c>
      <c r="I293" s="230" t="s">
        <v>1422</v>
      </c>
      <c r="J293" t="s">
        <v>1422</v>
      </c>
      <c r="L293" s="210" t="s">
        <v>1182</v>
      </c>
      <c r="M293" s="210" t="s">
        <v>1216</v>
      </c>
      <c r="O293" s="371" t="s">
        <v>1191</v>
      </c>
      <c r="P293" s="371" t="s">
        <v>1191</v>
      </c>
      <c r="Q293" s="371" t="s">
        <v>1191</v>
      </c>
      <c r="R293" s="371" t="s">
        <v>1191</v>
      </c>
      <c r="S293" s="228" t="s">
        <v>1192</v>
      </c>
      <c r="T293" s="210" t="s">
        <v>49</v>
      </c>
      <c r="U293" s="210" t="s">
        <v>1191</v>
      </c>
      <c r="V293" s="210" t="s">
        <v>1192</v>
      </c>
      <c r="W293" s="210" t="s">
        <v>49</v>
      </c>
      <c r="X293" s="210" t="s">
        <v>1192</v>
      </c>
      <c r="Y293" s="210" t="s">
        <v>1192</v>
      </c>
      <c r="Z293" s="210" t="s">
        <v>49</v>
      </c>
      <c r="AA293" s="341" t="s">
        <v>203</v>
      </c>
      <c r="AB293" s="368" t="s">
        <v>203</v>
      </c>
    </row>
    <row r="294" spans="1:28" ht="13.5" customHeight="1">
      <c r="A294" s="210" t="s">
        <v>580</v>
      </c>
      <c r="B294" s="210" t="s">
        <v>1182</v>
      </c>
      <c r="C294" s="210" t="s">
        <v>955</v>
      </c>
      <c r="D294" s="209" t="s">
        <v>1193</v>
      </c>
      <c r="E294" s="210" t="s">
        <v>1194</v>
      </c>
      <c r="F294" s="210" t="s">
        <v>1756</v>
      </c>
      <c r="G294" s="338" t="s">
        <v>1543</v>
      </c>
      <c r="I294" s="210" t="s">
        <v>49</v>
      </c>
      <c r="L294" s="209" t="s">
        <v>1182</v>
      </c>
      <c r="O294" s="209" t="s">
        <v>1191</v>
      </c>
      <c r="P294" s="209" t="s">
        <v>1191</v>
      </c>
      <c r="Q294" s="209" t="s">
        <v>1191</v>
      </c>
      <c r="R294" s="209" t="s">
        <v>1191</v>
      </c>
      <c r="S294" s="210" t="s">
        <v>1192</v>
      </c>
      <c r="T294" s="210" t="s">
        <v>49</v>
      </c>
      <c r="U294" s="210" t="s">
        <v>1191</v>
      </c>
      <c r="V294" s="210" t="s">
        <v>1192</v>
      </c>
      <c r="W294" s="210" t="s">
        <v>49</v>
      </c>
      <c r="X294" s="210" t="s">
        <v>1192</v>
      </c>
      <c r="Y294" s="210" t="s">
        <v>1192</v>
      </c>
      <c r="Z294" s="210" t="s">
        <v>49</v>
      </c>
      <c r="AA294" s="341" t="s">
        <v>203</v>
      </c>
      <c r="AB294" s="368" t="s">
        <v>203</v>
      </c>
    </row>
    <row r="295" spans="1:28" ht="13.5" customHeight="1">
      <c r="A295" s="151" t="s">
        <v>609</v>
      </c>
      <c r="B295" s="151" t="s">
        <v>1189</v>
      </c>
      <c r="C295" s="151" t="s">
        <v>117</v>
      </c>
      <c r="D295" s="151" t="s">
        <v>1256</v>
      </c>
      <c r="E295" s="151" t="s">
        <v>117</v>
      </c>
      <c r="F295" s="151" t="s">
        <v>1757</v>
      </c>
      <c r="G295" s="151"/>
      <c r="I295" s="210" t="s">
        <v>1758</v>
      </c>
      <c r="N295" s="210" t="s">
        <v>1759</v>
      </c>
      <c r="O295" s="210" t="s">
        <v>49</v>
      </c>
      <c r="P295" s="228" t="s">
        <v>49</v>
      </c>
      <c r="Q295" s="228" t="s">
        <v>49</v>
      </c>
      <c r="R295" s="228" t="s">
        <v>49</v>
      </c>
      <c r="S295" s="228" t="s">
        <v>49</v>
      </c>
      <c r="T295" s="228" t="s">
        <v>1191</v>
      </c>
      <c r="U295" s="451" t="s">
        <v>49</v>
      </c>
      <c r="V295" s="437" t="s">
        <v>49</v>
      </c>
      <c r="W295" s="210" t="s">
        <v>1191</v>
      </c>
      <c r="X295" s="210" t="s">
        <v>1192</v>
      </c>
      <c r="Y295" s="210" t="s">
        <v>1192</v>
      </c>
      <c r="Z295" s="210" t="s">
        <v>49</v>
      </c>
      <c r="AA295" s="368" t="s">
        <v>203</v>
      </c>
      <c r="AB295" s="341" t="s">
        <v>203</v>
      </c>
    </row>
    <row r="296" spans="1:28" ht="13.5" customHeight="1">
      <c r="A296" s="210" t="s">
        <v>571</v>
      </c>
      <c r="B296" s="210" t="s">
        <v>1182</v>
      </c>
      <c r="C296" s="210" t="s">
        <v>47</v>
      </c>
      <c r="E296" s="326" t="s">
        <v>1760</v>
      </c>
      <c r="F296" s="215" t="s">
        <v>1761</v>
      </c>
      <c r="G296" s="215"/>
      <c r="L296" s="210" t="s">
        <v>1182</v>
      </c>
      <c r="O296" s="161" t="s">
        <v>1191</v>
      </c>
      <c r="P296" s="161" t="s">
        <v>1191</v>
      </c>
      <c r="Q296" s="161" t="s">
        <v>1191</v>
      </c>
      <c r="R296" s="161" t="s">
        <v>1191</v>
      </c>
      <c r="S296" s="210" t="s">
        <v>49</v>
      </c>
      <c r="T296" s="210" t="s">
        <v>49</v>
      </c>
      <c r="U296" s="228" t="s">
        <v>1191</v>
      </c>
      <c r="V296" s="210" t="s">
        <v>1192</v>
      </c>
      <c r="W296" s="210" t="s">
        <v>49</v>
      </c>
      <c r="X296" s="210" t="s">
        <v>1192</v>
      </c>
      <c r="Y296" s="210" t="s">
        <v>1192</v>
      </c>
      <c r="Z296" s="210" t="s">
        <v>49</v>
      </c>
      <c r="AA296" s="341" t="s">
        <v>203</v>
      </c>
      <c r="AB296" s="341" t="s">
        <v>203</v>
      </c>
    </row>
    <row r="297" spans="1:28" ht="13.5" customHeight="1">
      <c r="A297" s="210" t="s">
        <v>571</v>
      </c>
      <c r="B297" s="210" t="s">
        <v>1182</v>
      </c>
      <c r="C297" s="210" t="s">
        <v>113</v>
      </c>
      <c r="E297" s="210" t="s">
        <v>1762</v>
      </c>
      <c r="F297" s="210" t="s">
        <v>1763</v>
      </c>
      <c r="G297" s="210"/>
      <c r="L297" s="210" t="s">
        <v>1182</v>
      </c>
      <c r="O297" s="161" t="s">
        <v>1191</v>
      </c>
      <c r="P297" s="161" t="s">
        <v>1191</v>
      </c>
      <c r="Q297" s="161" t="s">
        <v>1191</v>
      </c>
      <c r="R297" s="161" t="s">
        <v>1191</v>
      </c>
      <c r="S297" s="210" t="s">
        <v>49</v>
      </c>
      <c r="T297" s="210" t="s">
        <v>49</v>
      </c>
      <c r="U297" s="228" t="s">
        <v>1191</v>
      </c>
      <c r="V297" s="210" t="s">
        <v>1192</v>
      </c>
      <c r="W297" s="210" t="s">
        <v>49</v>
      </c>
      <c r="X297" s="210" t="s">
        <v>1192</v>
      </c>
      <c r="Y297" s="210" t="s">
        <v>1192</v>
      </c>
      <c r="Z297" s="210" t="s">
        <v>49</v>
      </c>
      <c r="AA297" s="341" t="s">
        <v>203</v>
      </c>
      <c r="AB297" s="341" t="s">
        <v>203</v>
      </c>
    </row>
    <row r="298" spans="1:28" ht="13.5" customHeight="1">
      <c r="A298" s="210" t="s">
        <v>571</v>
      </c>
      <c r="B298" s="161" t="s">
        <v>1764</v>
      </c>
      <c r="C298" s="209" t="s">
        <v>57</v>
      </c>
      <c r="D298" s="161" t="s">
        <v>1236</v>
      </c>
      <c r="E298" s="161" t="s">
        <v>1237</v>
      </c>
      <c r="F298" s="413" t="s">
        <v>1765</v>
      </c>
      <c r="G298" s="413"/>
      <c r="I298" s="413"/>
      <c r="J298" t="s">
        <v>1766</v>
      </c>
      <c r="L298" s="210" t="s">
        <v>1182</v>
      </c>
      <c r="N298" s="210" t="s">
        <v>1767</v>
      </c>
      <c r="O298" s="209" t="s">
        <v>49</v>
      </c>
      <c r="P298" s="209" t="s">
        <v>49</v>
      </c>
      <c r="Q298" s="209" t="s">
        <v>49</v>
      </c>
      <c r="R298" s="228" t="s">
        <v>49</v>
      </c>
      <c r="S298" s="210" t="s">
        <v>1191</v>
      </c>
      <c r="T298" s="210" t="s">
        <v>1191</v>
      </c>
      <c r="U298" s="228" t="s">
        <v>49</v>
      </c>
    </row>
    <row r="299" spans="1:28" ht="13.5" customHeight="1">
      <c r="A299" s="210" t="s">
        <v>609</v>
      </c>
      <c r="B299" s="210" t="s">
        <v>1182</v>
      </c>
      <c r="C299" s="210" t="s">
        <v>112</v>
      </c>
      <c r="D299" s="210" t="s">
        <v>1230</v>
      </c>
      <c r="E299" s="412" t="s">
        <v>112</v>
      </c>
      <c r="F299" s="161" t="s">
        <v>1768</v>
      </c>
      <c r="G299" s="416" t="s">
        <v>1769</v>
      </c>
      <c r="H299" s="415"/>
      <c r="J299" s="161" t="s">
        <v>1370</v>
      </c>
      <c r="L299" s="209" t="s">
        <v>1189</v>
      </c>
      <c r="AB299" s="341" t="s">
        <v>203</v>
      </c>
    </row>
    <row r="300" spans="1:28" ht="13.5" customHeight="1">
      <c r="A300" s="210" t="s">
        <v>609</v>
      </c>
      <c r="B300" s="425" t="s">
        <v>1182</v>
      </c>
      <c r="C300" s="210" t="s">
        <v>112</v>
      </c>
      <c r="D300" s="210" t="s">
        <v>1230</v>
      </c>
      <c r="E300" s="412" t="s">
        <v>112</v>
      </c>
      <c r="F300" s="161" t="s">
        <v>1770</v>
      </c>
      <c r="G300" s="416" t="s">
        <v>1769</v>
      </c>
      <c r="H300" s="415"/>
      <c r="J300" s="161" t="s">
        <v>1771</v>
      </c>
      <c r="L300" s="209" t="s">
        <v>1189</v>
      </c>
      <c r="AB300" s="341" t="s">
        <v>203</v>
      </c>
    </row>
    <row r="301" spans="1:28" ht="13.5" customHeight="1">
      <c r="A301" s="210" t="s">
        <v>609</v>
      </c>
      <c r="B301" s="425" t="s">
        <v>1182</v>
      </c>
      <c r="C301" s="210" t="s">
        <v>112</v>
      </c>
      <c r="D301" s="210" t="s">
        <v>1230</v>
      </c>
      <c r="E301" s="412" t="s">
        <v>112</v>
      </c>
      <c r="F301" s="161" t="s">
        <v>1772</v>
      </c>
      <c r="G301" s="416" t="s">
        <v>1769</v>
      </c>
      <c r="H301" s="415"/>
      <c r="J301" s="161" t="s">
        <v>1771</v>
      </c>
      <c r="L301" s="209" t="s">
        <v>1189</v>
      </c>
      <c r="AB301" s="341" t="s">
        <v>203</v>
      </c>
    </row>
    <row r="302" spans="1:28" ht="13.5" customHeight="1">
      <c r="A302" s="210" t="s">
        <v>609</v>
      </c>
      <c r="B302" s="425" t="s">
        <v>1182</v>
      </c>
      <c r="C302" s="210" t="s">
        <v>112</v>
      </c>
      <c r="D302" s="210" t="s">
        <v>1230</v>
      </c>
      <c r="E302" s="412" t="s">
        <v>112</v>
      </c>
      <c r="F302" s="161" t="s">
        <v>1773</v>
      </c>
      <c r="G302" s="416" t="s">
        <v>1769</v>
      </c>
      <c r="H302" s="415"/>
      <c r="J302" s="161" t="s">
        <v>1771</v>
      </c>
      <c r="L302" s="209" t="s">
        <v>1189</v>
      </c>
      <c r="AB302" s="341" t="s">
        <v>203</v>
      </c>
    </row>
    <row r="303" spans="1:28" ht="13.5" customHeight="1">
      <c r="A303" s="210" t="s">
        <v>609</v>
      </c>
      <c r="B303" s="425" t="s">
        <v>1182</v>
      </c>
      <c r="C303" s="210" t="s">
        <v>112</v>
      </c>
      <c r="D303" s="210" t="s">
        <v>1230</v>
      </c>
      <c r="E303" s="412" t="s">
        <v>112</v>
      </c>
      <c r="F303" s="161" t="s">
        <v>1774</v>
      </c>
      <c r="G303" s="416" t="s">
        <v>1769</v>
      </c>
      <c r="H303" s="415"/>
      <c r="J303" s="161" t="s">
        <v>1771</v>
      </c>
      <c r="L303" s="209" t="s">
        <v>1189</v>
      </c>
      <c r="AB303" s="341" t="s">
        <v>203</v>
      </c>
    </row>
    <row r="304" spans="1:28" ht="13.5" customHeight="1">
      <c r="A304" s="210" t="s">
        <v>609</v>
      </c>
      <c r="B304" s="425" t="s">
        <v>1182</v>
      </c>
      <c r="C304" s="210" t="s">
        <v>112</v>
      </c>
      <c r="D304" s="210" t="s">
        <v>1230</v>
      </c>
      <c r="E304" s="412" t="s">
        <v>112</v>
      </c>
      <c r="F304" s="161" t="s">
        <v>1775</v>
      </c>
      <c r="G304" s="416" t="s">
        <v>1769</v>
      </c>
      <c r="H304" s="415"/>
      <c r="J304" s="161" t="s">
        <v>1771</v>
      </c>
      <c r="L304" s="209" t="s">
        <v>1189</v>
      </c>
      <c r="AB304" s="341" t="s">
        <v>203</v>
      </c>
    </row>
    <row r="305" spans="1:31" ht="13.5" customHeight="1">
      <c r="A305" s="210" t="s">
        <v>609</v>
      </c>
      <c r="B305" s="425" t="s">
        <v>1182</v>
      </c>
      <c r="C305" s="210" t="s">
        <v>112</v>
      </c>
      <c r="D305" s="210" t="s">
        <v>1230</v>
      </c>
      <c r="E305" s="412" t="s">
        <v>112</v>
      </c>
      <c r="F305" s="161" t="s">
        <v>1776</v>
      </c>
      <c r="G305" s="416" t="s">
        <v>1769</v>
      </c>
      <c r="H305" s="415"/>
      <c r="J305" s="161" t="s">
        <v>1366</v>
      </c>
      <c r="L305" s="209" t="s">
        <v>1189</v>
      </c>
      <c r="AB305" s="341" t="s">
        <v>203</v>
      </c>
    </row>
    <row r="306" spans="1:31" ht="13.5" customHeight="1">
      <c r="A306" s="210" t="s">
        <v>609</v>
      </c>
      <c r="B306" s="425" t="s">
        <v>1182</v>
      </c>
      <c r="C306" s="210" t="s">
        <v>112</v>
      </c>
      <c r="D306" s="210" t="s">
        <v>1230</v>
      </c>
      <c r="E306" s="210" t="s">
        <v>112</v>
      </c>
      <c r="F306" s="210" t="s">
        <v>1777</v>
      </c>
      <c r="G306" s="210" t="s">
        <v>1769</v>
      </c>
      <c r="H306" s="412"/>
      <c r="I306" s="161"/>
      <c r="J306" s="416" t="s">
        <v>1771</v>
      </c>
      <c r="K306" s="415"/>
      <c r="L306" s="210" t="s">
        <v>1189</v>
      </c>
      <c r="M306" s="410"/>
      <c r="N306" s="425"/>
      <c r="O306" s="411"/>
      <c r="P306" s="425"/>
      <c r="Q306" s="425"/>
      <c r="R306" s="425"/>
      <c r="S306" s="425"/>
      <c r="T306" s="425"/>
      <c r="U306" s="425"/>
      <c r="V306" s="425"/>
      <c r="W306" s="425"/>
      <c r="X306" s="425"/>
      <c r="Y306" s="425"/>
      <c r="Z306" s="425"/>
      <c r="AA306" s="425"/>
      <c r="AB306" s="341" t="s">
        <v>203</v>
      </c>
      <c r="AC306" s="425"/>
      <c r="AD306" s="426"/>
      <c r="AE306" s="426"/>
    </row>
    <row r="307" spans="1:31" ht="13.5" customHeight="1">
      <c r="A307" s="210" t="s">
        <v>609</v>
      </c>
      <c r="B307" s="425" t="s">
        <v>1182</v>
      </c>
      <c r="C307" s="210" t="s">
        <v>112</v>
      </c>
      <c r="D307" s="210" t="s">
        <v>1230</v>
      </c>
      <c r="E307" s="412" t="s">
        <v>112</v>
      </c>
      <c r="F307" s="161" t="s">
        <v>1778</v>
      </c>
      <c r="G307" s="416" t="s">
        <v>1769</v>
      </c>
      <c r="H307" s="415"/>
      <c r="J307" s="161" t="s">
        <v>1366</v>
      </c>
      <c r="L307" s="209" t="s">
        <v>1189</v>
      </c>
      <c r="AB307" s="341" t="s">
        <v>203</v>
      </c>
    </row>
    <row r="308" spans="1:31" ht="13.5" customHeight="1">
      <c r="A308" s="210" t="s">
        <v>609</v>
      </c>
      <c r="B308" s="425" t="s">
        <v>1182</v>
      </c>
      <c r="C308" s="210" t="s">
        <v>112</v>
      </c>
      <c r="D308" s="210" t="s">
        <v>1230</v>
      </c>
      <c r="E308" s="412" t="s">
        <v>112</v>
      </c>
      <c r="F308" s="161" t="s">
        <v>1779</v>
      </c>
      <c r="G308" s="416" t="s">
        <v>1769</v>
      </c>
      <c r="H308" s="415"/>
      <c r="J308" s="161" t="s">
        <v>1771</v>
      </c>
      <c r="L308" s="209" t="s">
        <v>1189</v>
      </c>
      <c r="AB308" s="341" t="s">
        <v>203</v>
      </c>
    </row>
    <row r="309" spans="1:31" ht="13.5" customHeight="1">
      <c r="A309" s="210" t="s">
        <v>609</v>
      </c>
      <c r="B309" s="425" t="s">
        <v>1182</v>
      </c>
      <c r="C309" s="210" t="s">
        <v>112</v>
      </c>
      <c r="D309" s="210" t="s">
        <v>1230</v>
      </c>
      <c r="E309" s="412" t="s">
        <v>112</v>
      </c>
      <c r="F309" s="161" t="s">
        <v>1780</v>
      </c>
      <c r="G309" s="416" t="s">
        <v>1769</v>
      </c>
      <c r="H309" s="415"/>
      <c r="J309" s="161" t="s">
        <v>1366</v>
      </c>
      <c r="L309" s="209" t="s">
        <v>1189</v>
      </c>
      <c r="AB309" s="341" t="s">
        <v>203</v>
      </c>
    </row>
    <row r="310" spans="1:31" ht="13.5" customHeight="1">
      <c r="A310" s="210" t="s">
        <v>609</v>
      </c>
      <c r="B310" s="425" t="s">
        <v>1182</v>
      </c>
      <c r="C310" s="210" t="s">
        <v>112</v>
      </c>
      <c r="D310" s="210" t="s">
        <v>1230</v>
      </c>
      <c r="E310" s="412" t="s">
        <v>112</v>
      </c>
      <c r="F310" s="161" t="s">
        <v>1781</v>
      </c>
      <c r="G310" s="416" t="s">
        <v>1769</v>
      </c>
      <c r="H310" s="415"/>
      <c r="J310" s="161" t="s">
        <v>1366</v>
      </c>
      <c r="L310" s="209" t="s">
        <v>1189</v>
      </c>
      <c r="AB310" s="341" t="s">
        <v>203</v>
      </c>
    </row>
    <row r="311" spans="1:31" ht="13.5" customHeight="1">
      <c r="A311" s="210" t="s">
        <v>609</v>
      </c>
      <c r="B311" s="425" t="s">
        <v>1182</v>
      </c>
      <c r="C311" s="210" t="s">
        <v>112</v>
      </c>
      <c r="D311" s="210" t="s">
        <v>1230</v>
      </c>
      <c r="E311" s="412" t="s">
        <v>112</v>
      </c>
      <c r="F311" s="161" t="s">
        <v>1782</v>
      </c>
      <c r="G311" s="416" t="s">
        <v>1769</v>
      </c>
      <c r="H311" s="415"/>
      <c r="J311" s="161" t="s">
        <v>1366</v>
      </c>
      <c r="L311" s="209" t="s">
        <v>1189</v>
      </c>
      <c r="AB311" s="341" t="s">
        <v>203</v>
      </c>
    </row>
    <row r="312" spans="1:31" ht="13.5" customHeight="1">
      <c r="A312" s="210" t="s">
        <v>609</v>
      </c>
      <c r="B312" s="425" t="s">
        <v>1182</v>
      </c>
      <c r="C312" s="210" t="s">
        <v>112</v>
      </c>
      <c r="D312" s="210" t="s">
        <v>1230</v>
      </c>
      <c r="E312" s="412" t="s">
        <v>112</v>
      </c>
      <c r="F312" s="161" t="s">
        <v>1783</v>
      </c>
      <c r="G312" s="416" t="s">
        <v>1769</v>
      </c>
      <c r="H312" s="415"/>
      <c r="J312" s="161" t="s">
        <v>1784</v>
      </c>
      <c r="L312" s="209" t="s">
        <v>1189</v>
      </c>
      <c r="AB312" s="341" t="s">
        <v>203</v>
      </c>
    </row>
    <row r="313" spans="1:31" ht="13.5" customHeight="1">
      <c r="A313" s="210" t="s">
        <v>609</v>
      </c>
      <c r="B313" s="425" t="s">
        <v>1182</v>
      </c>
      <c r="C313" s="210" t="s">
        <v>112</v>
      </c>
      <c r="D313" s="210" t="s">
        <v>1230</v>
      </c>
      <c r="E313" s="412" t="s">
        <v>112</v>
      </c>
      <c r="F313" s="161" t="s">
        <v>1785</v>
      </c>
      <c r="G313" s="416" t="s">
        <v>1769</v>
      </c>
      <c r="H313" s="415"/>
      <c r="J313" s="161" t="s">
        <v>1370</v>
      </c>
      <c r="L313" s="209" t="s">
        <v>1189</v>
      </c>
      <c r="AB313" s="341" t="s">
        <v>203</v>
      </c>
    </row>
    <row r="314" spans="1:31" ht="13.5" customHeight="1">
      <c r="A314" s="210" t="s">
        <v>609</v>
      </c>
      <c r="B314" s="425" t="s">
        <v>1182</v>
      </c>
      <c r="C314" s="210" t="s">
        <v>112</v>
      </c>
      <c r="D314" s="210" t="s">
        <v>1230</v>
      </c>
      <c r="E314" s="412" t="s">
        <v>112</v>
      </c>
      <c r="F314" s="161" t="s">
        <v>1786</v>
      </c>
      <c r="G314" s="416" t="s">
        <v>1769</v>
      </c>
      <c r="H314" s="415"/>
      <c r="J314" s="161" t="s">
        <v>1370</v>
      </c>
      <c r="L314" s="209" t="s">
        <v>1189</v>
      </c>
      <c r="AB314" s="341" t="s">
        <v>203</v>
      </c>
    </row>
    <row r="315" spans="1:31" ht="13.5" customHeight="1">
      <c r="A315" s="210" t="s">
        <v>609</v>
      </c>
      <c r="B315" s="425" t="s">
        <v>1182</v>
      </c>
      <c r="C315" s="210" t="s">
        <v>112</v>
      </c>
      <c r="D315" s="210" t="s">
        <v>1230</v>
      </c>
      <c r="E315" s="412" t="s">
        <v>112</v>
      </c>
      <c r="F315" s="161" t="s">
        <v>1787</v>
      </c>
      <c r="G315" s="416" t="s">
        <v>1769</v>
      </c>
      <c r="H315" s="415"/>
      <c r="J315" s="161" t="s">
        <v>1370</v>
      </c>
      <c r="L315" s="209" t="s">
        <v>1189</v>
      </c>
      <c r="AB315" s="341" t="s">
        <v>203</v>
      </c>
    </row>
    <row r="316" spans="1:31" ht="13.5" customHeight="1">
      <c r="A316" s="210" t="s">
        <v>609</v>
      </c>
      <c r="B316" s="425" t="s">
        <v>1182</v>
      </c>
      <c r="C316" s="210" t="s">
        <v>112</v>
      </c>
      <c r="D316" s="210" t="s">
        <v>1230</v>
      </c>
      <c r="E316" s="412" t="s">
        <v>112</v>
      </c>
      <c r="F316" s="161" t="s">
        <v>1788</v>
      </c>
      <c r="G316" s="416" t="s">
        <v>1769</v>
      </c>
      <c r="H316" s="415"/>
      <c r="J316" s="161" t="s">
        <v>1370</v>
      </c>
      <c r="L316" s="209" t="s">
        <v>1189</v>
      </c>
      <c r="AB316" s="341" t="s">
        <v>203</v>
      </c>
    </row>
    <row r="317" spans="1:31" ht="13.5" customHeight="1">
      <c r="A317" s="210" t="s">
        <v>609</v>
      </c>
      <c r="B317" s="425" t="s">
        <v>1182</v>
      </c>
      <c r="C317" s="210" t="s">
        <v>112</v>
      </c>
      <c r="D317" s="210" t="s">
        <v>1230</v>
      </c>
      <c r="E317" s="412" t="s">
        <v>112</v>
      </c>
      <c r="F317" s="161" t="s">
        <v>1789</v>
      </c>
      <c r="G317" s="416" t="s">
        <v>1769</v>
      </c>
      <c r="H317" s="415"/>
      <c r="J317" s="161" t="s">
        <v>1784</v>
      </c>
      <c r="L317" s="209" t="s">
        <v>1189</v>
      </c>
      <c r="AB317" s="341" t="s">
        <v>203</v>
      </c>
    </row>
    <row r="318" spans="1:31" ht="13.5" customHeight="1">
      <c r="A318" s="210" t="s">
        <v>609</v>
      </c>
      <c r="B318" s="425" t="s">
        <v>1182</v>
      </c>
      <c r="C318" s="210" t="s">
        <v>112</v>
      </c>
      <c r="D318" s="210" t="s">
        <v>1230</v>
      </c>
      <c r="E318" s="412" t="s">
        <v>112</v>
      </c>
      <c r="F318" s="161" t="s">
        <v>1790</v>
      </c>
      <c r="G318" s="416" t="s">
        <v>1769</v>
      </c>
      <c r="H318" s="415"/>
      <c r="J318" s="161" t="s">
        <v>1784</v>
      </c>
      <c r="L318" s="209" t="s">
        <v>1189</v>
      </c>
      <c r="AB318" s="341" t="s">
        <v>203</v>
      </c>
    </row>
    <row r="319" spans="1:31" ht="13.5" customHeight="1">
      <c r="A319" s="210" t="s">
        <v>609</v>
      </c>
      <c r="B319" s="425" t="s">
        <v>1182</v>
      </c>
      <c r="C319" s="210" t="s">
        <v>112</v>
      </c>
      <c r="D319" s="210" t="s">
        <v>1230</v>
      </c>
      <c r="E319" s="412" t="s">
        <v>112</v>
      </c>
      <c r="F319" s="161" t="s">
        <v>1791</v>
      </c>
      <c r="G319" s="416" t="s">
        <v>1769</v>
      </c>
      <c r="H319" s="415"/>
      <c r="J319" s="161" t="s">
        <v>1784</v>
      </c>
      <c r="L319" s="209" t="s">
        <v>1189</v>
      </c>
      <c r="AB319" s="341" t="s">
        <v>203</v>
      </c>
    </row>
    <row r="320" spans="1:31" ht="13.5" customHeight="1">
      <c r="A320" s="210" t="s">
        <v>609</v>
      </c>
      <c r="B320" s="425" t="s">
        <v>1182</v>
      </c>
      <c r="C320" s="210" t="s">
        <v>112</v>
      </c>
      <c r="D320" s="210" t="s">
        <v>1230</v>
      </c>
      <c r="E320" s="412" t="s">
        <v>112</v>
      </c>
      <c r="F320" s="161" t="s">
        <v>1792</v>
      </c>
      <c r="G320" s="416" t="s">
        <v>1769</v>
      </c>
      <c r="H320" s="415"/>
      <c r="J320" s="161" t="s">
        <v>1784</v>
      </c>
      <c r="L320" s="209" t="s">
        <v>1189</v>
      </c>
      <c r="AB320" s="341" t="s">
        <v>203</v>
      </c>
    </row>
    <row r="321" spans="1:28" ht="13.5" customHeight="1">
      <c r="A321" s="210" t="s">
        <v>609</v>
      </c>
      <c r="B321" s="425" t="s">
        <v>1182</v>
      </c>
      <c r="C321" s="210" t="s">
        <v>112</v>
      </c>
      <c r="D321" s="210" t="s">
        <v>1230</v>
      </c>
      <c r="E321" s="412" t="s">
        <v>112</v>
      </c>
      <c r="F321" s="161" t="s">
        <v>1793</v>
      </c>
      <c r="G321" s="416" t="s">
        <v>1769</v>
      </c>
      <c r="H321" s="415"/>
      <c r="J321" s="161" t="s">
        <v>1784</v>
      </c>
      <c r="L321" s="209" t="s">
        <v>1189</v>
      </c>
      <c r="AB321" s="341" t="s">
        <v>203</v>
      </c>
    </row>
    <row r="322" spans="1:28" ht="13.5" customHeight="1">
      <c r="A322" s="210" t="s">
        <v>609</v>
      </c>
      <c r="B322" s="425" t="s">
        <v>1182</v>
      </c>
      <c r="C322" s="210" t="s">
        <v>112</v>
      </c>
      <c r="D322" s="210" t="s">
        <v>1230</v>
      </c>
      <c r="E322" s="412" t="s">
        <v>112</v>
      </c>
      <c r="F322" s="161" t="s">
        <v>1794</v>
      </c>
      <c r="G322" s="416" t="s">
        <v>1769</v>
      </c>
      <c r="H322" s="415"/>
      <c r="J322" s="161" t="s">
        <v>1784</v>
      </c>
      <c r="L322" s="209" t="s">
        <v>1189</v>
      </c>
      <c r="AB322" s="341" t="s">
        <v>203</v>
      </c>
    </row>
    <row r="323" spans="1:28" ht="13.5" customHeight="1">
      <c r="A323" s="210" t="s">
        <v>609</v>
      </c>
      <c r="B323" s="425" t="s">
        <v>1182</v>
      </c>
      <c r="C323" s="210" t="s">
        <v>112</v>
      </c>
      <c r="D323" s="210" t="s">
        <v>1230</v>
      </c>
      <c r="E323" s="412" t="s">
        <v>112</v>
      </c>
      <c r="F323" s="161" t="s">
        <v>1795</v>
      </c>
      <c r="G323" s="416" t="s">
        <v>1769</v>
      </c>
      <c r="H323" s="415"/>
      <c r="J323" s="161" t="s">
        <v>1784</v>
      </c>
      <c r="L323" s="209" t="s">
        <v>1189</v>
      </c>
      <c r="AB323" s="341" t="s">
        <v>203</v>
      </c>
    </row>
    <row r="324" spans="1:28" ht="13.5" customHeight="1">
      <c r="A324" s="210" t="s">
        <v>609</v>
      </c>
      <c r="B324" s="425" t="s">
        <v>1182</v>
      </c>
      <c r="C324" s="210" t="s">
        <v>112</v>
      </c>
      <c r="D324" s="210" t="s">
        <v>1230</v>
      </c>
      <c r="E324" s="412" t="s">
        <v>112</v>
      </c>
      <c r="F324" s="161" t="s">
        <v>1796</v>
      </c>
      <c r="G324" s="416" t="s">
        <v>1769</v>
      </c>
      <c r="H324" s="415"/>
      <c r="J324" s="161" t="s">
        <v>1784</v>
      </c>
      <c r="L324" s="209" t="s">
        <v>1189</v>
      </c>
      <c r="AB324" s="341" t="s">
        <v>203</v>
      </c>
    </row>
    <row r="325" spans="1:28" ht="13.5" customHeight="1">
      <c r="A325" s="210" t="s">
        <v>609</v>
      </c>
      <c r="B325" s="425" t="s">
        <v>1182</v>
      </c>
      <c r="C325" s="210" t="s">
        <v>112</v>
      </c>
      <c r="D325" s="210" t="s">
        <v>1230</v>
      </c>
      <c r="E325" s="412" t="s">
        <v>112</v>
      </c>
      <c r="F325" s="161" t="s">
        <v>1797</v>
      </c>
      <c r="G325" s="416" t="s">
        <v>1769</v>
      </c>
      <c r="H325" s="415"/>
      <c r="J325" s="161" t="s">
        <v>1784</v>
      </c>
      <c r="L325" s="209" t="s">
        <v>1189</v>
      </c>
      <c r="AB325" s="341" t="s">
        <v>203</v>
      </c>
    </row>
    <row r="326" spans="1:28" ht="13.5" customHeight="1">
      <c r="A326" s="210" t="s">
        <v>609</v>
      </c>
      <c r="B326" s="425" t="s">
        <v>1182</v>
      </c>
      <c r="C326" s="210" t="s">
        <v>112</v>
      </c>
      <c r="D326" s="210" t="s">
        <v>1230</v>
      </c>
      <c r="E326" s="412" t="s">
        <v>112</v>
      </c>
      <c r="F326" s="161" t="s">
        <v>1798</v>
      </c>
      <c r="G326" s="416" t="s">
        <v>1769</v>
      </c>
      <c r="H326" s="415"/>
      <c r="J326" s="161" t="s">
        <v>1784</v>
      </c>
      <c r="L326" s="209" t="s">
        <v>1189</v>
      </c>
      <c r="AB326" s="341" t="s">
        <v>203</v>
      </c>
    </row>
    <row r="327" spans="1:28" ht="13.5" customHeight="1">
      <c r="A327" s="210" t="s">
        <v>609</v>
      </c>
      <c r="B327" s="425" t="s">
        <v>1182</v>
      </c>
      <c r="C327" s="210" t="s">
        <v>112</v>
      </c>
      <c r="D327" s="210" t="s">
        <v>1230</v>
      </c>
      <c r="E327" s="412" t="s">
        <v>112</v>
      </c>
      <c r="F327" s="161" t="s">
        <v>1799</v>
      </c>
      <c r="G327" s="416" t="s">
        <v>1769</v>
      </c>
      <c r="H327" s="415"/>
      <c r="J327" s="161" t="s">
        <v>1784</v>
      </c>
      <c r="L327" s="209" t="s">
        <v>1189</v>
      </c>
      <c r="AB327" s="341" t="s">
        <v>203</v>
      </c>
    </row>
    <row r="328" spans="1:28" ht="13.5" customHeight="1">
      <c r="A328" s="210" t="s">
        <v>609</v>
      </c>
      <c r="B328" s="425" t="s">
        <v>1182</v>
      </c>
      <c r="C328" s="210" t="s">
        <v>112</v>
      </c>
      <c r="D328" s="210" t="s">
        <v>1230</v>
      </c>
      <c r="E328" s="412" t="s">
        <v>112</v>
      </c>
      <c r="F328" s="161" t="s">
        <v>1800</v>
      </c>
      <c r="G328" s="416" t="s">
        <v>1769</v>
      </c>
      <c r="H328" s="415"/>
      <c r="J328" s="161" t="s">
        <v>1366</v>
      </c>
      <c r="L328" s="209" t="s">
        <v>1189</v>
      </c>
      <c r="AB328" s="341" t="s">
        <v>203</v>
      </c>
    </row>
    <row r="329" spans="1:28" ht="13.5" customHeight="1">
      <c r="A329" s="210" t="s">
        <v>609</v>
      </c>
      <c r="B329" s="425" t="s">
        <v>1182</v>
      </c>
      <c r="C329" s="210" t="s">
        <v>112</v>
      </c>
      <c r="D329" s="210" t="s">
        <v>1230</v>
      </c>
      <c r="E329" s="412" t="s">
        <v>112</v>
      </c>
      <c r="F329" s="161" t="s">
        <v>1801</v>
      </c>
      <c r="G329" s="416" t="s">
        <v>1769</v>
      </c>
      <c r="H329" s="415"/>
      <c r="J329" s="161" t="s">
        <v>1366</v>
      </c>
      <c r="L329" s="209" t="s">
        <v>1189</v>
      </c>
      <c r="AB329" s="341" t="s">
        <v>203</v>
      </c>
    </row>
    <row r="330" spans="1:28" ht="13.5" customHeight="1">
      <c r="A330" s="210" t="s">
        <v>609</v>
      </c>
      <c r="B330" s="425" t="s">
        <v>1182</v>
      </c>
      <c r="C330" s="210" t="s">
        <v>112</v>
      </c>
      <c r="D330" s="210" t="s">
        <v>1230</v>
      </c>
      <c r="E330" s="412" t="s">
        <v>112</v>
      </c>
      <c r="F330" s="161" t="s">
        <v>1802</v>
      </c>
      <c r="G330" s="416" t="s">
        <v>1769</v>
      </c>
      <c r="H330" s="415"/>
      <c r="J330" s="161" t="s">
        <v>1784</v>
      </c>
      <c r="L330" s="209" t="s">
        <v>1189</v>
      </c>
      <c r="AB330" s="341" t="s">
        <v>203</v>
      </c>
    </row>
    <row r="331" spans="1:28" ht="13.5" customHeight="1">
      <c r="A331" s="210" t="s">
        <v>609</v>
      </c>
      <c r="B331" s="425" t="s">
        <v>1182</v>
      </c>
      <c r="C331" s="210" t="s">
        <v>112</v>
      </c>
      <c r="D331" s="210" t="s">
        <v>1230</v>
      </c>
      <c r="E331" s="412" t="s">
        <v>112</v>
      </c>
      <c r="F331" s="161" t="s">
        <v>1803</v>
      </c>
      <c r="G331" s="416" t="s">
        <v>1769</v>
      </c>
      <c r="H331" s="415"/>
      <c r="J331" s="161" t="s">
        <v>1784</v>
      </c>
      <c r="L331" s="209" t="s">
        <v>1189</v>
      </c>
      <c r="AB331" s="341" t="s">
        <v>203</v>
      </c>
    </row>
    <row r="332" spans="1:28" ht="13.5" customHeight="1">
      <c r="A332" s="210" t="s">
        <v>609</v>
      </c>
      <c r="B332" s="425" t="s">
        <v>1182</v>
      </c>
      <c r="C332" s="210" t="s">
        <v>112</v>
      </c>
      <c r="D332" s="210" t="s">
        <v>1230</v>
      </c>
      <c r="E332" s="412" t="s">
        <v>112</v>
      </c>
      <c r="F332" s="161" t="s">
        <v>1804</v>
      </c>
      <c r="G332" s="416" t="s">
        <v>1769</v>
      </c>
      <c r="H332" s="415"/>
      <c r="J332" s="161" t="s">
        <v>1366</v>
      </c>
      <c r="L332" s="209" t="s">
        <v>1189</v>
      </c>
      <c r="AB332" s="341" t="s">
        <v>203</v>
      </c>
    </row>
    <row r="333" spans="1:28" ht="13.5" customHeight="1">
      <c r="A333" s="210" t="s">
        <v>609</v>
      </c>
      <c r="B333" s="425" t="s">
        <v>1182</v>
      </c>
      <c r="C333" s="210" t="s">
        <v>112</v>
      </c>
      <c r="D333" s="210" t="s">
        <v>1230</v>
      </c>
      <c r="E333" s="412" t="s">
        <v>112</v>
      </c>
      <c r="F333" s="161" t="s">
        <v>1805</v>
      </c>
      <c r="G333" s="416" t="s">
        <v>1769</v>
      </c>
      <c r="H333" s="415"/>
      <c r="J333" s="161" t="s">
        <v>1366</v>
      </c>
      <c r="L333" s="209" t="s">
        <v>1189</v>
      </c>
      <c r="AB333" s="341" t="s">
        <v>203</v>
      </c>
    </row>
    <row r="334" spans="1:28" ht="13.5" customHeight="1">
      <c r="A334" s="210" t="s">
        <v>609</v>
      </c>
      <c r="B334" s="425" t="s">
        <v>1182</v>
      </c>
      <c r="C334" s="210" t="s">
        <v>112</v>
      </c>
      <c r="D334" s="210" t="s">
        <v>1230</v>
      </c>
      <c r="E334" s="412" t="s">
        <v>112</v>
      </c>
      <c r="F334" s="161" t="s">
        <v>1806</v>
      </c>
      <c r="G334" s="416" t="s">
        <v>1769</v>
      </c>
      <c r="H334" s="415"/>
      <c r="J334" s="161" t="s">
        <v>1784</v>
      </c>
      <c r="L334" s="209" t="s">
        <v>1189</v>
      </c>
      <c r="AB334" s="341" t="s">
        <v>203</v>
      </c>
    </row>
    <row r="335" spans="1:28" ht="13.5" customHeight="1">
      <c r="A335" s="210" t="s">
        <v>609</v>
      </c>
      <c r="B335" s="425" t="s">
        <v>1182</v>
      </c>
      <c r="C335" s="210" t="s">
        <v>112</v>
      </c>
      <c r="D335" s="210" t="s">
        <v>1230</v>
      </c>
      <c r="E335" s="412" t="s">
        <v>112</v>
      </c>
      <c r="F335" s="161" t="s">
        <v>1807</v>
      </c>
      <c r="G335" s="416" t="s">
        <v>1769</v>
      </c>
      <c r="H335" s="415"/>
      <c r="J335" s="161" t="s">
        <v>1784</v>
      </c>
      <c r="L335" s="209" t="s">
        <v>1189</v>
      </c>
      <c r="AB335" s="341" t="s">
        <v>203</v>
      </c>
    </row>
    <row r="336" spans="1:28" ht="13.5" customHeight="1">
      <c r="A336" s="210" t="s">
        <v>609</v>
      </c>
      <c r="B336" s="425" t="s">
        <v>1182</v>
      </c>
      <c r="C336" s="210" t="s">
        <v>112</v>
      </c>
      <c r="D336" s="210" t="s">
        <v>1230</v>
      </c>
      <c r="E336" s="412" t="s">
        <v>112</v>
      </c>
      <c r="F336" s="161" t="s">
        <v>1808</v>
      </c>
      <c r="G336" s="416" t="s">
        <v>1769</v>
      </c>
      <c r="H336" s="415"/>
      <c r="J336" s="161" t="s">
        <v>1784</v>
      </c>
      <c r="L336" s="209" t="s">
        <v>1189</v>
      </c>
      <c r="AB336" s="341" t="s">
        <v>203</v>
      </c>
    </row>
    <row r="337" spans="1:28" ht="13.5" customHeight="1">
      <c r="A337" s="210" t="s">
        <v>580</v>
      </c>
      <c r="B337" s="210" t="s">
        <v>1182</v>
      </c>
      <c r="C337" s="169" t="s">
        <v>393</v>
      </c>
      <c r="D337" s="210" t="s">
        <v>1230</v>
      </c>
      <c r="E337" s="161" t="s">
        <v>1231</v>
      </c>
      <c r="F337" s="414" t="s">
        <v>1809</v>
      </c>
      <c r="G337" s="414"/>
      <c r="I337" s="414" t="s">
        <v>1810</v>
      </c>
      <c r="L337" s="209" t="s">
        <v>1182</v>
      </c>
    </row>
    <row r="338" spans="1:28" ht="13.5" customHeight="1">
      <c r="A338" s="210" t="s">
        <v>580</v>
      </c>
      <c r="B338" s="210" t="s">
        <v>1182</v>
      </c>
      <c r="C338" s="169" t="s">
        <v>393</v>
      </c>
      <c r="D338" s="210" t="s">
        <v>1230</v>
      </c>
      <c r="E338" s="161" t="s">
        <v>1231</v>
      </c>
      <c r="F338" s="210" t="s">
        <v>1811</v>
      </c>
      <c r="G338" s="210"/>
      <c r="I338" s="195" t="s">
        <v>1812</v>
      </c>
      <c r="L338" s="209" t="s">
        <v>1182</v>
      </c>
    </row>
    <row r="339" spans="1:28" ht="13.5" customHeight="1">
      <c r="A339" s="210" t="s">
        <v>580</v>
      </c>
      <c r="B339" s="210" t="s">
        <v>1182</v>
      </c>
      <c r="C339" s="169" t="s">
        <v>393</v>
      </c>
      <c r="D339" s="210" t="s">
        <v>1230</v>
      </c>
      <c r="E339" s="161" t="s">
        <v>1231</v>
      </c>
      <c r="F339" s="152" t="s">
        <v>1813</v>
      </c>
      <c r="G339" s="210"/>
      <c r="I339" s="161" t="s">
        <v>1356</v>
      </c>
      <c r="M339" s="209" t="s">
        <v>1357</v>
      </c>
    </row>
    <row r="340" spans="1:28" ht="13.5" customHeight="1">
      <c r="A340" s="210" t="s">
        <v>580</v>
      </c>
      <c r="B340" s="210" t="s">
        <v>1182</v>
      </c>
      <c r="C340" s="210" t="s">
        <v>955</v>
      </c>
      <c r="D340" s="209" t="s">
        <v>1193</v>
      </c>
      <c r="E340" s="210" t="s">
        <v>1194</v>
      </c>
      <c r="F340" s="210" t="s">
        <v>1814</v>
      </c>
      <c r="G340" s="338" t="s">
        <v>1543</v>
      </c>
      <c r="I340" s="210" t="s">
        <v>1815</v>
      </c>
      <c r="L340" s="210" t="s">
        <v>1182</v>
      </c>
      <c r="O340" s="209" t="s">
        <v>1191</v>
      </c>
      <c r="P340" s="209" t="s">
        <v>1191</v>
      </c>
      <c r="Q340" s="209" t="s">
        <v>1191</v>
      </c>
      <c r="R340" s="209" t="s">
        <v>1191</v>
      </c>
    </row>
    <row r="341" spans="1:28" ht="13.5" customHeight="1">
      <c r="A341" s="161" t="s">
        <v>609</v>
      </c>
      <c r="B341" s="161" t="s">
        <v>1182</v>
      </c>
      <c r="C341" s="169" t="s">
        <v>954</v>
      </c>
      <c r="D341" s="161" t="s">
        <v>1193</v>
      </c>
      <c r="E341" s="209" t="s">
        <v>1695</v>
      </c>
      <c r="F341" s="170" t="s">
        <v>675</v>
      </c>
      <c r="G341" s="170" t="s">
        <v>1816</v>
      </c>
      <c r="H341" s="230">
        <v>177.80500000000001</v>
      </c>
      <c r="I341" s="230" t="s">
        <v>49</v>
      </c>
      <c r="J341" s="209" t="s">
        <v>1817</v>
      </c>
      <c r="K341" s="209"/>
      <c r="L341" s="209" t="s">
        <v>1189</v>
      </c>
      <c r="M341" s="209" t="s">
        <v>1716</v>
      </c>
      <c r="O341" s="228" t="s">
        <v>1192</v>
      </c>
      <c r="P341" s="228" t="s">
        <v>1192</v>
      </c>
      <c r="Q341" s="228" t="s">
        <v>1192</v>
      </c>
      <c r="R341" s="228" t="s">
        <v>1192</v>
      </c>
      <c r="S341" s="228" t="s">
        <v>1192</v>
      </c>
    </row>
    <row r="342" spans="1:28" ht="13.5" customHeight="1">
      <c r="A342" s="210" t="s">
        <v>1156</v>
      </c>
      <c r="B342" s="210" t="s">
        <v>1182</v>
      </c>
      <c r="C342" s="209" t="s">
        <v>17</v>
      </c>
      <c r="D342" s="152" t="s">
        <v>1818</v>
      </c>
      <c r="E342" s="161" t="s">
        <v>1184</v>
      </c>
      <c r="F342" s="441" t="s">
        <v>1819</v>
      </c>
      <c r="G342" s="161" t="s">
        <v>1186</v>
      </c>
      <c r="J342" s="210" t="s">
        <v>1820</v>
      </c>
      <c r="L342" s="210" t="s">
        <v>1182</v>
      </c>
      <c r="M342" t="s">
        <v>1821</v>
      </c>
    </row>
    <row r="343" spans="1:28" ht="13.5" customHeight="1">
      <c r="A343" s="210" t="s">
        <v>1156</v>
      </c>
      <c r="B343" s="210" t="s">
        <v>1182</v>
      </c>
      <c r="C343" s="209" t="s">
        <v>17</v>
      </c>
      <c r="D343" s="161" t="s">
        <v>1183</v>
      </c>
      <c r="E343" s="161" t="s">
        <v>1184</v>
      </c>
      <c r="F343" s="442" t="s">
        <v>1822</v>
      </c>
      <c r="G343" s="161" t="s">
        <v>1186</v>
      </c>
      <c r="J343" t="s">
        <v>1823</v>
      </c>
      <c r="L343" s="210" t="s">
        <v>1182</v>
      </c>
      <c r="M343" t="s">
        <v>1216</v>
      </c>
    </row>
    <row r="344" spans="1:28" ht="13.5" customHeight="1">
      <c r="A344" s="210" t="s">
        <v>1156</v>
      </c>
      <c r="B344" s="210" t="s">
        <v>1182</v>
      </c>
      <c r="C344" s="209" t="s">
        <v>17</v>
      </c>
      <c r="D344" s="443" t="s">
        <v>1183</v>
      </c>
      <c r="E344" s="161" t="s">
        <v>1184</v>
      </c>
      <c r="F344" s="442" t="s">
        <v>1824</v>
      </c>
      <c r="G344" s="161" t="s">
        <v>1186</v>
      </c>
      <c r="J344" t="s">
        <v>1825</v>
      </c>
      <c r="L344" s="210" t="s">
        <v>1182</v>
      </c>
      <c r="M344" t="s">
        <v>1216</v>
      </c>
    </row>
    <row r="345" spans="1:28" ht="13.5" customHeight="1">
      <c r="A345" s="210" t="s">
        <v>1156</v>
      </c>
      <c r="B345" s="210" t="s">
        <v>1182</v>
      </c>
      <c r="C345" s="209" t="s">
        <v>17</v>
      </c>
      <c r="D345" s="443" t="s">
        <v>1183</v>
      </c>
      <c r="E345" s="161" t="s">
        <v>1184</v>
      </c>
      <c r="F345" s="442" t="s">
        <v>1826</v>
      </c>
      <c r="G345" s="161" t="s">
        <v>1186</v>
      </c>
      <c r="J345" t="s">
        <v>1827</v>
      </c>
      <c r="L345" s="210" t="s">
        <v>1182</v>
      </c>
      <c r="M345" t="s">
        <v>1216</v>
      </c>
    </row>
    <row r="346" spans="1:28" ht="13.5" customHeight="1">
      <c r="A346" s="210" t="s">
        <v>1156</v>
      </c>
      <c r="B346" s="210" t="s">
        <v>1182</v>
      </c>
      <c r="C346" s="209" t="s">
        <v>17</v>
      </c>
      <c r="D346" s="443" t="s">
        <v>1183</v>
      </c>
      <c r="E346" s="161" t="s">
        <v>1184</v>
      </c>
      <c r="F346" s="442" t="s">
        <v>1828</v>
      </c>
      <c r="G346" s="161" t="s">
        <v>1186</v>
      </c>
      <c r="J346" t="s">
        <v>1187</v>
      </c>
      <c r="L346" s="210" t="s">
        <v>1189</v>
      </c>
      <c r="M346" t="s">
        <v>1216</v>
      </c>
    </row>
    <row r="347" spans="1:28" ht="13.5" customHeight="1">
      <c r="A347" s="210" t="s">
        <v>1156</v>
      </c>
      <c r="B347" s="210" t="s">
        <v>1182</v>
      </c>
      <c r="C347" s="209" t="s">
        <v>17</v>
      </c>
      <c r="D347" s="444" t="s">
        <v>1314</v>
      </c>
      <c r="E347" s="161" t="s">
        <v>1184</v>
      </c>
      <c r="F347" s="445" t="s">
        <v>1829</v>
      </c>
      <c r="G347" s="161" t="s">
        <v>1186</v>
      </c>
      <c r="J347" t="s">
        <v>1830</v>
      </c>
      <c r="L347" s="210" t="s">
        <v>1182</v>
      </c>
      <c r="M347" t="s">
        <v>1216</v>
      </c>
    </row>
    <row r="348" spans="1:28" ht="13.5" customHeight="1">
      <c r="A348" s="210" t="s">
        <v>1156</v>
      </c>
      <c r="B348" s="210" t="s">
        <v>1182</v>
      </c>
      <c r="C348" s="209" t="s">
        <v>17</v>
      </c>
      <c r="D348" s="444" t="s">
        <v>1314</v>
      </c>
      <c r="E348" s="161" t="s">
        <v>1184</v>
      </c>
      <c r="F348" s="446" t="s">
        <v>1831</v>
      </c>
      <c r="G348" s="161" t="s">
        <v>1186</v>
      </c>
      <c r="J348" t="s">
        <v>1832</v>
      </c>
      <c r="L348" s="210" t="s">
        <v>1182</v>
      </c>
      <c r="M348" t="s">
        <v>1216</v>
      </c>
    </row>
    <row r="349" spans="1:28" ht="13.5" customHeight="1">
      <c r="A349" s="210" t="s">
        <v>1156</v>
      </c>
      <c r="B349" s="210" t="s">
        <v>1182</v>
      </c>
      <c r="C349" s="209" t="s">
        <v>17</v>
      </c>
      <c r="D349" s="161" t="s">
        <v>1183</v>
      </c>
      <c r="E349" s="161" t="s">
        <v>1184</v>
      </c>
      <c r="F349" s="442" t="s">
        <v>1833</v>
      </c>
      <c r="G349" s="161" t="s">
        <v>1186</v>
      </c>
      <c r="J349" t="s">
        <v>1834</v>
      </c>
      <c r="L349" s="210" t="s">
        <v>1182</v>
      </c>
      <c r="M349" t="s">
        <v>1216</v>
      </c>
    </row>
    <row r="350" spans="1:28" ht="13.5" customHeight="1">
      <c r="A350" s="210" t="s">
        <v>1156</v>
      </c>
      <c r="B350" s="210" t="s">
        <v>1182</v>
      </c>
      <c r="C350" s="209" t="s">
        <v>17</v>
      </c>
      <c r="D350" s="443" t="s">
        <v>1183</v>
      </c>
      <c r="E350" s="161" t="s">
        <v>1184</v>
      </c>
      <c r="F350" s="442" t="s">
        <v>1835</v>
      </c>
      <c r="G350" s="161" t="s">
        <v>1186</v>
      </c>
      <c r="J350" t="s">
        <v>1836</v>
      </c>
      <c r="L350" s="210" t="s">
        <v>1182</v>
      </c>
      <c r="M350" t="s">
        <v>1216</v>
      </c>
    </row>
    <row r="351" spans="1:28" ht="13.5" customHeight="1">
      <c r="A351" s="210" t="s">
        <v>1156</v>
      </c>
      <c r="B351" s="210" t="s">
        <v>1182</v>
      </c>
      <c r="C351" s="210" t="s">
        <v>112</v>
      </c>
      <c r="D351" s="210" t="s">
        <v>1230</v>
      </c>
      <c r="E351" s="412" t="s">
        <v>112</v>
      </c>
      <c r="F351" s="462" t="s">
        <v>1837</v>
      </c>
      <c r="G351" s="161" t="s">
        <v>1838</v>
      </c>
      <c r="AB351" s="341" t="s">
        <v>203</v>
      </c>
    </row>
    <row r="352" spans="1:28" ht="13.5" customHeight="1">
      <c r="A352" s="210" t="s">
        <v>1156</v>
      </c>
      <c r="B352" s="210" t="s">
        <v>1182</v>
      </c>
      <c r="C352" s="210" t="s">
        <v>112</v>
      </c>
      <c r="D352" s="210" t="s">
        <v>1230</v>
      </c>
      <c r="E352" s="412" t="s">
        <v>112</v>
      </c>
      <c r="F352" s="463" t="s">
        <v>1839</v>
      </c>
      <c r="G352" s="161" t="s">
        <v>1838</v>
      </c>
      <c r="AB352" s="341" t="s">
        <v>203</v>
      </c>
    </row>
    <row r="353" spans="1:28" ht="13.5" customHeight="1">
      <c r="A353" s="210" t="s">
        <v>1156</v>
      </c>
      <c r="B353" s="210" t="s">
        <v>1182</v>
      </c>
      <c r="C353" s="210" t="s">
        <v>112</v>
      </c>
      <c r="D353" s="210" t="s">
        <v>1230</v>
      </c>
      <c r="E353" s="412" t="s">
        <v>112</v>
      </c>
      <c r="F353" s="463" t="s">
        <v>1840</v>
      </c>
      <c r="G353" s="161" t="s">
        <v>1838</v>
      </c>
      <c r="AB353" s="341" t="s">
        <v>203</v>
      </c>
    </row>
    <row r="354" spans="1:28" ht="13.5" customHeight="1">
      <c r="A354" s="210" t="s">
        <v>1156</v>
      </c>
      <c r="B354" s="210" t="s">
        <v>1182</v>
      </c>
      <c r="C354" s="210" t="s">
        <v>112</v>
      </c>
      <c r="D354" s="210" t="s">
        <v>1230</v>
      </c>
      <c r="E354" s="412" t="s">
        <v>112</v>
      </c>
      <c r="F354" s="463" t="s">
        <v>1841</v>
      </c>
      <c r="G354" s="161" t="s">
        <v>1838</v>
      </c>
      <c r="AB354" s="341" t="s">
        <v>203</v>
      </c>
    </row>
    <row r="355" spans="1:28" ht="13.5" customHeight="1">
      <c r="A355" s="210" t="s">
        <v>1156</v>
      </c>
      <c r="B355" s="210" t="s">
        <v>1182</v>
      </c>
      <c r="C355" s="210" t="s">
        <v>112</v>
      </c>
      <c r="D355" s="210" t="s">
        <v>1230</v>
      </c>
      <c r="E355" s="412" t="s">
        <v>112</v>
      </c>
      <c r="F355" s="463" t="s">
        <v>1842</v>
      </c>
      <c r="G355" s="161" t="s">
        <v>1838</v>
      </c>
      <c r="AB355" s="341" t="s">
        <v>203</v>
      </c>
    </row>
    <row r="356" spans="1:28" ht="13.5" customHeight="1">
      <c r="A356" s="210" t="s">
        <v>1156</v>
      </c>
      <c r="B356" s="210" t="s">
        <v>1182</v>
      </c>
      <c r="C356" s="210" t="s">
        <v>112</v>
      </c>
      <c r="D356" s="210" t="s">
        <v>1230</v>
      </c>
      <c r="E356" s="412" t="s">
        <v>112</v>
      </c>
      <c r="F356" s="463" t="s">
        <v>1843</v>
      </c>
      <c r="G356" s="161" t="s">
        <v>1838</v>
      </c>
      <c r="AB356" s="341" t="s">
        <v>203</v>
      </c>
    </row>
    <row r="357" spans="1:28" ht="13.5" customHeight="1">
      <c r="A357" s="210" t="s">
        <v>1156</v>
      </c>
      <c r="B357" s="210" t="s">
        <v>1182</v>
      </c>
      <c r="C357" s="210" t="s">
        <v>112</v>
      </c>
      <c r="D357" s="210" t="s">
        <v>1230</v>
      </c>
      <c r="E357" s="412" t="s">
        <v>112</v>
      </c>
      <c r="F357" s="463" t="s">
        <v>1844</v>
      </c>
      <c r="G357" s="161" t="s">
        <v>1838</v>
      </c>
      <c r="AB357" s="341" t="s">
        <v>203</v>
      </c>
    </row>
    <row r="358" spans="1:28" ht="13.5" customHeight="1">
      <c r="A358" s="210" t="s">
        <v>1156</v>
      </c>
      <c r="B358" s="210" t="s">
        <v>1182</v>
      </c>
      <c r="C358" s="210" t="s">
        <v>112</v>
      </c>
      <c r="D358" s="210" t="s">
        <v>1230</v>
      </c>
      <c r="E358" s="412" t="s">
        <v>112</v>
      </c>
      <c r="F358" s="463" t="s">
        <v>1845</v>
      </c>
      <c r="G358" s="161" t="s">
        <v>1838</v>
      </c>
      <c r="AB358" s="341" t="s">
        <v>203</v>
      </c>
    </row>
    <row r="359" spans="1:28" ht="13.5" customHeight="1">
      <c r="A359" s="210" t="s">
        <v>1156</v>
      </c>
      <c r="B359" s="210" t="s">
        <v>1182</v>
      </c>
      <c r="C359" s="210" t="s">
        <v>112</v>
      </c>
      <c r="D359" s="210" t="s">
        <v>1230</v>
      </c>
      <c r="E359" s="412" t="s">
        <v>112</v>
      </c>
      <c r="F359" s="463" t="s">
        <v>1846</v>
      </c>
      <c r="G359" s="161" t="s">
        <v>1838</v>
      </c>
      <c r="AB359" s="341" t="s">
        <v>203</v>
      </c>
    </row>
    <row r="360" spans="1:28" ht="13.5" customHeight="1">
      <c r="A360" s="210" t="s">
        <v>1156</v>
      </c>
      <c r="B360" s="210" t="s">
        <v>1182</v>
      </c>
      <c r="C360" s="210" t="s">
        <v>112</v>
      </c>
      <c r="D360" s="210" t="s">
        <v>1230</v>
      </c>
      <c r="E360" s="412" t="s">
        <v>112</v>
      </c>
      <c r="F360" s="463" t="s">
        <v>1847</v>
      </c>
      <c r="G360" s="161" t="s">
        <v>1838</v>
      </c>
      <c r="AB360" s="341" t="s">
        <v>203</v>
      </c>
    </row>
    <row r="361" spans="1:28" ht="13.5" customHeight="1">
      <c r="A361" s="210" t="s">
        <v>1156</v>
      </c>
      <c r="B361" s="210" t="s">
        <v>1182</v>
      </c>
      <c r="C361" s="210" t="s">
        <v>112</v>
      </c>
      <c r="D361" s="210" t="s">
        <v>1230</v>
      </c>
      <c r="E361" s="412" t="s">
        <v>112</v>
      </c>
      <c r="F361" s="463" t="s">
        <v>1848</v>
      </c>
      <c r="G361" s="161" t="s">
        <v>1838</v>
      </c>
      <c r="AB361" s="341" t="s">
        <v>203</v>
      </c>
    </row>
    <row r="362" spans="1:28" ht="13.5" customHeight="1">
      <c r="A362" s="210" t="s">
        <v>1156</v>
      </c>
      <c r="B362" s="210" t="s">
        <v>1182</v>
      </c>
      <c r="C362" s="210" t="s">
        <v>112</v>
      </c>
      <c r="D362" s="210" t="s">
        <v>1230</v>
      </c>
      <c r="E362" s="412" t="s">
        <v>112</v>
      </c>
      <c r="F362" s="463" t="s">
        <v>1849</v>
      </c>
      <c r="G362" s="161" t="s">
        <v>1838</v>
      </c>
      <c r="AB362" s="341" t="s">
        <v>203</v>
      </c>
    </row>
    <row r="363" spans="1:28" ht="13.5" customHeight="1">
      <c r="A363" s="210" t="s">
        <v>1156</v>
      </c>
      <c r="B363" s="210" t="s">
        <v>1182</v>
      </c>
      <c r="C363" s="210" t="s">
        <v>112</v>
      </c>
      <c r="D363" s="210" t="s">
        <v>1230</v>
      </c>
      <c r="E363" s="412" t="s">
        <v>112</v>
      </c>
      <c r="F363" s="463" t="s">
        <v>1850</v>
      </c>
      <c r="G363" s="161" t="s">
        <v>1838</v>
      </c>
      <c r="AB363" s="341" t="s">
        <v>203</v>
      </c>
    </row>
    <row r="364" spans="1:28" ht="13.5" customHeight="1">
      <c r="A364" s="210" t="s">
        <v>1156</v>
      </c>
      <c r="B364" s="210" t="s">
        <v>1182</v>
      </c>
      <c r="C364" s="210" t="s">
        <v>112</v>
      </c>
      <c r="D364" s="210" t="s">
        <v>1230</v>
      </c>
      <c r="E364" s="412" t="s">
        <v>112</v>
      </c>
      <c r="F364" s="463" t="s">
        <v>1851</v>
      </c>
      <c r="G364" s="161" t="s">
        <v>1838</v>
      </c>
      <c r="AB364" s="341" t="s">
        <v>203</v>
      </c>
    </row>
    <row r="365" spans="1:28" ht="13.5" customHeight="1">
      <c r="A365" s="210" t="s">
        <v>1156</v>
      </c>
      <c r="B365" s="210" t="s">
        <v>1182</v>
      </c>
      <c r="C365" s="210" t="s">
        <v>112</v>
      </c>
      <c r="D365" s="210" t="s">
        <v>1230</v>
      </c>
      <c r="E365" s="412" t="s">
        <v>112</v>
      </c>
      <c r="F365" s="463" t="s">
        <v>1852</v>
      </c>
      <c r="G365" s="161" t="s">
        <v>1838</v>
      </c>
      <c r="AB365" s="341" t="s">
        <v>203</v>
      </c>
    </row>
    <row r="366" spans="1:28" ht="13.5" customHeight="1">
      <c r="A366" s="210" t="s">
        <v>1156</v>
      </c>
      <c r="B366" s="210" t="s">
        <v>1182</v>
      </c>
      <c r="C366" s="210" t="s">
        <v>112</v>
      </c>
      <c r="D366" s="210" t="s">
        <v>1230</v>
      </c>
      <c r="E366" s="412" t="s">
        <v>112</v>
      </c>
      <c r="F366" s="463" t="s">
        <v>1853</v>
      </c>
      <c r="G366" s="161" t="s">
        <v>1838</v>
      </c>
      <c r="AB366" s="341" t="s">
        <v>203</v>
      </c>
    </row>
    <row r="367" spans="1:28" ht="13.5" customHeight="1">
      <c r="A367" s="210" t="s">
        <v>1156</v>
      </c>
      <c r="B367" s="210" t="s">
        <v>1182</v>
      </c>
      <c r="C367" s="210" t="s">
        <v>112</v>
      </c>
      <c r="D367" s="210" t="s">
        <v>1230</v>
      </c>
      <c r="E367" s="412" t="s">
        <v>112</v>
      </c>
      <c r="F367" s="463" t="s">
        <v>1854</v>
      </c>
      <c r="G367" s="161" t="s">
        <v>1838</v>
      </c>
      <c r="AB367" s="341" t="s">
        <v>203</v>
      </c>
    </row>
    <row r="368" spans="1:28" ht="13.5" customHeight="1">
      <c r="A368" s="210" t="s">
        <v>1156</v>
      </c>
      <c r="B368" s="210" t="s">
        <v>1182</v>
      </c>
      <c r="C368" s="210" t="s">
        <v>112</v>
      </c>
      <c r="D368" s="210" t="s">
        <v>1230</v>
      </c>
      <c r="E368" s="412" t="s">
        <v>112</v>
      </c>
      <c r="F368" s="463" t="s">
        <v>1855</v>
      </c>
      <c r="G368" s="161" t="s">
        <v>1838</v>
      </c>
      <c r="AB368" s="341" t="s">
        <v>203</v>
      </c>
    </row>
    <row r="369" spans="1:28" ht="13.5" customHeight="1">
      <c r="A369" s="210" t="s">
        <v>1156</v>
      </c>
      <c r="B369" s="210" t="s">
        <v>1182</v>
      </c>
      <c r="C369" s="210" t="s">
        <v>112</v>
      </c>
      <c r="D369" s="210" t="s">
        <v>1230</v>
      </c>
      <c r="E369" s="412" t="s">
        <v>112</v>
      </c>
      <c r="F369" s="463" t="s">
        <v>1856</v>
      </c>
      <c r="G369" s="161" t="s">
        <v>1838</v>
      </c>
      <c r="AB369" s="341" t="s">
        <v>203</v>
      </c>
    </row>
    <row r="370" spans="1:28" ht="13.5" customHeight="1">
      <c r="A370" s="210" t="s">
        <v>1156</v>
      </c>
      <c r="B370" s="210" t="s">
        <v>1182</v>
      </c>
      <c r="C370" s="210" t="s">
        <v>112</v>
      </c>
      <c r="D370" s="210" t="s">
        <v>1230</v>
      </c>
      <c r="E370" s="412" t="s">
        <v>112</v>
      </c>
      <c r="F370" s="463" t="s">
        <v>1857</v>
      </c>
      <c r="G370" s="161" t="s">
        <v>1838</v>
      </c>
      <c r="AB370" s="341" t="s">
        <v>203</v>
      </c>
    </row>
    <row r="371" spans="1:28" ht="13.5" customHeight="1">
      <c r="A371" s="210" t="s">
        <v>1156</v>
      </c>
      <c r="B371" s="210" t="s">
        <v>1182</v>
      </c>
      <c r="C371" s="210" t="s">
        <v>112</v>
      </c>
      <c r="D371" s="210" t="s">
        <v>1230</v>
      </c>
      <c r="E371" s="412" t="s">
        <v>112</v>
      </c>
      <c r="F371" s="463" t="s">
        <v>1858</v>
      </c>
      <c r="G371" s="161" t="s">
        <v>1838</v>
      </c>
      <c r="AB371" s="341" t="s">
        <v>203</v>
      </c>
    </row>
    <row r="372" spans="1:28" ht="13.5" customHeight="1">
      <c r="A372" s="210" t="s">
        <v>1156</v>
      </c>
      <c r="B372" s="210" t="s">
        <v>1182</v>
      </c>
      <c r="C372" s="210" t="s">
        <v>112</v>
      </c>
      <c r="D372" s="210" t="s">
        <v>1230</v>
      </c>
      <c r="E372" s="412" t="s">
        <v>112</v>
      </c>
      <c r="F372" s="463" t="s">
        <v>1859</v>
      </c>
      <c r="G372" s="161" t="s">
        <v>1838</v>
      </c>
      <c r="AB372" s="341" t="s">
        <v>203</v>
      </c>
    </row>
    <row r="373" spans="1:28" ht="13.5" customHeight="1">
      <c r="A373" s="210" t="s">
        <v>1156</v>
      </c>
      <c r="B373" s="210" t="s">
        <v>1182</v>
      </c>
      <c r="C373" s="210" t="s">
        <v>112</v>
      </c>
      <c r="D373" s="210" t="s">
        <v>1230</v>
      </c>
      <c r="E373" s="412" t="s">
        <v>112</v>
      </c>
      <c r="F373" s="463" t="s">
        <v>1860</v>
      </c>
      <c r="G373" s="161" t="s">
        <v>1838</v>
      </c>
      <c r="AB373" s="341" t="s">
        <v>203</v>
      </c>
    </row>
    <row r="374" spans="1:28" ht="13.5" customHeight="1">
      <c r="A374" s="210" t="s">
        <v>1156</v>
      </c>
      <c r="B374" s="210" t="s">
        <v>1182</v>
      </c>
      <c r="C374" s="210" t="s">
        <v>112</v>
      </c>
      <c r="D374" s="210" t="s">
        <v>1230</v>
      </c>
      <c r="E374" s="412" t="s">
        <v>112</v>
      </c>
      <c r="F374" s="463" t="s">
        <v>1861</v>
      </c>
      <c r="G374" s="161" t="s">
        <v>1838</v>
      </c>
      <c r="AB374" s="341" t="s">
        <v>203</v>
      </c>
    </row>
    <row r="375" spans="1:28" ht="13.5" customHeight="1">
      <c r="A375" s="210" t="s">
        <v>1156</v>
      </c>
      <c r="B375" s="210" t="s">
        <v>1182</v>
      </c>
      <c r="C375" s="210" t="s">
        <v>112</v>
      </c>
      <c r="D375" s="210" t="s">
        <v>1230</v>
      </c>
      <c r="E375" s="412" t="s">
        <v>112</v>
      </c>
      <c r="F375" s="463" t="s">
        <v>1862</v>
      </c>
      <c r="G375" s="161" t="s">
        <v>1838</v>
      </c>
      <c r="AB375" s="341" t="s">
        <v>203</v>
      </c>
    </row>
    <row r="376" spans="1:28" ht="13.5" customHeight="1">
      <c r="A376" s="210" t="s">
        <v>1156</v>
      </c>
      <c r="B376" s="210" t="s">
        <v>1182</v>
      </c>
      <c r="C376" s="210" t="s">
        <v>112</v>
      </c>
      <c r="D376" s="210" t="s">
        <v>1230</v>
      </c>
      <c r="E376" s="412" t="s">
        <v>112</v>
      </c>
      <c r="F376" s="463" t="s">
        <v>1863</v>
      </c>
      <c r="G376" s="161" t="s">
        <v>1838</v>
      </c>
      <c r="AB376" s="341" t="s">
        <v>203</v>
      </c>
    </row>
    <row r="377" spans="1:28" ht="13.5" customHeight="1">
      <c r="A377" s="210" t="s">
        <v>1156</v>
      </c>
      <c r="B377" s="210" t="s">
        <v>1182</v>
      </c>
      <c r="C377" s="210" t="s">
        <v>112</v>
      </c>
      <c r="D377" s="210" t="s">
        <v>1230</v>
      </c>
      <c r="E377" s="412" t="s">
        <v>112</v>
      </c>
      <c r="F377" s="463" t="s">
        <v>1864</v>
      </c>
      <c r="G377" s="161" t="s">
        <v>1838</v>
      </c>
      <c r="AB377" s="341" t="s">
        <v>203</v>
      </c>
    </row>
    <row r="378" spans="1:28" ht="13.5" customHeight="1">
      <c r="A378" s="210" t="s">
        <v>1156</v>
      </c>
      <c r="B378" s="210" t="s">
        <v>1182</v>
      </c>
      <c r="C378" s="210" t="s">
        <v>112</v>
      </c>
      <c r="D378" s="210" t="s">
        <v>1230</v>
      </c>
      <c r="E378" s="412" t="s">
        <v>112</v>
      </c>
      <c r="F378" s="463" t="s">
        <v>1865</v>
      </c>
      <c r="G378" s="161" t="s">
        <v>1838</v>
      </c>
      <c r="AB378" s="341" t="s">
        <v>203</v>
      </c>
    </row>
    <row r="379" spans="1:28" ht="13.5" customHeight="1">
      <c r="A379" s="210" t="s">
        <v>1156</v>
      </c>
      <c r="B379" s="210" t="s">
        <v>1182</v>
      </c>
      <c r="C379" s="210" t="s">
        <v>112</v>
      </c>
      <c r="D379" s="210" t="s">
        <v>1230</v>
      </c>
      <c r="E379" s="412" t="s">
        <v>112</v>
      </c>
      <c r="F379" s="463" t="s">
        <v>1866</v>
      </c>
      <c r="G379" s="161" t="s">
        <v>1838</v>
      </c>
      <c r="AB379" s="341" t="s">
        <v>203</v>
      </c>
    </row>
    <row r="380" spans="1:28" ht="13.5" customHeight="1">
      <c r="A380" s="210" t="s">
        <v>1156</v>
      </c>
      <c r="B380" s="210" t="s">
        <v>1182</v>
      </c>
      <c r="C380" s="210" t="s">
        <v>112</v>
      </c>
      <c r="D380" s="210" t="s">
        <v>1230</v>
      </c>
      <c r="E380" s="412" t="s">
        <v>112</v>
      </c>
      <c r="F380" s="463" t="s">
        <v>1867</v>
      </c>
      <c r="G380" s="161" t="s">
        <v>1838</v>
      </c>
      <c r="AB380" s="341" t="s">
        <v>203</v>
      </c>
    </row>
    <row r="381" spans="1:28" ht="13.5" customHeight="1">
      <c r="A381" s="210" t="s">
        <v>1156</v>
      </c>
      <c r="B381" s="210" t="s">
        <v>1182</v>
      </c>
      <c r="C381" s="210" t="s">
        <v>112</v>
      </c>
      <c r="D381" s="210" t="s">
        <v>1230</v>
      </c>
      <c r="E381" s="412" t="s">
        <v>112</v>
      </c>
      <c r="F381" s="463" t="s">
        <v>1868</v>
      </c>
      <c r="G381" s="161" t="s">
        <v>1838</v>
      </c>
      <c r="AB381" s="341" t="s">
        <v>203</v>
      </c>
    </row>
    <row r="382" spans="1:28" ht="13.5" customHeight="1">
      <c r="A382" s="210" t="s">
        <v>1156</v>
      </c>
      <c r="B382" s="210" t="s">
        <v>1182</v>
      </c>
      <c r="C382" s="210" t="s">
        <v>112</v>
      </c>
      <c r="D382" s="210" t="s">
        <v>1230</v>
      </c>
      <c r="E382" s="412" t="s">
        <v>112</v>
      </c>
      <c r="F382" s="463" t="s">
        <v>1869</v>
      </c>
      <c r="G382" s="161" t="s">
        <v>1838</v>
      </c>
      <c r="AB382" s="341" t="s">
        <v>203</v>
      </c>
    </row>
    <row r="383" spans="1:28" ht="13.5" customHeight="1">
      <c r="A383" s="210" t="s">
        <v>1156</v>
      </c>
      <c r="B383" s="210" t="s">
        <v>1182</v>
      </c>
      <c r="C383" s="210" t="s">
        <v>112</v>
      </c>
      <c r="D383" s="210" t="s">
        <v>1230</v>
      </c>
      <c r="E383" s="412" t="s">
        <v>112</v>
      </c>
      <c r="F383" s="463" t="s">
        <v>1870</v>
      </c>
      <c r="G383" s="161" t="s">
        <v>1838</v>
      </c>
      <c r="AB383" s="341" t="s">
        <v>203</v>
      </c>
    </row>
    <row r="384" spans="1:28" ht="13.5" customHeight="1">
      <c r="A384" s="210" t="s">
        <v>1156</v>
      </c>
      <c r="B384" s="210" t="s">
        <v>1182</v>
      </c>
      <c r="C384" s="210" t="s">
        <v>112</v>
      </c>
      <c r="D384" s="210" t="s">
        <v>1230</v>
      </c>
      <c r="E384" s="412" t="s">
        <v>112</v>
      </c>
      <c r="F384" s="463" t="s">
        <v>1871</v>
      </c>
      <c r="G384" s="161" t="s">
        <v>1838</v>
      </c>
      <c r="AB384" s="341" t="s">
        <v>203</v>
      </c>
    </row>
    <row r="385" spans="1:28" ht="13.5" customHeight="1">
      <c r="A385" s="210" t="s">
        <v>1156</v>
      </c>
      <c r="B385" s="210" t="s">
        <v>1182</v>
      </c>
      <c r="C385" s="210" t="s">
        <v>112</v>
      </c>
      <c r="D385" s="210" t="s">
        <v>1230</v>
      </c>
      <c r="E385" s="412" t="s">
        <v>112</v>
      </c>
      <c r="F385" s="463" t="s">
        <v>1872</v>
      </c>
      <c r="G385" s="161" t="s">
        <v>1838</v>
      </c>
      <c r="AB385" s="341" t="s">
        <v>203</v>
      </c>
    </row>
    <row r="386" spans="1:28" ht="13.5" customHeight="1">
      <c r="A386" s="210" t="s">
        <v>1156</v>
      </c>
      <c r="B386" s="210" t="s">
        <v>1182</v>
      </c>
      <c r="C386" s="210" t="s">
        <v>112</v>
      </c>
      <c r="D386" s="210" t="s">
        <v>1230</v>
      </c>
      <c r="E386" s="412" t="s">
        <v>112</v>
      </c>
      <c r="F386" s="463" t="s">
        <v>1873</v>
      </c>
      <c r="G386" s="161" t="s">
        <v>1838</v>
      </c>
      <c r="AB386" s="341" t="s">
        <v>203</v>
      </c>
    </row>
    <row r="387" spans="1:28" ht="13.5" customHeight="1">
      <c r="A387" s="210" t="s">
        <v>1156</v>
      </c>
      <c r="B387" s="210" t="s">
        <v>1182</v>
      </c>
      <c r="C387" s="210" t="s">
        <v>112</v>
      </c>
      <c r="D387" s="210" t="s">
        <v>1230</v>
      </c>
      <c r="E387" s="412" t="s">
        <v>112</v>
      </c>
      <c r="F387" s="463" t="s">
        <v>1874</v>
      </c>
      <c r="G387" s="161" t="s">
        <v>1838</v>
      </c>
      <c r="AB387" s="341" t="s">
        <v>203</v>
      </c>
    </row>
    <row r="388" spans="1:28" ht="13.5" customHeight="1">
      <c r="A388" s="210" t="s">
        <v>1156</v>
      </c>
      <c r="B388" s="210" t="s">
        <v>1182</v>
      </c>
      <c r="C388" s="210" t="s">
        <v>112</v>
      </c>
      <c r="D388" s="210" t="s">
        <v>1230</v>
      </c>
      <c r="E388" s="412" t="s">
        <v>112</v>
      </c>
      <c r="F388" s="463" t="s">
        <v>1875</v>
      </c>
      <c r="G388" s="161" t="s">
        <v>1838</v>
      </c>
      <c r="AB388" s="341" t="s">
        <v>203</v>
      </c>
    </row>
    <row r="389" spans="1:28" ht="13.5" customHeight="1">
      <c r="A389" s="210" t="s">
        <v>1156</v>
      </c>
      <c r="B389" s="210" t="s">
        <v>1182</v>
      </c>
      <c r="C389" s="210" t="s">
        <v>112</v>
      </c>
      <c r="D389" s="210" t="s">
        <v>1230</v>
      </c>
      <c r="E389" s="412" t="s">
        <v>112</v>
      </c>
      <c r="F389" s="463" t="s">
        <v>1876</v>
      </c>
      <c r="G389" s="161" t="s">
        <v>1838</v>
      </c>
      <c r="AB389" s="341" t="s">
        <v>203</v>
      </c>
    </row>
    <row r="390" spans="1:28" ht="13.5" customHeight="1">
      <c r="A390" s="210" t="s">
        <v>1156</v>
      </c>
      <c r="B390" s="210" t="s">
        <v>1182</v>
      </c>
      <c r="C390" s="210" t="s">
        <v>112</v>
      </c>
      <c r="D390" s="210" t="s">
        <v>1230</v>
      </c>
      <c r="E390" s="412" t="s">
        <v>112</v>
      </c>
      <c r="F390" s="463" t="s">
        <v>1877</v>
      </c>
      <c r="G390" s="161" t="s">
        <v>1838</v>
      </c>
      <c r="AB390" s="341" t="s">
        <v>203</v>
      </c>
    </row>
    <row r="391" spans="1:28" ht="13.5" customHeight="1">
      <c r="A391" s="210" t="s">
        <v>1156</v>
      </c>
      <c r="B391" s="210" t="s">
        <v>1182</v>
      </c>
      <c r="C391" s="210" t="s">
        <v>112</v>
      </c>
      <c r="D391" s="210" t="s">
        <v>1230</v>
      </c>
      <c r="E391" s="412" t="s">
        <v>112</v>
      </c>
      <c r="F391" s="463" t="s">
        <v>1878</v>
      </c>
      <c r="G391" s="161" t="s">
        <v>1838</v>
      </c>
      <c r="AB391" s="341" t="s">
        <v>203</v>
      </c>
    </row>
    <row r="392" spans="1:28" ht="13.5" customHeight="1">
      <c r="A392" s="210" t="s">
        <v>1156</v>
      </c>
      <c r="B392" s="210" t="s">
        <v>1182</v>
      </c>
      <c r="C392" s="210" t="s">
        <v>112</v>
      </c>
      <c r="D392" s="210" t="s">
        <v>1230</v>
      </c>
      <c r="E392" s="412" t="s">
        <v>112</v>
      </c>
      <c r="F392" s="463" t="s">
        <v>1879</v>
      </c>
      <c r="G392" s="161" t="s">
        <v>1838</v>
      </c>
      <c r="AB392" s="341" t="s">
        <v>203</v>
      </c>
    </row>
    <row r="393" spans="1:28" ht="13.5" customHeight="1">
      <c r="A393" s="210" t="s">
        <v>1156</v>
      </c>
      <c r="B393" s="210" t="s">
        <v>1182</v>
      </c>
      <c r="C393" s="210" t="s">
        <v>112</v>
      </c>
      <c r="D393" s="210" t="s">
        <v>1230</v>
      </c>
      <c r="E393" s="412" t="s">
        <v>112</v>
      </c>
      <c r="F393" s="463" t="s">
        <v>1880</v>
      </c>
      <c r="G393" s="161" t="s">
        <v>1838</v>
      </c>
      <c r="AB393" s="341" t="s">
        <v>203</v>
      </c>
    </row>
    <row r="394" spans="1:28" ht="13.5" customHeight="1">
      <c r="A394" s="210" t="s">
        <v>1156</v>
      </c>
      <c r="B394" s="210" t="s">
        <v>1182</v>
      </c>
      <c r="C394" s="210" t="s">
        <v>112</v>
      </c>
      <c r="D394" s="210" t="s">
        <v>1230</v>
      </c>
      <c r="E394" s="412" t="s">
        <v>112</v>
      </c>
      <c r="F394" s="463" t="s">
        <v>1881</v>
      </c>
      <c r="G394" s="161" t="s">
        <v>1838</v>
      </c>
      <c r="AB394" s="341" t="s">
        <v>203</v>
      </c>
    </row>
    <row r="395" spans="1:28" ht="13.5" customHeight="1">
      <c r="A395" s="210" t="s">
        <v>1156</v>
      </c>
      <c r="B395" s="210" t="s">
        <v>1182</v>
      </c>
      <c r="C395" s="210" t="s">
        <v>112</v>
      </c>
      <c r="D395" s="210" t="s">
        <v>1230</v>
      </c>
      <c r="E395" s="412" t="s">
        <v>112</v>
      </c>
      <c r="F395" s="463" t="s">
        <v>1882</v>
      </c>
      <c r="G395" s="161" t="s">
        <v>1838</v>
      </c>
      <c r="AB395" s="341" t="s">
        <v>203</v>
      </c>
    </row>
    <row r="396" spans="1:28" ht="13.5" customHeight="1">
      <c r="A396" s="210" t="s">
        <v>1156</v>
      </c>
      <c r="B396" s="210" t="s">
        <v>1182</v>
      </c>
      <c r="C396" s="210" t="s">
        <v>112</v>
      </c>
      <c r="D396" s="210" t="s">
        <v>1230</v>
      </c>
      <c r="E396" s="412" t="s">
        <v>112</v>
      </c>
      <c r="F396" s="463" t="s">
        <v>1883</v>
      </c>
      <c r="G396" s="161" t="s">
        <v>1838</v>
      </c>
      <c r="AB396" s="341" t="s">
        <v>203</v>
      </c>
    </row>
    <row r="397" spans="1:28" ht="13.5" customHeight="1">
      <c r="A397" s="210" t="s">
        <v>1156</v>
      </c>
      <c r="B397" s="210" t="s">
        <v>1182</v>
      </c>
      <c r="C397" s="210" t="s">
        <v>112</v>
      </c>
      <c r="D397" s="210" t="s">
        <v>1230</v>
      </c>
      <c r="E397" s="412" t="s">
        <v>112</v>
      </c>
      <c r="F397" s="463" t="s">
        <v>1884</v>
      </c>
      <c r="G397" s="161" t="s">
        <v>1838</v>
      </c>
      <c r="AB397" s="341" t="s">
        <v>203</v>
      </c>
    </row>
    <row r="398" spans="1:28" ht="13.5" customHeight="1">
      <c r="A398" s="210" t="s">
        <v>1156</v>
      </c>
      <c r="B398" s="210" t="s">
        <v>1182</v>
      </c>
      <c r="C398" s="210" t="s">
        <v>112</v>
      </c>
      <c r="D398" s="210" t="s">
        <v>1230</v>
      </c>
      <c r="E398" s="412" t="s">
        <v>112</v>
      </c>
      <c r="F398" s="463" t="s">
        <v>1885</v>
      </c>
      <c r="G398" s="161" t="s">
        <v>1838</v>
      </c>
      <c r="AB398" s="341" t="s">
        <v>203</v>
      </c>
    </row>
    <row r="399" spans="1:28" ht="13.5" customHeight="1">
      <c r="A399" s="210" t="s">
        <v>1156</v>
      </c>
      <c r="B399" s="210" t="s">
        <v>1182</v>
      </c>
      <c r="C399" s="210" t="s">
        <v>112</v>
      </c>
      <c r="D399" s="210" t="s">
        <v>1230</v>
      </c>
      <c r="E399" s="412" t="s">
        <v>112</v>
      </c>
      <c r="F399" s="463" t="s">
        <v>1886</v>
      </c>
      <c r="G399" s="161" t="s">
        <v>1838</v>
      </c>
      <c r="AB399" s="341" t="s">
        <v>203</v>
      </c>
    </row>
    <row r="400" spans="1:28" ht="13.5" customHeight="1">
      <c r="A400" s="210" t="s">
        <v>1156</v>
      </c>
      <c r="B400" s="210" t="s">
        <v>1182</v>
      </c>
      <c r="C400" s="210" t="s">
        <v>112</v>
      </c>
      <c r="D400" s="210" t="s">
        <v>1230</v>
      </c>
      <c r="E400" s="412" t="s">
        <v>112</v>
      </c>
      <c r="F400" s="463" t="s">
        <v>1887</v>
      </c>
      <c r="G400" s="161" t="s">
        <v>1838</v>
      </c>
      <c r="AB400" s="341" t="s">
        <v>203</v>
      </c>
    </row>
    <row r="401" spans="1:28" ht="13.5" customHeight="1">
      <c r="A401" s="210" t="s">
        <v>1156</v>
      </c>
      <c r="B401" s="210" t="s">
        <v>1182</v>
      </c>
      <c r="C401" s="210" t="s">
        <v>112</v>
      </c>
      <c r="D401" s="210" t="s">
        <v>1230</v>
      </c>
      <c r="E401" s="412" t="s">
        <v>112</v>
      </c>
      <c r="F401" s="463" t="s">
        <v>1888</v>
      </c>
      <c r="G401" s="161" t="s">
        <v>1838</v>
      </c>
      <c r="AB401" s="341" t="s">
        <v>203</v>
      </c>
    </row>
    <row r="402" spans="1:28" ht="13.5" customHeight="1">
      <c r="A402" s="210" t="s">
        <v>1156</v>
      </c>
      <c r="B402" s="210" t="s">
        <v>1182</v>
      </c>
      <c r="C402" s="210" t="s">
        <v>112</v>
      </c>
      <c r="D402" s="210" t="s">
        <v>1230</v>
      </c>
      <c r="E402" s="412" t="s">
        <v>112</v>
      </c>
      <c r="F402" s="463" t="s">
        <v>1889</v>
      </c>
      <c r="G402" s="161" t="s">
        <v>1838</v>
      </c>
      <c r="AB402" s="341" t="s">
        <v>203</v>
      </c>
    </row>
    <row r="403" spans="1:28" ht="13.5" customHeight="1">
      <c r="A403" s="210" t="s">
        <v>1156</v>
      </c>
      <c r="B403" s="210" t="s">
        <v>1182</v>
      </c>
      <c r="C403" s="210" t="s">
        <v>112</v>
      </c>
      <c r="D403" s="210" t="s">
        <v>1230</v>
      </c>
      <c r="E403" s="412" t="s">
        <v>112</v>
      </c>
      <c r="F403" s="463" t="s">
        <v>1890</v>
      </c>
      <c r="G403" s="161" t="s">
        <v>1838</v>
      </c>
      <c r="AB403" s="341" t="s">
        <v>203</v>
      </c>
    </row>
    <row r="404" spans="1:28" ht="13.5" customHeight="1">
      <c r="A404" s="210" t="s">
        <v>1156</v>
      </c>
      <c r="B404" s="210" t="s">
        <v>1182</v>
      </c>
      <c r="C404" s="210" t="s">
        <v>112</v>
      </c>
      <c r="D404" s="210" t="s">
        <v>1230</v>
      </c>
      <c r="E404" s="412" t="s">
        <v>112</v>
      </c>
      <c r="F404" s="463" t="s">
        <v>1891</v>
      </c>
      <c r="G404" s="161" t="s">
        <v>1838</v>
      </c>
      <c r="AB404" s="341" t="s">
        <v>203</v>
      </c>
    </row>
    <row r="405" spans="1:28" ht="13.5" customHeight="1">
      <c r="A405" s="210" t="s">
        <v>1156</v>
      </c>
      <c r="B405" s="210" t="s">
        <v>1182</v>
      </c>
      <c r="C405" s="210" t="s">
        <v>112</v>
      </c>
      <c r="D405" s="210" t="s">
        <v>1230</v>
      </c>
      <c r="E405" s="412" t="s">
        <v>112</v>
      </c>
      <c r="F405" s="463" t="s">
        <v>1892</v>
      </c>
      <c r="G405" s="161" t="s">
        <v>1838</v>
      </c>
      <c r="AB405" s="341" t="s">
        <v>203</v>
      </c>
    </row>
    <row r="406" spans="1:28" ht="13.5" customHeight="1">
      <c r="A406" s="210" t="s">
        <v>1156</v>
      </c>
      <c r="B406" s="210" t="s">
        <v>1182</v>
      </c>
      <c r="C406" s="210" t="s">
        <v>112</v>
      </c>
      <c r="D406" s="210" t="s">
        <v>1230</v>
      </c>
      <c r="E406" s="412" t="s">
        <v>112</v>
      </c>
      <c r="F406" s="463" t="s">
        <v>1893</v>
      </c>
      <c r="G406" s="161" t="s">
        <v>1838</v>
      </c>
      <c r="AB406" s="341" t="s">
        <v>203</v>
      </c>
    </row>
    <row r="407" spans="1:28" ht="13.5" customHeight="1">
      <c r="A407" s="210" t="s">
        <v>1156</v>
      </c>
      <c r="B407" s="210" t="s">
        <v>1182</v>
      </c>
      <c r="C407" s="210" t="s">
        <v>112</v>
      </c>
      <c r="D407" s="210" t="s">
        <v>1230</v>
      </c>
      <c r="E407" s="412" t="s">
        <v>112</v>
      </c>
      <c r="F407" s="463" t="s">
        <v>1894</v>
      </c>
      <c r="G407" s="161" t="s">
        <v>1838</v>
      </c>
      <c r="AB407" s="341" t="s">
        <v>203</v>
      </c>
    </row>
    <row r="408" spans="1:28" ht="13.5" customHeight="1">
      <c r="A408" s="210" t="s">
        <v>1156</v>
      </c>
      <c r="B408" s="210" t="s">
        <v>1182</v>
      </c>
      <c r="C408" s="210" t="s">
        <v>112</v>
      </c>
      <c r="D408" s="210" t="s">
        <v>1230</v>
      </c>
      <c r="E408" s="412" t="s">
        <v>112</v>
      </c>
      <c r="F408" s="463" t="s">
        <v>1895</v>
      </c>
      <c r="G408" s="161" t="s">
        <v>1838</v>
      </c>
      <c r="AB408" s="341" t="s">
        <v>203</v>
      </c>
    </row>
    <row r="409" spans="1:28" ht="13.5" customHeight="1">
      <c r="A409" s="210" t="s">
        <v>1156</v>
      </c>
      <c r="B409" s="210" t="s">
        <v>1182</v>
      </c>
      <c r="C409" s="210" t="s">
        <v>112</v>
      </c>
      <c r="D409" s="210" t="s">
        <v>1230</v>
      </c>
      <c r="E409" s="412" t="s">
        <v>112</v>
      </c>
      <c r="F409" s="463" t="s">
        <v>1896</v>
      </c>
      <c r="G409" s="161" t="s">
        <v>1838</v>
      </c>
      <c r="AB409" s="341" t="s">
        <v>203</v>
      </c>
    </row>
    <row r="410" spans="1:28" ht="13.5" customHeight="1">
      <c r="A410" s="210" t="s">
        <v>1156</v>
      </c>
      <c r="B410" s="210" t="s">
        <v>1182</v>
      </c>
      <c r="C410" s="210" t="s">
        <v>112</v>
      </c>
      <c r="D410" s="210" t="s">
        <v>1230</v>
      </c>
      <c r="E410" s="412" t="s">
        <v>112</v>
      </c>
      <c r="F410" s="463" t="s">
        <v>1897</v>
      </c>
      <c r="G410" s="161" t="s">
        <v>1838</v>
      </c>
      <c r="AB410" s="341" t="s">
        <v>203</v>
      </c>
    </row>
    <row r="411" spans="1:28" ht="13.5" customHeight="1">
      <c r="A411" s="210" t="s">
        <v>1156</v>
      </c>
      <c r="B411" s="210" t="s">
        <v>1182</v>
      </c>
      <c r="C411" s="210" t="s">
        <v>112</v>
      </c>
      <c r="D411" s="210" t="s">
        <v>1230</v>
      </c>
      <c r="E411" s="412" t="s">
        <v>112</v>
      </c>
      <c r="F411" s="463" t="s">
        <v>1898</v>
      </c>
      <c r="G411" s="161" t="s">
        <v>1838</v>
      </c>
      <c r="AB411" s="341" t="s">
        <v>203</v>
      </c>
    </row>
    <row r="412" spans="1:28" ht="13.5" customHeight="1">
      <c r="A412" s="210" t="s">
        <v>1156</v>
      </c>
      <c r="B412" s="210" t="s">
        <v>1182</v>
      </c>
      <c r="C412" s="210" t="s">
        <v>112</v>
      </c>
      <c r="D412" s="210" t="s">
        <v>1230</v>
      </c>
      <c r="E412" s="412" t="s">
        <v>112</v>
      </c>
      <c r="F412" s="463" t="s">
        <v>1899</v>
      </c>
      <c r="G412" s="161" t="s">
        <v>1838</v>
      </c>
      <c r="AB412" s="341" t="s">
        <v>203</v>
      </c>
    </row>
    <row r="413" spans="1:28" ht="13.5" customHeight="1">
      <c r="A413" s="210" t="s">
        <v>1156</v>
      </c>
      <c r="B413" s="210" t="s">
        <v>1182</v>
      </c>
      <c r="C413" s="210" t="s">
        <v>112</v>
      </c>
      <c r="D413" s="210" t="s">
        <v>1230</v>
      </c>
      <c r="E413" s="412" t="s">
        <v>112</v>
      </c>
      <c r="F413" s="463" t="s">
        <v>1900</v>
      </c>
      <c r="G413" s="161" t="s">
        <v>1838</v>
      </c>
      <c r="AB413" s="341" t="s">
        <v>203</v>
      </c>
    </row>
    <row r="414" spans="1:28" ht="13.5" customHeight="1">
      <c r="A414" s="210" t="s">
        <v>1156</v>
      </c>
      <c r="B414" s="210" t="s">
        <v>1182</v>
      </c>
      <c r="C414" s="210" t="s">
        <v>112</v>
      </c>
      <c r="D414" s="210" t="s">
        <v>1230</v>
      </c>
      <c r="E414" s="412" t="s">
        <v>112</v>
      </c>
      <c r="F414" s="463" t="s">
        <v>1901</v>
      </c>
      <c r="G414" s="161" t="s">
        <v>1838</v>
      </c>
      <c r="AB414" s="341" t="s">
        <v>203</v>
      </c>
    </row>
    <row r="415" spans="1:28" ht="13.5" customHeight="1">
      <c r="A415" s="210" t="s">
        <v>1156</v>
      </c>
      <c r="B415" s="210" t="s">
        <v>1182</v>
      </c>
      <c r="C415" s="210" t="s">
        <v>112</v>
      </c>
      <c r="D415" s="210" t="s">
        <v>1230</v>
      </c>
      <c r="E415" s="412" t="s">
        <v>112</v>
      </c>
      <c r="F415" s="463" t="s">
        <v>1902</v>
      </c>
      <c r="G415" s="161" t="s">
        <v>1838</v>
      </c>
      <c r="AB415" s="341" t="s">
        <v>203</v>
      </c>
    </row>
    <row r="416" spans="1:28" ht="13.5" customHeight="1">
      <c r="A416" s="210" t="s">
        <v>1156</v>
      </c>
      <c r="B416" s="210" t="s">
        <v>1182</v>
      </c>
      <c r="C416" s="210" t="s">
        <v>112</v>
      </c>
      <c r="D416" s="210" t="s">
        <v>1230</v>
      </c>
      <c r="E416" s="412" t="s">
        <v>112</v>
      </c>
      <c r="F416" s="463" t="s">
        <v>1903</v>
      </c>
      <c r="G416" s="161" t="s">
        <v>1838</v>
      </c>
      <c r="AB416" s="341" t="s">
        <v>203</v>
      </c>
    </row>
    <row r="417" spans="1:28" ht="13.5" customHeight="1">
      <c r="A417" s="210" t="s">
        <v>1156</v>
      </c>
      <c r="B417" s="210" t="s">
        <v>1182</v>
      </c>
      <c r="C417" s="210" t="s">
        <v>112</v>
      </c>
      <c r="D417" s="210" t="s">
        <v>1230</v>
      </c>
      <c r="E417" s="412" t="s">
        <v>112</v>
      </c>
      <c r="F417" s="463" t="s">
        <v>1904</v>
      </c>
      <c r="G417" s="161" t="s">
        <v>1838</v>
      </c>
      <c r="AB417" s="341" t="s">
        <v>203</v>
      </c>
    </row>
    <row r="418" spans="1:28" ht="13.5" customHeight="1">
      <c r="A418" s="210" t="s">
        <v>1156</v>
      </c>
      <c r="B418" s="210" t="s">
        <v>1182</v>
      </c>
      <c r="C418" s="210" t="s">
        <v>112</v>
      </c>
      <c r="D418" s="210" t="s">
        <v>1230</v>
      </c>
      <c r="E418" s="412" t="s">
        <v>112</v>
      </c>
      <c r="F418" s="463" t="s">
        <v>1905</v>
      </c>
      <c r="G418" s="161" t="s">
        <v>1838</v>
      </c>
      <c r="AB418" s="341" t="s">
        <v>203</v>
      </c>
    </row>
    <row r="419" spans="1:28" ht="13.5" customHeight="1">
      <c r="A419" s="210" t="s">
        <v>1156</v>
      </c>
      <c r="B419" s="210" t="s">
        <v>1182</v>
      </c>
      <c r="C419" s="210" t="s">
        <v>112</v>
      </c>
      <c r="D419" s="210" t="s">
        <v>1230</v>
      </c>
      <c r="E419" s="412" t="s">
        <v>112</v>
      </c>
      <c r="F419" s="463" t="s">
        <v>1906</v>
      </c>
      <c r="G419" s="161" t="s">
        <v>1838</v>
      </c>
      <c r="AB419" s="341" t="s">
        <v>203</v>
      </c>
    </row>
    <row r="420" spans="1:28" ht="13.5" customHeight="1">
      <c r="A420" s="210" t="s">
        <v>1156</v>
      </c>
      <c r="B420" s="210" t="s">
        <v>1182</v>
      </c>
      <c r="C420" s="210" t="s">
        <v>112</v>
      </c>
      <c r="D420" s="210" t="s">
        <v>1230</v>
      </c>
      <c r="E420" s="412" t="s">
        <v>112</v>
      </c>
      <c r="F420" s="463" t="s">
        <v>1907</v>
      </c>
      <c r="G420" s="161" t="s">
        <v>1838</v>
      </c>
      <c r="AB420" s="341" t="s">
        <v>203</v>
      </c>
    </row>
    <row r="421" spans="1:28" ht="13.5" customHeight="1">
      <c r="A421" s="210" t="s">
        <v>1156</v>
      </c>
      <c r="B421" s="210" t="s">
        <v>1182</v>
      </c>
      <c r="C421" s="210" t="s">
        <v>112</v>
      </c>
      <c r="D421" s="210" t="s">
        <v>1230</v>
      </c>
      <c r="E421" s="412" t="s">
        <v>112</v>
      </c>
      <c r="F421" s="463" t="s">
        <v>1908</v>
      </c>
      <c r="G421" s="161" t="s">
        <v>1838</v>
      </c>
      <c r="AB421" s="341" t="s">
        <v>203</v>
      </c>
    </row>
    <row r="422" spans="1:28" ht="13.5" customHeight="1">
      <c r="A422" s="210" t="s">
        <v>1156</v>
      </c>
      <c r="B422" s="210" t="s">
        <v>1182</v>
      </c>
      <c r="C422" s="210" t="s">
        <v>112</v>
      </c>
      <c r="D422" s="210" t="s">
        <v>1230</v>
      </c>
      <c r="E422" s="412" t="s">
        <v>112</v>
      </c>
      <c r="F422" s="463" t="s">
        <v>1909</v>
      </c>
      <c r="G422" s="161" t="s">
        <v>1838</v>
      </c>
      <c r="AB422" s="341" t="s">
        <v>203</v>
      </c>
    </row>
    <row r="423" spans="1:28" ht="13.5" customHeight="1">
      <c r="A423" s="210" t="s">
        <v>1156</v>
      </c>
      <c r="B423" s="210" t="s">
        <v>1182</v>
      </c>
      <c r="C423" s="210" t="s">
        <v>112</v>
      </c>
      <c r="D423" s="210" t="s">
        <v>1230</v>
      </c>
      <c r="E423" s="412" t="s">
        <v>112</v>
      </c>
      <c r="F423" s="463" t="s">
        <v>1910</v>
      </c>
      <c r="G423" s="161" t="s">
        <v>1838</v>
      </c>
      <c r="AB423" s="341" t="s">
        <v>203</v>
      </c>
    </row>
    <row r="424" spans="1:28" ht="13.5" customHeight="1">
      <c r="A424" s="210" t="s">
        <v>1156</v>
      </c>
      <c r="B424" s="210" t="s">
        <v>1182</v>
      </c>
      <c r="C424" s="210" t="s">
        <v>112</v>
      </c>
      <c r="D424" s="210" t="s">
        <v>1230</v>
      </c>
      <c r="E424" s="412" t="s">
        <v>112</v>
      </c>
      <c r="F424" s="463" t="s">
        <v>1911</v>
      </c>
      <c r="G424" s="161" t="s">
        <v>1838</v>
      </c>
      <c r="AB424" s="341" t="s">
        <v>203</v>
      </c>
    </row>
    <row r="425" spans="1:28" ht="13.5" customHeight="1">
      <c r="A425" s="210" t="s">
        <v>1156</v>
      </c>
      <c r="B425" s="210" t="s">
        <v>1182</v>
      </c>
      <c r="C425" s="210" t="s">
        <v>112</v>
      </c>
      <c r="D425" s="210" t="s">
        <v>1230</v>
      </c>
      <c r="E425" s="412" t="s">
        <v>112</v>
      </c>
      <c r="F425" s="463" t="s">
        <v>1912</v>
      </c>
      <c r="G425" s="161" t="s">
        <v>1838</v>
      </c>
      <c r="AB425" s="341" t="s">
        <v>203</v>
      </c>
    </row>
    <row r="426" spans="1:28" ht="13.5" customHeight="1">
      <c r="A426" s="210" t="s">
        <v>1156</v>
      </c>
      <c r="B426" s="210" t="s">
        <v>1182</v>
      </c>
      <c r="C426" s="210" t="s">
        <v>112</v>
      </c>
      <c r="D426" s="210" t="s">
        <v>1230</v>
      </c>
      <c r="E426" s="412" t="s">
        <v>112</v>
      </c>
      <c r="F426" s="463" t="s">
        <v>1913</v>
      </c>
      <c r="G426" s="161" t="s">
        <v>1838</v>
      </c>
      <c r="AB426" s="341" t="s">
        <v>203</v>
      </c>
    </row>
    <row r="427" spans="1:28" ht="13.5" customHeight="1">
      <c r="A427" s="210" t="s">
        <v>1156</v>
      </c>
      <c r="B427" s="210" t="s">
        <v>1182</v>
      </c>
      <c r="C427" s="210" t="s">
        <v>112</v>
      </c>
      <c r="D427" s="210" t="s">
        <v>1230</v>
      </c>
      <c r="E427" s="412" t="s">
        <v>112</v>
      </c>
      <c r="F427" s="463" t="s">
        <v>1914</v>
      </c>
      <c r="G427" s="161" t="s">
        <v>1838</v>
      </c>
      <c r="AB427" s="341" t="s">
        <v>203</v>
      </c>
    </row>
    <row r="428" spans="1:28" ht="13.5" customHeight="1">
      <c r="A428" s="210" t="s">
        <v>1156</v>
      </c>
      <c r="B428" s="210" t="s">
        <v>1182</v>
      </c>
      <c r="C428" s="210" t="s">
        <v>112</v>
      </c>
      <c r="D428" s="210" t="s">
        <v>1230</v>
      </c>
      <c r="E428" s="412" t="s">
        <v>112</v>
      </c>
      <c r="F428" s="463" t="s">
        <v>1915</v>
      </c>
      <c r="G428" s="161" t="s">
        <v>1838</v>
      </c>
      <c r="AB428" s="341" t="s">
        <v>203</v>
      </c>
    </row>
    <row r="429" spans="1:28" ht="13.5" customHeight="1">
      <c r="A429" s="210" t="s">
        <v>1156</v>
      </c>
      <c r="B429" s="210" t="s">
        <v>1182</v>
      </c>
      <c r="C429" s="210" t="s">
        <v>112</v>
      </c>
      <c r="D429" s="210" t="s">
        <v>1230</v>
      </c>
      <c r="E429" s="412" t="s">
        <v>112</v>
      </c>
      <c r="F429" s="463" t="s">
        <v>1916</v>
      </c>
      <c r="G429" s="161" t="s">
        <v>1838</v>
      </c>
      <c r="AB429" s="341" t="s">
        <v>203</v>
      </c>
    </row>
    <row r="430" spans="1:28" ht="13.5" customHeight="1">
      <c r="A430" s="210" t="s">
        <v>1156</v>
      </c>
      <c r="B430" s="210" t="s">
        <v>1182</v>
      </c>
      <c r="C430" s="210" t="s">
        <v>112</v>
      </c>
      <c r="D430" s="210" t="s">
        <v>1230</v>
      </c>
      <c r="E430" s="412" t="s">
        <v>112</v>
      </c>
      <c r="F430" s="463" t="s">
        <v>1917</v>
      </c>
      <c r="G430" s="161" t="s">
        <v>1838</v>
      </c>
      <c r="AB430" s="341" t="s">
        <v>203</v>
      </c>
    </row>
    <row r="431" spans="1:28" ht="13.5" customHeight="1">
      <c r="A431" s="210" t="s">
        <v>1156</v>
      </c>
      <c r="B431" s="210" t="s">
        <v>1182</v>
      </c>
      <c r="C431" s="210" t="s">
        <v>112</v>
      </c>
      <c r="D431" s="210" t="s">
        <v>1230</v>
      </c>
      <c r="E431" s="412" t="s">
        <v>112</v>
      </c>
      <c r="F431" s="463" t="s">
        <v>1918</v>
      </c>
      <c r="G431" s="161" t="s">
        <v>1838</v>
      </c>
      <c r="AB431" s="341" t="s">
        <v>203</v>
      </c>
    </row>
    <row r="432" spans="1:28" ht="13.5" customHeight="1">
      <c r="A432" s="210" t="s">
        <v>1156</v>
      </c>
      <c r="B432" s="210" t="s">
        <v>1182</v>
      </c>
      <c r="C432" s="210" t="s">
        <v>112</v>
      </c>
      <c r="D432" s="210" t="s">
        <v>1230</v>
      </c>
      <c r="E432" s="412" t="s">
        <v>112</v>
      </c>
      <c r="F432" s="463" t="s">
        <v>1919</v>
      </c>
      <c r="G432" s="161" t="s">
        <v>1838</v>
      </c>
      <c r="AB432" s="341" t="s">
        <v>203</v>
      </c>
    </row>
    <row r="433" spans="1:28" ht="13.5" customHeight="1">
      <c r="A433" s="210" t="s">
        <v>1156</v>
      </c>
      <c r="B433" s="210" t="s">
        <v>1182</v>
      </c>
      <c r="C433" s="210" t="s">
        <v>112</v>
      </c>
      <c r="D433" s="210" t="s">
        <v>1230</v>
      </c>
      <c r="E433" s="412" t="s">
        <v>112</v>
      </c>
      <c r="F433" s="463" t="s">
        <v>1920</v>
      </c>
      <c r="G433" s="161" t="s">
        <v>1838</v>
      </c>
      <c r="AB433" s="341" t="s">
        <v>203</v>
      </c>
    </row>
    <row r="434" spans="1:28" ht="13.5" customHeight="1">
      <c r="A434" s="210" t="s">
        <v>1156</v>
      </c>
      <c r="B434" s="210" t="s">
        <v>1182</v>
      </c>
      <c r="C434" s="210" t="s">
        <v>112</v>
      </c>
      <c r="D434" s="210" t="s">
        <v>1230</v>
      </c>
      <c r="E434" s="412" t="s">
        <v>112</v>
      </c>
      <c r="F434" s="463" t="s">
        <v>1921</v>
      </c>
      <c r="G434" s="161" t="s">
        <v>1838</v>
      </c>
      <c r="AB434" s="341" t="s">
        <v>203</v>
      </c>
    </row>
    <row r="435" spans="1:28" ht="13.5" customHeight="1">
      <c r="A435" s="210" t="s">
        <v>1156</v>
      </c>
      <c r="B435" s="210" t="s">
        <v>1182</v>
      </c>
      <c r="C435" s="210" t="s">
        <v>112</v>
      </c>
      <c r="D435" s="210" t="s">
        <v>1230</v>
      </c>
      <c r="E435" s="412" t="s">
        <v>112</v>
      </c>
      <c r="F435" s="463" t="s">
        <v>1922</v>
      </c>
      <c r="G435" s="161" t="s">
        <v>1838</v>
      </c>
      <c r="AB435" s="341" t="s">
        <v>203</v>
      </c>
    </row>
    <row r="436" spans="1:28" ht="13.5" customHeight="1">
      <c r="A436" s="210" t="s">
        <v>1156</v>
      </c>
      <c r="B436" s="210" t="s">
        <v>1182</v>
      </c>
      <c r="C436" s="210" t="s">
        <v>112</v>
      </c>
      <c r="D436" s="210" t="s">
        <v>1230</v>
      </c>
      <c r="E436" s="412" t="s">
        <v>112</v>
      </c>
      <c r="F436" s="463" t="s">
        <v>1923</v>
      </c>
      <c r="G436" s="161" t="s">
        <v>1838</v>
      </c>
      <c r="AB436" s="341" t="s">
        <v>203</v>
      </c>
    </row>
    <row r="437" spans="1:28" ht="13.5" customHeight="1">
      <c r="A437" s="210" t="s">
        <v>1156</v>
      </c>
      <c r="B437" s="210" t="s">
        <v>1182</v>
      </c>
      <c r="C437" s="210" t="s">
        <v>112</v>
      </c>
      <c r="D437" s="210" t="s">
        <v>1230</v>
      </c>
      <c r="E437" s="412" t="s">
        <v>112</v>
      </c>
      <c r="F437" s="463" t="s">
        <v>1924</v>
      </c>
      <c r="G437" s="161" t="s">
        <v>1838</v>
      </c>
      <c r="AB437" s="341" t="s">
        <v>203</v>
      </c>
    </row>
    <row r="438" spans="1:28" ht="13.5" customHeight="1">
      <c r="A438" s="210" t="s">
        <v>1156</v>
      </c>
      <c r="B438" s="210" t="s">
        <v>1182</v>
      </c>
      <c r="C438" s="210" t="s">
        <v>112</v>
      </c>
      <c r="D438" s="210" t="s">
        <v>1230</v>
      </c>
      <c r="E438" s="412" t="s">
        <v>112</v>
      </c>
      <c r="F438" s="463" t="s">
        <v>1925</v>
      </c>
      <c r="G438" s="161" t="s">
        <v>1838</v>
      </c>
      <c r="AB438" s="341" t="s">
        <v>203</v>
      </c>
    </row>
    <row r="439" spans="1:28" ht="13.5" customHeight="1">
      <c r="A439" s="210" t="s">
        <v>1156</v>
      </c>
      <c r="B439" s="210" t="s">
        <v>1182</v>
      </c>
      <c r="C439" s="210" t="s">
        <v>112</v>
      </c>
      <c r="D439" s="210" t="s">
        <v>1230</v>
      </c>
      <c r="E439" s="412" t="s">
        <v>112</v>
      </c>
      <c r="F439" s="463" t="s">
        <v>1926</v>
      </c>
      <c r="G439" s="161" t="s">
        <v>1838</v>
      </c>
      <c r="AB439" s="341" t="s">
        <v>203</v>
      </c>
    </row>
    <row r="440" spans="1:28" ht="13.5" customHeight="1">
      <c r="A440" s="210" t="s">
        <v>1156</v>
      </c>
      <c r="B440" s="210" t="s">
        <v>1182</v>
      </c>
      <c r="C440" s="210" t="s">
        <v>112</v>
      </c>
      <c r="D440" s="210" t="s">
        <v>1230</v>
      </c>
      <c r="E440" s="412" t="s">
        <v>112</v>
      </c>
      <c r="F440" s="463" t="s">
        <v>1927</v>
      </c>
      <c r="G440" s="161" t="s">
        <v>1838</v>
      </c>
      <c r="AB440" s="341" t="s">
        <v>203</v>
      </c>
    </row>
    <row r="441" spans="1:28" ht="13.5" customHeight="1">
      <c r="A441" s="210" t="s">
        <v>1156</v>
      </c>
      <c r="B441" s="210" t="s">
        <v>1182</v>
      </c>
      <c r="C441" s="210" t="s">
        <v>112</v>
      </c>
      <c r="D441" s="210" t="s">
        <v>1230</v>
      </c>
      <c r="E441" s="412" t="s">
        <v>112</v>
      </c>
      <c r="F441" s="463" t="s">
        <v>1928</v>
      </c>
      <c r="G441" s="161" t="s">
        <v>1838</v>
      </c>
      <c r="AB441" s="341" t="s">
        <v>203</v>
      </c>
    </row>
    <row r="442" spans="1:28" ht="13.5" customHeight="1">
      <c r="A442" s="210" t="s">
        <v>1156</v>
      </c>
      <c r="B442" s="210" t="s">
        <v>1182</v>
      </c>
      <c r="C442" s="210" t="s">
        <v>112</v>
      </c>
      <c r="D442" s="210" t="s">
        <v>1230</v>
      </c>
      <c r="E442" s="412" t="s">
        <v>112</v>
      </c>
      <c r="F442" s="463" t="s">
        <v>1929</v>
      </c>
      <c r="G442" s="161" t="s">
        <v>1838</v>
      </c>
      <c r="AB442" s="341" t="s">
        <v>203</v>
      </c>
    </row>
    <row r="443" spans="1:28" ht="13.5" customHeight="1">
      <c r="A443" s="210" t="s">
        <v>1156</v>
      </c>
      <c r="B443" s="210" t="s">
        <v>1182</v>
      </c>
      <c r="C443" s="210" t="s">
        <v>112</v>
      </c>
      <c r="D443" s="210" t="s">
        <v>1230</v>
      </c>
      <c r="E443" s="412" t="s">
        <v>112</v>
      </c>
      <c r="F443" s="463" t="s">
        <v>1930</v>
      </c>
      <c r="G443" s="161" t="s">
        <v>1838</v>
      </c>
      <c r="AB443" s="341" t="s">
        <v>203</v>
      </c>
    </row>
    <row r="444" spans="1:28" ht="13.5" customHeight="1">
      <c r="A444" s="210" t="s">
        <v>1156</v>
      </c>
      <c r="B444" s="210" t="s">
        <v>1182</v>
      </c>
      <c r="C444" s="210" t="s">
        <v>112</v>
      </c>
      <c r="D444" s="210" t="s">
        <v>1230</v>
      </c>
      <c r="E444" s="412" t="s">
        <v>112</v>
      </c>
      <c r="F444" s="463" t="s">
        <v>1931</v>
      </c>
      <c r="G444" s="161" t="s">
        <v>1838</v>
      </c>
      <c r="AB444" s="341" t="s">
        <v>203</v>
      </c>
    </row>
    <row r="445" spans="1:28" ht="13.5" customHeight="1">
      <c r="A445" s="210" t="s">
        <v>1156</v>
      </c>
      <c r="B445" s="210" t="s">
        <v>1182</v>
      </c>
      <c r="C445" s="210" t="s">
        <v>112</v>
      </c>
      <c r="D445" s="210" t="s">
        <v>1230</v>
      </c>
      <c r="E445" s="412" t="s">
        <v>112</v>
      </c>
      <c r="F445" s="463" t="s">
        <v>1932</v>
      </c>
      <c r="G445" s="161" t="s">
        <v>1838</v>
      </c>
      <c r="AB445" s="341" t="s">
        <v>203</v>
      </c>
    </row>
    <row r="446" spans="1:28" ht="13.5" customHeight="1">
      <c r="A446" s="210" t="s">
        <v>1156</v>
      </c>
      <c r="B446" s="210" t="s">
        <v>1182</v>
      </c>
      <c r="C446" s="210" t="s">
        <v>112</v>
      </c>
      <c r="D446" s="210" t="s">
        <v>1230</v>
      </c>
      <c r="E446" s="412" t="s">
        <v>112</v>
      </c>
      <c r="F446" s="463" t="s">
        <v>1933</v>
      </c>
      <c r="G446" s="161" t="s">
        <v>1838</v>
      </c>
      <c r="AB446" s="341" t="s">
        <v>203</v>
      </c>
    </row>
    <row r="447" spans="1:28" ht="13.5" customHeight="1">
      <c r="A447" s="210" t="s">
        <v>1156</v>
      </c>
      <c r="B447" s="210" t="s">
        <v>1182</v>
      </c>
      <c r="C447" s="210" t="s">
        <v>112</v>
      </c>
      <c r="D447" s="210" t="s">
        <v>1230</v>
      </c>
      <c r="E447" s="412" t="s">
        <v>112</v>
      </c>
      <c r="F447" s="463" t="s">
        <v>1934</v>
      </c>
      <c r="G447" s="161" t="s">
        <v>1838</v>
      </c>
      <c r="AB447" s="341" t="s">
        <v>203</v>
      </c>
    </row>
    <row r="448" spans="1:28" ht="13.5" customHeight="1">
      <c r="A448" s="210" t="s">
        <v>1156</v>
      </c>
      <c r="B448" s="210" t="s">
        <v>1182</v>
      </c>
      <c r="C448" s="210" t="s">
        <v>112</v>
      </c>
      <c r="D448" s="210" t="s">
        <v>1230</v>
      </c>
      <c r="E448" s="412" t="s">
        <v>112</v>
      </c>
      <c r="F448" s="463" t="s">
        <v>1935</v>
      </c>
      <c r="G448" s="161" t="s">
        <v>1838</v>
      </c>
      <c r="AB448" s="341" t="s">
        <v>203</v>
      </c>
    </row>
    <row r="449" spans="1:28" ht="13.5" customHeight="1">
      <c r="A449" s="210" t="s">
        <v>1156</v>
      </c>
      <c r="B449" s="210" t="s">
        <v>1182</v>
      </c>
      <c r="C449" s="210" t="s">
        <v>112</v>
      </c>
      <c r="D449" s="210" t="s">
        <v>1230</v>
      </c>
      <c r="E449" s="412" t="s">
        <v>112</v>
      </c>
      <c r="F449" s="463" t="s">
        <v>1936</v>
      </c>
      <c r="G449" s="161" t="s">
        <v>1838</v>
      </c>
      <c r="AB449" s="341" t="s">
        <v>203</v>
      </c>
    </row>
    <row r="450" spans="1:28" ht="13.5" customHeight="1">
      <c r="A450" s="210" t="s">
        <v>1156</v>
      </c>
      <c r="B450" s="210" t="s">
        <v>1182</v>
      </c>
      <c r="C450" s="210" t="s">
        <v>112</v>
      </c>
      <c r="D450" s="210" t="s">
        <v>1230</v>
      </c>
      <c r="E450" s="412" t="s">
        <v>112</v>
      </c>
      <c r="F450" s="463" t="s">
        <v>1937</v>
      </c>
      <c r="G450" s="161" t="s">
        <v>1838</v>
      </c>
      <c r="AB450" s="341" t="s">
        <v>203</v>
      </c>
    </row>
    <row r="451" spans="1:28" ht="13.5" customHeight="1">
      <c r="A451" s="210" t="s">
        <v>1156</v>
      </c>
      <c r="B451" s="210" t="s">
        <v>1182</v>
      </c>
      <c r="C451" s="210" t="s">
        <v>112</v>
      </c>
      <c r="D451" s="210" t="s">
        <v>1230</v>
      </c>
      <c r="E451" s="412" t="s">
        <v>112</v>
      </c>
      <c r="F451" s="463" t="s">
        <v>1938</v>
      </c>
      <c r="G451" s="161" t="s">
        <v>1838</v>
      </c>
      <c r="AB451" s="341" t="s">
        <v>203</v>
      </c>
    </row>
    <row r="452" spans="1:28" ht="13.5" customHeight="1">
      <c r="A452" s="210" t="s">
        <v>1156</v>
      </c>
      <c r="B452" s="210" t="s">
        <v>1182</v>
      </c>
      <c r="C452" s="210" t="s">
        <v>112</v>
      </c>
      <c r="D452" s="210" t="s">
        <v>1230</v>
      </c>
      <c r="E452" s="412" t="s">
        <v>112</v>
      </c>
      <c r="F452" s="463" t="s">
        <v>1939</v>
      </c>
      <c r="G452" s="161" t="s">
        <v>1838</v>
      </c>
      <c r="AB452" s="341" t="s">
        <v>203</v>
      </c>
    </row>
    <row r="453" spans="1:28" ht="13.5" customHeight="1">
      <c r="A453" s="210" t="s">
        <v>1156</v>
      </c>
      <c r="B453" s="210" t="s">
        <v>1182</v>
      </c>
      <c r="C453" s="210" t="s">
        <v>112</v>
      </c>
      <c r="D453" s="210" t="s">
        <v>1230</v>
      </c>
      <c r="E453" s="412" t="s">
        <v>112</v>
      </c>
      <c r="F453" s="463" t="s">
        <v>1940</v>
      </c>
      <c r="G453" s="161" t="s">
        <v>1838</v>
      </c>
      <c r="AB453" s="341" t="s">
        <v>203</v>
      </c>
    </row>
    <row r="454" spans="1:28" ht="13.5" customHeight="1">
      <c r="A454" s="210" t="s">
        <v>1156</v>
      </c>
      <c r="B454" s="210" t="s">
        <v>1182</v>
      </c>
      <c r="C454" s="210" t="s">
        <v>112</v>
      </c>
      <c r="D454" s="210" t="s">
        <v>1230</v>
      </c>
      <c r="E454" s="412" t="s">
        <v>112</v>
      </c>
      <c r="F454" s="463" t="s">
        <v>1941</v>
      </c>
      <c r="G454" s="161" t="s">
        <v>1838</v>
      </c>
      <c r="AB454" s="341" t="s">
        <v>203</v>
      </c>
    </row>
    <row r="455" spans="1:28" ht="13.5" customHeight="1">
      <c r="A455" s="210" t="s">
        <v>1156</v>
      </c>
      <c r="B455" s="210" t="s">
        <v>1182</v>
      </c>
      <c r="C455" s="210" t="s">
        <v>112</v>
      </c>
      <c r="D455" s="210" t="s">
        <v>1230</v>
      </c>
      <c r="E455" s="412" t="s">
        <v>112</v>
      </c>
      <c r="F455" s="463" t="s">
        <v>1942</v>
      </c>
      <c r="G455" s="161" t="s">
        <v>1838</v>
      </c>
      <c r="AB455" s="341" t="s">
        <v>203</v>
      </c>
    </row>
    <row r="456" spans="1:28" ht="13.5" customHeight="1">
      <c r="A456" s="210" t="s">
        <v>1156</v>
      </c>
      <c r="B456" s="210" t="s">
        <v>1182</v>
      </c>
      <c r="C456" s="210" t="s">
        <v>112</v>
      </c>
      <c r="D456" s="210" t="s">
        <v>1230</v>
      </c>
      <c r="E456" s="412" t="s">
        <v>112</v>
      </c>
      <c r="F456" s="463" t="s">
        <v>1943</v>
      </c>
      <c r="G456" s="161" t="s">
        <v>1838</v>
      </c>
      <c r="AB456" s="341" t="s">
        <v>203</v>
      </c>
    </row>
    <row r="457" spans="1:28" ht="13.5" customHeight="1">
      <c r="A457" s="210" t="s">
        <v>1156</v>
      </c>
      <c r="B457" s="210" t="s">
        <v>1182</v>
      </c>
      <c r="C457" s="210" t="s">
        <v>112</v>
      </c>
      <c r="D457" s="210" t="s">
        <v>1230</v>
      </c>
      <c r="E457" s="412" t="s">
        <v>112</v>
      </c>
      <c r="F457" s="463" t="s">
        <v>1944</v>
      </c>
      <c r="G457" s="161" t="s">
        <v>1838</v>
      </c>
      <c r="AB457" s="341" t="s">
        <v>203</v>
      </c>
    </row>
    <row r="458" spans="1:28" ht="13.5" customHeight="1">
      <c r="A458" s="210" t="s">
        <v>1156</v>
      </c>
      <c r="B458" s="210" t="s">
        <v>1182</v>
      </c>
      <c r="C458" s="210" t="s">
        <v>112</v>
      </c>
      <c r="D458" s="210" t="s">
        <v>1230</v>
      </c>
      <c r="E458" s="412" t="s">
        <v>112</v>
      </c>
      <c r="F458" s="463" t="s">
        <v>1945</v>
      </c>
      <c r="G458" s="161" t="s">
        <v>1838</v>
      </c>
      <c r="AB458" s="341" t="s">
        <v>203</v>
      </c>
    </row>
    <row r="459" spans="1:28" ht="13.5" customHeight="1">
      <c r="A459" s="210" t="s">
        <v>1156</v>
      </c>
      <c r="B459" s="210" t="s">
        <v>1182</v>
      </c>
      <c r="C459" s="210" t="s">
        <v>112</v>
      </c>
      <c r="D459" s="210" t="s">
        <v>1230</v>
      </c>
      <c r="E459" s="412" t="s">
        <v>112</v>
      </c>
      <c r="F459" s="463" t="s">
        <v>1946</v>
      </c>
      <c r="G459" s="161" t="s">
        <v>1838</v>
      </c>
      <c r="AB459" s="341" t="s">
        <v>203</v>
      </c>
    </row>
    <row r="460" spans="1:28" ht="13.5" customHeight="1">
      <c r="A460" s="210" t="s">
        <v>1156</v>
      </c>
      <c r="B460" s="210" t="s">
        <v>1182</v>
      </c>
      <c r="C460" s="210" t="s">
        <v>112</v>
      </c>
      <c r="D460" s="210" t="s">
        <v>1230</v>
      </c>
      <c r="E460" s="412" t="s">
        <v>112</v>
      </c>
      <c r="F460" s="463" t="s">
        <v>1947</v>
      </c>
      <c r="G460" s="161" t="s">
        <v>1838</v>
      </c>
      <c r="AB460" s="341" t="s">
        <v>203</v>
      </c>
    </row>
    <row r="461" spans="1:28" ht="13.5" customHeight="1">
      <c r="A461" s="210" t="s">
        <v>1156</v>
      </c>
      <c r="B461" s="210" t="s">
        <v>1182</v>
      </c>
      <c r="C461" s="210" t="s">
        <v>112</v>
      </c>
      <c r="D461" s="210" t="s">
        <v>1230</v>
      </c>
      <c r="E461" s="412" t="s">
        <v>112</v>
      </c>
      <c r="F461" s="463" t="s">
        <v>1948</v>
      </c>
      <c r="G461" s="161" t="s">
        <v>1838</v>
      </c>
      <c r="AB461" s="341" t="s">
        <v>203</v>
      </c>
    </row>
    <row r="462" spans="1:28" ht="13.5" customHeight="1">
      <c r="A462" s="210" t="s">
        <v>1156</v>
      </c>
      <c r="B462" s="210" t="s">
        <v>1182</v>
      </c>
      <c r="C462" s="210" t="s">
        <v>112</v>
      </c>
      <c r="D462" s="210" t="s">
        <v>1230</v>
      </c>
      <c r="E462" s="412" t="s">
        <v>112</v>
      </c>
      <c r="F462" s="463" t="s">
        <v>1949</v>
      </c>
      <c r="G462" s="161" t="s">
        <v>1838</v>
      </c>
      <c r="AB462" s="341" t="s">
        <v>203</v>
      </c>
    </row>
    <row r="463" spans="1:28" ht="13.5" customHeight="1">
      <c r="A463" s="210" t="s">
        <v>1156</v>
      </c>
      <c r="B463" s="210" t="s">
        <v>1182</v>
      </c>
      <c r="C463" s="210" t="s">
        <v>112</v>
      </c>
      <c r="D463" s="210" t="s">
        <v>1230</v>
      </c>
      <c r="E463" s="412" t="s">
        <v>112</v>
      </c>
      <c r="F463" s="463" t="s">
        <v>1950</v>
      </c>
      <c r="G463" s="161" t="s">
        <v>1838</v>
      </c>
      <c r="AB463" s="341" t="s">
        <v>203</v>
      </c>
    </row>
    <row r="464" spans="1:28" ht="13.5" customHeight="1">
      <c r="A464" s="210" t="s">
        <v>1156</v>
      </c>
      <c r="B464" s="210" t="s">
        <v>1182</v>
      </c>
      <c r="C464" s="210" t="s">
        <v>112</v>
      </c>
      <c r="D464" s="210" t="s">
        <v>1230</v>
      </c>
      <c r="E464" s="412" t="s">
        <v>112</v>
      </c>
      <c r="F464" s="463" t="s">
        <v>1951</v>
      </c>
      <c r="G464" s="161" t="s">
        <v>1838</v>
      </c>
      <c r="AB464" s="341" t="s">
        <v>203</v>
      </c>
    </row>
    <row r="465" spans="1:28" ht="13.5" customHeight="1">
      <c r="A465" s="210" t="s">
        <v>1156</v>
      </c>
      <c r="B465" s="210" t="s">
        <v>1182</v>
      </c>
      <c r="C465" s="210" t="s">
        <v>112</v>
      </c>
      <c r="D465" s="210" t="s">
        <v>1230</v>
      </c>
      <c r="E465" s="412" t="s">
        <v>112</v>
      </c>
      <c r="F465" s="463" t="s">
        <v>1952</v>
      </c>
      <c r="G465" s="161" t="s">
        <v>1838</v>
      </c>
      <c r="AB465" s="341" t="s">
        <v>203</v>
      </c>
    </row>
    <row r="466" spans="1:28" ht="13.5" customHeight="1">
      <c r="A466" s="210" t="s">
        <v>1156</v>
      </c>
      <c r="B466" s="210" t="s">
        <v>1182</v>
      </c>
      <c r="C466" s="210" t="s">
        <v>112</v>
      </c>
      <c r="D466" s="210" t="s">
        <v>1230</v>
      </c>
      <c r="E466" s="412" t="s">
        <v>112</v>
      </c>
      <c r="F466" s="463" t="s">
        <v>1953</v>
      </c>
      <c r="G466" s="161" t="s">
        <v>1838</v>
      </c>
      <c r="AB466" s="341" t="s">
        <v>203</v>
      </c>
    </row>
    <row r="467" spans="1:28" ht="13.5" customHeight="1">
      <c r="A467" s="210" t="s">
        <v>1156</v>
      </c>
      <c r="B467" s="210" t="s">
        <v>1182</v>
      </c>
      <c r="C467" s="210" t="s">
        <v>112</v>
      </c>
      <c r="D467" s="210" t="s">
        <v>1230</v>
      </c>
      <c r="E467" s="412" t="s">
        <v>112</v>
      </c>
      <c r="F467" s="463" t="s">
        <v>1954</v>
      </c>
      <c r="G467" s="161" t="s">
        <v>1838</v>
      </c>
      <c r="AB467" s="341" t="s">
        <v>203</v>
      </c>
    </row>
    <row r="468" spans="1:28" ht="13.5" customHeight="1">
      <c r="A468" s="210" t="s">
        <v>1156</v>
      </c>
      <c r="B468" s="210" t="s">
        <v>1182</v>
      </c>
      <c r="C468" s="210" t="s">
        <v>112</v>
      </c>
      <c r="D468" s="210" t="s">
        <v>1230</v>
      </c>
      <c r="E468" s="412" t="s">
        <v>112</v>
      </c>
      <c r="F468" s="463" t="s">
        <v>1955</v>
      </c>
      <c r="G468" s="161" t="s">
        <v>1838</v>
      </c>
      <c r="AB468" s="341" t="s">
        <v>203</v>
      </c>
    </row>
    <row r="469" spans="1:28" ht="13.5" customHeight="1">
      <c r="A469" s="210" t="s">
        <v>1156</v>
      </c>
      <c r="B469" s="210" t="s">
        <v>1182</v>
      </c>
      <c r="C469" s="210" t="s">
        <v>112</v>
      </c>
      <c r="D469" s="210" t="s">
        <v>1230</v>
      </c>
      <c r="E469" s="412" t="s">
        <v>112</v>
      </c>
      <c r="F469" s="463" t="s">
        <v>1956</v>
      </c>
      <c r="G469" s="161" t="s">
        <v>1838</v>
      </c>
      <c r="AB469" s="341" t="s">
        <v>203</v>
      </c>
    </row>
    <row r="470" spans="1:28" ht="13.5" customHeight="1">
      <c r="A470" s="210" t="s">
        <v>1156</v>
      </c>
      <c r="B470" s="210" t="s">
        <v>1182</v>
      </c>
      <c r="C470" s="210" t="s">
        <v>112</v>
      </c>
      <c r="D470" s="210" t="s">
        <v>1230</v>
      </c>
      <c r="E470" s="412" t="s">
        <v>112</v>
      </c>
      <c r="F470" s="463" t="s">
        <v>1957</v>
      </c>
      <c r="G470" s="161" t="s">
        <v>1838</v>
      </c>
      <c r="AB470" s="341" t="s">
        <v>203</v>
      </c>
    </row>
    <row r="471" spans="1:28" ht="13.5" customHeight="1">
      <c r="A471" s="210" t="s">
        <v>1156</v>
      </c>
      <c r="B471" s="210" t="s">
        <v>1182</v>
      </c>
      <c r="C471" s="210" t="s">
        <v>112</v>
      </c>
      <c r="D471" s="210" t="s">
        <v>1230</v>
      </c>
      <c r="E471" s="412" t="s">
        <v>112</v>
      </c>
      <c r="F471" s="463" t="s">
        <v>1958</v>
      </c>
      <c r="G471" s="161" t="s">
        <v>1838</v>
      </c>
      <c r="AB471" s="341" t="s">
        <v>203</v>
      </c>
    </row>
    <row r="472" spans="1:28" ht="13.5" customHeight="1">
      <c r="A472" s="210" t="s">
        <v>1156</v>
      </c>
      <c r="B472" s="210" t="s">
        <v>1182</v>
      </c>
      <c r="C472" s="210" t="s">
        <v>112</v>
      </c>
      <c r="D472" s="210" t="s">
        <v>1230</v>
      </c>
      <c r="E472" s="412" t="s">
        <v>112</v>
      </c>
      <c r="F472" s="463" t="s">
        <v>1959</v>
      </c>
      <c r="G472" s="161" t="s">
        <v>1838</v>
      </c>
      <c r="AB472" s="341" t="s">
        <v>203</v>
      </c>
    </row>
    <row r="473" spans="1:28" ht="13.5" customHeight="1">
      <c r="A473" s="210" t="s">
        <v>1156</v>
      </c>
      <c r="B473" s="210" t="s">
        <v>1182</v>
      </c>
      <c r="C473" s="210" t="s">
        <v>112</v>
      </c>
      <c r="D473" s="210" t="s">
        <v>1230</v>
      </c>
      <c r="E473" s="412" t="s">
        <v>112</v>
      </c>
      <c r="F473" s="463" t="s">
        <v>1960</v>
      </c>
      <c r="G473" s="161" t="s">
        <v>1838</v>
      </c>
      <c r="AB473" s="341" t="s">
        <v>203</v>
      </c>
    </row>
    <row r="474" spans="1:28" ht="13.5" customHeight="1">
      <c r="A474" s="210" t="s">
        <v>1156</v>
      </c>
      <c r="B474" s="210" t="s">
        <v>1182</v>
      </c>
      <c r="C474" s="210" t="s">
        <v>112</v>
      </c>
      <c r="D474" s="210" t="s">
        <v>1230</v>
      </c>
      <c r="E474" s="412" t="s">
        <v>112</v>
      </c>
      <c r="F474" s="463" t="s">
        <v>1961</v>
      </c>
      <c r="G474" s="161" t="s">
        <v>1838</v>
      </c>
      <c r="AB474" s="341" t="s">
        <v>203</v>
      </c>
    </row>
    <row r="475" spans="1:28" ht="13.5" customHeight="1">
      <c r="A475" s="210" t="s">
        <v>1156</v>
      </c>
      <c r="B475" s="210" t="s">
        <v>1182</v>
      </c>
      <c r="C475" s="210" t="s">
        <v>112</v>
      </c>
      <c r="D475" s="210" t="s">
        <v>1230</v>
      </c>
      <c r="E475" s="412" t="s">
        <v>112</v>
      </c>
      <c r="F475" s="463" t="s">
        <v>1962</v>
      </c>
      <c r="G475" s="161" t="s">
        <v>1838</v>
      </c>
      <c r="AB475" s="341" t="s">
        <v>203</v>
      </c>
    </row>
    <row r="476" spans="1:28" ht="13.5" customHeight="1">
      <c r="A476" s="210" t="s">
        <v>1156</v>
      </c>
      <c r="B476" s="210" t="s">
        <v>1182</v>
      </c>
      <c r="C476" s="210" t="s">
        <v>112</v>
      </c>
      <c r="D476" s="210" t="s">
        <v>1230</v>
      </c>
      <c r="E476" s="412" t="s">
        <v>112</v>
      </c>
      <c r="F476" s="463" t="s">
        <v>1963</v>
      </c>
      <c r="G476" s="161" t="s">
        <v>1838</v>
      </c>
      <c r="AB476" s="341" t="s">
        <v>203</v>
      </c>
    </row>
    <row r="477" spans="1:28" ht="13.5" customHeight="1">
      <c r="A477" s="210" t="s">
        <v>1156</v>
      </c>
      <c r="B477" s="210" t="s">
        <v>1182</v>
      </c>
      <c r="C477" s="210" t="s">
        <v>112</v>
      </c>
      <c r="D477" s="210" t="s">
        <v>1230</v>
      </c>
      <c r="E477" s="412" t="s">
        <v>112</v>
      </c>
      <c r="F477" s="463" t="s">
        <v>1964</v>
      </c>
      <c r="G477" s="161" t="s">
        <v>1838</v>
      </c>
      <c r="AB477" s="341" t="s">
        <v>203</v>
      </c>
    </row>
    <row r="478" spans="1:28" ht="13.5" customHeight="1">
      <c r="A478" s="210" t="s">
        <v>1156</v>
      </c>
      <c r="B478" s="210" t="s">
        <v>1182</v>
      </c>
      <c r="C478" s="210" t="s">
        <v>112</v>
      </c>
      <c r="D478" s="210" t="s">
        <v>1230</v>
      </c>
      <c r="E478" s="412" t="s">
        <v>112</v>
      </c>
      <c r="F478" s="463" t="s">
        <v>1965</v>
      </c>
      <c r="G478" s="161" t="s">
        <v>1838</v>
      </c>
      <c r="AB478" s="341" t="s">
        <v>203</v>
      </c>
    </row>
    <row r="479" spans="1:28" ht="13.5" customHeight="1">
      <c r="A479" s="210" t="s">
        <v>1156</v>
      </c>
      <c r="B479" s="210" t="s">
        <v>1182</v>
      </c>
      <c r="C479" s="210" t="s">
        <v>112</v>
      </c>
      <c r="D479" s="210" t="s">
        <v>1230</v>
      </c>
      <c r="E479" s="412" t="s">
        <v>112</v>
      </c>
      <c r="F479" s="463" t="s">
        <v>1966</v>
      </c>
      <c r="G479" s="161" t="s">
        <v>1838</v>
      </c>
      <c r="AB479" s="341" t="s">
        <v>203</v>
      </c>
    </row>
    <row r="480" spans="1:28" ht="13.5" customHeight="1">
      <c r="A480" s="210" t="s">
        <v>1156</v>
      </c>
      <c r="B480" s="210" t="s">
        <v>1182</v>
      </c>
      <c r="C480" s="210" t="s">
        <v>112</v>
      </c>
      <c r="D480" s="210" t="s">
        <v>1230</v>
      </c>
      <c r="E480" s="412" t="s">
        <v>112</v>
      </c>
      <c r="F480" s="463" t="s">
        <v>1967</v>
      </c>
      <c r="G480" s="161" t="s">
        <v>1838</v>
      </c>
      <c r="AB480" s="341" t="s">
        <v>203</v>
      </c>
    </row>
    <row r="481" spans="1:28" ht="13.5" customHeight="1">
      <c r="A481" s="210" t="s">
        <v>1156</v>
      </c>
      <c r="B481" s="210" t="s">
        <v>1182</v>
      </c>
      <c r="C481" s="210" t="s">
        <v>112</v>
      </c>
      <c r="D481" s="210" t="s">
        <v>1230</v>
      </c>
      <c r="E481" s="412" t="s">
        <v>112</v>
      </c>
      <c r="F481" s="463" t="s">
        <v>1968</v>
      </c>
      <c r="G481" s="161" t="s">
        <v>1838</v>
      </c>
      <c r="AB481" s="341" t="s">
        <v>203</v>
      </c>
    </row>
    <row r="482" spans="1:28" ht="13.5" customHeight="1">
      <c r="A482" s="210" t="s">
        <v>1156</v>
      </c>
      <c r="B482" s="210" t="s">
        <v>1182</v>
      </c>
      <c r="C482" s="210" t="s">
        <v>112</v>
      </c>
      <c r="D482" s="210" t="s">
        <v>1230</v>
      </c>
      <c r="E482" s="412" t="s">
        <v>112</v>
      </c>
      <c r="F482" s="463" t="s">
        <v>1969</v>
      </c>
      <c r="G482" s="161" t="s">
        <v>1838</v>
      </c>
      <c r="AB482" s="341" t="s">
        <v>203</v>
      </c>
    </row>
    <row r="483" spans="1:28" ht="13.5" customHeight="1">
      <c r="A483" s="210" t="s">
        <v>1156</v>
      </c>
      <c r="B483" s="210" t="s">
        <v>1182</v>
      </c>
      <c r="C483" s="210" t="s">
        <v>112</v>
      </c>
      <c r="D483" s="210" t="s">
        <v>1230</v>
      </c>
      <c r="E483" s="412" t="s">
        <v>112</v>
      </c>
      <c r="F483" s="463" t="s">
        <v>1970</v>
      </c>
      <c r="G483" s="161" t="s">
        <v>1838</v>
      </c>
      <c r="AB483" s="341" t="s">
        <v>203</v>
      </c>
    </row>
    <row r="484" spans="1:28" ht="13.5" customHeight="1">
      <c r="A484" s="210" t="s">
        <v>1156</v>
      </c>
      <c r="B484" s="210" t="s">
        <v>1182</v>
      </c>
      <c r="C484" s="210" t="s">
        <v>112</v>
      </c>
      <c r="D484" s="210" t="s">
        <v>1230</v>
      </c>
      <c r="E484" s="412" t="s">
        <v>112</v>
      </c>
      <c r="F484" s="463" t="s">
        <v>1971</v>
      </c>
      <c r="G484" s="161" t="s">
        <v>1838</v>
      </c>
      <c r="AB484" s="341" t="s">
        <v>203</v>
      </c>
    </row>
    <row r="485" spans="1:28" ht="13.5" customHeight="1">
      <c r="A485" s="210" t="s">
        <v>1156</v>
      </c>
      <c r="B485" s="210" t="s">
        <v>1182</v>
      </c>
      <c r="C485" s="210" t="s">
        <v>112</v>
      </c>
      <c r="D485" s="210" t="s">
        <v>1230</v>
      </c>
      <c r="E485" s="412" t="s">
        <v>112</v>
      </c>
      <c r="F485" s="463" t="s">
        <v>1972</v>
      </c>
      <c r="G485" s="161" t="s">
        <v>1838</v>
      </c>
      <c r="AB485" s="341" t="s">
        <v>203</v>
      </c>
    </row>
    <row r="486" spans="1:28" ht="13.5" customHeight="1">
      <c r="A486" s="210" t="s">
        <v>1156</v>
      </c>
      <c r="B486" s="210" t="s">
        <v>1182</v>
      </c>
      <c r="C486" s="210" t="s">
        <v>112</v>
      </c>
      <c r="D486" s="210" t="s">
        <v>1230</v>
      </c>
      <c r="E486" s="412" t="s">
        <v>112</v>
      </c>
      <c r="F486" s="463" t="s">
        <v>1973</v>
      </c>
      <c r="G486" s="161" t="s">
        <v>1838</v>
      </c>
      <c r="AB486" s="341" t="s">
        <v>203</v>
      </c>
    </row>
    <row r="487" spans="1:28" ht="13.5" customHeight="1">
      <c r="A487" s="210" t="s">
        <v>1156</v>
      </c>
      <c r="B487" s="210" t="s">
        <v>1182</v>
      </c>
      <c r="C487" s="210" t="s">
        <v>112</v>
      </c>
      <c r="D487" s="210" t="s">
        <v>1230</v>
      </c>
      <c r="E487" s="412" t="s">
        <v>112</v>
      </c>
      <c r="F487" s="463" t="s">
        <v>1974</v>
      </c>
      <c r="G487" s="161" t="s">
        <v>1838</v>
      </c>
      <c r="AB487" s="341" t="s">
        <v>203</v>
      </c>
    </row>
    <row r="488" spans="1:28" ht="13.5" customHeight="1">
      <c r="A488" s="210" t="s">
        <v>1156</v>
      </c>
      <c r="B488" s="210" t="s">
        <v>1182</v>
      </c>
      <c r="C488" s="210" t="s">
        <v>112</v>
      </c>
      <c r="D488" s="210" t="s">
        <v>1230</v>
      </c>
      <c r="E488" s="412" t="s">
        <v>112</v>
      </c>
      <c r="F488" s="463" t="s">
        <v>1975</v>
      </c>
      <c r="G488" s="161" t="s">
        <v>1838</v>
      </c>
      <c r="AB488" s="341" t="s">
        <v>203</v>
      </c>
    </row>
    <row r="489" spans="1:28" ht="13.5" customHeight="1">
      <c r="A489" s="210" t="s">
        <v>1156</v>
      </c>
      <c r="B489" s="210" t="s">
        <v>1182</v>
      </c>
      <c r="C489" s="210" t="s">
        <v>112</v>
      </c>
      <c r="D489" s="210" t="s">
        <v>1230</v>
      </c>
      <c r="E489" s="412" t="s">
        <v>112</v>
      </c>
      <c r="F489" s="463" t="s">
        <v>1976</v>
      </c>
      <c r="G489" s="161" t="s">
        <v>1838</v>
      </c>
      <c r="AB489" s="341" t="s">
        <v>203</v>
      </c>
    </row>
    <row r="490" spans="1:28" ht="13.5" customHeight="1">
      <c r="A490" s="210" t="s">
        <v>1156</v>
      </c>
      <c r="B490" s="210" t="s">
        <v>1182</v>
      </c>
      <c r="C490" s="210" t="s">
        <v>112</v>
      </c>
      <c r="D490" s="210" t="s">
        <v>1230</v>
      </c>
      <c r="E490" s="412" t="s">
        <v>112</v>
      </c>
      <c r="F490" s="463" t="s">
        <v>1977</v>
      </c>
      <c r="G490" s="161" t="s">
        <v>1838</v>
      </c>
      <c r="AB490" s="341" t="s">
        <v>203</v>
      </c>
    </row>
    <row r="491" spans="1:28" ht="13.5" customHeight="1">
      <c r="A491" s="210" t="s">
        <v>1156</v>
      </c>
      <c r="B491" s="210" t="s">
        <v>1182</v>
      </c>
      <c r="C491" s="210" t="s">
        <v>112</v>
      </c>
      <c r="D491" s="210" t="s">
        <v>1230</v>
      </c>
      <c r="E491" s="412" t="s">
        <v>112</v>
      </c>
      <c r="F491" s="463" t="s">
        <v>1978</v>
      </c>
      <c r="G491" s="161" t="s">
        <v>1838</v>
      </c>
      <c r="AB491" s="341" t="s">
        <v>203</v>
      </c>
    </row>
    <row r="492" spans="1:28" ht="13.5" customHeight="1">
      <c r="A492" s="210" t="s">
        <v>1156</v>
      </c>
      <c r="B492" s="210" t="s">
        <v>1182</v>
      </c>
      <c r="C492" s="210" t="s">
        <v>112</v>
      </c>
      <c r="D492" s="210" t="s">
        <v>1230</v>
      </c>
      <c r="E492" s="412" t="s">
        <v>112</v>
      </c>
      <c r="F492" s="463" t="s">
        <v>1979</v>
      </c>
      <c r="G492" s="161" t="s">
        <v>1838</v>
      </c>
      <c r="AB492" s="341" t="s">
        <v>203</v>
      </c>
    </row>
  </sheetData>
  <autoFilter ref="A1:AD492" xr:uid="{3AEDEDC0-B581-4A64-9E05-837F9603C44C}"/>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C20FB-1C21-4855-AA82-6FF0820725E7}">
  <dimension ref="A1:V21"/>
  <sheetViews>
    <sheetView topLeftCell="G19" workbookViewId="0">
      <selection activeCell="L17" sqref="L17"/>
    </sheetView>
  </sheetViews>
  <sheetFormatPr defaultColWidth="8.5703125" defaultRowHeight="13.5"/>
  <cols>
    <col min="1" max="1" width="18.42578125" style="16" hidden="1" customWidth="1"/>
    <col min="2" max="2" width="28.5703125" style="16" hidden="1" customWidth="1"/>
    <col min="3" max="3" width="8.42578125" style="16" hidden="1" customWidth="1"/>
    <col min="4" max="5" width="9" style="16" hidden="1" customWidth="1"/>
    <col min="6" max="6" width="0" style="16" hidden="1" customWidth="1"/>
    <col min="7" max="7" width="8.5703125" style="16"/>
    <col min="8" max="8" width="10.42578125" style="16" bestFit="1" customWidth="1"/>
    <col min="9" max="9" width="18.42578125" style="16" bestFit="1" customWidth="1"/>
    <col min="10" max="10" width="11.5703125" style="16" bestFit="1" customWidth="1"/>
    <col min="11" max="11" width="29.85546875" style="16" bestFit="1" customWidth="1"/>
    <col min="12" max="12" width="28.5703125" style="16" bestFit="1" customWidth="1"/>
    <col min="13" max="13" width="28.5703125" style="16" customWidth="1"/>
    <col min="14" max="14" width="34.5703125" style="16" bestFit="1" customWidth="1"/>
    <col min="15" max="15" width="22.42578125" style="16" bestFit="1" customWidth="1"/>
    <col min="16" max="16" width="31.42578125" style="16" bestFit="1" customWidth="1"/>
    <col min="17" max="17" width="21.5703125" style="16" bestFit="1" customWidth="1"/>
    <col min="18" max="18" width="26.5703125" style="16" bestFit="1" customWidth="1"/>
    <col min="19" max="22" width="21.5703125" style="16" bestFit="1" customWidth="1"/>
    <col min="23" max="16384" width="8.5703125" style="16"/>
  </cols>
  <sheetData>
    <row r="1" spans="1:22" ht="67.5">
      <c r="A1" s="203" t="s">
        <v>1980</v>
      </c>
      <c r="B1" s="203" t="s">
        <v>562</v>
      </c>
      <c r="C1" s="204" t="s">
        <v>568</v>
      </c>
      <c r="D1" s="204" t="s">
        <v>566</v>
      </c>
      <c r="E1" s="204" t="s">
        <v>567</v>
      </c>
      <c r="H1" s="207" t="s">
        <v>157</v>
      </c>
      <c r="I1" s="207" t="s">
        <v>366</v>
      </c>
      <c r="J1" s="207" t="s">
        <v>1159</v>
      </c>
      <c r="K1" s="207" t="s">
        <v>1981</v>
      </c>
      <c r="L1" s="207" t="s">
        <v>562</v>
      </c>
      <c r="M1" s="207" t="s">
        <v>1162</v>
      </c>
      <c r="N1" s="207" t="s">
        <v>1163</v>
      </c>
      <c r="O1" s="208" t="s">
        <v>1982</v>
      </c>
      <c r="P1" s="208" t="s">
        <v>1983</v>
      </c>
      <c r="Q1" s="233" t="s">
        <v>1984</v>
      </c>
      <c r="R1" s="233" t="s">
        <v>1985</v>
      </c>
      <c r="S1" s="234" t="s">
        <v>1986</v>
      </c>
      <c r="T1" s="234" t="s">
        <v>1987</v>
      </c>
      <c r="U1" s="235" t="s">
        <v>1988</v>
      </c>
      <c r="V1" s="235" t="s">
        <v>1989</v>
      </c>
    </row>
    <row r="2" spans="1:22">
      <c r="A2" s="209" t="s">
        <v>17</v>
      </c>
      <c r="B2" s="209" t="s">
        <v>572</v>
      </c>
      <c r="C2" s="210"/>
      <c r="D2" s="210"/>
      <c r="E2" s="210"/>
      <c r="H2" s="20" t="s">
        <v>571</v>
      </c>
      <c r="I2" s="209" t="s">
        <v>17</v>
      </c>
      <c r="J2" s="211" t="s">
        <v>1274</v>
      </c>
      <c r="K2" s="211" t="s">
        <v>1990</v>
      </c>
      <c r="L2" s="209" t="s">
        <v>642</v>
      </c>
      <c r="M2" s="209"/>
      <c r="N2" s="212" t="s">
        <v>1313</v>
      </c>
      <c r="O2" s="210" t="s">
        <v>1191</v>
      </c>
      <c r="P2" s="210" t="s">
        <v>1991</v>
      </c>
      <c r="Q2" s="210" t="s">
        <v>1991</v>
      </c>
      <c r="R2" s="210" t="s">
        <v>1991</v>
      </c>
      <c r="S2" s="210" t="s">
        <v>1991</v>
      </c>
      <c r="T2" s="210" t="s">
        <v>1991</v>
      </c>
      <c r="U2" s="210" t="s">
        <v>1991</v>
      </c>
      <c r="V2" s="210" t="s">
        <v>1991</v>
      </c>
    </row>
    <row r="3" spans="1:22">
      <c r="A3" s="209" t="s">
        <v>17</v>
      </c>
      <c r="B3" s="209" t="s">
        <v>603</v>
      </c>
      <c r="C3" s="210"/>
      <c r="D3" s="210"/>
      <c r="E3" s="210"/>
      <c r="H3" s="20" t="s">
        <v>571</v>
      </c>
      <c r="I3" s="209" t="s">
        <v>17</v>
      </c>
      <c r="J3" s="211" t="s">
        <v>1274</v>
      </c>
      <c r="K3" s="211" t="s">
        <v>1992</v>
      </c>
      <c r="L3" s="209" t="s">
        <v>603</v>
      </c>
      <c r="M3" s="209"/>
      <c r="N3" s="212" t="s">
        <v>1341</v>
      </c>
      <c r="O3" s="210" t="s">
        <v>1191</v>
      </c>
      <c r="P3" s="210" t="s">
        <v>1991</v>
      </c>
      <c r="Q3" s="210" t="s">
        <v>1991</v>
      </c>
      <c r="R3" s="210" t="s">
        <v>1991</v>
      </c>
      <c r="S3" s="210" t="s">
        <v>1991</v>
      </c>
      <c r="T3" s="210" t="s">
        <v>1991</v>
      </c>
      <c r="U3" s="210" t="s">
        <v>1991</v>
      </c>
      <c r="V3" s="210" t="s">
        <v>1991</v>
      </c>
    </row>
    <row r="4" spans="1:22">
      <c r="A4" s="209" t="s">
        <v>17</v>
      </c>
      <c r="B4" s="209" t="s">
        <v>677</v>
      </c>
      <c r="C4" s="210"/>
      <c r="D4" s="210"/>
      <c r="E4" s="210"/>
      <c r="H4" s="20" t="s">
        <v>585</v>
      </c>
      <c r="I4" s="209" t="s">
        <v>17</v>
      </c>
      <c r="J4" s="211" t="s">
        <v>1274</v>
      </c>
      <c r="K4" s="211" t="s">
        <v>1993</v>
      </c>
      <c r="L4" s="209" t="s">
        <v>677</v>
      </c>
      <c r="M4" s="209"/>
      <c r="N4" s="212" t="s">
        <v>1322</v>
      </c>
      <c r="O4" s="210" t="s">
        <v>1191</v>
      </c>
      <c r="P4" s="210" t="s">
        <v>1991</v>
      </c>
      <c r="Q4" s="210" t="s">
        <v>1991</v>
      </c>
      <c r="R4" s="210" t="s">
        <v>1991</v>
      </c>
      <c r="S4" s="210" t="s">
        <v>1991</v>
      </c>
      <c r="T4" s="210" t="s">
        <v>1991</v>
      </c>
      <c r="U4" s="210" t="s">
        <v>1991</v>
      </c>
      <c r="V4" s="210" t="s">
        <v>1991</v>
      </c>
    </row>
    <row r="5" spans="1:22">
      <c r="A5" s="209" t="s">
        <v>17</v>
      </c>
      <c r="B5" s="209" t="s">
        <v>590</v>
      </c>
      <c r="C5" s="210"/>
      <c r="D5" s="210"/>
      <c r="E5" s="210"/>
      <c r="H5" s="20" t="s">
        <v>571</v>
      </c>
      <c r="I5" s="209" t="s">
        <v>17</v>
      </c>
      <c r="J5" s="211" t="s">
        <v>1274</v>
      </c>
      <c r="K5" s="211" t="s">
        <v>1994</v>
      </c>
      <c r="L5" s="209" t="s">
        <v>590</v>
      </c>
      <c r="M5" s="209"/>
      <c r="N5" s="212" t="s">
        <v>1407</v>
      </c>
      <c r="O5" s="210" t="s">
        <v>1191</v>
      </c>
      <c r="P5" s="210" t="s">
        <v>1991</v>
      </c>
      <c r="Q5" s="210" t="s">
        <v>1191</v>
      </c>
      <c r="R5" s="210" t="s">
        <v>1991</v>
      </c>
      <c r="S5" s="210" t="s">
        <v>1991</v>
      </c>
      <c r="T5" s="210" t="s">
        <v>1991</v>
      </c>
      <c r="U5" s="210" t="s">
        <v>1991</v>
      </c>
      <c r="V5" s="210" t="s">
        <v>1991</v>
      </c>
    </row>
    <row r="6" spans="1:22">
      <c r="A6" s="209"/>
      <c r="B6" s="209"/>
      <c r="C6" s="210"/>
      <c r="D6" s="210"/>
      <c r="E6" s="210"/>
      <c r="H6" s="20" t="s">
        <v>580</v>
      </c>
      <c r="I6" s="209" t="s">
        <v>17</v>
      </c>
      <c r="J6" s="211" t="s">
        <v>1274</v>
      </c>
      <c r="K6" s="211" t="s">
        <v>1994</v>
      </c>
      <c r="L6" s="209" t="s">
        <v>642</v>
      </c>
      <c r="M6" s="209"/>
      <c r="N6" s="212" t="s">
        <v>1313</v>
      </c>
      <c r="O6" s="210" t="s">
        <v>1191</v>
      </c>
      <c r="P6" s="210" t="s">
        <v>1991</v>
      </c>
      <c r="Q6" s="210" t="s">
        <v>1191</v>
      </c>
      <c r="R6" s="210" t="s">
        <v>1991</v>
      </c>
      <c r="S6" s="210" t="s">
        <v>1991</v>
      </c>
      <c r="T6" s="210" t="s">
        <v>1991</v>
      </c>
      <c r="U6" s="210" t="s">
        <v>1991</v>
      </c>
      <c r="V6" s="210" t="s">
        <v>1991</v>
      </c>
    </row>
    <row r="7" spans="1:22">
      <c r="A7" s="209" t="s">
        <v>17</v>
      </c>
      <c r="B7" s="209" t="s">
        <v>618</v>
      </c>
      <c r="C7" s="210"/>
      <c r="D7" s="210"/>
      <c r="E7" s="210"/>
      <c r="H7" s="20" t="s">
        <v>571</v>
      </c>
      <c r="I7" s="209" t="s">
        <v>17</v>
      </c>
      <c r="J7" s="211" t="s">
        <v>1274</v>
      </c>
      <c r="K7" s="211" t="s">
        <v>1995</v>
      </c>
      <c r="L7" s="209" t="s">
        <v>618</v>
      </c>
      <c r="M7" s="209"/>
      <c r="N7" s="212" t="s">
        <v>1345</v>
      </c>
      <c r="O7" s="210" t="s">
        <v>1191</v>
      </c>
      <c r="P7" s="210" t="s">
        <v>1991</v>
      </c>
      <c r="Q7" s="210" t="s">
        <v>1991</v>
      </c>
      <c r="R7" s="210" t="s">
        <v>1991</v>
      </c>
      <c r="S7" s="210" t="s">
        <v>1991</v>
      </c>
      <c r="T7" s="210" t="s">
        <v>1991</v>
      </c>
      <c r="U7" s="210" t="s">
        <v>1991</v>
      </c>
      <c r="V7" s="210" t="s">
        <v>1991</v>
      </c>
    </row>
    <row r="8" spans="1:22">
      <c r="A8" s="209" t="s">
        <v>17</v>
      </c>
      <c r="B8" s="209" t="s">
        <v>614</v>
      </c>
      <c r="C8" s="210"/>
      <c r="D8" s="210"/>
      <c r="E8" s="210"/>
      <c r="H8" s="20" t="s">
        <v>571</v>
      </c>
      <c r="I8" s="209" t="s">
        <v>17</v>
      </c>
      <c r="J8" s="211" t="s">
        <v>1274</v>
      </c>
      <c r="K8" s="211" t="s">
        <v>1996</v>
      </c>
      <c r="L8" s="209" t="s">
        <v>614</v>
      </c>
      <c r="M8" s="209"/>
      <c r="N8" s="212" t="s">
        <v>1610</v>
      </c>
      <c r="O8" s="210" t="s">
        <v>1191</v>
      </c>
      <c r="P8" s="210" t="s">
        <v>1991</v>
      </c>
      <c r="Q8" s="210" t="s">
        <v>1991</v>
      </c>
      <c r="R8" s="210" t="s">
        <v>1991</v>
      </c>
      <c r="S8" s="210" t="s">
        <v>1991</v>
      </c>
      <c r="T8" s="210" t="s">
        <v>1991</v>
      </c>
      <c r="U8" s="210" t="s">
        <v>1991</v>
      </c>
      <c r="V8" s="210" t="s">
        <v>1991</v>
      </c>
    </row>
    <row r="9" spans="1:22">
      <c r="A9" s="209" t="s">
        <v>17</v>
      </c>
      <c r="B9" s="209" t="s">
        <v>648</v>
      </c>
      <c r="C9" s="210"/>
      <c r="D9" s="210"/>
      <c r="E9" s="210"/>
      <c r="H9" s="20" t="s">
        <v>585</v>
      </c>
      <c r="I9" s="209" t="s">
        <v>17</v>
      </c>
      <c r="J9" s="211" t="s">
        <v>1274</v>
      </c>
      <c r="K9" s="211" t="s">
        <v>1996</v>
      </c>
      <c r="L9" s="209" t="s">
        <v>648</v>
      </c>
      <c r="M9" s="209"/>
      <c r="N9" s="212" t="s">
        <v>1633</v>
      </c>
      <c r="O9" s="210" t="s">
        <v>1191</v>
      </c>
      <c r="P9" s="210" t="s">
        <v>1991</v>
      </c>
      <c r="Q9" s="210" t="s">
        <v>1991</v>
      </c>
      <c r="R9" s="210" t="s">
        <v>1991</v>
      </c>
      <c r="S9" s="210" t="s">
        <v>1991</v>
      </c>
      <c r="T9" s="210" t="s">
        <v>1991</v>
      </c>
      <c r="U9" s="210" t="s">
        <v>1991</v>
      </c>
      <c r="V9" s="210" t="s">
        <v>1991</v>
      </c>
    </row>
    <row r="10" spans="1:22">
      <c r="A10" s="209" t="s">
        <v>17</v>
      </c>
      <c r="B10" s="209" t="s">
        <v>651</v>
      </c>
      <c r="C10" s="210"/>
      <c r="D10" s="210"/>
      <c r="E10" s="210"/>
      <c r="H10" s="20" t="s">
        <v>585</v>
      </c>
      <c r="I10" s="209" t="s">
        <v>17</v>
      </c>
      <c r="J10" s="211" t="s">
        <v>1274</v>
      </c>
      <c r="K10" s="211" t="s">
        <v>1997</v>
      </c>
      <c r="L10" s="209" t="s">
        <v>651</v>
      </c>
      <c r="M10" s="209"/>
      <c r="N10" s="210" t="s">
        <v>1634</v>
      </c>
      <c r="O10" s="210" t="s">
        <v>1191</v>
      </c>
      <c r="P10" s="210" t="s">
        <v>1991</v>
      </c>
      <c r="Q10" s="210" t="s">
        <v>1991</v>
      </c>
      <c r="R10" s="210" t="s">
        <v>1991</v>
      </c>
      <c r="S10" s="210" t="s">
        <v>1991</v>
      </c>
      <c r="T10" s="210" t="s">
        <v>1991</v>
      </c>
      <c r="U10" s="210" t="s">
        <v>1991</v>
      </c>
      <c r="V10" s="210" t="s">
        <v>1991</v>
      </c>
    </row>
    <row r="11" spans="1:22">
      <c r="A11" s="209" t="s">
        <v>17</v>
      </c>
      <c r="B11" s="209" t="s">
        <v>659</v>
      </c>
      <c r="C11" s="210"/>
      <c r="D11" s="210"/>
      <c r="E11" s="210"/>
      <c r="H11" s="20" t="s">
        <v>585</v>
      </c>
      <c r="I11" s="209" t="s">
        <v>17</v>
      </c>
      <c r="J11" s="211" t="s">
        <v>1274</v>
      </c>
      <c r="K11" s="211" t="s">
        <v>1998</v>
      </c>
      <c r="L11" s="209" t="s">
        <v>659</v>
      </c>
      <c r="M11" s="209"/>
      <c r="N11" s="212" t="s">
        <v>1360</v>
      </c>
      <c r="O11" s="210" t="s">
        <v>1191</v>
      </c>
      <c r="P11" s="210" t="s">
        <v>1991</v>
      </c>
      <c r="Q11" s="210" t="s">
        <v>1991</v>
      </c>
      <c r="R11" s="210" t="s">
        <v>1991</v>
      </c>
      <c r="S11" s="210" t="s">
        <v>1991</v>
      </c>
      <c r="T11" s="210" t="s">
        <v>1991</v>
      </c>
      <c r="U11" s="210" t="s">
        <v>1991</v>
      </c>
      <c r="V11" s="210" t="s">
        <v>1991</v>
      </c>
    </row>
    <row r="12" spans="1:22">
      <c r="A12" s="209" t="s">
        <v>17</v>
      </c>
      <c r="B12" s="209" t="s">
        <v>673</v>
      </c>
      <c r="C12" s="210"/>
      <c r="D12" s="210"/>
      <c r="E12" s="210"/>
      <c r="H12" s="20" t="s">
        <v>585</v>
      </c>
      <c r="I12" s="209" t="s">
        <v>17</v>
      </c>
      <c r="J12" s="210" t="s">
        <v>1183</v>
      </c>
      <c r="K12" s="210" t="s">
        <v>1999</v>
      </c>
      <c r="L12" s="209" t="s">
        <v>673</v>
      </c>
      <c r="M12" s="209"/>
      <c r="N12" s="210" t="s">
        <v>1298</v>
      </c>
      <c r="O12" s="210" t="s">
        <v>1191</v>
      </c>
      <c r="P12" s="210" t="s">
        <v>1991</v>
      </c>
      <c r="Q12" s="210" t="s">
        <v>1991</v>
      </c>
      <c r="R12" s="210" t="s">
        <v>1991</v>
      </c>
      <c r="S12" s="210" t="s">
        <v>1991</v>
      </c>
      <c r="T12" s="210" t="s">
        <v>1991</v>
      </c>
      <c r="U12" s="210" t="s">
        <v>1991</v>
      </c>
      <c r="V12" s="210" t="s">
        <v>1991</v>
      </c>
    </row>
    <row r="13" spans="1:22">
      <c r="A13" s="209" t="s">
        <v>17</v>
      </c>
      <c r="B13" s="209" t="s">
        <v>638</v>
      </c>
      <c r="C13" s="210"/>
      <c r="D13" s="210"/>
      <c r="E13" s="210"/>
      <c r="H13" s="210" t="s">
        <v>571</v>
      </c>
      <c r="I13" s="213" t="s">
        <v>17</v>
      </c>
      <c r="J13" s="211" t="s">
        <v>1274</v>
      </c>
      <c r="K13" s="210" t="s">
        <v>1999</v>
      </c>
      <c r="L13" s="209" t="s">
        <v>638</v>
      </c>
      <c r="M13" s="209"/>
      <c r="N13" s="212" t="s">
        <v>1276</v>
      </c>
      <c r="O13" s="210" t="s">
        <v>1191</v>
      </c>
      <c r="P13" s="210" t="s">
        <v>1991</v>
      </c>
      <c r="Q13" s="210" t="s">
        <v>1991</v>
      </c>
      <c r="R13" s="210" t="s">
        <v>1991</v>
      </c>
      <c r="S13" s="210" t="s">
        <v>1991</v>
      </c>
      <c r="T13" s="210" t="s">
        <v>1991</v>
      </c>
      <c r="U13" s="210" t="s">
        <v>1991</v>
      </c>
      <c r="V13" s="210" t="s">
        <v>1991</v>
      </c>
    </row>
    <row r="14" spans="1:22">
      <c r="A14" s="209" t="s">
        <v>955</v>
      </c>
      <c r="B14" s="209" t="s">
        <v>706</v>
      </c>
      <c r="C14" s="210"/>
      <c r="D14" s="210"/>
      <c r="E14" s="210"/>
      <c r="H14" s="210" t="s">
        <v>571</v>
      </c>
      <c r="I14" s="213" t="s">
        <v>955</v>
      </c>
      <c r="J14" s="210" t="s">
        <v>1193</v>
      </c>
      <c r="K14" s="210" t="s">
        <v>1999</v>
      </c>
      <c r="L14" s="209" t="s">
        <v>706</v>
      </c>
      <c r="M14" s="209"/>
      <c r="N14" s="212" t="s">
        <v>1212</v>
      </c>
      <c r="O14" s="210" t="s">
        <v>1191</v>
      </c>
      <c r="P14" s="210" t="s">
        <v>1991</v>
      </c>
      <c r="Q14" s="210" t="s">
        <v>1991</v>
      </c>
      <c r="R14" s="210" t="s">
        <v>1991</v>
      </c>
      <c r="S14" s="210" t="s">
        <v>1991</v>
      </c>
      <c r="T14" s="210" t="s">
        <v>1991</v>
      </c>
      <c r="U14" s="210" t="s">
        <v>1991</v>
      </c>
      <c r="V14" s="210" t="s">
        <v>1991</v>
      </c>
    </row>
    <row r="15" spans="1:22">
      <c r="A15" s="209" t="s">
        <v>39</v>
      </c>
      <c r="B15" s="209" t="s">
        <v>578</v>
      </c>
      <c r="C15" s="210"/>
      <c r="D15" s="210"/>
      <c r="E15" s="210"/>
      <c r="H15" s="210" t="s">
        <v>571</v>
      </c>
      <c r="I15" s="213" t="s">
        <v>39</v>
      </c>
      <c r="J15" s="211" t="s">
        <v>1288</v>
      </c>
      <c r="K15" s="210" t="s">
        <v>1999</v>
      </c>
      <c r="L15" s="209" t="s">
        <v>578</v>
      </c>
      <c r="M15" s="209"/>
      <c r="N15" s="212" t="s">
        <v>1406</v>
      </c>
      <c r="O15" s="210" t="s">
        <v>1191</v>
      </c>
      <c r="P15" s="210" t="s">
        <v>1991</v>
      </c>
      <c r="Q15" s="210" t="s">
        <v>1991</v>
      </c>
      <c r="R15" s="210" t="s">
        <v>1991</v>
      </c>
      <c r="S15" s="210" t="s">
        <v>1991</v>
      </c>
      <c r="T15" s="210" t="s">
        <v>1991</v>
      </c>
      <c r="U15" s="210" t="s">
        <v>1991</v>
      </c>
      <c r="V15" s="210" t="s">
        <v>1991</v>
      </c>
    </row>
    <row r="16" spans="1:22">
      <c r="A16" s="209" t="s">
        <v>36</v>
      </c>
      <c r="B16" s="209" t="s">
        <v>576</v>
      </c>
      <c r="C16" s="210"/>
      <c r="D16" s="210"/>
      <c r="E16" s="210"/>
      <c r="H16" s="210" t="s">
        <v>571</v>
      </c>
      <c r="I16" s="213" t="s">
        <v>36</v>
      </c>
      <c r="J16" s="210" t="s">
        <v>1183</v>
      </c>
      <c r="K16" s="210" t="s">
        <v>1999</v>
      </c>
      <c r="L16" s="209" t="s">
        <v>576</v>
      </c>
      <c r="M16" s="209"/>
      <c r="N16" s="212" t="s">
        <v>1555</v>
      </c>
      <c r="O16" s="210" t="s">
        <v>1191</v>
      </c>
      <c r="P16" s="210" t="s">
        <v>1991</v>
      </c>
      <c r="Q16" s="210" t="s">
        <v>1991</v>
      </c>
      <c r="R16" s="210" t="s">
        <v>1991</v>
      </c>
      <c r="S16" s="210" t="s">
        <v>1991</v>
      </c>
      <c r="T16" s="210" t="s">
        <v>1991</v>
      </c>
      <c r="U16" s="210" t="s">
        <v>1991</v>
      </c>
      <c r="V16" s="210" t="s">
        <v>1991</v>
      </c>
    </row>
    <row r="17" spans="1:22">
      <c r="A17" s="209" t="s">
        <v>57</v>
      </c>
      <c r="B17" s="214" t="s">
        <v>594</v>
      </c>
      <c r="C17" s="210"/>
      <c r="D17" s="210"/>
      <c r="E17" s="210"/>
      <c r="H17" s="210" t="s">
        <v>571</v>
      </c>
      <c r="I17" s="213" t="s">
        <v>57</v>
      </c>
      <c r="J17" s="211" t="s">
        <v>1236</v>
      </c>
      <c r="K17" s="211" t="s">
        <v>2000</v>
      </c>
      <c r="L17" s="214" t="s">
        <v>594</v>
      </c>
      <c r="M17" s="214"/>
      <c r="N17" s="210"/>
      <c r="O17" s="210" t="s">
        <v>1191</v>
      </c>
      <c r="P17" s="210" t="s">
        <v>1991</v>
      </c>
      <c r="Q17" s="210" t="s">
        <v>1991</v>
      </c>
      <c r="R17" s="210" t="s">
        <v>1991</v>
      </c>
      <c r="S17" s="210" t="s">
        <v>1991</v>
      </c>
      <c r="T17" s="210" t="s">
        <v>1991</v>
      </c>
      <c r="U17" s="210" t="s">
        <v>1991</v>
      </c>
      <c r="V17" s="210" t="s">
        <v>1991</v>
      </c>
    </row>
    <row r="18" spans="1:22">
      <c r="A18" s="209" t="s">
        <v>112</v>
      </c>
      <c r="B18" s="209" t="s">
        <v>547</v>
      </c>
      <c r="C18" s="210"/>
      <c r="D18" s="210"/>
      <c r="E18" s="210"/>
      <c r="H18" s="210" t="s">
        <v>571</v>
      </c>
      <c r="I18" s="213" t="s">
        <v>112</v>
      </c>
      <c r="J18" s="210" t="s">
        <v>1243</v>
      </c>
      <c r="K18" s="211" t="s">
        <v>2000</v>
      </c>
      <c r="L18" s="209" t="s">
        <v>547</v>
      </c>
      <c r="M18" s="209"/>
      <c r="N18" s="212" t="s">
        <v>1245</v>
      </c>
      <c r="O18" s="210" t="s">
        <v>1191</v>
      </c>
      <c r="P18" s="210" t="s">
        <v>1991</v>
      </c>
      <c r="Q18" s="210" t="s">
        <v>1991</v>
      </c>
      <c r="R18" s="210" t="s">
        <v>1991</v>
      </c>
      <c r="S18" s="210" t="s">
        <v>1991</v>
      </c>
      <c r="T18" s="210" t="s">
        <v>1991</v>
      </c>
      <c r="U18" s="210" t="s">
        <v>1991</v>
      </c>
      <c r="V18" s="210" t="s">
        <v>1991</v>
      </c>
    </row>
    <row r="19" spans="1:22">
      <c r="A19" s="210" t="s">
        <v>47</v>
      </c>
      <c r="B19" s="215" t="s">
        <v>1761</v>
      </c>
      <c r="C19" s="210"/>
      <c r="D19" s="210"/>
      <c r="E19" s="210"/>
      <c r="H19" s="210" t="s">
        <v>571</v>
      </c>
      <c r="I19" s="216" t="s">
        <v>47</v>
      </c>
      <c r="J19" s="210" t="s">
        <v>1230</v>
      </c>
      <c r="K19" s="211" t="s">
        <v>2000</v>
      </c>
      <c r="L19" s="215" t="s">
        <v>1761</v>
      </c>
      <c r="M19" s="215"/>
      <c r="N19" s="210"/>
      <c r="O19" s="210" t="s">
        <v>1991</v>
      </c>
      <c r="P19" s="210" t="s">
        <v>1991</v>
      </c>
      <c r="Q19" s="210" t="s">
        <v>1991</v>
      </c>
      <c r="R19" s="210" t="s">
        <v>1991</v>
      </c>
      <c r="S19" s="210" t="s">
        <v>1991</v>
      </c>
      <c r="T19" s="210" t="s">
        <v>1991</v>
      </c>
      <c r="U19" s="210" t="s">
        <v>1991</v>
      </c>
      <c r="V19" s="210" t="s">
        <v>1991</v>
      </c>
    </row>
    <row r="20" spans="1:22">
      <c r="A20" s="210" t="s">
        <v>113</v>
      </c>
      <c r="B20" s="215" t="s">
        <v>1763</v>
      </c>
      <c r="C20" s="210"/>
      <c r="D20" s="210"/>
      <c r="E20" s="210"/>
      <c r="H20" s="210" t="s">
        <v>571</v>
      </c>
      <c r="I20" s="216" t="s">
        <v>113</v>
      </c>
      <c r="J20" s="210" t="s">
        <v>1230</v>
      </c>
      <c r="K20" s="211" t="s">
        <v>2000</v>
      </c>
      <c r="L20" s="215" t="s">
        <v>1763</v>
      </c>
      <c r="M20" s="215"/>
      <c r="N20" s="210"/>
      <c r="O20" s="210" t="s">
        <v>1191</v>
      </c>
      <c r="P20" s="210" t="s">
        <v>1991</v>
      </c>
      <c r="Q20" s="210" t="s">
        <v>1991</v>
      </c>
      <c r="R20" s="210" t="s">
        <v>1991</v>
      </c>
      <c r="S20" s="210" t="s">
        <v>1991</v>
      </c>
      <c r="T20" s="210" t="s">
        <v>1991</v>
      </c>
      <c r="U20" s="210" t="s">
        <v>1991</v>
      </c>
      <c r="V20" s="210" t="s">
        <v>1991</v>
      </c>
    </row>
    <row r="21" spans="1:22" ht="15">
      <c r="H21" s="210" t="s">
        <v>571</v>
      </c>
      <c r="I21" s="213" t="s">
        <v>57</v>
      </c>
      <c r="J21" s="211" t="s">
        <v>1236</v>
      </c>
      <c r="K21" s="211" t="s">
        <v>2000</v>
      </c>
      <c r="L21" s="210" t="s">
        <v>1765</v>
      </c>
      <c r="M21" s="210"/>
      <c r="N21" t="s">
        <v>1766</v>
      </c>
    </row>
  </sheetData>
  <autoFilter ref="H1:V21" xr:uid="{655C20FB-1C21-4855-AA82-6FF0820725E7}"/>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36DDA-9363-4E95-8058-D57E658EE26F}">
  <dimension ref="A1:O300"/>
  <sheetViews>
    <sheetView topLeftCell="B1" zoomScale="70" zoomScaleNormal="92" workbookViewId="0">
      <selection activeCell="C1" sqref="C1"/>
    </sheetView>
  </sheetViews>
  <sheetFormatPr defaultColWidth="8.5703125" defaultRowHeight="13.5" customHeight="1"/>
  <cols>
    <col min="1" max="1" width="21.42578125" customWidth="1"/>
    <col min="2" max="2" width="12.140625" customWidth="1"/>
    <col min="3" max="3" width="32.140625" customWidth="1"/>
    <col min="4" max="4" width="28.42578125" customWidth="1"/>
    <col min="5" max="5" width="23" bestFit="1" customWidth="1"/>
    <col min="6" max="6" width="31.42578125" bestFit="1" customWidth="1"/>
    <col min="7" max="7" width="17.5703125" bestFit="1" customWidth="1"/>
    <col min="8" max="8" width="38.140625" bestFit="1" customWidth="1"/>
    <col min="9" max="9" width="36.42578125" customWidth="1"/>
    <col min="10" max="10" width="32.42578125" customWidth="1"/>
    <col min="11" max="11" width="15.42578125" bestFit="1" customWidth="1"/>
    <col min="12" max="12" width="48.5703125" bestFit="1" customWidth="1"/>
    <col min="13" max="13" width="25.42578125" customWidth="1"/>
    <col min="14" max="14" width="24.42578125" bestFit="1" customWidth="1"/>
    <col min="15" max="15" width="20.140625" bestFit="1" customWidth="1"/>
  </cols>
  <sheetData>
    <row r="1" spans="1:15" ht="79.5" customHeight="1">
      <c r="A1" s="312" t="s">
        <v>157</v>
      </c>
      <c r="B1" s="312" t="s">
        <v>1158</v>
      </c>
      <c r="C1" s="312" t="s">
        <v>366</v>
      </c>
      <c r="D1" s="312" t="s">
        <v>1159</v>
      </c>
      <c r="E1" s="312" t="s">
        <v>174</v>
      </c>
      <c r="F1" s="312" t="s">
        <v>562</v>
      </c>
      <c r="G1" s="312" t="s">
        <v>1161</v>
      </c>
      <c r="H1" s="312" t="s">
        <v>1162</v>
      </c>
      <c r="I1" s="312" t="s">
        <v>1163</v>
      </c>
      <c r="J1" s="312" t="s">
        <v>1165</v>
      </c>
      <c r="K1" s="312" t="s">
        <v>1166</v>
      </c>
      <c r="L1" s="312" t="s">
        <v>1167</v>
      </c>
      <c r="M1" s="320" t="s">
        <v>2001</v>
      </c>
      <c r="N1" s="320" t="s">
        <v>2002</v>
      </c>
      <c r="O1" s="320" t="s">
        <v>2003</v>
      </c>
    </row>
    <row r="2" spans="1:15" ht="15">
      <c r="A2" t="s">
        <v>571</v>
      </c>
      <c r="B2" t="s">
        <v>1182</v>
      </c>
      <c r="C2" t="s">
        <v>17</v>
      </c>
      <c r="D2" t="s">
        <v>1274</v>
      </c>
      <c r="E2" t="s">
        <v>1184</v>
      </c>
      <c r="F2" t="s">
        <v>572</v>
      </c>
      <c r="G2">
        <v>2.1853259999999999</v>
      </c>
      <c r="H2" t="s">
        <v>1312</v>
      </c>
      <c r="I2" t="s">
        <v>1313</v>
      </c>
      <c r="J2" t="s">
        <v>1182</v>
      </c>
      <c r="K2" t="s">
        <v>1277</v>
      </c>
      <c r="L2" t="s">
        <v>573</v>
      </c>
      <c r="M2" t="s">
        <v>2004</v>
      </c>
      <c r="N2" t="s">
        <v>2004</v>
      </c>
      <c r="O2" t="s">
        <v>49</v>
      </c>
    </row>
    <row r="3" spans="1:15" ht="15">
      <c r="A3" t="s">
        <v>571</v>
      </c>
      <c r="B3" t="s">
        <v>1182</v>
      </c>
      <c r="C3" t="s">
        <v>17</v>
      </c>
      <c r="D3" t="s">
        <v>1274</v>
      </c>
      <c r="E3" t="s">
        <v>1184</v>
      </c>
      <c r="F3" t="s">
        <v>590</v>
      </c>
      <c r="G3">
        <v>0.22600000000000001</v>
      </c>
      <c r="H3" t="s">
        <v>1407</v>
      </c>
      <c r="I3" t="s">
        <v>1407</v>
      </c>
      <c r="J3" t="s">
        <v>1182</v>
      </c>
      <c r="K3" t="s">
        <v>1277</v>
      </c>
      <c r="L3" t="s">
        <v>591</v>
      </c>
      <c r="M3" t="s">
        <v>2004</v>
      </c>
      <c r="N3" t="s">
        <v>2004</v>
      </c>
      <c r="O3" t="s">
        <v>49</v>
      </c>
    </row>
    <row r="4" spans="1:15" ht="15">
      <c r="A4" t="s">
        <v>571</v>
      </c>
      <c r="B4" t="s">
        <v>1182</v>
      </c>
      <c r="C4" t="s">
        <v>17</v>
      </c>
      <c r="D4" t="s">
        <v>1274</v>
      </c>
      <c r="E4" t="s">
        <v>1184</v>
      </c>
      <c r="F4" t="s">
        <v>603</v>
      </c>
      <c r="G4">
        <v>1.2470000000000001</v>
      </c>
      <c r="H4" t="s">
        <v>1340</v>
      </c>
      <c r="I4" t="s">
        <v>1341</v>
      </c>
      <c r="J4" t="s">
        <v>1182</v>
      </c>
      <c r="K4" t="s">
        <v>1277</v>
      </c>
      <c r="L4" t="s">
        <v>604</v>
      </c>
      <c r="M4" t="s">
        <v>2004</v>
      </c>
      <c r="N4" t="s">
        <v>2004</v>
      </c>
      <c r="O4" t="s">
        <v>49</v>
      </c>
    </row>
    <row r="5" spans="1:15" ht="15">
      <c r="A5" t="s">
        <v>571</v>
      </c>
      <c r="B5" t="s">
        <v>1182</v>
      </c>
      <c r="C5" t="s">
        <v>17</v>
      </c>
      <c r="D5" t="s">
        <v>1274</v>
      </c>
      <c r="E5" t="s">
        <v>1184</v>
      </c>
      <c r="F5" t="s">
        <v>614</v>
      </c>
      <c r="G5">
        <v>1E-3</v>
      </c>
      <c r="H5" t="s">
        <v>1610</v>
      </c>
      <c r="I5" t="s">
        <v>1610</v>
      </c>
      <c r="J5" t="s">
        <v>1182</v>
      </c>
      <c r="K5" t="s">
        <v>1304</v>
      </c>
      <c r="L5" t="s">
        <v>615</v>
      </c>
      <c r="M5" t="s">
        <v>2004</v>
      </c>
      <c r="N5" t="s">
        <v>2004</v>
      </c>
      <c r="O5" t="s">
        <v>49</v>
      </c>
    </row>
    <row r="6" spans="1:15" ht="15">
      <c r="A6" t="s">
        <v>571</v>
      </c>
      <c r="B6" t="s">
        <v>1182</v>
      </c>
      <c r="C6" t="s">
        <v>17</v>
      </c>
      <c r="D6" t="s">
        <v>1274</v>
      </c>
      <c r="E6" t="s">
        <v>1184</v>
      </c>
      <c r="F6" t="s">
        <v>618</v>
      </c>
      <c r="G6">
        <v>1.123</v>
      </c>
      <c r="H6" t="s">
        <v>1345</v>
      </c>
      <c r="I6" t="s">
        <v>1345</v>
      </c>
      <c r="J6" t="s">
        <v>1182</v>
      </c>
      <c r="K6" t="s">
        <v>1304</v>
      </c>
      <c r="L6" t="s">
        <v>619</v>
      </c>
      <c r="M6" t="s">
        <v>2004</v>
      </c>
      <c r="N6" t="s">
        <v>2004</v>
      </c>
      <c r="O6" t="s">
        <v>49</v>
      </c>
    </row>
    <row r="7" spans="1:15" ht="15">
      <c r="A7" t="s">
        <v>571</v>
      </c>
      <c r="B7" t="s">
        <v>1182</v>
      </c>
      <c r="C7" t="s">
        <v>17</v>
      </c>
      <c r="D7" t="s">
        <v>1274</v>
      </c>
      <c r="E7" t="s">
        <v>1184</v>
      </c>
      <c r="F7" t="s">
        <v>624</v>
      </c>
      <c r="G7">
        <v>0.20399999999999999</v>
      </c>
      <c r="H7" t="s">
        <v>1414</v>
      </c>
      <c r="I7" t="s">
        <v>1415</v>
      </c>
      <c r="J7" t="s">
        <v>1182</v>
      </c>
      <c r="K7" t="s">
        <v>1304</v>
      </c>
      <c r="L7" t="s">
        <v>625</v>
      </c>
      <c r="M7" t="s">
        <v>2004</v>
      </c>
      <c r="N7" t="s">
        <v>2004</v>
      </c>
      <c r="O7" t="s">
        <v>49</v>
      </c>
    </row>
    <row r="8" spans="1:15" ht="15" customHeight="1">
      <c r="A8" t="s">
        <v>571</v>
      </c>
      <c r="B8" t="s">
        <v>1182</v>
      </c>
      <c r="C8" t="s">
        <v>17</v>
      </c>
      <c r="D8" t="s">
        <v>1274</v>
      </c>
      <c r="E8" t="s">
        <v>1184</v>
      </c>
      <c r="F8" t="s">
        <v>632</v>
      </c>
      <c r="G8">
        <v>0.14399999999999999</v>
      </c>
      <c r="H8" t="s">
        <v>1430</v>
      </c>
      <c r="I8" t="s">
        <v>1431</v>
      </c>
      <c r="J8" t="s">
        <v>1182</v>
      </c>
      <c r="K8" t="s">
        <v>1304</v>
      </c>
      <c r="L8" t="s">
        <v>633</v>
      </c>
      <c r="M8" t="s">
        <v>2004</v>
      </c>
      <c r="N8" t="s">
        <v>2004</v>
      </c>
      <c r="O8" t="s">
        <v>49</v>
      </c>
    </row>
    <row r="9" spans="1:15" ht="15">
      <c r="A9" t="s">
        <v>571</v>
      </c>
      <c r="B9" t="s">
        <v>1182</v>
      </c>
      <c r="C9" t="s">
        <v>17</v>
      </c>
      <c r="D9" t="s">
        <v>1274</v>
      </c>
      <c r="E9" t="s">
        <v>1184</v>
      </c>
      <c r="F9" t="s">
        <v>638</v>
      </c>
      <c r="G9">
        <v>4.7489999999999997</v>
      </c>
      <c r="H9" t="s">
        <v>1275</v>
      </c>
      <c r="I9" t="s">
        <v>1276</v>
      </c>
      <c r="J9" t="s">
        <v>1182</v>
      </c>
      <c r="K9" t="s">
        <v>1277</v>
      </c>
      <c r="L9" t="s">
        <v>808</v>
      </c>
      <c r="M9" t="s">
        <v>2004</v>
      </c>
      <c r="N9" t="s">
        <v>2004</v>
      </c>
      <c r="O9" t="s">
        <v>49</v>
      </c>
    </row>
    <row r="10" spans="1:15" ht="15">
      <c r="A10" t="s">
        <v>585</v>
      </c>
      <c r="B10" t="s">
        <v>1182</v>
      </c>
      <c r="C10" t="s">
        <v>17</v>
      </c>
      <c r="D10" t="s">
        <v>1274</v>
      </c>
      <c r="E10" t="s">
        <v>1184</v>
      </c>
      <c r="F10" t="s">
        <v>648</v>
      </c>
      <c r="G10">
        <v>0</v>
      </c>
      <c r="H10" t="s">
        <v>1632</v>
      </c>
      <c r="I10" t="s">
        <v>1633</v>
      </c>
      <c r="J10" t="s">
        <v>1182</v>
      </c>
      <c r="K10" t="s">
        <v>1304</v>
      </c>
      <c r="L10" t="s">
        <v>649</v>
      </c>
      <c r="M10" t="s">
        <v>2004</v>
      </c>
      <c r="N10" t="s">
        <v>2004</v>
      </c>
      <c r="O10" t="s">
        <v>49</v>
      </c>
    </row>
    <row r="11" spans="1:15" ht="15">
      <c r="A11" t="s">
        <v>585</v>
      </c>
      <c r="B11" t="s">
        <v>1182</v>
      </c>
      <c r="C11" t="s">
        <v>17</v>
      </c>
      <c r="D11" t="s">
        <v>1274</v>
      </c>
      <c r="E11" t="s">
        <v>1184</v>
      </c>
      <c r="F11" t="s">
        <v>651</v>
      </c>
      <c r="G11">
        <v>0</v>
      </c>
      <c r="H11" t="s">
        <v>1634</v>
      </c>
      <c r="I11" t="s">
        <v>1634</v>
      </c>
      <c r="J11" t="s">
        <v>1182</v>
      </c>
      <c r="K11" t="s">
        <v>1277</v>
      </c>
      <c r="L11" t="s">
        <v>652</v>
      </c>
      <c r="M11" t="s">
        <v>2004</v>
      </c>
      <c r="N11" t="s">
        <v>2004</v>
      </c>
      <c r="O11" t="s">
        <v>49</v>
      </c>
    </row>
    <row r="12" spans="1:15" ht="15">
      <c r="A12" t="s">
        <v>585</v>
      </c>
      <c r="B12" t="s">
        <v>1182</v>
      </c>
      <c r="C12" t="s">
        <v>17</v>
      </c>
      <c r="D12" t="s">
        <v>1274</v>
      </c>
      <c r="E12" t="s">
        <v>1184</v>
      </c>
      <c r="F12" t="s">
        <v>659</v>
      </c>
      <c r="G12">
        <v>0.64100000000000001</v>
      </c>
      <c r="H12" t="s">
        <v>1359</v>
      </c>
      <c r="I12" t="s">
        <v>1360</v>
      </c>
      <c r="J12" t="s">
        <v>1182</v>
      </c>
      <c r="K12" t="s">
        <v>1277</v>
      </c>
      <c r="L12" t="s">
        <v>660</v>
      </c>
      <c r="M12" t="s">
        <v>2004</v>
      </c>
      <c r="N12" t="s">
        <v>2004</v>
      </c>
      <c r="O12" t="s">
        <v>49</v>
      </c>
    </row>
    <row r="13" spans="1:15" ht="15">
      <c r="A13" t="s">
        <v>585</v>
      </c>
      <c r="B13" t="s">
        <v>1182</v>
      </c>
      <c r="C13" t="s">
        <v>17</v>
      </c>
      <c r="D13" t="s">
        <v>1274</v>
      </c>
      <c r="E13" t="s">
        <v>1184</v>
      </c>
      <c r="F13" t="s">
        <v>670</v>
      </c>
      <c r="H13" t="s">
        <v>1704</v>
      </c>
      <c r="I13" t="s">
        <v>1705</v>
      </c>
      <c r="J13" t="s">
        <v>1182</v>
      </c>
      <c r="K13" t="s">
        <v>1304</v>
      </c>
      <c r="L13" t="s">
        <v>1706</v>
      </c>
      <c r="M13" t="s">
        <v>2004</v>
      </c>
      <c r="N13" t="s">
        <v>2004</v>
      </c>
      <c r="O13" t="s">
        <v>49</v>
      </c>
    </row>
    <row r="14" spans="1:15" ht="15" customHeight="1">
      <c r="A14" t="s">
        <v>585</v>
      </c>
      <c r="B14" t="s">
        <v>1182</v>
      </c>
      <c r="C14" t="s">
        <v>17</v>
      </c>
      <c r="D14" t="s">
        <v>1274</v>
      </c>
      <c r="E14" t="s">
        <v>1184</v>
      </c>
      <c r="F14" t="s">
        <v>677</v>
      </c>
      <c r="G14">
        <v>1.6240000000000001</v>
      </c>
      <c r="H14" t="s">
        <v>1321</v>
      </c>
      <c r="I14" t="s">
        <v>1322</v>
      </c>
      <c r="J14" t="s">
        <v>1182</v>
      </c>
      <c r="K14" t="s">
        <v>1304</v>
      </c>
      <c r="L14" t="s">
        <v>678</v>
      </c>
      <c r="M14" t="s">
        <v>2004</v>
      </c>
      <c r="N14" t="s">
        <v>2004</v>
      </c>
      <c r="O14" t="s">
        <v>49</v>
      </c>
    </row>
    <row r="15" spans="1:15" ht="15" customHeight="1">
      <c r="A15" t="s">
        <v>580</v>
      </c>
      <c r="B15" t="s">
        <v>1182</v>
      </c>
      <c r="C15" t="s">
        <v>17</v>
      </c>
      <c r="D15" t="s">
        <v>1274</v>
      </c>
      <c r="E15" t="s">
        <v>1184</v>
      </c>
      <c r="F15" t="s">
        <v>702</v>
      </c>
      <c r="G15">
        <v>2.4220000000000002</v>
      </c>
      <c r="H15" t="s">
        <v>1302</v>
      </c>
      <c r="I15" t="s">
        <v>1303</v>
      </c>
      <c r="J15" t="s">
        <v>1182</v>
      </c>
      <c r="K15" t="s">
        <v>1304</v>
      </c>
      <c r="L15" t="s">
        <v>703</v>
      </c>
      <c r="M15" t="s">
        <v>2004</v>
      </c>
      <c r="N15" t="s">
        <v>2004</v>
      </c>
      <c r="O15" t="s">
        <v>49</v>
      </c>
    </row>
    <row r="16" spans="1:15" ht="15" customHeight="1">
      <c r="A16" t="s">
        <v>580</v>
      </c>
      <c r="B16" t="s">
        <v>1182</v>
      </c>
      <c r="C16" t="s">
        <v>17</v>
      </c>
      <c r="D16" t="s">
        <v>1274</v>
      </c>
      <c r="E16" t="s">
        <v>1184</v>
      </c>
      <c r="F16" t="s">
        <v>757</v>
      </c>
      <c r="G16">
        <v>4.4999999999999998E-2</v>
      </c>
      <c r="H16" t="s">
        <v>1497</v>
      </c>
      <c r="I16" t="s">
        <v>1498</v>
      </c>
      <c r="J16" t="s">
        <v>1182</v>
      </c>
      <c r="K16" t="s">
        <v>1277</v>
      </c>
      <c r="L16" t="s">
        <v>758</v>
      </c>
      <c r="M16" t="s">
        <v>2004</v>
      </c>
      <c r="N16" t="s">
        <v>2004</v>
      </c>
      <c r="O16" t="s">
        <v>49</v>
      </c>
    </row>
    <row r="17" spans="1:15" ht="15" customHeight="1">
      <c r="A17" t="s">
        <v>580</v>
      </c>
      <c r="B17" t="s">
        <v>1182</v>
      </c>
      <c r="C17" t="s">
        <v>17</v>
      </c>
      <c r="D17" t="s">
        <v>1274</v>
      </c>
      <c r="E17" t="s">
        <v>1184</v>
      </c>
      <c r="F17" t="s">
        <v>775</v>
      </c>
      <c r="G17">
        <v>0.109</v>
      </c>
      <c r="H17" t="s">
        <v>1446</v>
      </c>
      <c r="I17" t="s">
        <v>1447</v>
      </c>
      <c r="J17" t="s">
        <v>1182</v>
      </c>
      <c r="K17" t="s">
        <v>1304</v>
      </c>
      <c r="L17" t="s">
        <v>776</v>
      </c>
      <c r="M17" t="s">
        <v>2004</v>
      </c>
      <c r="N17" t="s">
        <v>2004</v>
      </c>
      <c r="O17" t="s">
        <v>49</v>
      </c>
    </row>
    <row r="18" spans="1:15" ht="15" customHeight="1">
      <c r="A18" t="s">
        <v>580</v>
      </c>
      <c r="B18" t="s">
        <v>1182</v>
      </c>
      <c r="C18" t="s">
        <v>17</v>
      </c>
      <c r="D18" t="s">
        <v>1274</v>
      </c>
      <c r="E18" t="s">
        <v>1184</v>
      </c>
      <c r="F18" t="s">
        <v>784</v>
      </c>
      <c r="G18">
        <v>4.7E-2</v>
      </c>
      <c r="H18" t="s">
        <v>1495</v>
      </c>
      <c r="I18" t="s">
        <v>1496</v>
      </c>
      <c r="J18" t="s">
        <v>1182</v>
      </c>
      <c r="K18" t="s">
        <v>1277</v>
      </c>
      <c r="L18" t="s">
        <v>785</v>
      </c>
      <c r="M18" t="s">
        <v>2004</v>
      </c>
      <c r="N18" t="s">
        <v>2004</v>
      </c>
      <c r="O18" t="s">
        <v>49</v>
      </c>
    </row>
    <row r="19" spans="1:15" ht="15">
      <c r="A19" t="s">
        <v>580</v>
      </c>
      <c r="B19" t="s">
        <v>1182</v>
      </c>
      <c r="C19" t="s">
        <v>17</v>
      </c>
      <c r="D19" t="s">
        <v>1274</v>
      </c>
      <c r="E19" t="s">
        <v>1184</v>
      </c>
      <c r="F19" t="s">
        <v>786</v>
      </c>
      <c r="G19">
        <v>0.36599999999999999</v>
      </c>
      <c r="H19" t="s">
        <v>1385</v>
      </c>
      <c r="I19" t="s">
        <v>1386</v>
      </c>
      <c r="J19" t="s">
        <v>1182</v>
      </c>
      <c r="K19" t="s">
        <v>1277</v>
      </c>
      <c r="L19" t="s">
        <v>787</v>
      </c>
      <c r="M19" t="s">
        <v>2004</v>
      </c>
      <c r="N19" t="s">
        <v>2004</v>
      </c>
      <c r="O19" t="s">
        <v>49</v>
      </c>
    </row>
    <row r="20" spans="1:15" ht="15">
      <c r="A20" t="s">
        <v>580</v>
      </c>
      <c r="B20" t="s">
        <v>1182</v>
      </c>
      <c r="C20" t="s">
        <v>17</v>
      </c>
      <c r="D20" t="s">
        <v>1274</v>
      </c>
      <c r="E20" t="s">
        <v>1184</v>
      </c>
      <c r="F20" t="s">
        <v>792</v>
      </c>
      <c r="G20">
        <v>1E-3</v>
      </c>
      <c r="H20" t="s">
        <v>1610</v>
      </c>
      <c r="I20" t="s">
        <v>1610</v>
      </c>
      <c r="J20" t="s">
        <v>1182</v>
      </c>
      <c r="K20" t="s">
        <v>1304</v>
      </c>
      <c r="L20" t="s">
        <v>793</v>
      </c>
      <c r="M20" t="s">
        <v>2004</v>
      </c>
      <c r="N20" t="s">
        <v>2004</v>
      </c>
      <c r="O20" t="s">
        <v>49</v>
      </c>
    </row>
    <row r="21" spans="1:15" ht="15">
      <c r="A21" t="s">
        <v>609</v>
      </c>
      <c r="B21" t="s">
        <v>1182</v>
      </c>
      <c r="C21" t="s">
        <v>17</v>
      </c>
      <c r="D21" t="s">
        <v>1274</v>
      </c>
      <c r="E21" t="s">
        <v>1184</v>
      </c>
      <c r="F21" t="s">
        <v>804</v>
      </c>
      <c r="G21">
        <v>0.14699999999999999</v>
      </c>
      <c r="H21" t="s">
        <v>1427</v>
      </c>
      <c r="I21" t="s">
        <v>1428</v>
      </c>
      <c r="J21" t="s">
        <v>1182</v>
      </c>
      <c r="K21" t="s">
        <v>1304</v>
      </c>
      <c r="L21" t="s">
        <v>1429</v>
      </c>
      <c r="M21" t="s">
        <v>2004</v>
      </c>
      <c r="N21" t="s">
        <v>2004</v>
      </c>
      <c r="O21" t="s">
        <v>49</v>
      </c>
    </row>
    <row r="22" spans="1:15" ht="15">
      <c r="A22" t="s">
        <v>609</v>
      </c>
      <c r="B22" t="s">
        <v>1182</v>
      </c>
      <c r="C22" t="s">
        <v>17</v>
      </c>
      <c r="D22" t="s">
        <v>1274</v>
      </c>
      <c r="E22" t="s">
        <v>1184</v>
      </c>
      <c r="F22" t="s">
        <v>811</v>
      </c>
      <c r="G22">
        <v>1.82</v>
      </c>
      <c r="H22" t="s">
        <v>1318</v>
      </c>
      <c r="I22" t="s">
        <v>1319</v>
      </c>
      <c r="J22" t="s">
        <v>1182</v>
      </c>
      <c r="K22" t="s">
        <v>1277</v>
      </c>
      <c r="L22" t="s">
        <v>1320</v>
      </c>
      <c r="M22" t="s">
        <v>2004</v>
      </c>
      <c r="N22" t="s">
        <v>2004</v>
      </c>
      <c r="O22" t="s">
        <v>49</v>
      </c>
    </row>
    <row r="23" spans="1:15" ht="15">
      <c r="A23" t="s">
        <v>1156</v>
      </c>
      <c r="B23" t="s">
        <v>1182</v>
      </c>
      <c r="C23" t="s">
        <v>17</v>
      </c>
      <c r="D23" t="s">
        <v>1274</v>
      </c>
      <c r="E23" t="s">
        <v>1184</v>
      </c>
      <c r="F23" t="s">
        <v>1402</v>
      </c>
      <c r="G23">
        <v>0.26400000000000001</v>
      </c>
      <c r="H23" t="s">
        <v>1403</v>
      </c>
      <c r="I23" t="s">
        <v>1404</v>
      </c>
      <c r="J23" t="s">
        <v>1182</v>
      </c>
      <c r="K23" t="s">
        <v>1304</v>
      </c>
      <c r="L23" t="s">
        <v>1405</v>
      </c>
      <c r="M23" t="s">
        <v>2004</v>
      </c>
      <c r="N23" t="s">
        <v>2004</v>
      </c>
      <c r="O23" t="s">
        <v>49</v>
      </c>
    </row>
    <row r="24" spans="1:15" ht="15">
      <c r="A24" t="s">
        <v>1156</v>
      </c>
      <c r="B24" t="s">
        <v>1182</v>
      </c>
      <c r="C24" t="s">
        <v>17</v>
      </c>
      <c r="D24" t="s">
        <v>1274</v>
      </c>
      <c r="E24" t="s">
        <v>1184</v>
      </c>
      <c r="F24" t="s">
        <v>1505</v>
      </c>
      <c r="G24">
        <v>3.5000000000000003E-2</v>
      </c>
      <c r="H24" t="s">
        <v>1506</v>
      </c>
      <c r="I24" t="s">
        <v>1507</v>
      </c>
      <c r="J24" t="s">
        <v>1182</v>
      </c>
      <c r="K24" t="s">
        <v>1277</v>
      </c>
      <c r="M24" t="s">
        <v>1192</v>
      </c>
      <c r="N24" t="s">
        <v>1192</v>
      </c>
      <c r="O24" t="s">
        <v>49</v>
      </c>
    </row>
    <row r="25" spans="1:15" ht="15" customHeight="1">
      <c r="A25" t="s">
        <v>1156</v>
      </c>
      <c r="B25" t="s">
        <v>1182</v>
      </c>
      <c r="C25" t="s">
        <v>17</v>
      </c>
      <c r="D25" t="s">
        <v>1274</v>
      </c>
      <c r="E25" t="s">
        <v>1184</v>
      </c>
      <c r="F25" t="s">
        <v>1580</v>
      </c>
      <c r="G25">
        <v>4.0000000000000001E-3</v>
      </c>
      <c r="H25" t="s">
        <v>1581</v>
      </c>
      <c r="I25" t="s">
        <v>1582</v>
      </c>
      <c r="J25" t="s">
        <v>1182</v>
      </c>
      <c r="K25" t="s">
        <v>1304</v>
      </c>
      <c r="M25" t="s">
        <v>1192</v>
      </c>
      <c r="N25" t="s">
        <v>1192</v>
      </c>
      <c r="O25" t="s">
        <v>49</v>
      </c>
    </row>
    <row r="26" spans="1:15" ht="15">
      <c r="A26" t="s">
        <v>1156</v>
      </c>
      <c r="B26" t="s">
        <v>1182</v>
      </c>
      <c r="C26" t="s">
        <v>17</v>
      </c>
      <c r="D26" t="s">
        <v>1274</v>
      </c>
      <c r="E26" t="s">
        <v>1184</v>
      </c>
      <c r="F26" t="s">
        <v>1611</v>
      </c>
      <c r="G26">
        <v>1E-3</v>
      </c>
      <c r="H26" t="s">
        <v>1612</v>
      </c>
      <c r="I26" t="s">
        <v>1613</v>
      </c>
      <c r="J26" t="s">
        <v>1182</v>
      </c>
      <c r="K26" t="s">
        <v>1277</v>
      </c>
      <c r="M26" t="s">
        <v>1192</v>
      </c>
      <c r="N26" t="s">
        <v>1192</v>
      </c>
      <c r="O26" t="s">
        <v>49</v>
      </c>
    </row>
    <row r="27" spans="1:15" ht="15" customHeight="1">
      <c r="A27" t="s">
        <v>580</v>
      </c>
      <c r="B27" t="s">
        <v>1182</v>
      </c>
      <c r="C27" t="s">
        <v>17</v>
      </c>
      <c r="D27" t="s">
        <v>1314</v>
      </c>
      <c r="E27" t="s">
        <v>1184</v>
      </c>
      <c r="F27" t="s">
        <v>718</v>
      </c>
      <c r="G27">
        <v>1E-3</v>
      </c>
      <c r="H27" t="s">
        <v>1614</v>
      </c>
      <c r="J27" t="s">
        <v>1182</v>
      </c>
      <c r="K27" t="s">
        <v>1216</v>
      </c>
      <c r="L27" t="s">
        <v>1615</v>
      </c>
      <c r="M27" t="s">
        <v>2004</v>
      </c>
      <c r="N27" t="s">
        <v>2004</v>
      </c>
      <c r="O27" t="s">
        <v>49</v>
      </c>
    </row>
    <row r="28" spans="1:15" ht="15" customHeight="1">
      <c r="A28" t="s">
        <v>580</v>
      </c>
      <c r="B28" t="s">
        <v>1182</v>
      </c>
      <c r="C28" t="s">
        <v>17</v>
      </c>
      <c r="D28" t="s">
        <v>1314</v>
      </c>
      <c r="E28" t="s">
        <v>1184</v>
      </c>
      <c r="F28" t="s">
        <v>721</v>
      </c>
      <c r="G28">
        <v>2.0920000000000001</v>
      </c>
      <c r="H28" t="s">
        <v>1226</v>
      </c>
      <c r="I28" t="s">
        <v>1315</v>
      </c>
      <c r="J28" t="s">
        <v>1182</v>
      </c>
      <c r="K28" t="s">
        <v>1216</v>
      </c>
      <c r="L28" t="s">
        <v>1316</v>
      </c>
      <c r="M28" t="s">
        <v>2004</v>
      </c>
      <c r="N28" t="s">
        <v>2004</v>
      </c>
      <c r="O28" t="s">
        <v>49</v>
      </c>
    </row>
    <row r="29" spans="1:15" ht="15" customHeight="1">
      <c r="A29" t="s">
        <v>580</v>
      </c>
      <c r="B29" t="s">
        <v>1182</v>
      </c>
      <c r="C29" t="s">
        <v>17</v>
      </c>
      <c r="D29" t="s">
        <v>1314</v>
      </c>
      <c r="E29" t="s">
        <v>1184</v>
      </c>
      <c r="F29" t="s">
        <v>725</v>
      </c>
      <c r="G29">
        <v>0.34799999999999998</v>
      </c>
      <c r="H29" t="s">
        <v>1393</v>
      </c>
      <c r="I29" t="s">
        <v>1315</v>
      </c>
      <c r="J29" t="s">
        <v>1182</v>
      </c>
      <c r="K29" t="s">
        <v>1216</v>
      </c>
      <c r="L29" t="s">
        <v>1394</v>
      </c>
      <c r="M29" t="s">
        <v>2004</v>
      </c>
      <c r="N29" t="s">
        <v>2004</v>
      </c>
      <c r="O29" t="s">
        <v>49</v>
      </c>
    </row>
    <row r="30" spans="1:15" ht="15" customHeight="1">
      <c r="A30" t="s">
        <v>580</v>
      </c>
      <c r="B30" t="s">
        <v>1182</v>
      </c>
      <c r="C30" t="s">
        <v>17</v>
      </c>
      <c r="D30" t="s">
        <v>1314</v>
      </c>
      <c r="E30" t="s">
        <v>1184</v>
      </c>
      <c r="F30" t="s">
        <v>729</v>
      </c>
      <c r="H30" t="s">
        <v>1226</v>
      </c>
      <c r="J30" t="s">
        <v>1182</v>
      </c>
      <c r="K30" t="s">
        <v>1707</v>
      </c>
      <c r="L30" t="s">
        <v>1708</v>
      </c>
      <c r="M30" t="s">
        <v>2004</v>
      </c>
      <c r="N30" t="s">
        <v>2004</v>
      </c>
      <c r="O30" t="s">
        <v>49</v>
      </c>
    </row>
    <row r="31" spans="1:15" ht="15" customHeight="1">
      <c r="A31" t="s">
        <v>580</v>
      </c>
      <c r="B31" t="s">
        <v>1182</v>
      </c>
      <c r="C31" t="s">
        <v>17</v>
      </c>
      <c r="D31" t="s">
        <v>1314</v>
      </c>
      <c r="E31" t="s">
        <v>1184</v>
      </c>
      <c r="F31" t="s">
        <v>743</v>
      </c>
      <c r="G31">
        <v>6.9000000000000006E-2</v>
      </c>
      <c r="H31" t="s">
        <v>1471</v>
      </c>
      <c r="I31" t="s">
        <v>1315</v>
      </c>
      <c r="J31" t="s">
        <v>1182</v>
      </c>
      <c r="K31" t="s">
        <v>1216</v>
      </c>
      <c r="L31" t="s">
        <v>1472</v>
      </c>
      <c r="M31" t="s">
        <v>2004</v>
      </c>
      <c r="N31" t="s">
        <v>2004</v>
      </c>
      <c r="O31" t="s">
        <v>49</v>
      </c>
    </row>
    <row r="32" spans="1:15" ht="15" customHeight="1">
      <c r="A32" t="s">
        <v>580</v>
      </c>
      <c r="B32" t="s">
        <v>1182</v>
      </c>
      <c r="C32" t="s">
        <v>17</v>
      </c>
      <c r="D32" t="s">
        <v>1314</v>
      </c>
      <c r="E32" t="s">
        <v>1184</v>
      </c>
      <c r="F32" t="s">
        <v>789</v>
      </c>
      <c r="G32">
        <v>3.4000000000000002E-2</v>
      </c>
      <c r="H32" t="s">
        <v>1226</v>
      </c>
      <c r="J32" t="s">
        <v>1182</v>
      </c>
      <c r="K32" t="s">
        <v>1508</v>
      </c>
      <c r="L32" t="s">
        <v>1509</v>
      </c>
      <c r="M32" t="s">
        <v>2004</v>
      </c>
      <c r="N32" t="s">
        <v>2004</v>
      </c>
      <c r="O32" t="s">
        <v>49</v>
      </c>
    </row>
    <row r="33" spans="1:15" ht="15" customHeight="1">
      <c r="A33" t="s">
        <v>609</v>
      </c>
      <c r="B33" t="s">
        <v>1182</v>
      </c>
      <c r="C33" t="s">
        <v>17</v>
      </c>
      <c r="D33" t="s">
        <v>1314</v>
      </c>
      <c r="E33" t="s">
        <v>1184</v>
      </c>
      <c r="F33" t="s">
        <v>1583</v>
      </c>
      <c r="G33">
        <v>4.0000000000000001E-3</v>
      </c>
      <c r="H33" t="s">
        <v>1585</v>
      </c>
      <c r="I33" t="s">
        <v>1586</v>
      </c>
      <c r="J33" t="s">
        <v>1182</v>
      </c>
      <c r="K33" t="s">
        <v>1216</v>
      </c>
      <c r="L33" t="s">
        <v>1587</v>
      </c>
      <c r="M33" t="s">
        <v>2004</v>
      </c>
      <c r="N33" t="s">
        <v>2004</v>
      </c>
      <c r="O33" t="s">
        <v>49</v>
      </c>
    </row>
    <row r="34" spans="1:15" ht="15" customHeight="1">
      <c r="A34" t="s">
        <v>609</v>
      </c>
      <c r="B34" t="s">
        <v>1182</v>
      </c>
      <c r="C34" t="s">
        <v>17</v>
      </c>
      <c r="D34" t="s">
        <v>1314</v>
      </c>
      <c r="E34" t="s">
        <v>1184</v>
      </c>
      <c r="F34" t="s">
        <v>1419</v>
      </c>
      <c r="G34">
        <v>0.16900000000000001</v>
      </c>
      <c r="H34" t="s">
        <v>1421</v>
      </c>
      <c r="J34" t="s">
        <v>1182</v>
      </c>
      <c r="K34" t="s">
        <v>1216</v>
      </c>
      <c r="L34" t="s">
        <v>1423</v>
      </c>
      <c r="M34" t="s">
        <v>2004</v>
      </c>
      <c r="N34" t="s">
        <v>2004</v>
      </c>
      <c r="O34" t="s">
        <v>49</v>
      </c>
    </row>
    <row r="35" spans="1:15" ht="15" customHeight="1">
      <c r="A35" t="s">
        <v>1156</v>
      </c>
      <c r="B35" t="s">
        <v>1182</v>
      </c>
      <c r="C35" t="s">
        <v>17</v>
      </c>
      <c r="D35" t="s">
        <v>1314</v>
      </c>
      <c r="E35" t="s">
        <v>1184</v>
      </c>
      <c r="F35" t="s">
        <v>1635</v>
      </c>
      <c r="G35">
        <v>0</v>
      </c>
      <c r="H35" t="s">
        <v>2005</v>
      </c>
      <c r="I35" t="s">
        <v>361</v>
      </c>
      <c r="J35" t="s">
        <v>1182</v>
      </c>
      <c r="K35" t="s">
        <v>1216</v>
      </c>
      <c r="L35" t="s">
        <v>1636</v>
      </c>
      <c r="M35" t="s">
        <v>2004</v>
      </c>
      <c r="N35" t="s">
        <v>2004</v>
      </c>
      <c r="O35" t="s">
        <v>49</v>
      </c>
    </row>
    <row r="36" spans="1:15" ht="15" customHeight="1">
      <c r="A36" t="s">
        <v>1156</v>
      </c>
      <c r="B36" t="s">
        <v>1182</v>
      </c>
      <c r="C36" t="s">
        <v>17</v>
      </c>
      <c r="D36" t="s">
        <v>1314</v>
      </c>
      <c r="E36" t="s">
        <v>1184</v>
      </c>
      <c r="F36" t="s">
        <v>1479</v>
      </c>
      <c r="G36">
        <v>6.0999999999999999E-2</v>
      </c>
      <c r="H36" s="12" t="s">
        <v>1480</v>
      </c>
      <c r="I36" t="s">
        <v>1481</v>
      </c>
      <c r="J36" t="s">
        <v>1182</v>
      </c>
      <c r="K36" t="s">
        <v>1216</v>
      </c>
      <c r="M36" t="s">
        <v>1192</v>
      </c>
      <c r="N36" t="s">
        <v>1192</v>
      </c>
      <c r="O36" t="s">
        <v>49</v>
      </c>
    </row>
    <row r="37" spans="1:15" ht="15" customHeight="1">
      <c r="A37" t="s">
        <v>1156</v>
      </c>
      <c r="B37" t="s">
        <v>1182</v>
      </c>
      <c r="C37" t="s">
        <v>17</v>
      </c>
      <c r="D37" t="s">
        <v>1314</v>
      </c>
      <c r="E37" t="s">
        <v>1184</v>
      </c>
      <c r="F37" t="s">
        <v>1600</v>
      </c>
      <c r="G37">
        <v>2E-3</v>
      </c>
      <c r="H37" t="s">
        <v>2006</v>
      </c>
      <c r="I37" t="s">
        <v>1422</v>
      </c>
      <c r="J37" t="s">
        <v>1182</v>
      </c>
      <c r="K37" t="s">
        <v>1216</v>
      </c>
      <c r="M37" t="s">
        <v>1192</v>
      </c>
      <c r="N37" t="s">
        <v>1192</v>
      </c>
      <c r="O37" t="s">
        <v>49</v>
      </c>
    </row>
    <row r="38" spans="1:15" ht="15" customHeight="1">
      <c r="A38" t="s">
        <v>1156</v>
      </c>
      <c r="B38" t="s">
        <v>1182</v>
      </c>
      <c r="C38" t="s">
        <v>17</v>
      </c>
      <c r="D38" t="s">
        <v>1314</v>
      </c>
      <c r="E38" t="s">
        <v>1184</v>
      </c>
      <c r="F38" t="s">
        <v>1637</v>
      </c>
      <c r="G38">
        <v>0</v>
      </c>
      <c r="H38" t="s">
        <v>2007</v>
      </c>
      <c r="I38" t="s">
        <v>1638</v>
      </c>
      <c r="J38" t="s">
        <v>1182</v>
      </c>
      <c r="K38" t="s">
        <v>1216</v>
      </c>
      <c r="M38" t="s">
        <v>1192</v>
      </c>
      <c r="N38" t="s">
        <v>1192</v>
      </c>
      <c r="O38" t="s">
        <v>49</v>
      </c>
    </row>
    <row r="39" spans="1:15" ht="15" customHeight="1">
      <c r="A39" t="s">
        <v>1156</v>
      </c>
      <c r="B39" t="s">
        <v>1182</v>
      </c>
      <c r="C39" t="s">
        <v>17</v>
      </c>
      <c r="D39" t="s">
        <v>1314</v>
      </c>
      <c r="E39" t="s">
        <v>1184</v>
      </c>
      <c r="F39" t="s">
        <v>1559</v>
      </c>
      <c r="G39">
        <v>1.0999999999999999E-2</v>
      </c>
      <c r="H39" t="s">
        <v>2008</v>
      </c>
      <c r="I39" t="s">
        <v>1560</v>
      </c>
      <c r="J39" t="s">
        <v>1182</v>
      </c>
      <c r="K39" t="s">
        <v>1216</v>
      </c>
      <c r="M39" t="s">
        <v>1192</v>
      </c>
      <c r="N39" t="s">
        <v>1192</v>
      </c>
      <c r="O39" t="s">
        <v>49</v>
      </c>
    </row>
    <row r="40" spans="1:15" ht="15" customHeight="1">
      <c r="A40" t="s">
        <v>1156</v>
      </c>
      <c r="B40" t="s">
        <v>1182</v>
      </c>
      <c r="C40" t="s">
        <v>17</v>
      </c>
      <c r="D40" t="s">
        <v>1314</v>
      </c>
      <c r="E40" t="s">
        <v>1184</v>
      </c>
      <c r="F40" t="s">
        <v>1601</v>
      </c>
      <c r="G40">
        <v>2E-3</v>
      </c>
      <c r="H40" t="s">
        <v>2009</v>
      </c>
      <c r="I40" t="s">
        <v>1422</v>
      </c>
      <c r="J40" t="s">
        <v>1182</v>
      </c>
      <c r="K40" t="s">
        <v>1216</v>
      </c>
      <c r="M40" t="s">
        <v>1192</v>
      </c>
      <c r="N40" t="s">
        <v>1192</v>
      </c>
      <c r="O40" t="s">
        <v>49</v>
      </c>
    </row>
    <row r="41" spans="1:15" ht="15" customHeight="1">
      <c r="A41" t="s">
        <v>1156</v>
      </c>
      <c r="B41" t="s">
        <v>1182</v>
      </c>
      <c r="C41" t="s">
        <v>17</v>
      </c>
      <c r="D41" t="s">
        <v>1314</v>
      </c>
      <c r="E41" t="s">
        <v>1184</v>
      </c>
      <c r="F41" t="s">
        <v>1483</v>
      </c>
      <c r="G41">
        <v>5.8999999999999997E-2</v>
      </c>
      <c r="H41" t="s">
        <v>1484</v>
      </c>
      <c r="I41" t="s">
        <v>361</v>
      </c>
      <c r="J41" t="s">
        <v>1182</v>
      </c>
      <c r="K41" t="s">
        <v>1216</v>
      </c>
      <c r="M41" t="s">
        <v>1192</v>
      </c>
      <c r="N41" t="s">
        <v>1192</v>
      </c>
      <c r="O41" t="s">
        <v>49</v>
      </c>
    </row>
    <row r="42" spans="1:15" ht="15" customHeight="1">
      <c r="A42" t="s">
        <v>1156</v>
      </c>
      <c r="B42" t="s">
        <v>1182</v>
      </c>
      <c r="C42" t="s">
        <v>17</v>
      </c>
      <c r="D42" t="s">
        <v>1314</v>
      </c>
      <c r="E42" t="s">
        <v>1184</v>
      </c>
      <c r="F42" t="s">
        <v>1709</v>
      </c>
      <c r="H42" t="s">
        <v>1503</v>
      </c>
      <c r="I42" t="s">
        <v>361</v>
      </c>
      <c r="J42" t="s">
        <v>1182</v>
      </c>
      <c r="K42" t="s">
        <v>1216</v>
      </c>
      <c r="M42" t="s">
        <v>1192</v>
      </c>
      <c r="N42" t="s">
        <v>1192</v>
      </c>
      <c r="O42" t="s">
        <v>49</v>
      </c>
    </row>
    <row r="43" spans="1:15" ht="15" customHeight="1">
      <c r="A43" t="s">
        <v>580</v>
      </c>
      <c r="B43" t="s">
        <v>1182</v>
      </c>
      <c r="C43" t="s">
        <v>17</v>
      </c>
      <c r="D43" t="s">
        <v>1380</v>
      </c>
      <c r="E43" t="s">
        <v>1184</v>
      </c>
      <c r="F43" t="s">
        <v>781</v>
      </c>
      <c r="G43">
        <v>0.38100000000000001</v>
      </c>
      <c r="H43" t="s">
        <v>1381</v>
      </c>
      <c r="I43" t="s">
        <v>1382</v>
      </c>
      <c r="J43" t="s">
        <v>1182</v>
      </c>
      <c r="K43" t="s">
        <v>2010</v>
      </c>
      <c r="L43" t="s">
        <v>1383</v>
      </c>
      <c r="M43" t="s">
        <v>2004</v>
      </c>
      <c r="N43" t="s">
        <v>2004</v>
      </c>
      <c r="O43" t="s">
        <v>49</v>
      </c>
    </row>
    <row r="44" spans="1:15" ht="15" customHeight="1">
      <c r="A44" t="s">
        <v>1156</v>
      </c>
      <c r="B44" t="s">
        <v>1182</v>
      </c>
      <c r="C44" t="s">
        <v>17</v>
      </c>
      <c r="D44" t="s">
        <v>1710</v>
      </c>
      <c r="E44" t="s">
        <v>1184</v>
      </c>
      <c r="F44" t="s">
        <v>1711</v>
      </c>
      <c r="H44" t="s">
        <v>1712</v>
      </c>
      <c r="I44" t="s">
        <v>361</v>
      </c>
      <c r="J44" t="s">
        <v>1182</v>
      </c>
      <c r="K44" t="s">
        <v>1713</v>
      </c>
      <c r="M44" t="s">
        <v>1192</v>
      </c>
      <c r="N44" t="s">
        <v>1192</v>
      </c>
      <c r="O44" t="s">
        <v>49</v>
      </c>
    </row>
    <row r="45" spans="1:15" ht="15" customHeight="1">
      <c r="A45" t="s">
        <v>585</v>
      </c>
      <c r="B45" t="s">
        <v>1182</v>
      </c>
      <c r="C45" t="s">
        <v>17</v>
      </c>
      <c r="D45" t="s">
        <v>1183</v>
      </c>
      <c r="E45" t="s">
        <v>1184</v>
      </c>
      <c r="F45" t="s">
        <v>663</v>
      </c>
      <c r="G45">
        <v>1.321</v>
      </c>
      <c r="H45" t="s">
        <v>1334</v>
      </c>
      <c r="I45" t="s">
        <v>1335</v>
      </c>
      <c r="J45" t="s">
        <v>1182</v>
      </c>
      <c r="K45" t="s">
        <v>1216</v>
      </c>
      <c r="L45" t="s">
        <v>664</v>
      </c>
      <c r="M45" t="s">
        <v>2004</v>
      </c>
      <c r="N45" t="s">
        <v>2004</v>
      </c>
      <c r="O45" t="s">
        <v>49</v>
      </c>
    </row>
    <row r="46" spans="1:15" ht="15">
      <c r="A46" t="s">
        <v>585</v>
      </c>
      <c r="B46" t="s">
        <v>1182</v>
      </c>
      <c r="C46" t="s">
        <v>17</v>
      </c>
      <c r="D46" t="s">
        <v>1183</v>
      </c>
      <c r="E46" t="s">
        <v>1184</v>
      </c>
      <c r="F46" t="s">
        <v>673</v>
      </c>
      <c r="G46">
        <v>2.819</v>
      </c>
      <c r="H46" t="s">
        <v>1297</v>
      </c>
      <c r="I46" t="s">
        <v>1298</v>
      </c>
      <c r="J46" t="s">
        <v>1182</v>
      </c>
      <c r="K46" t="s">
        <v>1216</v>
      </c>
      <c r="L46" t="s">
        <v>674</v>
      </c>
      <c r="M46" t="s">
        <v>2004</v>
      </c>
      <c r="N46" t="s">
        <v>2004</v>
      </c>
      <c r="O46" t="s">
        <v>49</v>
      </c>
    </row>
    <row r="47" spans="1:15" ht="15">
      <c r="A47" t="s">
        <v>585</v>
      </c>
      <c r="B47" t="s">
        <v>1182</v>
      </c>
      <c r="C47" t="s">
        <v>17</v>
      </c>
      <c r="D47" t="s">
        <v>1183</v>
      </c>
      <c r="E47" t="s">
        <v>1184</v>
      </c>
      <c r="F47" t="s">
        <v>686</v>
      </c>
      <c r="G47">
        <v>5.6000000000000001E-2</v>
      </c>
      <c r="H47" t="s">
        <v>1418</v>
      </c>
      <c r="I47" t="s">
        <v>1298</v>
      </c>
      <c r="J47" t="s">
        <v>1182</v>
      </c>
      <c r="K47" t="s">
        <v>1216</v>
      </c>
      <c r="L47" t="s">
        <v>687</v>
      </c>
      <c r="M47" t="s">
        <v>2004</v>
      </c>
      <c r="N47" t="s">
        <v>2004</v>
      </c>
      <c r="O47" t="s">
        <v>49</v>
      </c>
    </row>
    <row r="48" spans="1:15" ht="15" customHeight="1">
      <c r="A48" t="s">
        <v>585</v>
      </c>
      <c r="B48" t="s">
        <v>1182</v>
      </c>
      <c r="C48" t="s">
        <v>17</v>
      </c>
      <c r="D48" t="s">
        <v>1183</v>
      </c>
      <c r="E48" t="s">
        <v>1184</v>
      </c>
      <c r="F48" t="s">
        <v>691</v>
      </c>
      <c r="G48">
        <v>6.3E-2</v>
      </c>
      <c r="H48" s="12" t="s">
        <v>1473</v>
      </c>
      <c r="I48" t="s">
        <v>1298</v>
      </c>
      <c r="J48" t="s">
        <v>1182</v>
      </c>
      <c r="K48" t="s">
        <v>1216</v>
      </c>
      <c r="L48" t="s">
        <v>692</v>
      </c>
      <c r="M48" t="s">
        <v>2004</v>
      </c>
      <c r="N48" t="s">
        <v>2004</v>
      </c>
      <c r="O48" t="s">
        <v>49</v>
      </c>
    </row>
    <row r="49" spans="1:15" ht="15" customHeight="1">
      <c r="A49" t="s">
        <v>580</v>
      </c>
      <c r="B49" t="s">
        <v>1182</v>
      </c>
      <c r="C49" t="s">
        <v>17</v>
      </c>
      <c r="D49" t="s">
        <v>1183</v>
      </c>
      <c r="E49" t="s">
        <v>1184</v>
      </c>
      <c r="F49" t="s">
        <v>696</v>
      </c>
      <c r="G49">
        <v>0.72799999999999998</v>
      </c>
      <c r="H49" t="s">
        <v>1351</v>
      </c>
      <c r="I49" t="s">
        <v>2011</v>
      </c>
      <c r="J49" t="s">
        <v>1182</v>
      </c>
      <c r="K49" t="s">
        <v>1216</v>
      </c>
      <c r="L49" t="s">
        <v>697</v>
      </c>
      <c r="M49" t="s">
        <v>2004</v>
      </c>
      <c r="N49" t="s">
        <v>2004</v>
      </c>
      <c r="O49" t="s">
        <v>49</v>
      </c>
    </row>
    <row r="50" spans="1:15" ht="15" customHeight="1">
      <c r="A50" t="s">
        <v>580</v>
      </c>
      <c r="B50" t="s">
        <v>1182</v>
      </c>
      <c r="C50" t="s">
        <v>17</v>
      </c>
      <c r="D50" t="s">
        <v>1183</v>
      </c>
      <c r="E50" t="s">
        <v>1184</v>
      </c>
      <c r="F50" t="s">
        <v>708</v>
      </c>
      <c r="G50">
        <v>0</v>
      </c>
      <c r="H50" t="s">
        <v>1639</v>
      </c>
      <c r="J50" t="s">
        <v>1182</v>
      </c>
      <c r="K50" t="s">
        <v>1216</v>
      </c>
      <c r="L50" t="s">
        <v>1640</v>
      </c>
      <c r="M50" t="s">
        <v>2004</v>
      </c>
      <c r="N50" t="s">
        <v>2004</v>
      </c>
      <c r="O50" t="s">
        <v>49</v>
      </c>
    </row>
    <row r="51" spans="1:15" ht="15" customHeight="1">
      <c r="A51" t="s">
        <v>580</v>
      </c>
      <c r="B51" t="s">
        <v>1182</v>
      </c>
      <c r="C51" t="s">
        <v>17</v>
      </c>
      <c r="D51" t="s">
        <v>1183</v>
      </c>
      <c r="E51" t="s">
        <v>1184</v>
      </c>
      <c r="F51" t="s">
        <v>712</v>
      </c>
      <c r="G51">
        <v>0.17899999999999999</v>
      </c>
      <c r="H51" t="s">
        <v>1418</v>
      </c>
      <c r="I51" t="s">
        <v>1298</v>
      </c>
      <c r="J51" t="s">
        <v>1182</v>
      </c>
      <c r="K51" t="s">
        <v>1216</v>
      </c>
      <c r="L51" t="s">
        <v>713</v>
      </c>
      <c r="M51" t="s">
        <v>2004</v>
      </c>
      <c r="N51" t="s">
        <v>2004</v>
      </c>
      <c r="O51" t="s">
        <v>49</v>
      </c>
    </row>
    <row r="52" spans="1:15" ht="15" customHeight="1">
      <c r="A52" t="s">
        <v>580</v>
      </c>
      <c r="B52" t="s">
        <v>1182</v>
      </c>
      <c r="C52" t="s">
        <v>17</v>
      </c>
      <c r="D52" t="s">
        <v>1183</v>
      </c>
      <c r="E52" t="s">
        <v>1184</v>
      </c>
      <c r="F52" t="s">
        <v>733</v>
      </c>
      <c r="G52">
        <v>0</v>
      </c>
      <c r="H52" t="s">
        <v>1641</v>
      </c>
      <c r="J52" t="s">
        <v>361</v>
      </c>
      <c r="K52" t="s">
        <v>2012</v>
      </c>
      <c r="L52" t="s">
        <v>1642</v>
      </c>
      <c r="M52" t="s">
        <v>2004</v>
      </c>
      <c r="N52" t="s">
        <v>2004</v>
      </c>
      <c r="O52" t="s">
        <v>49</v>
      </c>
    </row>
    <row r="53" spans="1:15" ht="15" customHeight="1">
      <c r="A53" t="s">
        <v>580</v>
      </c>
      <c r="B53" t="s">
        <v>1182</v>
      </c>
      <c r="C53" t="s">
        <v>17</v>
      </c>
      <c r="D53" t="s">
        <v>1183</v>
      </c>
      <c r="E53" t="s">
        <v>1184</v>
      </c>
      <c r="F53" t="s">
        <v>747</v>
      </c>
      <c r="G53">
        <v>1.53</v>
      </c>
      <c r="H53" t="s">
        <v>1323</v>
      </c>
      <c r="I53" t="s">
        <v>1324</v>
      </c>
      <c r="J53" t="s">
        <v>1189</v>
      </c>
      <c r="K53" t="s">
        <v>1325</v>
      </c>
      <c r="L53" t="s">
        <v>748</v>
      </c>
      <c r="M53" t="s">
        <v>2004</v>
      </c>
      <c r="N53" t="s">
        <v>2004</v>
      </c>
      <c r="O53" t="s">
        <v>49</v>
      </c>
    </row>
    <row r="54" spans="1:15" ht="15" customHeight="1">
      <c r="A54" t="s">
        <v>580</v>
      </c>
      <c r="B54" t="s">
        <v>1182</v>
      </c>
      <c r="C54" t="s">
        <v>17</v>
      </c>
      <c r="D54" t="s">
        <v>1183</v>
      </c>
      <c r="E54" t="s">
        <v>1184</v>
      </c>
      <c r="F54" t="s">
        <v>761</v>
      </c>
      <c r="G54">
        <v>5.0000000000000001E-3</v>
      </c>
      <c r="H54" t="s">
        <v>1418</v>
      </c>
      <c r="J54" t="s">
        <v>1182</v>
      </c>
      <c r="K54" t="s">
        <v>1216</v>
      </c>
      <c r="L54" t="s">
        <v>1575</v>
      </c>
      <c r="M54" t="s">
        <v>2004</v>
      </c>
      <c r="N54" t="s">
        <v>2004</v>
      </c>
      <c r="O54" t="s">
        <v>49</v>
      </c>
    </row>
    <row r="55" spans="1:15" ht="15" customHeight="1">
      <c r="A55" t="s">
        <v>580</v>
      </c>
      <c r="B55" t="s">
        <v>1182</v>
      </c>
      <c r="C55" t="s">
        <v>17</v>
      </c>
      <c r="D55" t="s">
        <v>1183</v>
      </c>
      <c r="E55" t="s">
        <v>1184</v>
      </c>
      <c r="F55" t="s">
        <v>764</v>
      </c>
      <c r="G55">
        <v>0.53700000000000003</v>
      </c>
      <c r="H55" t="s">
        <v>1373</v>
      </c>
      <c r="I55" t="s">
        <v>1298</v>
      </c>
      <c r="J55" t="s">
        <v>1182</v>
      </c>
      <c r="K55" t="s">
        <v>1216</v>
      </c>
      <c r="L55" t="s">
        <v>765</v>
      </c>
      <c r="M55" t="s">
        <v>2004</v>
      </c>
      <c r="N55" t="s">
        <v>2004</v>
      </c>
      <c r="O55" t="s">
        <v>49</v>
      </c>
    </row>
    <row r="56" spans="1:15" ht="15" customHeight="1">
      <c r="A56" t="s">
        <v>580</v>
      </c>
      <c r="B56" t="s">
        <v>1182</v>
      </c>
      <c r="C56" t="s">
        <v>17</v>
      </c>
      <c r="D56" t="s">
        <v>1183</v>
      </c>
      <c r="E56" t="s">
        <v>1184</v>
      </c>
      <c r="F56" t="s">
        <v>769</v>
      </c>
      <c r="G56">
        <v>0</v>
      </c>
      <c r="H56" t="s">
        <v>1643</v>
      </c>
      <c r="J56" t="s">
        <v>1182</v>
      </c>
      <c r="K56" t="s">
        <v>1216</v>
      </c>
      <c r="L56" t="s">
        <v>770</v>
      </c>
      <c r="M56" t="s">
        <v>2004</v>
      </c>
      <c r="N56" t="s">
        <v>2004</v>
      </c>
      <c r="O56" t="s">
        <v>49</v>
      </c>
    </row>
    <row r="57" spans="1:15" ht="15" customHeight="1">
      <c r="A57" t="s">
        <v>580</v>
      </c>
      <c r="B57" t="s">
        <v>1182</v>
      </c>
      <c r="C57" t="s">
        <v>17</v>
      </c>
      <c r="D57" t="s">
        <v>1183</v>
      </c>
      <c r="E57" t="s">
        <v>1184</v>
      </c>
      <c r="F57" t="s">
        <v>771</v>
      </c>
      <c r="G57">
        <v>1E-3</v>
      </c>
      <c r="H57" t="s">
        <v>1616</v>
      </c>
      <c r="I57" t="s">
        <v>1617</v>
      </c>
      <c r="J57" t="s">
        <v>1182</v>
      </c>
      <c r="K57" t="s">
        <v>1216</v>
      </c>
      <c r="L57" t="s">
        <v>772</v>
      </c>
      <c r="M57" t="s">
        <v>2004</v>
      </c>
      <c r="N57" t="s">
        <v>2004</v>
      </c>
      <c r="O57" t="s">
        <v>49</v>
      </c>
    </row>
    <row r="58" spans="1:15" ht="15">
      <c r="A58" t="s">
        <v>580</v>
      </c>
      <c r="B58" t="s">
        <v>1182</v>
      </c>
      <c r="C58" t="s">
        <v>17</v>
      </c>
      <c r="D58" t="s">
        <v>1183</v>
      </c>
      <c r="E58" t="s">
        <v>1184</v>
      </c>
      <c r="F58" t="s">
        <v>773</v>
      </c>
      <c r="G58">
        <v>6.0999999999999999E-2</v>
      </c>
      <c r="H58" t="s">
        <v>1482</v>
      </c>
      <c r="I58" t="s">
        <v>2013</v>
      </c>
      <c r="J58" t="s">
        <v>361</v>
      </c>
      <c r="K58" t="s">
        <v>2014</v>
      </c>
      <c r="L58" t="s">
        <v>774</v>
      </c>
      <c r="M58" t="s">
        <v>2004</v>
      </c>
      <c r="N58" t="s">
        <v>2004</v>
      </c>
      <c r="O58" t="s">
        <v>49</v>
      </c>
    </row>
    <row r="59" spans="1:15" ht="15">
      <c r="A59" t="s">
        <v>580</v>
      </c>
      <c r="B59" t="s">
        <v>1182</v>
      </c>
      <c r="C59" t="s">
        <v>17</v>
      </c>
      <c r="D59" t="s">
        <v>1183</v>
      </c>
      <c r="E59" t="s">
        <v>1184</v>
      </c>
      <c r="F59" t="s">
        <v>777</v>
      </c>
      <c r="G59">
        <v>1.7999999999999999E-2</v>
      </c>
      <c r="H59" t="s">
        <v>1545</v>
      </c>
      <c r="I59" t="s">
        <v>1546</v>
      </c>
      <c r="J59" t="s">
        <v>361</v>
      </c>
      <c r="K59" t="s">
        <v>2015</v>
      </c>
      <c r="L59" t="s">
        <v>778</v>
      </c>
      <c r="M59" t="s">
        <v>2004</v>
      </c>
      <c r="N59" t="s">
        <v>2004</v>
      </c>
      <c r="O59" t="s">
        <v>49</v>
      </c>
    </row>
    <row r="60" spans="1:15" ht="15" customHeight="1">
      <c r="A60" t="s">
        <v>580</v>
      </c>
      <c r="B60" t="s">
        <v>1182</v>
      </c>
      <c r="C60" t="s">
        <v>17</v>
      </c>
      <c r="D60" t="s">
        <v>1183</v>
      </c>
      <c r="E60" t="s">
        <v>1184</v>
      </c>
      <c r="F60" t="s">
        <v>779</v>
      </c>
      <c r="G60">
        <v>0.26500000000000001</v>
      </c>
      <c r="H60" s="12" t="s">
        <v>1400</v>
      </c>
      <c r="I60" t="s">
        <v>1401</v>
      </c>
      <c r="J60" t="s">
        <v>1182</v>
      </c>
      <c r="K60" t="s">
        <v>1216</v>
      </c>
      <c r="L60" t="s">
        <v>780</v>
      </c>
      <c r="M60" t="s">
        <v>2004</v>
      </c>
      <c r="N60" t="s">
        <v>2004</v>
      </c>
      <c r="O60" t="s">
        <v>49</v>
      </c>
    </row>
    <row r="61" spans="1:15" ht="15" customHeight="1">
      <c r="A61" t="s">
        <v>580</v>
      </c>
      <c r="B61" t="s">
        <v>1182</v>
      </c>
      <c r="C61" t="s">
        <v>17</v>
      </c>
      <c r="D61" t="s">
        <v>1183</v>
      </c>
      <c r="E61" t="s">
        <v>1184</v>
      </c>
      <c r="F61" t="s">
        <v>1456</v>
      </c>
      <c r="G61">
        <v>7.8E-2</v>
      </c>
      <c r="H61" t="s">
        <v>1457</v>
      </c>
      <c r="I61" t="s">
        <v>1458</v>
      </c>
      <c r="J61" t="s">
        <v>1182</v>
      </c>
      <c r="K61" t="s">
        <v>1216</v>
      </c>
      <c r="L61" t="s">
        <v>1459</v>
      </c>
      <c r="M61" t="s">
        <v>2004</v>
      </c>
      <c r="N61" t="s">
        <v>2004</v>
      </c>
      <c r="O61" t="s">
        <v>49</v>
      </c>
    </row>
    <row r="62" spans="1:15" ht="15">
      <c r="A62" t="s">
        <v>580</v>
      </c>
      <c r="B62" t="s">
        <v>1182</v>
      </c>
      <c r="C62" t="s">
        <v>17</v>
      </c>
      <c r="D62" t="s">
        <v>1183</v>
      </c>
      <c r="E62" t="s">
        <v>1184</v>
      </c>
      <c r="F62" t="s">
        <v>782</v>
      </c>
      <c r="G62">
        <v>56.279000000000003</v>
      </c>
      <c r="H62" t="s">
        <v>1225</v>
      </c>
      <c r="I62" t="s">
        <v>1226</v>
      </c>
      <c r="J62" t="s">
        <v>1182</v>
      </c>
      <c r="K62" t="s">
        <v>1216</v>
      </c>
      <c r="L62" t="s">
        <v>1227</v>
      </c>
      <c r="M62" t="s">
        <v>2004</v>
      </c>
      <c r="N62" t="s">
        <v>2004</v>
      </c>
      <c r="O62" t="s">
        <v>49</v>
      </c>
    </row>
    <row r="63" spans="1:15" ht="15" customHeight="1">
      <c r="A63" t="s">
        <v>580</v>
      </c>
      <c r="B63" t="s">
        <v>1182</v>
      </c>
      <c r="C63" t="s">
        <v>17</v>
      </c>
      <c r="D63" t="s">
        <v>1183</v>
      </c>
      <c r="E63" t="s">
        <v>1184</v>
      </c>
      <c r="F63" t="s">
        <v>783</v>
      </c>
      <c r="G63">
        <v>40.820999999999998</v>
      </c>
      <c r="H63" t="s">
        <v>1228</v>
      </c>
      <c r="I63" t="s">
        <v>1226</v>
      </c>
      <c r="J63" t="s">
        <v>1182</v>
      </c>
      <c r="K63" t="s">
        <v>1216</v>
      </c>
      <c r="L63" t="s">
        <v>1229</v>
      </c>
      <c r="M63" t="s">
        <v>2004</v>
      </c>
      <c r="N63" t="s">
        <v>2004</v>
      </c>
      <c r="O63" t="s">
        <v>49</v>
      </c>
    </row>
    <row r="64" spans="1:15" ht="15">
      <c r="A64" t="s">
        <v>580</v>
      </c>
      <c r="B64" t="s">
        <v>1182</v>
      </c>
      <c r="C64" t="s">
        <v>17</v>
      </c>
      <c r="D64" t="s">
        <v>1183</v>
      </c>
      <c r="E64" t="s">
        <v>1184</v>
      </c>
      <c r="F64" t="s">
        <v>788</v>
      </c>
      <c r="G64">
        <v>104.608</v>
      </c>
      <c r="H64" t="s">
        <v>1214</v>
      </c>
      <c r="I64" t="s">
        <v>1215</v>
      </c>
      <c r="J64" t="s">
        <v>1182</v>
      </c>
      <c r="K64" t="s">
        <v>1216</v>
      </c>
      <c r="L64" t="s">
        <v>1217</v>
      </c>
      <c r="M64" t="s">
        <v>2004</v>
      </c>
      <c r="N64" t="s">
        <v>2004</v>
      </c>
      <c r="O64" t="s">
        <v>49</v>
      </c>
    </row>
    <row r="65" spans="1:15" ht="15">
      <c r="A65" t="s">
        <v>571</v>
      </c>
      <c r="B65" t="s">
        <v>1182</v>
      </c>
      <c r="C65" t="s">
        <v>955</v>
      </c>
      <c r="D65" t="s">
        <v>1193</v>
      </c>
      <c r="E65" t="s">
        <v>1194</v>
      </c>
      <c r="F65" t="s">
        <v>706</v>
      </c>
      <c r="G65">
        <v>2.1859999999999999</v>
      </c>
      <c r="H65" t="s">
        <v>1212</v>
      </c>
      <c r="I65" t="s">
        <v>1212</v>
      </c>
      <c r="J65" t="s">
        <v>361</v>
      </c>
      <c r="K65" t="s">
        <v>361</v>
      </c>
      <c r="L65" t="s">
        <v>575</v>
      </c>
      <c r="M65" t="s">
        <v>2004</v>
      </c>
      <c r="N65" t="s">
        <v>2004</v>
      </c>
      <c r="O65" t="s">
        <v>49</v>
      </c>
    </row>
    <row r="66" spans="1:15" ht="15">
      <c r="A66" t="s">
        <v>571</v>
      </c>
      <c r="B66" t="s">
        <v>1182</v>
      </c>
      <c r="C66" t="s">
        <v>955</v>
      </c>
      <c r="D66" t="s">
        <v>1193</v>
      </c>
      <c r="E66" t="s">
        <v>1194</v>
      </c>
      <c r="F66" t="s">
        <v>592</v>
      </c>
      <c r="G66">
        <v>1.4890000000000001</v>
      </c>
      <c r="H66" t="s">
        <v>1212</v>
      </c>
      <c r="I66" t="s">
        <v>1212</v>
      </c>
      <c r="J66" t="s">
        <v>361</v>
      </c>
      <c r="K66" t="s">
        <v>361</v>
      </c>
      <c r="L66" t="s">
        <v>593</v>
      </c>
      <c r="M66" t="s">
        <v>2004</v>
      </c>
      <c r="N66" t="s">
        <v>2004</v>
      </c>
      <c r="O66" t="s">
        <v>49</v>
      </c>
    </row>
    <row r="67" spans="1:15" ht="15">
      <c r="A67" t="s">
        <v>585</v>
      </c>
      <c r="B67" t="s">
        <v>1182</v>
      </c>
      <c r="C67" t="s">
        <v>955</v>
      </c>
      <c r="D67" t="s">
        <v>1193</v>
      </c>
      <c r="E67" t="s">
        <v>1194</v>
      </c>
      <c r="F67" t="s">
        <v>698</v>
      </c>
      <c r="G67">
        <v>0.79100000000000004</v>
      </c>
      <c r="H67" t="s">
        <v>1212</v>
      </c>
      <c r="I67" t="s">
        <v>1212</v>
      </c>
      <c r="J67" t="s">
        <v>361</v>
      </c>
      <c r="K67" t="s">
        <v>361</v>
      </c>
      <c r="L67" t="s">
        <v>699</v>
      </c>
      <c r="M67" t="s">
        <v>2004</v>
      </c>
      <c r="N67" t="s">
        <v>2004</v>
      </c>
      <c r="O67" t="s">
        <v>49</v>
      </c>
    </row>
    <row r="68" spans="1:15" ht="15">
      <c r="A68" t="s">
        <v>585</v>
      </c>
      <c r="B68" t="s">
        <v>1182</v>
      </c>
      <c r="C68" t="s">
        <v>955</v>
      </c>
      <c r="D68" t="s">
        <v>1193</v>
      </c>
      <c r="E68" t="s">
        <v>1194</v>
      </c>
      <c r="F68" t="s">
        <v>1287</v>
      </c>
      <c r="G68">
        <v>3.5470000000000002</v>
      </c>
      <c r="H68" t="s">
        <v>1212</v>
      </c>
      <c r="I68" t="s">
        <v>1212</v>
      </c>
      <c r="J68" t="s">
        <v>361</v>
      </c>
      <c r="K68" t="s">
        <v>361</v>
      </c>
      <c r="L68" t="s">
        <v>621</v>
      </c>
      <c r="M68" t="s">
        <v>2004</v>
      </c>
      <c r="N68" t="s">
        <v>2004</v>
      </c>
      <c r="O68" t="s">
        <v>49</v>
      </c>
    </row>
    <row r="69" spans="1:15" ht="15">
      <c r="A69" t="s">
        <v>585</v>
      </c>
      <c r="B69" t="s">
        <v>1182</v>
      </c>
      <c r="C69" t="s">
        <v>955</v>
      </c>
      <c r="D69" t="s">
        <v>1193</v>
      </c>
      <c r="E69" t="s">
        <v>1194</v>
      </c>
      <c r="F69" t="s">
        <v>682</v>
      </c>
      <c r="G69">
        <v>0</v>
      </c>
      <c r="H69" t="s">
        <v>1212</v>
      </c>
      <c r="J69" t="s">
        <v>361</v>
      </c>
      <c r="K69" t="s">
        <v>361</v>
      </c>
      <c r="L69" t="s">
        <v>627</v>
      </c>
      <c r="M69" t="s">
        <v>2004</v>
      </c>
      <c r="N69" t="s">
        <v>2004</v>
      </c>
      <c r="O69" t="s">
        <v>49</v>
      </c>
    </row>
    <row r="70" spans="1:15" ht="15">
      <c r="A70" t="s">
        <v>585</v>
      </c>
      <c r="B70" t="s">
        <v>1182</v>
      </c>
      <c r="C70" t="s">
        <v>955</v>
      </c>
      <c r="D70" t="s">
        <v>1193</v>
      </c>
      <c r="E70" t="s">
        <v>1194</v>
      </c>
      <c r="F70" t="s">
        <v>752</v>
      </c>
      <c r="G70">
        <v>1E-3</v>
      </c>
      <c r="H70" t="s">
        <v>1212</v>
      </c>
      <c r="I70" t="s">
        <v>1618</v>
      </c>
      <c r="J70" t="s">
        <v>361</v>
      </c>
      <c r="K70" t="s">
        <v>361</v>
      </c>
      <c r="L70" t="s">
        <v>1619</v>
      </c>
      <c r="M70" t="s">
        <v>2004</v>
      </c>
      <c r="N70" t="s">
        <v>2004</v>
      </c>
      <c r="O70" t="s">
        <v>49</v>
      </c>
    </row>
    <row r="71" spans="1:15" ht="15">
      <c r="A71" t="s">
        <v>585</v>
      </c>
      <c r="B71" t="s">
        <v>1182</v>
      </c>
      <c r="C71" t="s">
        <v>954</v>
      </c>
      <c r="D71" t="s">
        <v>1193</v>
      </c>
      <c r="E71" t="s">
        <v>1695</v>
      </c>
      <c r="F71" t="s">
        <v>704</v>
      </c>
      <c r="J71" t="s">
        <v>361</v>
      </c>
      <c r="K71" t="s">
        <v>361</v>
      </c>
      <c r="L71" t="s">
        <v>1715</v>
      </c>
      <c r="M71" t="s">
        <v>2004</v>
      </c>
      <c r="N71" t="s">
        <v>1192</v>
      </c>
      <c r="O71" t="s">
        <v>49</v>
      </c>
    </row>
    <row r="72" spans="1:15" ht="15">
      <c r="A72" t="s">
        <v>585</v>
      </c>
      <c r="B72" t="s">
        <v>1182</v>
      </c>
      <c r="C72" t="s">
        <v>955</v>
      </c>
      <c r="D72" t="s">
        <v>1193</v>
      </c>
      <c r="E72" t="s">
        <v>1194</v>
      </c>
      <c r="F72" t="s">
        <v>716</v>
      </c>
      <c r="G72">
        <v>15.944000000000001</v>
      </c>
      <c r="H72" t="s">
        <v>1211</v>
      </c>
      <c r="I72" t="s">
        <v>1212</v>
      </c>
      <c r="J72" t="s">
        <v>361</v>
      </c>
      <c r="K72" t="s">
        <v>361</v>
      </c>
      <c r="L72" t="s">
        <v>644</v>
      </c>
      <c r="M72" t="s">
        <v>2004</v>
      </c>
      <c r="N72" t="s">
        <v>2004</v>
      </c>
      <c r="O72" t="s">
        <v>49</v>
      </c>
    </row>
    <row r="73" spans="1:15" ht="15">
      <c r="A73" t="s">
        <v>585</v>
      </c>
      <c r="B73" t="s">
        <v>1182</v>
      </c>
      <c r="C73" t="s">
        <v>954</v>
      </c>
      <c r="D73" t="s">
        <v>1193</v>
      </c>
      <c r="E73" t="s">
        <v>1695</v>
      </c>
      <c r="F73" t="s">
        <v>744</v>
      </c>
      <c r="I73" t="s">
        <v>1212</v>
      </c>
      <c r="J73" t="s">
        <v>361</v>
      </c>
      <c r="K73" t="s">
        <v>361</v>
      </c>
      <c r="L73" t="s">
        <v>1717</v>
      </c>
      <c r="M73" t="s">
        <v>2004</v>
      </c>
      <c r="N73" t="s">
        <v>1192</v>
      </c>
      <c r="O73" t="s">
        <v>49</v>
      </c>
    </row>
    <row r="74" spans="1:15" ht="15">
      <c r="A74" t="s">
        <v>585</v>
      </c>
      <c r="B74" t="s">
        <v>1182</v>
      </c>
      <c r="C74" t="s">
        <v>955</v>
      </c>
      <c r="D74" t="s">
        <v>1193</v>
      </c>
      <c r="E74" t="s">
        <v>1194</v>
      </c>
      <c r="F74" t="s">
        <v>1210</v>
      </c>
      <c r="G74">
        <v>118.532</v>
      </c>
      <c r="H74" t="s">
        <v>1211</v>
      </c>
      <c r="I74" t="s">
        <v>1212</v>
      </c>
      <c r="J74" t="s">
        <v>361</v>
      </c>
      <c r="K74" t="s">
        <v>361</v>
      </c>
      <c r="L74" t="s">
        <v>657</v>
      </c>
      <c r="M74" t="s">
        <v>2004</v>
      </c>
      <c r="N74" t="s">
        <v>2004</v>
      </c>
      <c r="O74" t="s">
        <v>49</v>
      </c>
    </row>
    <row r="75" spans="1:15" ht="15">
      <c r="A75" t="s">
        <v>580</v>
      </c>
      <c r="B75" t="s">
        <v>1182</v>
      </c>
      <c r="C75" t="s">
        <v>955</v>
      </c>
      <c r="D75" t="s">
        <v>1193</v>
      </c>
      <c r="E75" t="s">
        <v>1194</v>
      </c>
      <c r="F75" t="s">
        <v>661</v>
      </c>
      <c r="G75">
        <v>1.1100000000000001</v>
      </c>
      <c r="I75" t="s">
        <v>1212</v>
      </c>
      <c r="J75" t="s">
        <v>361</v>
      </c>
      <c r="K75" t="s">
        <v>361</v>
      </c>
      <c r="L75" t="s">
        <v>1346</v>
      </c>
      <c r="M75" t="s">
        <v>2004</v>
      </c>
      <c r="N75" t="s">
        <v>2004</v>
      </c>
      <c r="O75" t="s">
        <v>49</v>
      </c>
    </row>
    <row r="76" spans="1:15" ht="15">
      <c r="A76" t="s">
        <v>580</v>
      </c>
      <c r="B76" t="s">
        <v>1182</v>
      </c>
      <c r="C76" t="s">
        <v>955</v>
      </c>
      <c r="D76" t="s">
        <v>1193</v>
      </c>
      <c r="E76" t="s">
        <v>1194</v>
      </c>
      <c r="F76" t="s">
        <v>665</v>
      </c>
      <c r="G76">
        <v>6.6760000000000002</v>
      </c>
      <c r="I76" t="s">
        <v>1212</v>
      </c>
      <c r="J76" t="s">
        <v>361</v>
      </c>
      <c r="K76" t="s">
        <v>361</v>
      </c>
      <c r="L76" t="s">
        <v>666</v>
      </c>
      <c r="M76" t="s">
        <v>2004</v>
      </c>
      <c r="N76" t="s">
        <v>2004</v>
      </c>
      <c r="O76" t="s">
        <v>49</v>
      </c>
    </row>
    <row r="77" spans="1:15" ht="15">
      <c r="A77" t="s">
        <v>580</v>
      </c>
      <c r="B77" t="s">
        <v>1182</v>
      </c>
      <c r="C77" t="s">
        <v>955</v>
      </c>
      <c r="D77" t="s">
        <v>1193</v>
      </c>
      <c r="E77" t="s">
        <v>1194</v>
      </c>
      <c r="F77" t="s">
        <v>668</v>
      </c>
      <c r="G77">
        <v>0.13800000000000001</v>
      </c>
      <c r="I77" t="s">
        <v>1212</v>
      </c>
      <c r="J77" t="s">
        <v>361</v>
      </c>
      <c r="K77" t="s">
        <v>361</v>
      </c>
      <c r="L77" t="s">
        <v>1433</v>
      </c>
      <c r="M77" t="s">
        <v>2004</v>
      </c>
      <c r="N77" t="s">
        <v>2004</v>
      </c>
      <c r="O77" t="s">
        <v>49</v>
      </c>
    </row>
    <row r="78" spans="1:15" ht="15">
      <c r="A78" t="s">
        <v>580</v>
      </c>
      <c r="B78" t="s">
        <v>1182</v>
      </c>
      <c r="C78" t="s">
        <v>955</v>
      </c>
      <c r="D78" t="s">
        <v>1193</v>
      </c>
      <c r="E78" t="s">
        <v>1194</v>
      </c>
      <c r="F78" t="s">
        <v>671</v>
      </c>
      <c r="G78">
        <v>0</v>
      </c>
      <c r="I78" t="s">
        <v>1212</v>
      </c>
      <c r="J78" t="s">
        <v>361</v>
      </c>
      <c r="K78" t="s">
        <v>361</v>
      </c>
      <c r="L78" t="s">
        <v>1644</v>
      </c>
      <c r="M78" t="s">
        <v>2004</v>
      </c>
      <c r="N78" t="s">
        <v>2004</v>
      </c>
      <c r="O78" t="s">
        <v>49</v>
      </c>
    </row>
    <row r="79" spans="1:15" ht="15">
      <c r="A79" t="s">
        <v>580</v>
      </c>
      <c r="B79" t="s">
        <v>1182</v>
      </c>
      <c r="C79" t="s">
        <v>955</v>
      </c>
      <c r="D79" t="s">
        <v>1193</v>
      </c>
      <c r="E79" t="s">
        <v>1194</v>
      </c>
      <c r="F79" t="s">
        <v>675</v>
      </c>
      <c r="G79">
        <v>177.80500000000001</v>
      </c>
      <c r="I79" t="s">
        <v>1195</v>
      </c>
      <c r="J79" t="s">
        <v>361</v>
      </c>
      <c r="K79" t="s">
        <v>361</v>
      </c>
      <c r="L79" t="s">
        <v>1197</v>
      </c>
      <c r="M79" t="s">
        <v>2004</v>
      </c>
      <c r="N79" t="s">
        <v>2004</v>
      </c>
      <c r="O79" t="s">
        <v>49</v>
      </c>
    </row>
    <row r="80" spans="1:15" ht="15">
      <c r="A80" t="s">
        <v>580</v>
      </c>
      <c r="B80" t="s">
        <v>1182</v>
      </c>
      <c r="C80" t="s">
        <v>955</v>
      </c>
      <c r="D80" t="s">
        <v>1193</v>
      </c>
      <c r="E80" t="s">
        <v>1194</v>
      </c>
      <c r="F80" t="s">
        <v>679</v>
      </c>
      <c r="G80">
        <v>6.1580000000000004</v>
      </c>
      <c r="J80" t="s">
        <v>361</v>
      </c>
      <c r="K80" t="s">
        <v>361</v>
      </c>
      <c r="L80" t="s">
        <v>680</v>
      </c>
      <c r="M80" t="s">
        <v>2004</v>
      </c>
      <c r="N80" t="s">
        <v>2004</v>
      </c>
      <c r="O80" t="s">
        <v>49</v>
      </c>
    </row>
    <row r="81" spans="1:15" ht="15">
      <c r="A81" t="s">
        <v>580</v>
      </c>
      <c r="B81" t="s">
        <v>1182</v>
      </c>
      <c r="C81" t="s">
        <v>955</v>
      </c>
      <c r="D81" t="s">
        <v>1193</v>
      </c>
      <c r="E81" t="s">
        <v>1194</v>
      </c>
      <c r="F81" t="s">
        <v>688</v>
      </c>
      <c r="G81">
        <v>0.95499999999999996</v>
      </c>
      <c r="I81" t="s">
        <v>1212</v>
      </c>
      <c r="J81" t="s">
        <v>361</v>
      </c>
      <c r="K81" t="s">
        <v>361</v>
      </c>
      <c r="L81" t="s">
        <v>689</v>
      </c>
      <c r="M81" t="s">
        <v>2004</v>
      </c>
      <c r="N81" t="s">
        <v>2004</v>
      </c>
      <c r="O81" t="s">
        <v>49</v>
      </c>
    </row>
    <row r="82" spans="1:15" ht="15">
      <c r="A82" t="s">
        <v>580</v>
      </c>
      <c r="B82" t="s">
        <v>1182</v>
      </c>
      <c r="C82" t="s">
        <v>955</v>
      </c>
      <c r="D82" t="s">
        <v>1193</v>
      </c>
      <c r="E82" t="s">
        <v>1194</v>
      </c>
      <c r="F82" t="s">
        <v>693</v>
      </c>
      <c r="G82">
        <v>1.879</v>
      </c>
      <c r="I82" t="s">
        <v>1212</v>
      </c>
      <c r="J82" t="s">
        <v>361</v>
      </c>
      <c r="K82" t="s">
        <v>361</v>
      </c>
      <c r="L82" t="s">
        <v>694</v>
      </c>
      <c r="M82" t="s">
        <v>2004</v>
      </c>
      <c r="N82" t="s">
        <v>2004</v>
      </c>
      <c r="O82" t="s">
        <v>49</v>
      </c>
    </row>
    <row r="83" spans="1:15" ht="15">
      <c r="A83" t="s">
        <v>580</v>
      </c>
      <c r="B83" t="s">
        <v>1182</v>
      </c>
      <c r="C83" t="s">
        <v>954</v>
      </c>
      <c r="D83" t="s">
        <v>1193</v>
      </c>
      <c r="E83" t="s">
        <v>1695</v>
      </c>
      <c r="F83" t="s">
        <v>600</v>
      </c>
      <c r="I83" t="s">
        <v>1379</v>
      </c>
      <c r="J83" t="s">
        <v>361</v>
      </c>
      <c r="K83" t="s">
        <v>361</v>
      </c>
      <c r="L83" t="s">
        <v>1719</v>
      </c>
      <c r="M83" t="s">
        <v>2004</v>
      </c>
      <c r="N83" t="s">
        <v>1192</v>
      </c>
      <c r="O83" t="s">
        <v>49</v>
      </c>
    </row>
    <row r="84" spans="1:15" ht="15">
      <c r="A84" t="s">
        <v>580</v>
      </c>
      <c r="B84" t="s">
        <v>1182</v>
      </c>
      <c r="C84" t="s">
        <v>955</v>
      </c>
      <c r="D84" t="s">
        <v>1193</v>
      </c>
      <c r="E84" t="s">
        <v>1194</v>
      </c>
      <c r="F84" t="s">
        <v>709</v>
      </c>
      <c r="G84">
        <v>0.61199999999999999</v>
      </c>
      <c r="I84" t="s">
        <v>1212</v>
      </c>
      <c r="J84" t="s">
        <v>361</v>
      </c>
      <c r="K84" t="s">
        <v>361</v>
      </c>
      <c r="L84" t="s">
        <v>710</v>
      </c>
      <c r="M84" t="s">
        <v>2004</v>
      </c>
      <c r="N84" t="s">
        <v>2004</v>
      </c>
      <c r="O84" t="s">
        <v>49</v>
      </c>
    </row>
    <row r="85" spans="1:15" ht="15">
      <c r="A85" t="s">
        <v>580</v>
      </c>
      <c r="B85" t="s">
        <v>1182</v>
      </c>
      <c r="C85" t="s">
        <v>955</v>
      </c>
      <c r="D85" t="s">
        <v>1193</v>
      </c>
      <c r="E85" t="s">
        <v>1194</v>
      </c>
      <c r="F85" t="s">
        <v>714</v>
      </c>
      <c r="G85">
        <v>17.05</v>
      </c>
      <c r="I85" t="s">
        <v>1254</v>
      </c>
      <c r="J85" t="s">
        <v>361</v>
      </c>
      <c r="K85" t="s">
        <v>361</v>
      </c>
      <c r="L85" t="s">
        <v>1255</v>
      </c>
      <c r="M85" t="s">
        <v>2004</v>
      </c>
      <c r="N85" t="s">
        <v>2004</v>
      </c>
      <c r="O85" t="s">
        <v>49</v>
      </c>
    </row>
    <row r="86" spans="1:15" ht="15">
      <c r="A86" t="s">
        <v>580</v>
      </c>
      <c r="B86" t="s">
        <v>1182</v>
      </c>
      <c r="C86" t="s">
        <v>955</v>
      </c>
      <c r="D86" t="s">
        <v>1193</v>
      </c>
      <c r="E86" t="s">
        <v>1194</v>
      </c>
      <c r="F86" t="s">
        <v>719</v>
      </c>
      <c r="G86">
        <v>69.468999999999994</v>
      </c>
      <c r="I86" t="s">
        <v>1212</v>
      </c>
      <c r="J86" t="s">
        <v>361</v>
      </c>
      <c r="K86" t="s">
        <v>361</v>
      </c>
      <c r="L86" t="s">
        <v>1220</v>
      </c>
      <c r="M86" t="s">
        <v>2004</v>
      </c>
      <c r="N86" t="s">
        <v>2004</v>
      </c>
      <c r="O86" t="s">
        <v>49</v>
      </c>
    </row>
    <row r="87" spans="1:15" ht="15">
      <c r="A87" t="s">
        <v>580</v>
      </c>
      <c r="B87" t="s">
        <v>1182</v>
      </c>
      <c r="C87" t="s">
        <v>955</v>
      </c>
      <c r="D87" t="s">
        <v>1193</v>
      </c>
      <c r="E87" t="s">
        <v>1194</v>
      </c>
      <c r="F87" t="s">
        <v>722</v>
      </c>
      <c r="G87">
        <v>120.59699999999999</v>
      </c>
      <c r="I87" t="s">
        <v>1212</v>
      </c>
      <c r="J87" t="s">
        <v>361</v>
      </c>
      <c r="K87" t="s">
        <v>361</v>
      </c>
      <c r="L87" t="s">
        <v>723</v>
      </c>
      <c r="M87" t="s">
        <v>2004</v>
      </c>
      <c r="N87" t="s">
        <v>2004</v>
      </c>
      <c r="O87" t="s">
        <v>49</v>
      </c>
    </row>
    <row r="88" spans="1:15" ht="15">
      <c r="A88" t="s">
        <v>580</v>
      </c>
      <c r="B88" t="s">
        <v>1182</v>
      </c>
      <c r="C88" t="s">
        <v>955</v>
      </c>
      <c r="D88" t="s">
        <v>1193</v>
      </c>
      <c r="E88" t="s">
        <v>1194</v>
      </c>
      <c r="F88" t="s">
        <v>726</v>
      </c>
      <c r="G88">
        <v>0</v>
      </c>
      <c r="I88" t="s">
        <v>1645</v>
      </c>
      <c r="J88" t="s">
        <v>361</v>
      </c>
      <c r="K88" t="s">
        <v>361</v>
      </c>
      <c r="L88" t="s">
        <v>727</v>
      </c>
      <c r="M88" t="s">
        <v>2004</v>
      </c>
      <c r="N88" t="s">
        <v>2004</v>
      </c>
      <c r="O88" t="s">
        <v>49</v>
      </c>
    </row>
    <row r="89" spans="1:15" ht="15">
      <c r="A89" t="s">
        <v>580</v>
      </c>
      <c r="B89" t="s">
        <v>1182</v>
      </c>
      <c r="C89" t="s">
        <v>955</v>
      </c>
      <c r="D89" t="s">
        <v>1193</v>
      </c>
      <c r="E89" t="s">
        <v>1194</v>
      </c>
      <c r="F89" t="s">
        <v>730</v>
      </c>
      <c r="G89">
        <v>5.0000000000000001E-3</v>
      </c>
      <c r="I89" t="s">
        <v>1212</v>
      </c>
      <c r="J89" t="s">
        <v>361</v>
      </c>
      <c r="K89" t="s">
        <v>361</v>
      </c>
      <c r="L89" t="s">
        <v>731</v>
      </c>
      <c r="M89" t="s">
        <v>2004</v>
      </c>
      <c r="N89" t="s">
        <v>2004</v>
      </c>
      <c r="O89" t="s">
        <v>49</v>
      </c>
    </row>
    <row r="90" spans="1:15" ht="15">
      <c r="A90" t="s">
        <v>580</v>
      </c>
      <c r="B90" t="s">
        <v>1182</v>
      </c>
      <c r="C90" t="s">
        <v>955</v>
      </c>
      <c r="D90" t="s">
        <v>1193</v>
      </c>
      <c r="E90" t="s">
        <v>1194</v>
      </c>
      <c r="F90" t="s">
        <v>734</v>
      </c>
      <c r="G90">
        <v>5.0000000000000001E-3</v>
      </c>
      <c r="I90" t="s">
        <v>1212</v>
      </c>
      <c r="J90" t="s">
        <v>361</v>
      </c>
      <c r="K90" t="s">
        <v>361</v>
      </c>
      <c r="L90" t="s">
        <v>735</v>
      </c>
      <c r="M90" t="s">
        <v>2004</v>
      </c>
      <c r="N90" t="s">
        <v>2004</v>
      </c>
      <c r="O90" t="s">
        <v>49</v>
      </c>
    </row>
    <row r="91" spans="1:15" ht="15">
      <c r="A91" t="s">
        <v>580</v>
      </c>
      <c r="B91" t="s">
        <v>1182</v>
      </c>
      <c r="C91" t="s">
        <v>954</v>
      </c>
      <c r="D91" t="s">
        <v>1193</v>
      </c>
      <c r="E91" t="s">
        <v>1695</v>
      </c>
      <c r="F91" t="s">
        <v>738</v>
      </c>
      <c r="J91" t="s">
        <v>361</v>
      </c>
      <c r="K91" t="s">
        <v>361</v>
      </c>
      <c r="L91" t="s">
        <v>1720</v>
      </c>
      <c r="M91" t="s">
        <v>2004</v>
      </c>
      <c r="N91" t="s">
        <v>1192</v>
      </c>
      <c r="O91" t="s">
        <v>49</v>
      </c>
    </row>
    <row r="92" spans="1:15" ht="15">
      <c r="A92" t="s">
        <v>580</v>
      </c>
      <c r="B92" t="s">
        <v>1182</v>
      </c>
      <c r="C92" t="s">
        <v>955</v>
      </c>
      <c r="D92" t="s">
        <v>1193</v>
      </c>
      <c r="E92" t="s">
        <v>1194</v>
      </c>
      <c r="F92" t="s">
        <v>740</v>
      </c>
      <c r="G92">
        <v>1E-3</v>
      </c>
      <c r="I92" t="s">
        <v>1212</v>
      </c>
      <c r="J92" t="s">
        <v>361</v>
      </c>
      <c r="K92" t="s">
        <v>361</v>
      </c>
      <c r="L92" t="s">
        <v>741</v>
      </c>
      <c r="M92" t="s">
        <v>2004</v>
      </c>
      <c r="N92" t="s">
        <v>2004</v>
      </c>
      <c r="O92" t="s">
        <v>49</v>
      </c>
    </row>
    <row r="93" spans="1:15" ht="15">
      <c r="A93" t="s">
        <v>580</v>
      </c>
      <c r="B93" t="s">
        <v>1182</v>
      </c>
      <c r="C93" t="s">
        <v>955</v>
      </c>
      <c r="D93" t="s">
        <v>1193</v>
      </c>
      <c r="E93" t="s">
        <v>1194</v>
      </c>
      <c r="F93" t="s">
        <v>745</v>
      </c>
      <c r="G93">
        <v>2.2610000000000001</v>
      </c>
      <c r="I93" t="s">
        <v>1212</v>
      </c>
      <c r="J93" t="s">
        <v>361</v>
      </c>
      <c r="K93" t="s">
        <v>361</v>
      </c>
      <c r="L93" t="s">
        <v>1310</v>
      </c>
      <c r="M93" t="s">
        <v>2004</v>
      </c>
      <c r="N93" t="s">
        <v>2004</v>
      </c>
      <c r="O93" t="s">
        <v>49</v>
      </c>
    </row>
    <row r="94" spans="1:15" ht="15">
      <c r="A94" t="s">
        <v>580</v>
      </c>
      <c r="B94" t="s">
        <v>1182</v>
      </c>
      <c r="C94" t="s">
        <v>955</v>
      </c>
      <c r="D94" t="s">
        <v>1193</v>
      </c>
      <c r="E94" t="s">
        <v>1194</v>
      </c>
      <c r="F94" t="s">
        <v>749</v>
      </c>
      <c r="G94">
        <v>0</v>
      </c>
      <c r="I94" t="s">
        <v>1212</v>
      </c>
      <c r="J94" t="s">
        <v>361</v>
      </c>
      <c r="K94" t="s">
        <v>361</v>
      </c>
      <c r="L94" t="s">
        <v>750</v>
      </c>
      <c r="M94" t="s">
        <v>2004</v>
      </c>
      <c r="N94" t="s">
        <v>2004</v>
      </c>
      <c r="O94" t="s">
        <v>49</v>
      </c>
    </row>
    <row r="95" spans="1:15" ht="15">
      <c r="A95" t="s">
        <v>580</v>
      </c>
      <c r="B95" t="s">
        <v>1182</v>
      </c>
      <c r="C95" t="s">
        <v>955</v>
      </c>
      <c r="D95" t="s">
        <v>1193</v>
      </c>
      <c r="E95" t="s">
        <v>1194</v>
      </c>
      <c r="F95" t="s">
        <v>754</v>
      </c>
      <c r="G95">
        <v>1E-3</v>
      </c>
      <c r="I95" t="s">
        <v>1212</v>
      </c>
      <c r="J95" t="s">
        <v>361</v>
      </c>
      <c r="K95" t="s">
        <v>361</v>
      </c>
      <c r="L95" t="s">
        <v>755</v>
      </c>
      <c r="M95" t="s">
        <v>2004</v>
      </c>
      <c r="N95" t="s">
        <v>2004</v>
      </c>
      <c r="O95" t="s">
        <v>49</v>
      </c>
    </row>
    <row r="96" spans="1:15" ht="15">
      <c r="A96" t="s">
        <v>580</v>
      </c>
      <c r="B96" t="s">
        <v>1182</v>
      </c>
      <c r="C96" t="s">
        <v>955</v>
      </c>
      <c r="D96" t="s">
        <v>1193</v>
      </c>
      <c r="E96" t="s">
        <v>1194</v>
      </c>
      <c r="F96" t="s">
        <v>759</v>
      </c>
      <c r="G96">
        <v>1E-3</v>
      </c>
      <c r="I96" t="s">
        <v>1212</v>
      </c>
      <c r="J96" t="s">
        <v>361</v>
      </c>
      <c r="K96" t="s">
        <v>361</v>
      </c>
      <c r="L96" t="s">
        <v>1621</v>
      </c>
      <c r="M96" t="s">
        <v>2004</v>
      </c>
      <c r="N96" t="s">
        <v>2004</v>
      </c>
      <c r="O96" t="s">
        <v>49</v>
      </c>
    </row>
    <row r="97" spans="1:15" ht="15">
      <c r="A97" t="s">
        <v>580</v>
      </c>
      <c r="B97" t="s">
        <v>1182</v>
      </c>
      <c r="C97" t="s">
        <v>955</v>
      </c>
      <c r="D97" t="s">
        <v>1193</v>
      </c>
      <c r="E97" t="s">
        <v>1194</v>
      </c>
      <c r="F97" t="s">
        <v>766</v>
      </c>
      <c r="G97">
        <v>6.1820000000000004</v>
      </c>
      <c r="J97" t="s">
        <v>361</v>
      </c>
      <c r="K97" t="s">
        <v>361</v>
      </c>
      <c r="L97" t="s">
        <v>767</v>
      </c>
      <c r="M97" t="s">
        <v>2004</v>
      </c>
      <c r="N97" t="s">
        <v>2004</v>
      </c>
      <c r="O97" t="s">
        <v>49</v>
      </c>
    </row>
    <row r="98" spans="1:15" ht="15">
      <c r="A98" t="s">
        <v>571</v>
      </c>
      <c r="B98" t="s">
        <v>1182</v>
      </c>
      <c r="C98" t="s">
        <v>36</v>
      </c>
      <c r="D98" t="s">
        <v>1183</v>
      </c>
      <c r="E98" t="s">
        <v>2016</v>
      </c>
      <c r="F98" t="s">
        <v>576</v>
      </c>
      <c r="G98">
        <v>1.4E-2</v>
      </c>
      <c r="H98" t="s">
        <v>1554</v>
      </c>
      <c r="I98" t="s">
        <v>1555</v>
      </c>
      <c r="J98" t="s">
        <v>1182</v>
      </c>
      <c r="K98" t="s">
        <v>1216</v>
      </c>
      <c r="L98" t="s">
        <v>1556</v>
      </c>
      <c r="M98" t="s">
        <v>2004</v>
      </c>
      <c r="N98" t="s">
        <v>2004</v>
      </c>
      <c r="O98" t="s">
        <v>49</v>
      </c>
    </row>
    <row r="99" spans="1:15" ht="15">
      <c r="A99" t="s">
        <v>571</v>
      </c>
      <c r="B99" t="s">
        <v>1189</v>
      </c>
      <c r="C99" t="s">
        <v>57</v>
      </c>
      <c r="D99" t="s">
        <v>1236</v>
      </c>
      <c r="E99" t="s">
        <v>1237</v>
      </c>
      <c r="F99" t="s">
        <v>531</v>
      </c>
      <c r="G99">
        <v>1.4970000000000001</v>
      </c>
      <c r="J99" t="s">
        <v>361</v>
      </c>
      <c r="K99" t="s">
        <v>361</v>
      </c>
      <c r="L99" t="s">
        <v>1327</v>
      </c>
      <c r="M99" t="s">
        <v>2004</v>
      </c>
      <c r="N99" t="s">
        <v>49</v>
      </c>
      <c r="O99" t="s">
        <v>2004</v>
      </c>
    </row>
    <row r="100" spans="1:15" ht="15">
      <c r="A100" t="s">
        <v>571</v>
      </c>
      <c r="B100" t="s">
        <v>1189</v>
      </c>
      <c r="C100" t="s">
        <v>57</v>
      </c>
      <c r="D100" t="s">
        <v>1236</v>
      </c>
      <c r="E100" t="s">
        <v>1237</v>
      </c>
      <c r="F100" t="s">
        <v>594</v>
      </c>
      <c r="G100">
        <v>2.4E-2</v>
      </c>
      <c r="J100" t="s">
        <v>361</v>
      </c>
      <c r="K100" t="s">
        <v>361</v>
      </c>
      <c r="L100" t="s">
        <v>1536</v>
      </c>
      <c r="M100" t="s">
        <v>2004</v>
      </c>
      <c r="N100" t="s">
        <v>49</v>
      </c>
      <c r="O100" t="s">
        <v>2004</v>
      </c>
    </row>
    <row r="101" spans="1:15" ht="15">
      <c r="A101" t="s">
        <v>571</v>
      </c>
      <c r="B101" t="s">
        <v>1189</v>
      </c>
      <c r="C101" t="s">
        <v>39</v>
      </c>
      <c r="D101" t="s">
        <v>1288</v>
      </c>
      <c r="E101" t="s">
        <v>1282</v>
      </c>
      <c r="F101" t="s">
        <v>578</v>
      </c>
      <c r="G101">
        <v>0.24</v>
      </c>
      <c r="I101" t="s">
        <v>1406</v>
      </c>
      <c r="J101" t="s">
        <v>1182</v>
      </c>
      <c r="K101" t="s">
        <v>361</v>
      </c>
      <c r="L101" t="s">
        <v>579</v>
      </c>
      <c r="M101" t="s">
        <v>2004</v>
      </c>
      <c r="N101" t="s">
        <v>49</v>
      </c>
      <c r="O101" t="s">
        <v>2004</v>
      </c>
    </row>
    <row r="102" spans="1:15" ht="15">
      <c r="A102" t="s">
        <v>571</v>
      </c>
      <c r="B102" t="s">
        <v>1189</v>
      </c>
      <c r="C102" t="s">
        <v>39</v>
      </c>
      <c r="D102" t="s">
        <v>1288</v>
      </c>
      <c r="E102" t="s">
        <v>1282</v>
      </c>
      <c r="F102" t="s">
        <v>595</v>
      </c>
      <c r="G102">
        <v>0.26700000000000002</v>
      </c>
      <c r="I102" t="s">
        <v>2017</v>
      </c>
      <c r="J102" t="s">
        <v>1182</v>
      </c>
      <c r="K102" t="s">
        <v>361</v>
      </c>
      <c r="L102" t="s">
        <v>1399</v>
      </c>
      <c r="M102" t="s">
        <v>2004</v>
      </c>
      <c r="N102" t="s">
        <v>49</v>
      </c>
      <c r="O102" t="s">
        <v>2004</v>
      </c>
    </row>
    <row r="103" spans="1:15" ht="15">
      <c r="A103" t="s">
        <v>571</v>
      </c>
      <c r="B103" t="s">
        <v>1189</v>
      </c>
      <c r="C103" t="s">
        <v>39</v>
      </c>
      <c r="D103" t="s">
        <v>1288</v>
      </c>
      <c r="E103" t="s">
        <v>1282</v>
      </c>
      <c r="F103" t="s">
        <v>607</v>
      </c>
      <c r="G103">
        <v>2.4E-2</v>
      </c>
      <c r="I103" t="s">
        <v>1537</v>
      </c>
      <c r="J103" t="s">
        <v>1182</v>
      </c>
      <c r="K103" t="s">
        <v>361</v>
      </c>
      <c r="L103" t="s">
        <v>608</v>
      </c>
      <c r="M103" t="s">
        <v>2004</v>
      </c>
      <c r="N103" t="s">
        <v>49</v>
      </c>
      <c r="O103" t="s">
        <v>2004</v>
      </c>
    </row>
    <row r="104" spans="1:15" ht="15">
      <c r="A104" t="s">
        <v>585</v>
      </c>
      <c r="B104" t="s">
        <v>1189</v>
      </c>
      <c r="C104" t="s">
        <v>39</v>
      </c>
      <c r="D104" t="s">
        <v>1408</v>
      </c>
      <c r="E104" t="s">
        <v>1282</v>
      </c>
      <c r="F104" t="s">
        <v>628</v>
      </c>
      <c r="G104">
        <v>2.4620000000000002</v>
      </c>
      <c r="I104" t="s">
        <v>2018</v>
      </c>
      <c r="J104" t="s">
        <v>1182</v>
      </c>
      <c r="K104" t="s">
        <v>361</v>
      </c>
      <c r="L104" t="s">
        <v>1301</v>
      </c>
      <c r="M104" t="s">
        <v>2004</v>
      </c>
      <c r="N104" t="s">
        <v>49</v>
      </c>
      <c r="O104" t="s">
        <v>2004</v>
      </c>
    </row>
    <row r="105" spans="1:15" ht="15">
      <c r="A105" t="s">
        <v>580</v>
      </c>
      <c r="B105" t="s">
        <v>1182</v>
      </c>
      <c r="C105" t="s">
        <v>43</v>
      </c>
      <c r="D105" t="s">
        <v>1249</v>
      </c>
      <c r="E105" t="s">
        <v>1739</v>
      </c>
      <c r="F105" t="s">
        <v>581</v>
      </c>
      <c r="G105">
        <v>18.350999999999999</v>
      </c>
      <c r="H105" t="s">
        <v>1250</v>
      </c>
      <c r="I105" t="s">
        <v>1251</v>
      </c>
      <c r="J105" t="s">
        <v>1189</v>
      </c>
      <c r="K105" t="s">
        <v>1252</v>
      </c>
      <c r="L105" t="s">
        <v>1253</v>
      </c>
      <c r="M105" t="s">
        <v>2004</v>
      </c>
      <c r="N105" t="s">
        <v>2004</v>
      </c>
      <c r="O105" t="s">
        <v>49</v>
      </c>
    </row>
    <row r="106" spans="1:15" ht="15">
      <c r="A106" t="s">
        <v>580</v>
      </c>
      <c r="B106" t="s">
        <v>1182</v>
      </c>
      <c r="C106" t="s">
        <v>43</v>
      </c>
      <c r="D106" t="s">
        <v>1249</v>
      </c>
      <c r="E106" t="s">
        <v>1739</v>
      </c>
      <c r="F106" t="s">
        <v>596</v>
      </c>
      <c r="G106">
        <v>12.773999999999999</v>
      </c>
      <c r="H106" t="s">
        <v>49</v>
      </c>
      <c r="J106" t="s">
        <v>1189</v>
      </c>
      <c r="K106" t="s">
        <v>1260</v>
      </c>
      <c r="L106" t="s">
        <v>1261</v>
      </c>
      <c r="M106" t="s">
        <v>2004</v>
      </c>
      <c r="N106" t="s">
        <v>2004</v>
      </c>
      <c r="O106" t="s">
        <v>49</v>
      </c>
    </row>
    <row r="107" spans="1:15" ht="15">
      <c r="A107" t="s">
        <v>580</v>
      </c>
      <c r="B107" t="s">
        <v>1182</v>
      </c>
      <c r="C107" t="s">
        <v>953</v>
      </c>
      <c r="D107" t="s">
        <v>1243</v>
      </c>
      <c r="E107" t="s">
        <v>1460</v>
      </c>
      <c r="F107" t="s">
        <v>583</v>
      </c>
      <c r="G107">
        <v>7.5999999999999998E-2</v>
      </c>
      <c r="H107" t="s">
        <v>1461</v>
      </c>
      <c r="I107" t="s">
        <v>1462</v>
      </c>
      <c r="J107" t="s">
        <v>361</v>
      </c>
      <c r="K107" t="s">
        <v>361</v>
      </c>
      <c r="L107" t="s">
        <v>1464</v>
      </c>
      <c r="M107" t="s">
        <v>2004</v>
      </c>
      <c r="N107" t="s">
        <v>2004</v>
      </c>
      <c r="O107" t="s">
        <v>49</v>
      </c>
    </row>
    <row r="108" spans="1:15" ht="15">
      <c r="A108" t="s">
        <v>580</v>
      </c>
      <c r="B108" t="s">
        <v>1182</v>
      </c>
      <c r="C108" t="s">
        <v>953</v>
      </c>
      <c r="D108" t="s">
        <v>1243</v>
      </c>
      <c r="E108" t="s">
        <v>1460</v>
      </c>
      <c r="F108" t="s">
        <v>597</v>
      </c>
      <c r="G108">
        <v>0</v>
      </c>
      <c r="H108" t="s">
        <v>49</v>
      </c>
      <c r="I108" t="s">
        <v>1646</v>
      </c>
      <c r="J108" t="s">
        <v>361</v>
      </c>
      <c r="K108" t="s">
        <v>361</v>
      </c>
      <c r="L108" t="s">
        <v>1647</v>
      </c>
      <c r="M108" t="s">
        <v>2004</v>
      </c>
      <c r="N108" t="s">
        <v>2004</v>
      </c>
      <c r="O108" t="s">
        <v>49</v>
      </c>
    </row>
    <row r="109" spans="1:15" ht="15">
      <c r="A109" t="s">
        <v>580</v>
      </c>
      <c r="B109" t="s">
        <v>1182</v>
      </c>
      <c r="C109" t="s">
        <v>953</v>
      </c>
      <c r="D109" t="s">
        <v>1243</v>
      </c>
      <c r="E109" t="s">
        <v>1460</v>
      </c>
      <c r="F109" t="s">
        <v>610</v>
      </c>
      <c r="G109">
        <v>2.5999999999999999E-2</v>
      </c>
      <c r="H109" t="s">
        <v>1530</v>
      </c>
      <c r="I109" t="s">
        <v>1462</v>
      </c>
      <c r="J109" t="s">
        <v>361</v>
      </c>
      <c r="K109" t="s">
        <v>361</v>
      </c>
      <c r="L109" t="s">
        <v>1532</v>
      </c>
      <c r="M109" t="s">
        <v>2004</v>
      </c>
      <c r="N109" t="s">
        <v>2004</v>
      </c>
      <c r="O109" t="s">
        <v>49</v>
      </c>
    </row>
    <row r="110" spans="1:15" ht="15">
      <c r="A110" t="s">
        <v>571</v>
      </c>
      <c r="B110" t="s">
        <v>1182</v>
      </c>
      <c r="C110" t="s">
        <v>112</v>
      </c>
      <c r="D110" t="s">
        <v>1243</v>
      </c>
      <c r="E110" t="s">
        <v>1244</v>
      </c>
      <c r="F110" t="s">
        <v>547</v>
      </c>
      <c r="G110">
        <v>19.841000000000001</v>
      </c>
      <c r="I110" t="s">
        <v>1245</v>
      </c>
      <c r="J110" t="s">
        <v>361</v>
      </c>
      <c r="K110" t="s">
        <v>361</v>
      </c>
      <c r="L110" t="s">
        <v>1247</v>
      </c>
      <c r="M110" t="s">
        <v>2004</v>
      </c>
      <c r="N110" t="s">
        <v>2004</v>
      </c>
      <c r="O110" t="s">
        <v>49</v>
      </c>
    </row>
    <row r="111" spans="1:15" ht="15">
      <c r="A111" t="s">
        <v>571</v>
      </c>
      <c r="B111" t="s">
        <v>1182</v>
      </c>
      <c r="C111" t="s">
        <v>112</v>
      </c>
      <c r="D111" t="s">
        <v>1230</v>
      </c>
      <c r="E111" t="s">
        <v>1244</v>
      </c>
      <c r="F111" t="s">
        <v>598</v>
      </c>
      <c r="G111">
        <v>0.124</v>
      </c>
      <c r="I111" t="s">
        <v>1267</v>
      </c>
      <c r="J111" t="s">
        <v>361</v>
      </c>
      <c r="K111" t="s">
        <v>361</v>
      </c>
      <c r="L111" t="s">
        <v>1440</v>
      </c>
      <c r="M111" t="s">
        <v>2004</v>
      </c>
      <c r="N111" t="s">
        <v>2004</v>
      </c>
      <c r="O111" t="s">
        <v>49</v>
      </c>
    </row>
    <row r="112" spans="1:15" ht="15">
      <c r="A112" t="s">
        <v>571</v>
      </c>
      <c r="B112" t="s">
        <v>1182</v>
      </c>
      <c r="C112" t="s">
        <v>112</v>
      </c>
      <c r="D112" t="s">
        <v>1230</v>
      </c>
      <c r="E112" t="s">
        <v>1244</v>
      </c>
      <c r="F112" t="s">
        <v>611</v>
      </c>
      <c r="G112">
        <v>1.7000000000000001E-2</v>
      </c>
      <c r="I112" t="s">
        <v>1267</v>
      </c>
      <c r="J112" t="s">
        <v>361</v>
      </c>
      <c r="K112" t="s">
        <v>361</v>
      </c>
      <c r="L112" t="s">
        <v>1547</v>
      </c>
      <c r="M112" t="s">
        <v>2004</v>
      </c>
      <c r="N112" t="s">
        <v>2004</v>
      </c>
      <c r="O112" t="s">
        <v>49</v>
      </c>
    </row>
    <row r="113" spans="1:15" ht="15">
      <c r="A113" t="s">
        <v>571</v>
      </c>
      <c r="B113" t="s">
        <v>1182</v>
      </c>
      <c r="C113" t="s">
        <v>112</v>
      </c>
      <c r="D113" t="s">
        <v>1230</v>
      </c>
      <c r="E113" t="s">
        <v>1244</v>
      </c>
      <c r="F113" t="s">
        <v>616</v>
      </c>
      <c r="G113">
        <v>3.4000000000000002E-2</v>
      </c>
      <c r="I113" t="s">
        <v>1267</v>
      </c>
      <c r="J113" t="s">
        <v>361</v>
      </c>
      <c r="K113" t="s">
        <v>361</v>
      </c>
      <c r="L113" t="s">
        <v>1510</v>
      </c>
      <c r="M113" t="s">
        <v>2004</v>
      </c>
      <c r="N113" t="s">
        <v>2004</v>
      </c>
      <c r="O113" t="s">
        <v>49</v>
      </c>
    </row>
    <row r="114" spans="1:15" ht="15">
      <c r="A114" t="s">
        <v>571</v>
      </c>
      <c r="B114" t="s">
        <v>1182</v>
      </c>
      <c r="C114" t="s">
        <v>112</v>
      </c>
      <c r="D114" t="s">
        <v>1230</v>
      </c>
      <c r="E114" t="s">
        <v>1244</v>
      </c>
      <c r="F114" t="s">
        <v>622</v>
      </c>
      <c r="G114">
        <v>5.0000000000000001E-3</v>
      </c>
      <c r="I114" t="s">
        <v>1267</v>
      </c>
      <c r="J114" t="s">
        <v>361</v>
      </c>
      <c r="K114" t="s">
        <v>361</v>
      </c>
      <c r="L114" t="s">
        <v>1576</v>
      </c>
      <c r="M114" t="s">
        <v>2004</v>
      </c>
      <c r="N114" t="s">
        <v>2004</v>
      </c>
      <c r="O114" t="s">
        <v>49</v>
      </c>
    </row>
    <row r="115" spans="1:15" ht="15">
      <c r="A115" t="s">
        <v>571</v>
      </c>
      <c r="B115" t="s">
        <v>1182</v>
      </c>
      <c r="C115" t="s">
        <v>112</v>
      </c>
      <c r="D115" t="s">
        <v>1230</v>
      </c>
      <c r="E115" t="s">
        <v>1244</v>
      </c>
      <c r="F115" t="s">
        <v>630</v>
      </c>
      <c r="G115">
        <v>0.72699999999999998</v>
      </c>
      <c r="I115" t="s">
        <v>1267</v>
      </c>
      <c r="J115" t="s">
        <v>361</v>
      </c>
      <c r="K115" t="s">
        <v>361</v>
      </c>
      <c r="L115" t="s">
        <v>1353</v>
      </c>
      <c r="M115" t="s">
        <v>2004</v>
      </c>
      <c r="N115" t="s">
        <v>2004</v>
      </c>
      <c r="O115" t="s">
        <v>49</v>
      </c>
    </row>
    <row r="116" spans="1:15" ht="15">
      <c r="A116" t="s">
        <v>571</v>
      </c>
      <c r="B116" t="s">
        <v>1182</v>
      </c>
      <c r="C116" t="s">
        <v>112</v>
      </c>
      <c r="D116" t="s">
        <v>1230</v>
      </c>
      <c r="E116" t="s">
        <v>1244</v>
      </c>
      <c r="F116" t="s">
        <v>635</v>
      </c>
      <c r="G116">
        <v>7.0000000000000007E-2</v>
      </c>
      <c r="I116" t="s">
        <v>1267</v>
      </c>
      <c r="J116" t="s">
        <v>361</v>
      </c>
      <c r="K116" t="s">
        <v>361</v>
      </c>
      <c r="L116" t="s">
        <v>1470</v>
      </c>
      <c r="M116" t="s">
        <v>2004</v>
      </c>
      <c r="N116" t="s">
        <v>2004</v>
      </c>
      <c r="O116" t="s">
        <v>49</v>
      </c>
    </row>
    <row r="117" spans="1:15" ht="15">
      <c r="A117" t="s">
        <v>571</v>
      </c>
      <c r="B117" t="s">
        <v>1182</v>
      </c>
      <c r="C117" t="s">
        <v>112</v>
      </c>
      <c r="E117" t="s">
        <v>1244</v>
      </c>
      <c r="F117" t="s">
        <v>640</v>
      </c>
      <c r="G117">
        <v>2E-3</v>
      </c>
      <c r="J117" t="s">
        <v>361</v>
      </c>
      <c r="K117" t="s">
        <v>361</v>
      </c>
      <c r="L117" t="s">
        <v>1602</v>
      </c>
      <c r="M117" t="s">
        <v>2004</v>
      </c>
      <c r="N117" t="s">
        <v>2004</v>
      </c>
      <c r="O117" t="s">
        <v>49</v>
      </c>
    </row>
    <row r="118" spans="1:15" ht="15">
      <c r="A118" t="s">
        <v>571</v>
      </c>
      <c r="B118" t="s">
        <v>1182</v>
      </c>
      <c r="C118" t="s">
        <v>112</v>
      </c>
      <c r="D118" t="s">
        <v>1243</v>
      </c>
      <c r="E118" t="s">
        <v>1244</v>
      </c>
      <c r="F118" t="s">
        <v>646</v>
      </c>
      <c r="G118">
        <v>0</v>
      </c>
      <c r="J118" t="s">
        <v>361</v>
      </c>
      <c r="K118" t="s">
        <v>361</v>
      </c>
      <c r="L118" t="s">
        <v>2019</v>
      </c>
      <c r="M118" t="s">
        <v>2004</v>
      </c>
      <c r="N118" t="s">
        <v>2004</v>
      </c>
      <c r="O118" t="s">
        <v>49</v>
      </c>
    </row>
    <row r="119" spans="1:15" ht="15">
      <c r="A119" t="s">
        <v>571</v>
      </c>
      <c r="B119" t="s">
        <v>1182</v>
      </c>
      <c r="C119" t="s">
        <v>112</v>
      </c>
      <c r="E119" t="s">
        <v>1244</v>
      </c>
      <c r="F119" t="s">
        <v>650</v>
      </c>
      <c r="G119">
        <v>6.3E-2</v>
      </c>
      <c r="J119" t="s">
        <v>361</v>
      </c>
      <c r="K119" t="s">
        <v>361</v>
      </c>
      <c r="L119" t="s">
        <v>1474</v>
      </c>
      <c r="M119" t="s">
        <v>2004</v>
      </c>
      <c r="N119" t="s">
        <v>2004</v>
      </c>
      <c r="O119" t="s">
        <v>49</v>
      </c>
    </row>
    <row r="120" spans="1:15" ht="15">
      <c r="A120" t="s">
        <v>571</v>
      </c>
      <c r="B120" t="s">
        <v>1182</v>
      </c>
      <c r="C120" t="s">
        <v>112</v>
      </c>
      <c r="D120" t="s">
        <v>1230</v>
      </c>
      <c r="E120" t="s">
        <v>1244</v>
      </c>
      <c r="F120" t="s">
        <v>654</v>
      </c>
      <c r="G120">
        <v>8.8999999999999996E-2</v>
      </c>
      <c r="I120" t="s">
        <v>1267</v>
      </c>
      <c r="J120" t="s">
        <v>361</v>
      </c>
      <c r="K120" t="s">
        <v>361</v>
      </c>
      <c r="L120" t="s">
        <v>1454</v>
      </c>
      <c r="M120" t="s">
        <v>2004</v>
      </c>
      <c r="N120" t="s">
        <v>2004</v>
      </c>
      <c r="O120" t="s">
        <v>49</v>
      </c>
    </row>
    <row r="121" spans="1:15" ht="15">
      <c r="A121" t="s">
        <v>571</v>
      </c>
      <c r="B121" t="s">
        <v>1182</v>
      </c>
      <c r="C121" t="s">
        <v>112</v>
      </c>
      <c r="D121" t="s">
        <v>1230</v>
      </c>
      <c r="E121" t="s">
        <v>1244</v>
      </c>
      <c r="F121" t="s">
        <v>658</v>
      </c>
      <c r="G121">
        <v>7.1999999999999995E-2</v>
      </c>
      <c r="I121" t="s">
        <v>1267</v>
      </c>
      <c r="J121" t="s">
        <v>361</v>
      </c>
      <c r="K121" t="s">
        <v>361</v>
      </c>
      <c r="L121" t="s">
        <v>1469</v>
      </c>
      <c r="M121" t="s">
        <v>2004</v>
      </c>
      <c r="N121" t="s">
        <v>2004</v>
      </c>
      <c r="O121" t="s">
        <v>49</v>
      </c>
    </row>
    <row r="122" spans="1:15" ht="15">
      <c r="A122" t="s">
        <v>571</v>
      </c>
      <c r="B122" t="s">
        <v>1182</v>
      </c>
      <c r="C122" t="s">
        <v>112</v>
      </c>
      <c r="E122" t="s">
        <v>1244</v>
      </c>
      <c r="F122" t="s">
        <v>662</v>
      </c>
      <c r="G122">
        <v>0.111</v>
      </c>
      <c r="J122" t="s">
        <v>361</v>
      </c>
      <c r="K122" t="s">
        <v>361</v>
      </c>
      <c r="L122" t="s">
        <v>1445</v>
      </c>
      <c r="M122" t="s">
        <v>2004</v>
      </c>
      <c r="N122" t="s">
        <v>2004</v>
      </c>
      <c r="O122" t="s">
        <v>49</v>
      </c>
    </row>
    <row r="123" spans="1:15" ht="15">
      <c r="A123" t="s">
        <v>571</v>
      </c>
      <c r="B123" t="s">
        <v>1182</v>
      </c>
      <c r="C123" t="s">
        <v>112</v>
      </c>
      <c r="D123" t="s">
        <v>1243</v>
      </c>
      <c r="E123" t="s">
        <v>1244</v>
      </c>
      <c r="F123" t="s">
        <v>667</v>
      </c>
      <c r="G123">
        <v>0</v>
      </c>
      <c r="J123" t="s">
        <v>361</v>
      </c>
      <c r="K123" t="s">
        <v>361</v>
      </c>
      <c r="L123" t="s">
        <v>1648</v>
      </c>
      <c r="M123" t="s">
        <v>2004</v>
      </c>
      <c r="N123" t="s">
        <v>2004</v>
      </c>
      <c r="O123" t="s">
        <v>49</v>
      </c>
    </row>
    <row r="124" spans="1:15" ht="15">
      <c r="A124" t="s">
        <v>571</v>
      </c>
      <c r="B124" t="s">
        <v>1182</v>
      </c>
      <c r="C124" t="s">
        <v>112</v>
      </c>
      <c r="E124" t="s">
        <v>1244</v>
      </c>
      <c r="F124" t="s">
        <v>669</v>
      </c>
      <c r="G124">
        <v>1E-3</v>
      </c>
      <c r="J124" t="s">
        <v>361</v>
      </c>
      <c r="K124" t="s">
        <v>361</v>
      </c>
      <c r="L124" t="s">
        <v>1622</v>
      </c>
      <c r="M124" t="s">
        <v>2004</v>
      </c>
      <c r="N124" t="s">
        <v>2004</v>
      </c>
      <c r="O124" t="s">
        <v>49</v>
      </c>
    </row>
    <row r="125" spans="1:15" ht="15">
      <c r="A125" t="s">
        <v>571</v>
      </c>
      <c r="B125" t="s">
        <v>1182</v>
      </c>
      <c r="C125" t="s">
        <v>112</v>
      </c>
      <c r="E125" t="s">
        <v>1244</v>
      </c>
      <c r="F125" t="s">
        <v>672</v>
      </c>
      <c r="G125">
        <v>2.1000000000000001E-2</v>
      </c>
      <c r="J125" t="s">
        <v>361</v>
      </c>
      <c r="K125" t="s">
        <v>361</v>
      </c>
      <c r="L125" t="s">
        <v>1538</v>
      </c>
      <c r="M125" t="s">
        <v>2004</v>
      </c>
      <c r="N125" t="s">
        <v>2004</v>
      </c>
      <c r="O125" t="s">
        <v>49</v>
      </c>
    </row>
    <row r="126" spans="1:15" ht="15">
      <c r="A126" t="s">
        <v>571</v>
      </c>
      <c r="B126" t="s">
        <v>1182</v>
      </c>
      <c r="C126" t="s">
        <v>112</v>
      </c>
      <c r="E126" t="s">
        <v>1244</v>
      </c>
      <c r="F126" t="s">
        <v>676</v>
      </c>
      <c r="G126">
        <v>2.5999999999999999E-2</v>
      </c>
      <c r="J126" t="s">
        <v>361</v>
      </c>
      <c r="K126" t="s">
        <v>361</v>
      </c>
      <c r="L126" t="s">
        <v>2020</v>
      </c>
      <c r="M126" t="s">
        <v>2004</v>
      </c>
      <c r="N126" t="s">
        <v>2004</v>
      </c>
      <c r="O126" t="s">
        <v>49</v>
      </c>
    </row>
    <row r="127" spans="1:15" ht="15">
      <c r="A127" t="s">
        <v>571</v>
      </c>
      <c r="B127" t="s">
        <v>1182</v>
      </c>
      <c r="C127" t="s">
        <v>112</v>
      </c>
      <c r="D127" t="s">
        <v>1243</v>
      </c>
      <c r="E127" t="s">
        <v>1244</v>
      </c>
      <c r="F127" t="s">
        <v>681</v>
      </c>
      <c r="G127">
        <v>0</v>
      </c>
      <c r="J127" t="s">
        <v>361</v>
      </c>
      <c r="K127" t="s">
        <v>361</v>
      </c>
      <c r="L127" t="s">
        <v>2021</v>
      </c>
      <c r="M127" t="s">
        <v>2004</v>
      </c>
      <c r="N127" t="s">
        <v>2004</v>
      </c>
      <c r="O127" t="s">
        <v>49</v>
      </c>
    </row>
    <row r="128" spans="1:15" ht="15">
      <c r="A128" t="s">
        <v>571</v>
      </c>
      <c r="B128" t="s">
        <v>1182</v>
      </c>
      <c r="C128" t="s">
        <v>112</v>
      </c>
      <c r="E128" t="s">
        <v>1244</v>
      </c>
      <c r="F128" t="s">
        <v>683</v>
      </c>
      <c r="G128">
        <v>1.9E-2</v>
      </c>
      <c r="J128" t="s">
        <v>361</v>
      </c>
      <c r="K128" t="s">
        <v>361</v>
      </c>
      <c r="L128" t="s">
        <v>1541</v>
      </c>
      <c r="M128" t="s">
        <v>2004</v>
      </c>
      <c r="N128" t="s">
        <v>2004</v>
      </c>
      <c r="O128" t="s">
        <v>49</v>
      </c>
    </row>
    <row r="129" spans="1:15" ht="15">
      <c r="A129" t="s">
        <v>571</v>
      </c>
      <c r="B129" t="s">
        <v>1182</v>
      </c>
      <c r="C129" t="s">
        <v>112</v>
      </c>
      <c r="D129" t="s">
        <v>1230</v>
      </c>
      <c r="E129" t="s">
        <v>1244</v>
      </c>
      <c r="F129" t="s">
        <v>685</v>
      </c>
      <c r="G129">
        <v>1.3540000000000001</v>
      </c>
      <c r="I129" t="s">
        <v>1267</v>
      </c>
      <c r="J129" t="s">
        <v>361</v>
      </c>
      <c r="K129" t="s">
        <v>361</v>
      </c>
      <c r="L129" t="s">
        <v>2022</v>
      </c>
      <c r="M129" t="s">
        <v>2004</v>
      </c>
      <c r="N129" t="s">
        <v>2004</v>
      </c>
      <c r="O129" t="s">
        <v>49</v>
      </c>
    </row>
    <row r="130" spans="1:15" ht="15">
      <c r="A130" t="s">
        <v>571</v>
      </c>
      <c r="B130" t="s">
        <v>1182</v>
      </c>
      <c r="C130" t="s">
        <v>112</v>
      </c>
      <c r="D130" t="s">
        <v>1230</v>
      </c>
      <c r="E130" t="s">
        <v>1244</v>
      </c>
      <c r="F130" t="s">
        <v>690</v>
      </c>
      <c r="G130">
        <v>0.91500000000000004</v>
      </c>
      <c r="I130" t="s">
        <v>1267</v>
      </c>
      <c r="J130" t="s">
        <v>361</v>
      </c>
      <c r="K130" t="s">
        <v>361</v>
      </c>
      <c r="L130" t="s">
        <v>1349</v>
      </c>
      <c r="M130" t="s">
        <v>2004</v>
      </c>
      <c r="N130" t="s">
        <v>2004</v>
      </c>
      <c r="O130" t="s">
        <v>49</v>
      </c>
    </row>
    <row r="131" spans="1:15" ht="15">
      <c r="A131" t="s">
        <v>571</v>
      </c>
      <c r="B131" t="s">
        <v>1182</v>
      </c>
      <c r="C131" t="s">
        <v>112</v>
      </c>
      <c r="D131" t="s">
        <v>1230</v>
      </c>
      <c r="E131" t="s">
        <v>1244</v>
      </c>
      <c r="F131" t="s">
        <v>695</v>
      </c>
      <c r="G131">
        <v>5.1999999999999998E-2</v>
      </c>
      <c r="I131" t="s">
        <v>1267</v>
      </c>
      <c r="J131" t="s">
        <v>361</v>
      </c>
      <c r="K131" t="s">
        <v>361</v>
      </c>
      <c r="L131" t="s">
        <v>1491</v>
      </c>
      <c r="M131" t="s">
        <v>2004</v>
      </c>
      <c r="N131" t="s">
        <v>2004</v>
      </c>
      <c r="O131" t="s">
        <v>49</v>
      </c>
    </row>
    <row r="132" spans="1:15" ht="15">
      <c r="A132" t="s">
        <v>571</v>
      </c>
      <c r="B132" t="s">
        <v>1182</v>
      </c>
      <c r="C132" t="s">
        <v>112</v>
      </c>
      <c r="D132" t="s">
        <v>1230</v>
      </c>
      <c r="E132" t="s">
        <v>1244</v>
      </c>
      <c r="F132" t="s">
        <v>700</v>
      </c>
      <c r="G132">
        <v>0.79</v>
      </c>
      <c r="I132" t="s">
        <v>1267</v>
      </c>
      <c r="J132" t="s">
        <v>361</v>
      </c>
      <c r="K132" t="s">
        <v>361</v>
      </c>
      <c r="L132" t="s">
        <v>1350</v>
      </c>
      <c r="M132" t="s">
        <v>2004</v>
      </c>
      <c r="N132" t="s">
        <v>2004</v>
      </c>
      <c r="O132" t="s">
        <v>49</v>
      </c>
    </row>
    <row r="133" spans="1:15" ht="15">
      <c r="A133" t="s">
        <v>571</v>
      </c>
      <c r="B133" t="s">
        <v>1182</v>
      </c>
      <c r="C133" t="s">
        <v>112</v>
      </c>
      <c r="D133" t="s">
        <v>1230</v>
      </c>
      <c r="E133" t="s">
        <v>1244</v>
      </c>
      <c r="F133" t="s">
        <v>701</v>
      </c>
      <c r="G133">
        <v>7.2999999999999995E-2</v>
      </c>
      <c r="I133" t="s">
        <v>1267</v>
      </c>
      <c r="J133" t="s">
        <v>361</v>
      </c>
      <c r="K133" t="s">
        <v>361</v>
      </c>
      <c r="L133" t="s">
        <v>1468</v>
      </c>
      <c r="M133" t="s">
        <v>2004</v>
      </c>
      <c r="N133" t="s">
        <v>2004</v>
      </c>
      <c r="O133" t="s">
        <v>49</v>
      </c>
    </row>
    <row r="134" spans="1:15" ht="15">
      <c r="A134" t="s">
        <v>571</v>
      </c>
      <c r="B134" t="s">
        <v>1182</v>
      </c>
      <c r="C134" t="s">
        <v>112</v>
      </c>
      <c r="D134" t="s">
        <v>1230</v>
      </c>
      <c r="E134" t="s">
        <v>1244</v>
      </c>
      <c r="F134" t="s">
        <v>705</v>
      </c>
      <c r="G134">
        <v>3.0000000000000001E-3</v>
      </c>
      <c r="I134" t="s">
        <v>1267</v>
      </c>
      <c r="J134" t="s">
        <v>361</v>
      </c>
      <c r="K134" t="s">
        <v>361</v>
      </c>
      <c r="L134" t="s">
        <v>2023</v>
      </c>
      <c r="M134" t="s">
        <v>2004</v>
      </c>
      <c r="N134" t="s">
        <v>2004</v>
      </c>
      <c r="O134" t="s">
        <v>49</v>
      </c>
    </row>
    <row r="135" spans="1:15" ht="15">
      <c r="A135" t="s">
        <v>571</v>
      </c>
      <c r="B135" t="s">
        <v>1182</v>
      </c>
      <c r="C135" t="s">
        <v>112</v>
      </c>
      <c r="D135" t="s">
        <v>1230</v>
      </c>
      <c r="E135" t="s">
        <v>1244</v>
      </c>
      <c r="F135" t="s">
        <v>707</v>
      </c>
      <c r="G135">
        <v>0.182</v>
      </c>
      <c r="I135" t="s">
        <v>1267</v>
      </c>
      <c r="J135" t="s">
        <v>361</v>
      </c>
      <c r="K135" t="s">
        <v>361</v>
      </c>
      <c r="L135" t="s">
        <v>1417</v>
      </c>
      <c r="M135" t="s">
        <v>2004</v>
      </c>
      <c r="N135" t="s">
        <v>2004</v>
      </c>
      <c r="O135" t="s">
        <v>49</v>
      </c>
    </row>
    <row r="136" spans="1:15" ht="15">
      <c r="A136" t="s">
        <v>571</v>
      </c>
      <c r="B136" t="s">
        <v>1182</v>
      </c>
      <c r="C136" t="s">
        <v>112</v>
      </c>
      <c r="D136" t="s">
        <v>1230</v>
      </c>
      <c r="E136" t="s">
        <v>1244</v>
      </c>
      <c r="F136" t="s">
        <v>711</v>
      </c>
      <c r="G136">
        <v>0.71199999999999997</v>
      </c>
      <c r="I136" t="s">
        <v>1267</v>
      </c>
      <c r="J136" t="s">
        <v>361</v>
      </c>
      <c r="K136" t="s">
        <v>361</v>
      </c>
      <c r="L136" t="s">
        <v>1354</v>
      </c>
      <c r="M136" t="s">
        <v>2004</v>
      </c>
      <c r="N136" t="s">
        <v>2004</v>
      </c>
      <c r="O136" t="s">
        <v>49</v>
      </c>
    </row>
    <row r="137" spans="1:15" ht="15">
      <c r="A137" t="s">
        <v>571</v>
      </c>
      <c r="B137" t="s">
        <v>1182</v>
      </c>
      <c r="C137" t="s">
        <v>112</v>
      </c>
      <c r="D137" t="s">
        <v>1230</v>
      </c>
      <c r="E137" t="s">
        <v>1244</v>
      </c>
      <c r="F137" t="s">
        <v>715</v>
      </c>
      <c r="G137">
        <v>0.7</v>
      </c>
      <c r="I137" t="s">
        <v>1267</v>
      </c>
      <c r="J137" t="s">
        <v>361</v>
      </c>
      <c r="K137" t="s">
        <v>361</v>
      </c>
      <c r="L137" t="s">
        <v>1355</v>
      </c>
      <c r="M137" t="s">
        <v>2004</v>
      </c>
      <c r="N137" t="s">
        <v>2004</v>
      </c>
      <c r="O137" t="s">
        <v>49</v>
      </c>
    </row>
    <row r="138" spans="1:15" ht="15">
      <c r="A138" t="s">
        <v>571</v>
      </c>
      <c r="B138" t="s">
        <v>1182</v>
      </c>
      <c r="C138" t="s">
        <v>112</v>
      </c>
      <c r="D138" t="s">
        <v>1230</v>
      </c>
      <c r="E138" t="s">
        <v>1244</v>
      </c>
      <c r="F138" t="s">
        <v>717</v>
      </c>
      <c r="G138">
        <v>5.28</v>
      </c>
      <c r="I138" t="s">
        <v>1267</v>
      </c>
      <c r="J138" t="s">
        <v>361</v>
      </c>
      <c r="K138" t="s">
        <v>361</v>
      </c>
      <c r="L138" t="s">
        <v>1268</v>
      </c>
      <c r="M138" t="s">
        <v>2004</v>
      </c>
      <c r="N138" t="s">
        <v>2004</v>
      </c>
      <c r="O138" t="s">
        <v>49</v>
      </c>
    </row>
    <row r="139" spans="1:15" ht="15">
      <c r="A139" t="s">
        <v>571</v>
      </c>
      <c r="B139" t="s">
        <v>1182</v>
      </c>
      <c r="C139" t="s">
        <v>112</v>
      </c>
      <c r="D139" t="s">
        <v>1230</v>
      </c>
      <c r="E139" t="s">
        <v>1244</v>
      </c>
      <c r="F139" t="s">
        <v>720</v>
      </c>
      <c r="G139">
        <v>0.44800000000000001</v>
      </c>
      <c r="I139" t="s">
        <v>1267</v>
      </c>
      <c r="J139" t="s">
        <v>361</v>
      </c>
      <c r="K139" t="s">
        <v>361</v>
      </c>
      <c r="L139" t="s">
        <v>1376</v>
      </c>
      <c r="M139" t="s">
        <v>2004</v>
      </c>
      <c r="N139" t="s">
        <v>2004</v>
      </c>
      <c r="O139" t="s">
        <v>49</v>
      </c>
    </row>
    <row r="140" spans="1:15" ht="15">
      <c r="A140" t="s">
        <v>571</v>
      </c>
      <c r="B140" t="s">
        <v>1182</v>
      </c>
      <c r="C140" t="s">
        <v>112</v>
      </c>
      <c r="D140" t="s">
        <v>1230</v>
      </c>
      <c r="E140" t="s">
        <v>1244</v>
      </c>
      <c r="F140" t="s">
        <v>724</v>
      </c>
      <c r="G140">
        <v>1.1970000000000001</v>
      </c>
      <c r="I140" t="s">
        <v>1267</v>
      </c>
      <c r="J140" t="s">
        <v>361</v>
      </c>
      <c r="K140" t="s">
        <v>361</v>
      </c>
      <c r="L140" t="s">
        <v>1344</v>
      </c>
      <c r="M140" t="s">
        <v>2004</v>
      </c>
      <c r="N140" t="s">
        <v>2004</v>
      </c>
      <c r="O140" t="s">
        <v>49</v>
      </c>
    </row>
    <row r="141" spans="1:15" ht="15">
      <c r="A141" t="s">
        <v>571</v>
      </c>
      <c r="B141" t="s">
        <v>1182</v>
      </c>
      <c r="C141" t="s">
        <v>112</v>
      </c>
      <c r="E141" t="s">
        <v>1244</v>
      </c>
      <c r="F141" t="s">
        <v>728</v>
      </c>
      <c r="G141">
        <v>1E-3</v>
      </c>
      <c r="J141" t="s">
        <v>361</v>
      </c>
      <c r="K141" t="s">
        <v>361</v>
      </c>
      <c r="L141" t="s">
        <v>1623</v>
      </c>
      <c r="M141" t="s">
        <v>2004</v>
      </c>
      <c r="N141" t="s">
        <v>2004</v>
      </c>
      <c r="O141" t="s">
        <v>49</v>
      </c>
    </row>
    <row r="142" spans="1:15" ht="15">
      <c r="A142" t="s">
        <v>571</v>
      </c>
      <c r="B142" t="s">
        <v>1182</v>
      </c>
      <c r="C142" t="s">
        <v>112</v>
      </c>
      <c r="D142" t="s">
        <v>1230</v>
      </c>
      <c r="E142" t="s">
        <v>1244</v>
      </c>
      <c r="F142" t="s">
        <v>732</v>
      </c>
      <c r="G142">
        <v>2.5999999999999999E-2</v>
      </c>
      <c r="I142" t="s">
        <v>1267</v>
      </c>
      <c r="J142" t="s">
        <v>361</v>
      </c>
      <c r="K142" t="s">
        <v>361</v>
      </c>
      <c r="L142" t="s">
        <v>1533</v>
      </c>
      <c r="M142" t="s">
        <v>2004</v>
      </c>
      <c r="N142" t="s">
        <v>2004</v>
      </c>
      <c r="O142" t="s">
        <v>49</v>
      </c>
    </row>
    <row r="143" spans="1:15" ht="15">
      <c r="A143" t="s">
        <v>571</v>
      </c>
      <c r="B143" t="s">
        <v>1182</v>
      </c>
      <c r="C143" t="s">
        <v>112</v>
      </c>
      <c r="D143" t="s">
        <v>1230</v>
      </c>
      <c r="E143" t="s">
        <v>1244</v>
      </c>
      <c r="F143" t="s">
        <v>736</v>
      </c>
      <c r="G143">
        <v>0.61599999999999999</v>
      </c>
      <c r="I143" t="s">
        <v>1267</v>
      </c>
      <c r="J143" t="s">
        <v>361</v>
      </c>
      <c r="K143" t="s">
        <v>361</v>
      </c>
      <c r="L143" t="s">
        <v>1364</v>
      </c>
      <c r="M143" t="s">
        <v>2004</v>
      </c>
      <c r="N143" t="s">
        <v>2004</v>
      </c>
      <c r="O143" t="s">
        <v>49</v>
      </c>
    </row>
    <row r="144" spans="1:15" ht="15">
      <c r="A144" t="s">
        <v>571</v>
      </c>
      <c r="B144" t="s">
        <v>1182</v>
      </c>
      <c r="C144" t="s">
        <v>112</v>
      </c>
      <c r="D144" t="s">
        <v>1230</v>
      </c>
      <c r="E144" t="s">
        <v>1244</v>
      </c>
      <c r="F144" t="s">
        <v>739</v>
      </c>
      <c r="G144">
        <v>2.1000000000000001E-2</v>
      </c>
      <c r="I144" t="s">
        <v>1267</v>
      </c>
      <c r="J144" t="s">
        <v>361</v>
      </c>
      <c r="K144" t="s">
        <v>361</v>
      </c>
      <c r="L144" t="s">
        <v>1539</v>
      </c>
      <c r="M144" t="s">
        <v>2004</v>
      </c>
      <c r="N144" t="s">
        <v>2004</v>
      </c>
      <c r="O144" t="s">
        <v>49</v>
      </c>
    </row>
    <row r="145" spans="1:15" ht="15">
      <c r="A145" t="s">
        <v>571</v>
      </c>
      <c r="B145" t="s">
        <v>1182</v>
      </c>
      <c r="C145" t="s">
        <v>112</v>
      </c>
      <c r="D145" t="s">
        <v>1230</v>
      </c>
      <c r="E145" t="s">
        <v>1244</v>
      </c>
      <c r="F145" t="s">
        <v>742</v>
      </c>
      <c r="G145">
        <v>8.2000000000000003E-2</v>
      </c>
      <c r="I145" t="s">
        <v>1267</v>
      </c>
      <c r="J145" t="s">
        <v>361</v>
      </c>
      <c r="K145" t="s">
        <v>361</v>
      </c>
      <c r="L145" t="s">
        <v>1455</v>
      </c>
      <c r="M145" t="s">
        <v>2004</v>
      </c>
      <c r="N145" t="s">
        <v>2004</v>
      </c>
      <c r="O145" t="s">
        <v>49</v>
      </c>
    </row>
    <row r="146" spans="1:15" ht="15">
      <c r="A146" t="s">
        <v>571</v>
      </c>
      <c r="B146" t="s">
        <v>1182</v>
      </c>
      <c r="C146" t="s">
        <v>112</v>
      </c>
      <c r="D146" t="s">
        <v>1230</v>
      </c>
      <c r="E146" t="s">
        <v>1244</v>
      </c>
      <c r="F146" t="s">
        <v>746</v>
      </c>
      <c r="G146">
        <v>5.0999999999999997E-2</v>
      </c>
      <c r="I146" t="s">
        <v>1267</v>
      </c>
      <c r="J146" t="s">
        <v>361</v>
      </c>
      <c r="K146" t="s">
        <v>361</v>
      </c>
      <c r="L146" t="s">
        <v>1492</v>
      </c>
      <c r="M146" t="s">
        <v>2004</v>
      </c>
      <c r="N146" t="s">
        <v>2004</v>
      </c>
      <c r="O146" t="s">
        <v>49</v>
      </c>
    </row>
    <row r="147" spans="1:15" ht="15">
      <c r="A147" t="s">
        <v>571</v>
      </c>
      <c r="B147" t="s">
        <v>1182</v>
      </c>
      <c r="C147" t="s">
        <v>112</v>
      </c>
      <c r="D147" t="s">
        <v>1230</v>
      </c>
      <c r="E147" t="s">
        <v>1244</v>
      </c>
      <c r="F147" t="s">
        <v>751</v>
      </c>
      <c r="G147">
        <v>0.14000000000000001</v>
      </c>
      <c r="I147" t="s">
        <v>1267</v>
      </c>
      <c r="J147" t="s">
        <v>361</v>
      </c>
      <c r="K147" t="s">
        <v>361</v>
      </c>
      <c r="L147" t="s">
        <v>1432</v>
      </c>
      <c r="M147" t="s">
        <v>2004</v>
      </c>
      <c r="N147" t="s">
        <v>2004</v>
      </c>
      <c r="O147" t="s">
        <v>49</v>
      </c>
    </row>
    <row r="148" spans="1:15" ht="15">
      <c r="A148" t="s">
        <v>571</v>
      </c>
      <c r="B148" t="s">
        <v>1182</v>
      </c>
      <c r="C148" t="s">
        <v>112</v>
      </c>
      <c r="D148" t="s">
        <v>1243</v>
      </c>
      <c r="E148" t="s">
        <v>1244</v>
      </c>
      <c r="F148" t="s">
        <v>753</v>
      </c>
      <c r="G148">
        <v>0</v>
      </c>
      <c r="J148" t="s">
        <v>361</v>
      </c>
      <c r="K148" t="s">
        <v>361</v>
      </c>
      <c r="L148" t="s">
        <v>2024</v>
      </c>
      <c r="M148" t="s">
        <v>2004</v>
      </c>
      <c r="N148" t="s">
        <v>2004</v>
      </c>
      <c r="O148" t="s">
        <v>49</v>
      </c>
    </row>
    <row r="149" spans="1:15" ht="15">
      <c r="A149" t="s">
        <v>571</v>
      </c>
      <c r="B149" t="s">
        <v>1182</v>
      </c>
      <c r="C149" t="s">
        <v>112</v>
      </c>
      <c r="D149" t="s">
        <v>1243</v>
      </c>
      <c r="E149" t="s">
        <v>1244</v>
      </c>
      <c r="F149" t="s">
        <v>756</v>
      </c>
      <c r="G149">
        <v>0</v>
      </c>
      <c r="I149" t="s">
        <v>1267</v>
      </c>
      <c r="J149" t="s">
        <v>361</v>
      </c>
      <c r="K149" t="s">
        <v>361</v>
      </c>
      <c r="L149" t="s">
        <v>1649</v>
      </c>
      <c r="M149" t="s">
        <v>2004</v>
      </c>
      <c r="N149" t="s">
        <v>2004</v>
      </c>
      <c r="O149" t="s">
        <v>49</v>
      </c>
    </row>
    <row r="150" spans="1:15" ht="15">
      <c r="A150" t="s">
        <v>571</v>
      </c>
      <c r="B150" t="s">
        <v>1182</v>
      </c>
      <c r="C150" t="s">
        <v>112</v>
      </c>
      <c r="D150" t="s">
        <v>1230</v>
      </c>
      <c r="E150" t="s">
        <v>1244</v>
      </c>
      <c r="F150" t="s">
        <v>760</v>
      </c>
      <c r="G150">
        <v>2.2400000000000002</v>
      </c>
      <c r="I150" t="s">
        <v>1267</v>
      </c>
      <c r="J150" t="s">
        <v>361</v>
      </c>
      <c r="K150" t="s">
        <v>361</v>
      </c>
      <c r="L150" t="s">
        <v>1311</v>
      </c>
      <c r="M150" t="s">
        <v>2004</v>
      </c>
      <c r="N150" t="s">
        <v>2004</v>
      </c>
      <c r="O150" t="s">
        <v>49</v>
      </c>
    </row>
    <row r="151" spans="1:15" ht="15">
      <c r="A151" t="s">
        <v>571</v>
      </c>
      <c r="B151" t="s">
        <v>1182</v>
      </c>
      <c r="C151" t="s">
        <v>112</v>
      </c>
      <c r="E151" t="s">
        <v>1244</v>
      </c>
      <c r="F151" t="s">
        <v>763</v>
      </c>
      <c r="G151">
        <v>2.9000000000000001E-2</v>
      </c>
      <c r="J151" t="s">
        <v>361</v>
      </c>
      <c r="K151" t="s">
        <v>361</v>
      </c>
      <c r="L151" t="s">
        <v>1527</v>
      </c>
      <c r="M151" t="s">
        <v>2004</v>
      </c>
      <c r="N151" t="s">
        <v>2004</v>
      </c>
      <c r="O151" t="s">
        <v>49</v>
      </c>
    </row>
    <row r="152" spans="1:15" ht="15">
      <c r="A152" t="s">
        <v>571</v>
      </c>
      <c r="B152" t="s">
        <v>1182</v>
      </c>
      <c r="C152" t="s">
        <v>112</v>
      </c>
      <c r="E152" t="s">
        <v>1244</v>
      </c>
      <c r="F152" t="s">
        <v>768</v>
      </c>
      <c r="G152">
        <v>1E-3</v>
      </c>
      <c r="J152" t="s">
        <v>361</v>
      </c>
      <c r="K152" t="s">
        <v>361</v>
      </c>
      <c r="L152" t="s">
        <v>1624</v>
      </c>
      <c r="M152" t="s">
        <v>2004</v>
      </c>
      <c r="N152" t="s">
        <v>2004</v>
      </c>
      <c r="O152" t="s">
        <v>49</v>
      </c>
    </row>
    <row r="153" spans="1:15" ht="15">
      <c r="A153" t="s">
        <v>580</v>
      </c>
      <c r="B153" t="s">
        <v>1182</v>
      </c>
      <c r="C153" t="s">
        <v>393</v>
      </c>
      <c r="D153" t="s">
        <v>1230</v>
      </c>
      <c r="E153" t="s">
        <v>1231</v>
      </c>
      <c r="F153" t="s">
        <v>584</v>
      </c>
      <c r="G153">
        <v>0</v>
      </c>
      <c r="J153" t="s">
        <v>1182</v>
      </c>
      <c r="K153" t="s">
        <v>49</v>
      </c>
      <c r="L153" t="s">
        <v>1651</v>
      </c>
      <c r="M153" t="s">
        <v>2004</v>
      </c>
      <c r="N153" t="s">
        <v>1192</v>
      </c>
      <c r="O153" t="s">
        <v>49</v>
      </c>
    </row>
    <row r="154" spans="1:15" ht="15">
      <c r="A154" t="s">
        <v>580</v>
      </c>
      <c r="B154" t="s">
        <v>1182</v>
      </c>
      <c r="C154" t="s">
        <v>393</v>
      </c>
      <c r="D154" t="s">
        <v>1230</v>
      </c>
      <c r="E154" t="s">
        <v>1231</v>
      </c>
      <c r="F154" t="s">
        <v>599</v>
      </c>
      <c r="G154">
        <v>5.0000000000000001E-3</v>
      </c>
      <c r="J154" t="s">
        <v>1182</v>
      </c>
      <c r="K154" t="s">
        <v>1578</v>
      </c>
      <c r="L154" t="s">
        <v>1579</v>
      </c>
      <c r="M154" t="s">
        <v>2004</v>
      </c>
      <c r="N154" t="s">
        <v>1192</v>
      </c>
      <c r="O154" t="s">
        <v>49</v>
      </c>
    </row>
    <row r="155" spans="1:15" ht="15">
      <c r="A155" t="s">
        <v>580</v>
      </c>
      <c r="B155" t="s">
        <v>1182</v>
      </c>
      <c r="C155" t="s">
        <v>393</v>
      </c>
      <c r="D155" t="s">
        <v>1230</v>
      </c>
      <c r="E155" t="s">
        <v>1231</v>
      </c>
      <c r="F155" t="s">
        <v>612</v>
      </c>
      <c r="G155">
        <v>11.544</v>
      </c>
      <c r="J155" t="s">
        <v>1189</v>
      </c>
      <c r="K155" t="s">
        <v>1263</v>
      </c>
      <c r="L155" t="s">
        <v>1264</v>
      </c>
      <c r="M155" t="s">
        <v>2004</v>
      </c>
      <c r="N155" t="s">
        <v>1192</v>
      </c>
      <c r="O155" t="s">
        <v>49</v>
      </c>
    </row>
    <row r="156" spans="1:15" ht="15">
      <c r="A156" t="s">
        <v>580</v>
      </c>
      <c r="B156" t="s">
        <v>1182</v>
      </c>
      <c r="C156" t="s">
        <v>393</v>
      </c>
      <c r="D156" t="s">
        <v>1230</v>
      </c>
      <c r="E156" t="s">
        <v>1231</v>
      </c>
      <c r="F156" t="s">
        <v>617</v>
      </c>
      <c r="G156">
        <v>1.2230000000000001</v>
      </c>
      <c r="J156" t="s">
        <v>1189</v>
      </c>
      <c r="K156" t="s">
        <v>1263</v>
      </c>
      <c r="L156" t="s">
        <v>1343</v>
      </c>
      <c r="M156" t="s">
        <v>2004</v>
      </c>
      <c r="N156" t="s">
        <v>1192</v>
      </c>
      <c r="O156" t="s">
        <v>49</v>
      </c>
    </row>
    <row r="157" spans="1:15" ht="15">
      <c r="A157" t="s">
        <v>580</v>
      </c>
      <c r="B157" t="s">
        <v>1182</v>
      </c>
      <c r="C157" t="s">
        <v>393</v>
      </c>
      <c r="D157" t="s">
        <v>1230</v>
      </c>
      <c r="E157" t="s">
        <v>1231</v>
      </c>
      <c r="F157" t="s">
        <v>623</v>
      </c>
      <c r="G157">
        <v>6.5270000000000001</v>
      </c>
      <c r="J157" t="s">
        <v>1189</v>
      </c>
      <c r="K157" t="s">
        <v>1263</v>
      </c>
      <c r="L157" t="s">
        <v>1265</v>
      </c>
      <c r="M157" t="s">
        <v>2004</v>
      </c>
      <c r="N157" t="s">
        <v>1192</v>
      </c>
      <c r="O157" t="s">
        <v>49</v>
      </c>
    </row>
    <row r="158" spans="1:15" ht="15">
      <c r="A158" t="s">
        <v>580</v>
      </c>
      <c r="B158" t="s">
        <v>1182</v>
      </c>
      <c r="C158" t="s">
        <v>393</v>
      </c>
      <c r="D158" t="s">
        <v>1230</v>
      </c>
      <c r="E158" t="s">
        <v>1231</v>
      </c>
      <c r="F158" t="s">
        <v>631</v>
      </c>
      <c r="G158">
        <v>4.4480000000000004</v>
      </c>
      <c r="J158" t="s">
        <v>1189</v>
      </c>
      <c r="K158" t="s">
        <v>1263</v>
      </c>
      <c r="L158" t="s">
        <v>1278</v>
      </c>
      <c r="M158" t="s">
        <v>2004</v>
      </c>
      <c r="N158" t="s">
        <v>1192</v>
      </c>
      <c r="O158" t="s">
        <v>49</v>
      </c>
    </row>
    <row r="159" spans="1:15" ht="15">
      <c r="A159" t="s">
        <v>580</v>
      </c>
      <c r="B159" t="s">
        <v>1182</v>
      </c>
      <c r="C159" t="s">
        <v>393</v>
      </c>
      <c r="D159" t="s">
        <v>1230</v>
      </c>
      <c r="E159" t="s">
        <v>1231</v>
      </c>
      <c r="F159" t="s">
        <v>636</v>
      </c>
      <c r="G159">
        <v>35.356999999999999</v>
      </c>
      <c r="J159" t="s">
        <v>1189</v>
      </c>
      <c r="K159" t="s">
        <v>1234</v>
      </c>
      <c r="L159" t="s">
        <v>1235</v>
      </c>
      <c r="M159" t="s">
        <v>2004</v>
      </c>
      <c r="N159" t="s">
        <v>1192</v>
      </c>
      <c r="O159" t="s">
        <v>49</v>
      </c>
    </row>
    <row r="160" spans="1:15" ht="15">
      <c r="A160" t="s">
        <v>580</v>
      </c>
      <c r="B160" t="s">
        <v>1182</v>
      </c>
      <c r="C160" t="s">
        <v>393</v>
      </c>
      <c r="D160" t="s">
        <v>1230</v>
      </c>
      <c r="E160" t="s">
        <v>1231</v>
      </c>
      <c r="F160" t="s">
        <v>641</v>
      </c>
      <c r="G160">
        <v>2.3290000000000002</v>
      </c>
      <c r="J160" t="s">
        <v>1189</v>
      </c>
      <c r="K160" t="s">
        <v>1234</v>
      </c>
      <c r="L160" t="s">
        <v>1308</v>
      </c>
      <c r="M160" t="s">
        <v>2004</v>
      </c>
      <c r="N160" t="s">
        <v>1192</v>
      </c>
      <c r="O160" t="s">
        <v>49</v>
      </c>
    </row>
    <row r="161" spans="1:15" ht="15">
      <c r="A161" t="s">
        <v>580</v>
      </c>
      <c r="B161" t="s">
        <v>1182</v>
      </c>
      <c r="C161" t="s">
        <v>393</v>
      </c>
      <c r="D161" t="s">
        <v>1230</v>
      </c>
      <c r="E161" t="s">
        <v>1231</v>
      </c>
      <c r="F161" t="s">
        <v>647</v>
      </c>
      <c r="G161">
        <v>0.65500000000000003</v>
      </c>
      <c r="J161" t="s">
        <v>1182</v>
      </c>
      <c r="K161" t="s">
        <v>1357</v>
      </c>
      <c r="L161" t="s">
        <v>1358</v>
      </c>
      <c r="M161" t="s">
        <v>2004</v>
      </c>
      <c r="N161" t="s">
        <v>1192</v>
      </c>
      <c r="O161" t="s">
        <v>49</v>
      </c>
    </row>
    <row r="162" spans="1:15" ht="15">
      <c r="A162" t="s">
        <v>585</v>
      </c>
      <c r="B162" t="s">
        <v>1182</v>
      </c>
      <c r="C162" t="s">
        <v>66</v>
      </c>
      <c r="D162" t="s">
        <v>2025</v>
      </c>
      <c r="E162" t="s">
        <v>1369</v>
      </c>
      <c r="F162" t="s">
        <v>550</v>
      </c>
      <c r="G162">
        <v>0.58984375</v>
      </c>
      <c r="J162" t="s">
        <v>361</v>
      </c>
      <c r="K162" t="s">
        <v>361</v>
      </c>
      <c r="M162" t="s">
        <v>1192</v>
      </c>
      <c r="N162" t="s">
        <v>1192</v>
      </c>
      <c r="O162" t="s">
        <v>49</v>
      </c>
    </row>
    <row r="163" spans="1:15" ht="15">
      <c r="A163" t="s">
        <v>580</v>
      </c>
      <c r="B163" t="s">
        <v>1189</v>
      </c>
      <c r="C163" t="s">
        <v>117</v>
      </c>
      <c r="D163" t="s">
        <v>1256</v>
      </c>
      <c r="E163" t="s">
        <v>117</v>
      </c>
      <c r="F163" t="s">
        <v>586</v>
      </c>
      <c r="G163">
        <v>0.27300000000000002</v>
      </c>
      <c r="I163" t="s">
        <v>1379</v>
      </c>
      <c r="J163" t="s">
        <v>361</v>
      </c>
      <c r="K163" t="s">
        <v>361</v>
      </c>
      <c r="L163" t="s">
        <v>587</v>
      </c>
      <c r="M163" t="s">
        <v>2004</v>
      </c>
      <c r="N163" t="s">
        <v>49</v>
      </c>
      <c r="O163" t="s">
        <v>2004</v>
      </c>
    </row>
    <row r="164" spans="1:15" ht="15">
      <c r="A164" t="s">
        <v>580</v>
      </c>
      <c r="B164" t="s">
        <v>1189</v>
      </c>
      <c r="C164" t="s">
        <v>117</v>
      </c>
      <c r="D164" t="s">
        <v>1256</v>
      </c>
      <c r="E164" t="s">
        <v>117</v>
      </c>
      <c r="F164" t="s">
        <v>600</v>
      </c>
      <c r="G164">
        <v>0.40899999999999997</v>
      </c>
      <c r="I164" t="s">
        <v>1379</v>
      </c>
      <c r="J164" t="s">
        <v>361</v>
      </c>
      <c r="K164" t="s">
        <v>361</v>
      </c>
      <c r="L164" t="s">
        <v>601</v>
      </c>
      <c r="M164" t="s">
        <v>2004</v>
      </c>
      <c r="N164" t="s">
        <v>49</v>
      </c>
      <c r="O164" t="s">
        <v>2004</v>
      </c>
    </row>
    <row r="165" spans="1:15" ht="15">
      <c r="A165" t="s">
        <v>585</v>
      </c>
      <c r="B165" t="s">
        <v>1182</v>
      </c>
      <c r="C165" t="s">
        <v>71</v>
      </c>
      <c r="D165" t="s">
        <v>1243</v>
      </c>
      <c r="E165" t="s">
        <v>1365</v>
      </c>
      <c r="F165" t="s">
        <v>589</v>
      </c>
      <c r="G165">
        <v>0.53700000000000003</v>
      </c>
      <c r="H165" t="s">
        <v>1366</v>
      </c>
      <c r="I165" t="s">
        <v>1374</v>
      </c>
      <c r="J165" t="s">
        <v>361</v>
      </c>
      <c r="K165" t="s">
        <v>361</v>
      </c>
      <c r="L165" t="s">
        <v>1375</v>
      </c>
      <c r="M165" t="s">
        <v>2004</v>
      </c>
      <c r="N165" t="s">
        <v>1192</v>
      </c>
      <c r="O165" t="s">
        <v>49</v>
      </c>
    </row>
    <row r="166" spans="1:15" ht="15">
      <c r="A166" t="s">
        <v>585</v>
      </c>
      <c r="B166" t="s">
        <v>1182</v>
      </c>
      <c r="C166" t="s">
        <v>71</v>
      </c>
      <c r="D166" t="s">
        <v>1243</v>
      </c>
      <c r="E166" t="s">
        <v>1365</v>
      </c>
      <c r="F166" t="s">
        <v>602</v>
      </c>
      <c r="G166">
        <v>0.185</v>
      </c>
      <c r="H166" t="s">
        <v>1366</v>
      </c>
      <c r="I166" t="s">
        <v>1366</v>
      </c>
      <c r="J166" t="s">
        <v>361</v>
      </c>
      <c r="K166" t="s">
        <v>361</v>
      </c>
      <c r="L166" t="s">
        <v>1416</v>
      </c>
      <c r="M166" t="s">
        <v>2004</v>
      </c>
      <c r="N166" t="s">
        <v>1192</v>
      </c>
      <c r="O166" t="s">
        <v>49</v>
      </c>
    </row>
    <row r="167" spans="1:15" ht="15">
      <c r="A167" t="s">
        <v>585</v>
      </c>
      <c r="B167" t="s">
        <v>1182</v>
      </c>
      <c r="C167" t="s">
        <v>71</v>
      </c>
      <c r="D167" t="s">
        <v>1243</v>
      </c>
      <c r="E167" t="s">
        <v>1365</v>
      </c>
      <c r="F167" t="s">
        <v>613</v>
      </c>
      <c r="G167">
        <v>0</v>
      </c>
      <c r="H167" t="s">
        <v>1366</v>
      </c>
      <c r="I167" t="s">
        <v>1366</v>
      </c>
      <c r="J167" t="s">
        <v>361</v>
      </c>
      <c r="K167" t="s">
        <v>361</v>
      </c>
      <c r="L167" t="s">
        <v>1652</v>
      </c>
      <c r="M167" t="s">
        <v>2004</v>
      </c>
      <c r="N167" t="s">
        <v>1192</v>
      </c>
      <c r="O167" t="s">
        <v>49</v>
      </c>
    </row>
    <row r="168" spans="1:15" ht="15">
      <c r="A168" t="s">
        <v>580</v>
      </c>
      <c r="B168" t="s">
        <v>1182</v>
      </c>
      <c r="C168" t="s">
        <v>71</v>
      </c>
      <c r="D168" t="s">
        <v>1243</v>
      </c>
      <c r="E168" t="s">
        <v>1365</v>
      </c>
      <c r="F168" t="s">
        <v>637</v>
      </c>
      <c r="G168">
        <v>0.59699999999999998</v>
      </c>
      <c r="I168" t="s">
        <v>1367</v>
      </c>
      <c r="J168" t="s">
        <v>361</v>
      </c>
      <c r="K168" t="s">
        <v>361</v>
      </c>
      <c r="L168" t="s">
        <v>1286</v>
      </c>
      <c r="M168" t="s">
        <v>2004</v>
      </c>
      <c r="N168" t="s">
        <v>1192</v>
      </c>
      <c r="O168" t="s">
        <v>49</v>
      </c>
    </row>
    <row r="169" spans="1:15" ht="15">
      <c r="A169" t="s">
        <v>580</v>
      </c>
      <c r="B169" t="s">
        <v>1182</v>
      </c>
      <c r="C169" t="s">
        <v>17</v>
      </c>
      <c r="D169" t="s">
        <v>1183</v>
      </c>
      <c r="E169" t="s">
        <v>1184</v>
      </c>
      <c r="F169" t="s">
        <v>790</v>
      </c>
      <c r="G169">
        <v>0</v>
      </c>
      <c r="H169" t="s">
        <v>1653</v>
      </c>
      <c r="I169" t="s">
        <v>1654</v>
      </c>
      <c r="J169" t="s">
        <v>1182</v>
      </c>
      <c r="K169" t="s">
        <v>1216</v>
      </c>
      <c r="L169" t="s">
        <v>791</v>
      </c>
      <c r="M169" t="s">
        <v>2004</v>
      </c>
      <c r="N169" t="s">
        <v>2004</v>
      </c>
      <c r="O169" t="s">
        <v>49</v>
      </c>
    </row>
    <row r="170" spans="1:15" ht="15" customHeight="1">
      <c r="A170" t="s">
        <v>609</v>
      </c>
      <c r="B170" t="s">
        <v>1182</v>
      </c>
      <c r="C170" t="s">
        <v>17</v>
      </c>
      <c r="D170" t="s">
        <v>1183</v>
      </c>
      <c r="E170" t="s">
        <v>1184</v>
      </c>
      <c r="F170" t="s">
        <v>1519</v>
      </c>
      <c r="G170">
        <v>3.1E-2</v>
      </c>
      <c r="H170" t="s">
        <v>1520</v>
      </c>
      <c r="I170" t="s">
        <v>1521</v>
      </c>
      <c r="J170" t="s">
        <v>1182</v>
      </c>
      <c r="K170" t="s">
        <v>1216</v>
      </c>
      <c r="L170" t="s">
        <v>1522</v>
      </c>
      <c r="M170" t="s">
        <v>2004</v>
      </c>
      <c r="N170" t="s">
        <v>2004</v>
      </c>
      <c r="O170" t="s">
        <v>49</v>
      </c>
    </row>
    <row r="171" spans="1:15" ht="15" customHeight="1">
      <c r="A171" t="s">
        <v>609</v>
      </c>
      <c r="B171" t="s">
        <v>1182</v>
      </c>
      <c r="C171" t="s">
        <v>17</v>
      </c>
      <c r="D171" t="s">
        <v>1183</v>
      </c>
      <c r="E171" t="s">
        <v>1184</v>
      </c>
      <c r="F171" t="s">
        <v>1221</v>
      </c>
      <c r="G171">
        <v>68.841999999999999</v>
      </c>
      <c r="H171" t="s">
        <v>1222</v>
      </c>
      <c r="I171" t="s">
        <v>1477</v>
      </c>
      <c r="J171" t="s">
        <v>1182</v>
      </c>
      <c r="K171" t="s">
        <v>1216</v>
      </c>
      <c r="L171" t="s">
        <v>1224</v>
      </c>
      <c r="M171" t="s">
        <v>2004</v>
      </c>
      <c r="N171" t="s">
        <v>2004</v>
      </c>
      <c r="O171" t="s">
        <v>49</v>
      </c>
    </row>
    <row r="172" spans="1:15" ht="15" customHeight="1">
      <c r="A172" t="s">
        <v>609</v>
      </c>
      <c r="B172" t="s">
        <v>1182</v>
      </c>
      <c r="C172" t="s">
        <v>17</v>
      </c>
      <c r="D172" t="s">
        <v>1183</v>
      </c>
      <c r="E172" t="s">
        <v>1184</v>
      </c>
      <c r="F172" t="s">
        <v>1449</v>
      </c>
      <c r="G172">
        <v>0.108</v>
      </c>
      <c r="H172" t="s">
        <v>1450</v>
      </c>
      <c r="I172" t="s">
        <v>1451</v>
      </c>
      <c r="J172" t="s">
        <v>1182</v>
      </c>
      <c r="K172" t="s">
        <v>1216</v>
      </c>
      <c r="L172" t="s">
        <v>1452</v>
      </c>
      <c r="M172" t="s">
        <v>2004</v>
      </c>
      <c r="N172" t="s">
        <v>2004</v>
      </c>
      <c r="O172" t="s">
        <v>49</v>
      </c>
    </row>
    <row r="173" spans="1:15" ht="15" customHeight="1">
      <c r="A173" t="s">
        <v>609</v>
      </c>
      <c r="B173" t="s">
        <v>1182</v>
      </c>
      <c r="C173" t="s">
        <v>17</v>
      </c>
      <c r="D173" t="s">
        <v>1183</v>
      </c>
      <c r="E173" t="s">
        <v>1184</v>
      </c>
      <c r="F173" t="s">
        <v>1387</v>
      </c>
      <c r="G173">
        <v>0.35799999999999998</v>
      </c>
      <c r="H173" t="s">
        <v>1388</v>
      </c>
      <c r="I173" t="s">
        <v>1389</v>
      </c>
      <c r="J173" t="s">
        <v>1182</v>
      </c>
      <c r="K173" t="s">
        <v>1216</v>
      </c>
      <c r="L173" t="s">
        <v>1390</v>
      </c>
      <c r="M173" t="s">
        <v>2004</v>
      </c>
      <c r="N173" t="s">
        <v>2004</v>
      </c>
      <c r="O173" t="s">
        <v>49</v>
      </c>
    </row>
    <row r="174" spans="1:15" ht="15" customHeight="1">
      <c r="A174" t="s">
        <v>609</v>
      </c>
      <c r="B174" t="s">
        <v>1182</v>
      </c>
      <c r="C174" t="s">
        <v>17</v>
      </c>
      <c r="D174" t="s">
        <v>1183</v>
      </c>
      <c r="E174" t="s">
        <v>1184</v>
      </c>
      <c r="F174" t="s">
        <v>1655</v>
      </c>
      <c r="G174">
        <v>0</v>
      </c>
      <c r="H174" t="s">
        <v>1656</v>
      </c>
      <c r="I174" t="s">
        <v>1657</v>
      </c>
      <c r="J174" t="s">
        <v>1182</v>
      </c>
      <c r="K174" t="s">
        <v>1216</v>
      </c>
      <c r="L174" t="s">
        <v>1658</v>
      </c>
      <c r="M174" t="s">
        <v>2004</v>
      </c>
      <c r="N174" t="s">
        <v>2004</v>
      </c>
      <c r="O174" t="s">
        <v>49</v>
      </c>
    </row>
    <row r="175" spans="1:15" ht="15" customHeight="1">
      <c r="A175" t="s">
        <v>609</v>
      </c>
      <c r="B175" t="s">
        <v>1182</v>
      </c>
      <c r="C175" t="s">
        <v>17</v>
      </c>
      <c r="D175" t="s">
        <v>1183</v>
      </c>
      <c r="E175" t="s">
        <v>1184</v>
      </c>
      <c r="F175" t="s">
        <v>1329</v>
      </c>
      <c r="G175">
        <v>1.377</v>
      </c>
      <c r="H175" t="s">
        <v>1330</v>
      </c>
      <c r="I175" t="s">
        <v>1331</v>
      </c>
      <c r="J175" t="s">
        <v>1182</v>
      </c>
      <c r="K175" t="s">
        <v>1216</v>
      </c>
      <c r="L175" t="s">
        <v>2026</v>
      </c>
      <c r="M175" t="s">
        <v>2004</v>
      </c>
      <c r="N175" t="s">
        <v>2004</v>
      </c>
      <c r="O175" t="s">
        <v>49</v>
      </c>
    </row>
    <row r="176" spans="1:15" ht="15" customHeight="1">
      <c r="A176" t="s">
        <v>609</v>
      </c>
      <c r="B176" t="s">
        <v>1182</v>
      </c>
      <c r="C176" t="s">
        <v>17</v>
      </c>
      <c r="D176" t="s">
        <v>1183</v>
      </c>
      <c r="E176" t="s">
        <v>1184</v>
      </c>
      <c r="F176" t="s">
        <v>1659</v>
      </c>
      <c r="G176">
        <v>0</v>
      </c>
      <c r="H176" t="s">
        <v>1660</v>
      </c>
      <c r="I176" t="s">
        <v>2027</v>
      </c>
      <c r="J176" t="s">
        <v>1182</v>
      </c>
      <c r="K176" t="s">
        <v>1216</v>
      </c>
      <c r="L176" t="s">
        <v>1661</v>
      </c>
      <c r="M176" t="s">
        <v>2004</v>
      </c>
      <c r="N176" t="s">
        <v>2004</v>
      </c>
      <c r="O176" t="s">
        <v>49</v>
      </c>
    </row>
    <row r="177" spans="1:15" ht="15" customHeight="1">
      <c r="A177" t="s">
        <v>609</v>
      </c>
      <c r="B177" t="s">
        <v>1182</v>
      </c>
      <c r="C177" t="s">
        <v>17</v>
      </c>
      <c r="D177" t="s">
        <v>1183</v>
      </c>
      <c r="E177" t="s">
        <v>1184</v>
      </c>
      <c r="F177" t="s">
        <v>1588</v>
      </c>
      <c r="G177">
        <v>3.0000000000000001E-3</v>
      </c>
      <c r="H177" t="s">
        <v>1589</v>
      </c>
      <c r="I177" t="s">
        <v>1590</v>
      </c>
      <c r="J177" t="s">
        <v>1182</v>
      </c>
      <c r="K177" t="s">
        <v>1216</v>
      </c>
      <c r="L177" t="s">
        <v>1591</v>
      </c>
      <c r="M177" t="s">
        <v>2004</v>
      </c>
      <c r="N177" t="s">
        <v>2004</v>
      </c>
      <c r="O177" t="s">
        <v>49</v>
      </c>
    </row>
    <row r="178" spans="1:15" ht="15" customHeight="1">
      <c r="A178" t="s">
        <v>609</v>
      </c>
      <c r="B178" t="s">
        <v>1182</v>
      </c>
      <c r="C178" t="s">
        <v>17</v>
      </c>
      <c r="D178" t="s">
        <v>1183</v>
      </c>
      <c r="E178" t="s">
        <v>1184</v>
      </c>
      <c r="F178" t="s">
        <v>1550</v>
      </c>
      <c r="G178">
        <v>1.4999999999999999E-2</v>
      </c>
      <c r="H178" t="s">
        <v>1551</v>
      </c>
      <c r="I178" t="s">
        <v>1552</v>
      </c>
      <c r="J178" t="s">
        <v>1182</v>
      </c>
      <c r="K178" t="s">
        <v>1216</v>
      </c>
      <c r="L178" t="s">
        <v>1553</v>
      </c>
      <c r="M178" t="s">
        <v>2004</v>
      </c>
      <c r="N178" t="s">
        <v>2004</v>
      </c>
      <c r="O178" t="s">
        <v>49</v>
      </c>
    </row>
    <row r="179" spans="1:15" ht="15" customHeight="1">
      <c r="A179" t="s">
        <v>609</v>
      </c>
      <c r="B179" t="s">
        <v>1182</v>
      </c>
      <c r="C179" t="s">
        <v>17</v>
      </c>
      <c r="D179" t="s">
        <v>1183</v>
      </c>
      <c r="E179" t="s">
        <v>1184</v>
      </c>
      <c r="F179" t="s">
        <v>1566</v>
      </c>
      <c r="G179">
        <v>8.0000000000000002E-3</v>
      </c>
      <c r="H179" t="s">
        <v>1418</v>
      </c>
      <c r="I179" t="s">
        <v>1298</v>
      </c>
      <c r="J179" t="s">
        <v>1182</v>
      </c>
      <c r="K179" t="s">
        <v>1216</v>
      </c>
      <c r="L179" t="s">
        <v>1567</v>
      </c>
      <c r="M179" t="s">
        <v>2004</v>
      </c>
      <c r="N179" t="s">
        <v>2004</v>
      </c>
      <c r="O179" t="s">
        <v>49</v>
      </c>
    </row>
    <row r="180" spans="1:15" ht="15" customHeight="1">
      <c r="A180" t="s">
        <v>609</v>
      </c>
      <c r="B180" t="s">
        <v>1182</v>
      </c>
      <c r="C180" t="s">
        <v>17</v>
      </c>
      <c r="D180" t="s">
        <v>1183</v>
      </c>
      <c r="E180" t="s">
        <v>1184</v>
      </c>
      <c r="F180" t="s">
        <v>1475</v>
      </c>
      <c r="G180">
        <v>6.3E-2</v>
      </c>
      <c r="H180" t="s">
        <v>1476</v>
      </c>
      <c r="I180" t="s">
        <v>1477</v>
      </c>
      <c r="J180" t="s">
        <v>1182</v>
      </c>
      <c r="K180" t="s">
        <v>1216</v>
      </c>
      <c r="L180" t="s">
        <v>1478</v>
      </c>
      <c r="M180" t="s">
        <v>2004</v>
      </c>
      <c r="N180" t="s">
        <v>2004</v>
      </c>
      <c r="O180" t="s">
        <v>49</v>
      </c>
    </row>
    <row r="181" spans="1:15" ht="15" customHeight="1">
      <c r="A181" t="s">
        <v>609</v>
      </c>
      <c r="B181" t="s">
        <v>1182</v>
      </c>
      <c r="C181" t="s">
        <v>17</v>
      </c>
      <c r="D181" t="s">
        <v>1183</v>
      </c>
      <c r="E181" t="s">
        <v>1184</v>
      </c>
      <c r="F181" t="s">
        <v>1662</v>
      </c>
      <c r="G181">
        <v>0</v>
      </c>
      <c r="H181" t="s">
        <v>1663</v>
      </c>
      <c r="J181" t="s">
        <v>1182</v>
      </c>
      <c r="K181" t="s">
        <v>1216</v>
      </c>
      <c r="L181" t="s">
        <v>1664</v>
      </c>
      <c r="M181" t="s">
        <v>2004</v>
      </c>
      <c r="N181" t="s">
        <v>2004</v>
      </c>
      <c r="O181" t="s">
        <v>49</v>
      </c>
    </row>
    <row r="182" spans="1:15" ht="15" customHeight="1">
      <c r="A182" t="s">
        <v>1156</v>
      </c>
      <c r="B182" t="s">
        <v>1182</v>
      </c>
      <c r="C182" t="s">
        <v>17</v>
      </c>
      <c r="D182" t="s">
        <v>1183</v>
      </c>
      <c r="E182" t="s">
        <v>1184</v>
      </c>
      <c r="F182" t="s">
        <v>1592</v>
      </c>
      <c r="G182">
        <v>3.0000000000000001E-3</v>
      </c>
      <c r="H182" t="s">
        <v>2028</v>
      </c>
      <c r="I182" t="s">
        <v>1593</v>
      </c>
      <c r="J182" t="s">
        <v>1182</v>
      </c>
      <c r="K182" t="s">
        <v>1216</v>
      </c>
      <c r="M182" t="s">
        <v>1192</v>
      </c>
      <c r="N182" t="s">
        <v>1192</v>
      </c>
      <c r="O182" t="s">
        <v>49</v>
      </c>
    </row>
    <row r="183" spans="1:15" ht="15" customHeight="1">
      <c r="A183" t="s">
        <v>609</v>
      </c>
      <c r="B183" t="s">
        <v>1182</v>
      </c>
      <c r="C183" t="s">
        <v>17</v>
      </c>
      <c r="D183" t="s">
        <v>1183</v>
      </c>
      <c r="E183" t="s">
        <v>1184</v>
      </c>
      <c r="F183" t="s">
        <v>1198</v>
      </c>
      <c r="G183">
        <v>134.40199999999999</v>
      </c>
      <c r="H183" t="s">
        <v>1200</v>
      </c>
      <c r="I183" t="s">
        <v>361</v>
      </c>
      <c r="J183" t="s">
        <v>1189</v>
      </c>
      <c r="K183" t="s">
        <v>1202</v>
      </c>
      <c r="M183" t="s">
        <v>1192</v>
      </c>
      <c r="N183" t="s">
        <v>1192</v>
      </c>
      <c r="O183" t="s">
        <v>49</v>
      </c>
    </row>
    <row r="184" spans="1:15" ht="15">
      <c r="A184" t="s">
        <v>1156</v>
      </c>
      <c r="B184" t="s">
        <v>1182</v>
      </c>
      <c r="C184" t="s">
        <v>17</v>
      </c>
      <c r="D184" t="s">
        <v>1183</v>
      </c>
      <c r="E184" t="s">
        <v>1184</v>
      </c>
      <c r="F184" t="s">
        <v>1570</v>
      </c>
      <c r="G184">
        <v>7.0000000000000001E-3</v>
      </c>
      <c r="H184" t="s">
        <v>2029</v>
      </c>
      <c r="I184" t="s">
        <v>1298</v>
      </c>
      <c r="J184" t="s">
        <v>1182</v>
      </c>
      <c r="K184" t="s">
        <v>1216</v>
      </c>
      <c r="M184" t="s">
        <v>1192</v>
      </c>
      <c r="N184" t="s">
        <v>1192</v>
      </c>
      <c r="O184" t="s">
        <v>49</v>
      </c>
    </row>
    <row r="185" spans="1:15" ht="15">
      <c r="A185" t="s">
        <v>1156</v>
      </c>
      <c r="B185" t="s">
        <v>1182</v>
      </c>
      <c r="C185" t="s">
        <v>17</v>
      </c>
      <c r="D185" t="s">
        <v>1183</v>
      </c>
      <c r="E185" t="s">
        <v>1184</v>
      </c>
      <c r="F185" t="s">
        <v>1665</v>
      </c>
      <c r="G185">
        <v>0</v>
      </c>
      <c r="H185" t="s">
        <v>2030</v>
      </c>
      <c r="I185" t="s">
        <v>361</v>
      </c>
      <c r="J185" t="s">
        <v>1182</v>
      </c>
      <c r="K185" t="s">
        <v>1216</v>
      </c>
      <c r="M185" t="s">
        <v>1192</v>
      </c>
      <c r="N185" t="s">
        <v>1192</v>
      </c>
      <c r="O185" t="s">
        <v>49</v>
      </c>
    </row>
    <row r="186" spans="1:15" ht="15">
      <c r="A186" t="s">
        <v>1156</v>
      </c>
      <c r="B186" t="s">
        <v>1182</v>
      </c>
      <c r="C186" t="s">
        <v>17</v>
      </c>
      <c r="D186" t="s">
        <v>1183</v>
      </c>
      <c r="E186" t="s">
        <v>1184</v>
      </c>
      <c r="F186" t="s">
        <v>1362</v>
      </c>
      <c r="G186">
        <v>0.61799999999999999</v>
      </c>
      <c r="H186" t="s">
        <v>1363</v>
      </c>
      <c r="I186" t="s">
        <v>1363</v>
      </c>
      <c r="J186" t="s">
        <v>1182</v>
      </c>
      <c r="K186" t="s">
        <v>1216</v>
      </c>
      <c r="M186" t="s">
        <v>1192</v>
      </c>
      <c r="N186" t="s">
        <v>1192</v>
      </c>
      <c r="O186" t="s">
        <v>49</v>
      </c>
    </row>
    <row r="187" spans="1:15" ht="15" customHeight="1">
      <c r="A187" t="s">
        <v>1156</v>
      </c>
      <c r="B187" t="s">
        <v>1182</v>
      </c>
      <c r="C187" t="s">
        <v>17</v>
      </c>
      <c r="D187" t="s">
        <v>1183</v>
      </c>
      <c r="E187" t="s">
        <v>1184</v>
      </c>
      <c r="F187" t="s">
        <v>1557</v>
      </c>
      <c r="G187">
        <v>1.2999999999999999E-2</v>
      </c>
      <c r="H187" t="s">
        <v>1330</v>
      </c>
      <c r="I187" t="s">
        <v>1558</v>
      </c>
      <c r="J187" t="s">
        <v>1182</v>
      </c>
      <c r="K187" t="s">
        <v>1216</v>
      </c>
      <c r="M187" t="s">
        <v>1192</v>
      </c>
      <c r="N187" t="s">
        <v>1192</v>
      </c>
      <c r="O187" t="s">
        <v>49</v>
      </c>
    </row>
    <row r="188" spans="1:15" ht="15" customHeight="1">
      <c r="A188" t="s">
        <v>1156</v>
      </c>
      <c r="B188" t="s">
        <v>1182</v>
      </c>
      <c r="C188" t="s">
        <v>17</v>
      </c>
      <c r="D188" t="s">
        <v>1183</v>
      </c>
      <c r="E188" t="s">
        <v>1184</v>
      </c>
      <c r="F188" t="s">
        <v>1534</v>
      </c>
      <c r="G188">
        <v>2.5999999999999999E-2</v>
      </c>
      <c r="H188" t="s">
        <v>2031</v>
      </c>
      <c r="I188" t="s">
        <v>1298</v>
      </c>
      <c r="J188" t="s">
        <v>1182</v>
      </c>
      <c r="K188" t="s">
        <v>1216</v>
      </c>
      <c r="M188" t="s">
        <v>1192</v>
      </c>
      <c r="N188" t="s">
        <v>1192</v>
      </c>
      <c r="O188" t="s">
        <v>49</v>
      </c>
    </row>
    <row r="189" spans="1:15" ht="15" customHeight="1">
      <c r="A189" t="s">
        <v>1156</v>
      </c>
      <c r="B189" t="s">
        <v>1182</v>
      </c>
      <c r="C189" t="s">
        <v>17</v>
      </c>
      <c r="D189" t="s">
        <v>1183</v>
      </c>
      <c r="E189" t="s">
        <v>1184</v>
      </c>
      <c r="F189" t="s">
        <v>1411</v>
      </c>
      <c r="G189">
        <v>0.22</v>
      </c>
      <c r="H189" t="s">
        <v>1412</v>
      </c>
      <c r="I189" t="s">
        <v>1413</v>
      </c>
      <c r="J189" t="s">
        <v>1182</v>
      </c>
      <c r="K189" t="s">
        <v>1216</v>
      </c>
      <c r="M189" t="s">
        <v>1192</v>
      </c>
      <c r="N189" t="s">
        <v>1192</v>
      </c>
      <c r="O189" t="s">
        <v>49</v>
      </c>
    </row>
    <row r="190" spans="1:15" ht="15" customHeight="1">
      <c r="A190" t="s">
        <v>1156</v>
      </c>
      <c r="B190" t="s">
        <v>1182</v>
      </c>
      <c r="C190" t="s">
        <v>17</v>
      </c>
      <c r="D190" t="s">
        <v>1183</v>
      </c>
      <c r="E190" t="s">
        <v>1184</v>
      </c>
      <c r="F190" t="s">
        <v>1666</v>
      </c>
      <c r="G190">
        <v>0</v>
      </c>
      <c r="H190" t="s">
        <v>2032</v>
      </c>
      <c r="I190" t="s">
        <v>1667</v>
      </c>
      <c r="J190" t="s">
        <v>1182</v>
      </c>
      <c r="K190" t="s">
        <v>1216</v>
      </c>
      <c r="M190" t="s">
        <v>1192</v>
      </c>
      <c r="N190" t="s">
        <v>1192</v>
      </c>
      <c r="O190" t="s">
        <v>49</v>
      </c>
    </row>
    <row r="191" spans="1:15" ht="15" customHeight="1">
      <c r="A191" t="s">
        <v>1156</v>
      </c>
      <c r="B191" t="s">
        <v>1182</v>
      </c>
      <c r="C191" t="s">
        <v>17</v>
      </c>
      <c r="D191" t="s">
        <v>1183</v>
      </c>
      <c r="E191" t="s">
        <v>1184</v>
      </c>
      <c r="F191" t="s">
        <v>1391</v>
      </c>
      <c r="G191">
        <v>0.35799999999999998</v>
      </c>
      <c r="H191" t="s">
        <v>1392</v>
      </c>
      <c r="I191" t="s">
        <v>1392</v>
      </c>
      <c r="J191" t="s">
        <v>1182</v>
      </c>
      <c r="K191" t="s">
        <v>1216</v>
      </c>
      <c r="M191" t="s">
        <v>1192</v>
      </c>
      <c r="N191" t="s">
        <v>1192</v>
      </c>
      <c r="O191" t="s">
        <v>49</v>
      </c>
    </row>
    <row r="192" spans="1:15" ht="15" customHeight="1">
      <c r="A192" t="s">
        <v>1156</v>
      </c>
      <c r="B192" t="s">
        <v>1182</v>
      </c>
      <c r="C192" t="s">
        <v>17</v>
      </c>
      <c r="D192" t="s">
        <v>1183</v>
      </c>
      <c r="E192" t="s">
        <v>1184</v>
      </c>
      <c r="F192" t="s">
        <v>1499</v>
      </c>
      <c r="G192">
        <v>4.2999999999999997E-2</v>
      </c>
      <c r="H192" t="s">
        <v>1500</v>
      </c>
      <c r="I192" t="s">
        <v>1501</v>
      </c>
      <c r="J192" t="s">
        <v>1182</v>
      </c>
      <c r="K192" t="s">
        <v>1216</v>
      </c>
      <c r="M192" t="s">
        <v>1192</v>
      </c>
      <c r="N192" t="s">
        <v>1192</v>
      </c>
      <c r="O192" t="s">
        <v>49</v>
      </c>
    </row>
    <row r="193" spans="1:15" ht="15" customHeight="1">
      <c r="A193" t="s">
        <v>1156</v>
      </c>
      <c r="B193" t="s">
        <v>1182</v>
      </c>
      <c r="C193" t="s">
        <v>17</v>
      </c>
      <c r="D193" t="s">
        <v>1183</v>
      </c>
      <c r="E193" t="s">
        <v>1184</v>
      </c>
      <c r="F193" t="s">
        <v>1528</v>
      </c>
      <c r="G193">
        <v>2.9000000000000001E-2</v>
      </c>
      <c r="H193" t="s">
        <v>2033</v>
      </c>
      <c r="I193" t="s">
        <v>1529</v>
      </c>
      <c r="J193" t="s">
        <v>1182</v>
      </c>
      <c r="K193" t="s">
        <v>1216</v>
      </c>
      <c r="M193" t="s">
        <v>1192</v>
      </c>
      <c r="N193" t="s">
        <v>1192</v>
      </c>
      <c r="O193" t="s">
        <v>49</v>
      </c>
    </row>
    <row r="194" spans="1:15" ht="15" customHeight="1">
      <c r="A194" t="s">
        <v>1156</v>
      </c>
      <c r="B194" t="s">
        <v>1182</v>
      </c>
      <c r="C194" t="s">
        <v>17</v>
      </c>
      <c r="D194" t="s">
        <v>1183</v>
      </c>
      <c r="E194" t="s">
        <v>1184</v>
      </c>
      <c r="F194" t="s">
        <v>1563</v>
      </c>
      <c r="G194">
        <v>0.01</v>
      </c>
      <c r="H194" t="s">
        <v>2034</v>
      </c>
      <c r="I194" t="s">
        <v>361</v>
      </c>
      <c r="J194" t="s">
        <v>1182</v>
      </c>
      <c r="K194" t="s">
        <v>1216</v>
      </c>
      <c r="M194" t="s">
        <v>1192</v>
      </c>
      <c r="N194" t="s">
        <v>1192</v>
      </c>
      <c r="O194" t="s">
        <v>49</v>
      </c>
    </row>
    <row r="195" spans="1:15" ht="15" customHeight="1">
      <c r="A195" t="s">
        <v>1156</v>
      </c>
      <c r="B195" t="s">
        <v>1182</v>
      </c>
      <c r="C195" t="s">
        <v>17</v>
      </c>
      <c r="D195" t="s">
        <v>1183</v>
      </c>
      <c r="E195" t="s">
        <v>1184</v>
      </c>
      <c r="F195" t="s">
        <v>1424</v>
      </c>
      <c r="G195">
        <v>0.16700000000000001</v>
      </c>
      <c r="H195" t="s">
        <v>1425</v>
      </c>
      <c r="I195" t="s">
        <v>1426</v>
      </c>
      <c r="J195" t="s">
        <v>1182</v>
      </c>
      <c r="K195" t="s">
        <v>1216</v>
      </c>
      <c r="M195" t="s">
        <v>1192</v>
      </c>
      <c r="N195" t="s">
        <v>1192</v>
      </c>
      <c r="O195" t="s">
        <v>49</v>
      </c>
    </row>
    <row r="196" spans="1:15" ht="15" customHeight="1">
      <c r="A196" t="s">
        <v>1156</v>
      </c>
      <c r="B196" t="s">
        <v>1182</v>
      </c>
      <c r="C196" t="s">
        <v>17</v>
      </c>
      <c r="D196" t="s">
        <v>1183</v>
      </c>
      <c r="E196" t="s">
        <v>1184</v>
      </c>
      <c r="F196" t="s">
        <v>1502</v>
      </c>
      <c r="G196">
        <v>3.6999999999999998E-2</v>
      </c>
      <c r="H196" t="s">
        <v>1503</v>
      </c>
      <c r="I196" t="s">
        <v>1504</v>
      </c>
      <c r="J196" t="s">
        <v>1182</v>
      </c>
      <c r="K196" t="s">
        <v>1216</v>
      </c>
      <c r="M196" t="s">
        <v>1192</v>
      </c>
      <c r="N196" t="s">
        <v>1192</v>
      </c>
      <c r="O196" t="s">
        <v>49</v>
      </c>
    </row>
    <row r="197" spans="1:15" ht="15">
      <c r="A197" t="s">
        <v>1156</v>
      </c>
      <c r="B197" t="s">
        <v>1182</v>
      </c>
      <c r="C197" t="s">
        <v>36</v>
      </c>
      <c r="D197" t="s">
        <v>1183</v>
      </c>
      <c r="E197" t="s">
        <v>2016</v>
      </c>
      <c r="F197" t="s">
        <v>1668</v>
      </c>
      <c r="G197">
        <v>0</v>
      </c>
      <c r="H197" t="s">
        <v>2035</v>
      </c>
      <c r="I197" t="s">
        <v>1669</v>
      </c>
      <c r="J197" t="s">
        <v>1182</v>
      </c>
      <c r="K197" t="s">
        <v>1216</v>
      </c>
      <c r="M197" t="s">
        <v>1192</v>
      </c>
      <c r="N197" t="s">
        <v>1192</v>
      </c>
      <c r="O197" t="s">
        <v>49</v>
      </c>
    </row>
    <row r="198" spans="1:15" ht="15">
      <c r="A198" t="s">
        <v>1156</v>
      </c>
      <c r="B198" t="s">
        <v>1182</v>
      </c>
      <c r="C198" t="s">
        <v>36</v>
      </c>
      <c r="D198" t="s">
        <v>1183</v>
      </c>
      <c r="E198" t="s">
        <v>2016</v>
      </c>
      <c r="F198" t="s">
        <v>1603</v>
      </c>
      <c r="G198">
        <v>2E-3</v>
      </c>
      <c r="H198" t="s">
        <v>2036</v>
      </c>
      <c r="I198" t="s">
        <v>1604</v>
      </c>
      <c r="J198" t="s">
        <v>1182</v>
      </c>
      <c r="K198" t="s">
        <v>1216</v>
      </c>
      <c r="M198" t="s">
        <v>2004</v>
      </c>
      <c r="N198" t="s">
        <v>1192</v>
      </c>
      <c r="O198" t="s">
        <v>49</v>
      </c>
    </row>
    <row r="199" spans="1:15" ht="15">
      <c r="A199" t="s">
        <v>1156</v>
      </c>
      <c r="B199" t="s">
        <v>1182</v>
      </c>
      <c r="C199" t="s">
        <v>36</v>
      </c>
      <c r="D199" t="s">
        <v>1183</v>
      </c>
      <c r="E199" t="s">
        <v>2016</v>
      </c>
      <c r="F199" t="s">
        <v>1465</v>
      </c>
      <c r="G199">
        <v>7.3999999999999996E-2</v>
      </c>
      <c r="H199" t="s">
        <v>1466</v>
      </c>
      <c r="I199" t="s">
        <v>1467</v>
      </c>
      <c r="J199" t="s">
        <v>1182</v>
      </c>
      <c r="K199" t="s">
        <v>1216</v>
      </c>
      <c r="M199" t="s">
        <v>1192</v>
      </c>
      <c r="N199" t="s">
        <v>1192</v>
      </c>
      <c r="O199" t="s">
        <v>49</v>
      </c>
    </row>
    <row r="200" spans="1:15" ht="15">
      <c r="A200" t="s">
        <v>1156</v>
      </c>
      <c r="B200" t="s">
        <v>1182</v>
      </c>
      <c r="C200" t="s">
        <v>36</v>
      </c>
      <c r="D200" t="s">
        <v>1183</v>
      </c>
      <c r="E200" t="s">
        <v>2016</v>
      </c>
      <c r="F200" t="s">
        <v>1605</v>
      </c>
      <c r="G200">
        <v>2E-3</v>
      </c>
      <c r="H200" t="s">
        <v>2037</v>
      </c>
      <c r="I200" t="s">
        <v>1606</v>
      </c>
      <c r="J200" t="s">
        <v>1182</v>
      </c>
      <c r="K200" t="s">
        <v>1216</v>
      </c>
      <c r="M200" t="s">
        <v>1192</v>
      </c>
      <c r="N200" t="s">
        <v>1192</v>
      </c>
      <c r="O200" t="s">
        <v>49</v>
      </c>
    </row>
    <row r="201" spans="1:15" ht="15">
      <c r="A201" t="s">
        <v>1156</v>
      </c>
      <c r="B201" t="s">
        <v>1182</v>
      </c>
      <c r="C201" t="s">
        <v>36</v>
      </c>
      <c r="D201" t="s">
        <v>1183</v>
      </c>
      <c r="E201" t="s">
        <v>2016</v>
      </c>
      <c r="F201" t="s">
        <v>1670</v>
      </c>
      <c r="G201">
        <v>0</v>
      </c>
      <c r="H201" t="s">
        <v>2038</v>
      </c>
      <c r="I201" t="s">
        <v>361</v>
      </c>
      <c r="J201" t="s">
        <v>1182</v>
      </c>
      <c r="K201" t="s">
        <v>1216</v>
      </c>
      <c r="M201" t="s">
        <v>1192</v>
      </c>
      <c r="N201" t="s">
        <v>1192</v>
      </c>
      <c r="O201" t="s">
        <v>49</v>
      </c>
    </row>
    <row r="202" spans="1:15" ht="15">
      <c r="A202" t="s">
        <v>1156</v>
      </c>
      <c r="B202" t="s">
        <v>1182</v>
      </c>
      <c r="C202" t="s">
        <v>36</v>
      </c>
      <c r="D202" t="s">
        <v>1183</v>
      </c>
      <c r="E202" t="s">
        <v>2016</v>
      </c>
      <c r="F202" t="s">
        <v>1671</v>
      </c>
      <c r="G202">
        <v>0</v>
      </c>
      <c r="H202" t="s">
        <v>2030</v>
      </c>
      <c r="I202" t="s">
        <v>361</v>
      </c>
      <c r="J202" t="s">
        <v>1182</v>
      </c>
      <c r="K202" t="s">
        <v>1216</v>
      </c>
      <c r="M202" t="s">
        <v>1192</v>
      </c>
      <c r="N202" t="s">
        <v>1192</v>
      </c>
      <c r="O202" t="s">
        <v>49</v>
      </c>
    </row>
    <row r="203" spans="1:15" ht="15">
      <c r="A203" t="s">
        <v>1156</v>
      </c>
      <c r="B203" t="s">
        <v>1182</v>
      </c>
      <c r="C203" t="s">
        <v>36</v>
      </c>
      <c r="D203" t="s">
        <v>1183</v>
      </c>
      <c r="E203" t="s">
        <v>2016</v>
      </c>
      <c r="F203" t="s">
        <v>1672</v>
      </c>
      <c r="G203">
        <v>0</v>
      </c>
      <c r="H203" t="s">
        <v>2039</v>
      </c>
      <c r="I203" t="s">
        <v>361</v>
      </c>
      <c r="J203" t="s">
        <v>361</v>
      </c>
      <c r="K203" t="s">
        <v>1673</v>
      </c>
      <c r="M203" t="s">
        <v>1192</v>
      </c>
      <c r="N203" t="s">
        <v>1192</v>
      </c>
      <c r="O203" t="s">
        <v>49</v>
      </c>
    </row>
    <row r="204" spans="1:15" ht="15">
      <c r="A204" t="s">
        <v>1156</v>
      </c>
      <c r="B204" t="s">
        <v>1182</v>
      </c>
      <c r="C204" t="s">
        <v>36</v>
      </c>
      <c r="D204" t="s">
        <v>1183</v>
      </c>
      <c r="E204" t="s">
        <v>2016</v>
      </c>
      <c r="F204" t="s">
        <v>1721</v>
      </c>
      <c r="H204" t="s">
        <v>1722</v>
      </c>
      <c r="I204" t="s">
        <v>1723</v>
      </c>
      <c r="J204" t="s">
        <v>1189</v>
      </c>
      <c r="K204" t="s">
        <v>1190</v>
      </c>
      <c r="M204" t="s">
        <v>1192</v>
      </c>
      <c r="N204" t="s">
        <v>1192</v>
      </c>
      <c r="O204" t="s">
        <v>49</v>
      </c>
    </row>
    <row r="205" spans="1:15" ht="15">
      <c r="A205" t="s">
        <v>1156</v>
      </c>
      <c r="B205" t="s">
        <v>1182</v>
      </c>
      <c r="C205" t="s">
        <v>36</v>
      </c>
      <c r="D205" t="s">
        <v>1183</v>
      </c>
      <c r="E205" t="s">
        <v>2016</v>
      </c>
      <c r="F205" t="s">
        <v>1561</v>
      </c>
      <c r="G205">
        <v>1.0999999999999999E-2</v>
      </c>
      <c r="H205" t="s">
        <v>2040</v>
      </c>
      <c r="I205" t="s">
        <v>1562</v>
      </c>
      <c r="J205" t="s">
        <v>1182</v>
      </c>
      <c r="K205" t="s">
        <v>1216</v>
      </c>
      <c r="M205" t="s">
        <v>2004</v>
      </c>
      <c r="N205" t="s">
        <v>1192</v>
      </c>
      <c r="O205" t="s">
        <v>49</v>
      </c>
    </row>
    <row r="206" spans="1:15" ht="15">
      <c r="A206" t="s">
        <v>1156</v>
      </c>
      <c r="B206" t="s">
        <v>1182</v>
      </c>
      <c r="C206" t="s">
        <v>36</v>
      </c>
      <c r="D206" t="s">
        <v>1183</v>
      </c>
      <c r="E206" t="s">
        <v>2016</v>
      </c>
      <c r="F206" t="s">
        <v>1674</v>
      </c>
      <c r="G206">
        <v>0</v>
      </c>
      <c r="H206" t="s">
        <v>2041</v>
      </c>
      <c r="I206" t="s">
        <v>1675</v>
      </c>
      <c r="J206" t="s">
        <v>1182</v>
      </c>
      <c r="K206" t="s">
        <v>1216</v>
      </c>
      <c r="M206" t="s">
        <v>2004</v>
      </c>
      <c r="N206" t="s">
        <v>1192</v>
      </c>
      <c r="O206" t="s">
        <v>49</v>
      </c>
    </row>
    <row r="207" spans="1:15" ht="15">
      <c r="A207" t="s">
        <v>1156</v>
      </c>
      <c r="B207" t="s">
        <v>1182</v>
      </c>
      <c r="C207" t="s">
        <v>36</v>
      </c>
      <c r="D207" t="s">
        <v>1183</v>
      </c>
      <c r="E207" t="s">
        <v>2016</v>
      </c>
      <c r="F207" t="s">
        <v>1676</v>
      </c>
      <c r="G207">
        <v>0</v>
      </c>
      <c r="H207" t="s">
        <v>2042</v>
      </c>
      <c r="I207" t="s">
        <v>1677</v>
      </c>
      <c r="J207" t="s">
        <v>1189</v>
      </c>
      <c r="K207" t="s">
        <v>1216</v>
      </c>
      <c r="M207" t="s">
        <v>2004</v>
      </c>
      <c r="N207" t="s">
        <v>1192</v>
      </c>
      <c r="O207" t="s">
        <v>49</v>
      </c>
    </row>
    <row r="208" spans="1:15" ht="15">
      <c r="A208" t="s">
        <v>1156</v>
      </c>
      <c r="B208" t="s">
        <v>1182</v>
      </c>
      <c r="C208" t="s">
        <v>36</v>
      </c>
      <c r="D208" t="s">
        <v>1183</v>
      </c>
      <c r="E208" t="s">
        <v>2016</v>
      </c>
      <c r="F208" t="s">
        <v>1594</v>
      </c>
      <c r="G208">
        <v>3.0000000000000001E-3</v>
      </c>
      <c r="H208" t="s">
        <v>2043</v>
      </c>
      <c r="I208" t="s">
        <v>1512</v>
      </c>
      <c r="J208" t="s">
        <v>1189</v>
      </c>
      <c r="K208" t="s">
        <v>1216</v>
      </c>
      <c r="M208" t="s">
        <v>1192</v>
      </c>
      <c r="N208" t="s">
        <v>1192</v>
      </c>
      <c r="O208" t="s">
        <v>49</v>
      </c>
    </row>
    <row r="209" spans="1:15" ht="15">
      <c r="A209" t="s">
        <v>1156</v>
      </c>
      <c r="B209" t="s">
        <v>1182</v>
      </c>
      <c r="C209" t="s">
        <v>36</v>
      </c>
      <c r="D209" t="s">
        <v>1183</v>
      </c>
      <c r="E209" t="s">
        <v>2016</v>
      </c>
      <c r="F209" t="s">
        <v>1511</v>
      </c>
      <c r="G209">
        <v>3.4000000000000002E-2</v>
      </c>
      <c r="H209" t="s">
        <v>2044</v>
      </c>
      <c r="I209" t="s">
        <v>1512</v>
      </c>
      <c r="J209" t="s">
        <v>1189</v>
      </c>
      <c r="K209" t="s">
        <v>1216</v>
      </c>
      <c r="M209" t="s">
        <v>2004</v>
      </c>
      <c r="N209" t="s">
        <v>1192</v>
      </c>
      <c r="O209" t="s">
        <v>49</v>
      </c>
    </row>
    <row r="210" spans="1:15" ht="15">
      <c r="A210" t="s">
        <v>1156</v>
      </c>
      <c r="B210" t="s">
        <v>1182</v>
      </c>
      <c r="C210" t="s">
        <v>36</v>
      </c>
      <c r="D210" t="s">
        <v>1183</v>
      </c>
      <c r="E210" t="s">
        <v>2016</v>
      </c>
      <c r="F210" t="s">
        <v>1678</v>
      </c>
      <c r="G210">
        <v>0</v>
      </c>
      <c r="H210" t="s">
        <v>2045</v>
      </c>
      <c r="I210" t="s">
        <v>1679</v>
      </c>
      <c r="J210" t="s">
        <v>1182</v>
      </c>
      <c r="K210" t="s">
        <v>1216</v>
      </c>
      <c r="M210" t="s">
        <v>2004</v>
      </c>
      <c r="N210" t="s">
        <v>1192</v>
      </c>
      <c r="O210" t="s">
        <v>49</v>
      </c>
    </row>
    <row r="211" spans="1:15" ht="15">
      <c r="A211" t="s">
        <v>1156</v>
      </c>
      <c r="B211" t="s">
        <v>1182</v>
      </c>
      <c r="C211" t="s">
        <v>36</v>
      </c>
      <c r="D211" t="s">
        <v>1183</v>
      </c>
      <c r="E211" t="s">
        <v>2016</v>
      </c>
      <c r="F211" t="s">
        <v>1625</v>
      </c>
      <c r="G211">
        <v>1E-3</v>
      </c>
      <c r="H211" t="s">
        <v>1626</v>
      </c>
      <c r="I211" t="s">
        <v>1626</v>
      </c>
      <c r="J211" t="s">
        <v>1182</v>
      </c>
      <c r="K211" t="s">
        <v>1216</v>
      </c>
      <c r="M211" t="s">
        <v>2004</v>
      </c>
      <c r="N211" t="s">
        <v>1192</v>
      </c>
      <c r="O211" t="s">
        <v>49</v>
      </c>
    </row>
    <row r="212" spans="1:15" ht="15">
      <c r="A212" t="s">
        <v>1156</v>
      </c>
      <c r="B212" t="s">
        <v>1182</v>
      </c>
      <c r="C212" t="s">
        <v>36</v>
      </c>
      <c r="D212" t="s">
        <v>1183</v>
      </c>
      <c r="E212" t="s">
        <v>2016</v>
      </c>
      <c r="F212" t="s">
        <v>1595</v>
      </c>
      <c r="G212">
        <v>3.0000000000000001E-3</v>
      </c>
      <c r="H212" t="s">
        <v>2046</v>
      </c>
      <c r="I212" t="s">
        <v>1596</v>
      </c>
      <c r="J212" t="s">
        <v>1182</v>
      </c>
      <c r="K212" t="s">
        <v>1216</v>
      </c>
      <c r="M212" t="s">
        <v>2004</v>
      </c>
      <c r="N212" t="s">
        <v>1192</v>
      </c>
      <c r="O212" t="s">
        <v>49</v>
      </c>
    </row>
    <row r="213" spans="1:15" ht="15">
      <c r="A213" t="s">
        <v>1156</v>
      </c>
      <c r="B213" t="s">
        <v>1182</v>
      </c>
      <c r="C213" t="s">
        <v>36</v>
      </c>
      <c r="D213" t="s">
        <v>1183</v>
      </c>
      <c r="E213" t="s">
        <v>2016</v>
      </c>
      <c r="F213" t="s">
        <v>1680</v>
      </c>
      <c r="G213">
        <v>0</v>
      </c>
      <c r="H213" t="s">
        <v>2047</v>
      </c>
      <c r="I213" t="s">
        <v>361</v>
      </c>
      <c r="J213" t="s">
        <v>1182</v>
      </c>
      <c r="K213" t="s">
        <v>1216</v>
      </c>
      <c r="M213" t="s">
        <v>1192</v>
      </c>
      <c r="N213" t="s">
        <v>1192</v>
      </c>
      <c r="O213" t="s">
        <v>49</v>
      </c>
    </row>
    <row r="214" spans="1:15" ht="15">
      <c r="A214" t="s">
        <v>1156</v>
      </c>
      <c r="B214" t="s">
        <v>1182</v>
      </c>
      <c r="C214" t="s">
        <v>36</v>
      </c>
      <c r="D214" t="s">
        <v>1183</v>
      </c>
      <c r="E214" t="s">
        <v>2016</v>
      </c>
      <c r="F214" t="s">
        <v>1435</v>
      </c>
      <c r="G214">
        <v>0.128</v>
      </c>
      <c r="H214" t="s">
        <v>1437</v>
      </c>
      <c r="I214" t="s">
        <v>1438</v>
      </c>
      <c r="J214" t="s">
        <v>1182</v>
      </c>
      <c r="K214" t="s">
        <v>1216</v>
      </c>
      <c r="M214" t="s">
        <v>2004</v>
      </c>
      <c r="N214" t="s">
        <v>1192</v>
      </c>
      <c r="O214" t="s">
        <v>49</v>
      </c>
    </row>
    <row r="215" spans="1:15" ht="15">
      <c r="A215" t="s">
        <v>1156</v>
      </c>
      <c r="B215" t="s">
        <v>1182</v>
      </c>
      <c r="C215" t="s">
        <v>36</v>
      </c>
      <c r="D215" t="s">
        <v>1183</v>
      </c>
      <c r="E215" t="s">
        <v>2016</v>
      </c>
      <c r="F215" t="s">
        <v>1681</v>
      </c>
      <c r="G215">
        <v>0</v>
      </c>
      <c r="H215" t="s">
        <v>2041</v>
      </c>
      <c r="I215" t="s">
        <v>1682</v>
      </c>
      <c r="J215" t="s">
        <v>1182</v>
      </c>
      <c r="K215" t="s">
        <v>1216</v>
      </c>
      <c r="M215" t="s">
        <v>2004</v>
      </c>
      <c r="N215" t="s">
        <v>1192</v>
      </c>
      <c r="O215" t="s">
        <v>49</v>
      </c>
    </row>
    <row r="216" spans="1:15" ht="15">
      <c r="A216" t="s">
        <v>1156</v>
      </c>
      <c r="B216" t="s">
        <v>1182</v>
      </c>
      <c r="C216" t="s">
        <v>36</v>
      </c>
      <c r="D216" t="s">
        <v>1183</v>
      </c>
      <c r="E216" t="s">
        <v>2016</v>
      </c>
      <c r="F216" t="s">
        <v>1683</v>
      </c>
      <c r="G216">
        <v>0</v>
      </c>
      <c r="H216" t="s">
        <v>2041</v>
      </c>
      <c r="I216" t="s">
        <v>1682</v>
      </c>
      <c r="J216" t="s">
        <v>1182</v>
      </c>
      <c r="K216" t="s">
        <v>1216</v>
      </c>
      <c r="M216" t="s">
        <v>2004</v>
      </c>
      <c r="N216" t="s">
        <v>1192</v>
      </c>
      <c r="O216" t="s">
        <v>49</v>
      </c>
    </row>
    <row r="217" spans="1:15" ht="15">
      <c r="A217" t="s">
        <v>1156</v>
      </c>
      <c r="B217" t="s">
        <v>1182</v>
      </c>
      <c r="C217" t="s">
        <v>36</v>
      </c>
      <c r="D217" t="s">
        <v>1183</v>
      </c>
      <c r="E217" t="s">
        <v>2016</v>
      </c>
      <c r="F217" t="s">
        <v>1607</v>
      </c>
      <c r="G217">
        <v>2E-3</v>
      </c>
      <c r="H217" t="s">
        <v>2048</v>
      </c>
      <c r="I217" t="s">
        <v>1608</v>
      </c>
      <c r="J217" t="s">
        <v>1189</v>
      </c>
      <c r="K217" t="s">
        <v>1190</v>
      </c>
      <c r="M217" t="s">
        <v>2004</v>
      </c>
      <c r="N217" t="s">
        <v>1192</v>
      </c>
      <c r="O217" t="s">
        <v>49</v>
      </c>
    </row>
    <row r="218" spans="1:15" ht="15">
      <c r="A218" t="s">
        <v>1156</v>
      </c>
      <c r="B218" t="s">
        <v>1182</v>
      </c>
      <c r="C218" t="s">
        <v>36</v>
      </c>
      <c r="D218" t="s">
        <v>1183</v>
      </c>
      <c r="E218" t="s">
        <v>2016</v>
      </c>
      <c r="F218" t="s">
        <v>1609</v>
      </c>
      <c r="G218">
        <v>2E-3</v>
      </c>
      <c r="H218" t="s">
        <v>2049</v>
      </c>
      <c r="I218" t="s">
        <v>1555</v>
      </c>
      <c r="J218" t="s">
        <v>1182</v>
      </c>
      <c r="K218" t="s">
        <v>1216</v>
      </c>
      <c r="M218" t="s">
        <v>2004</v>
      </c>
      <c r="N218" t="s">
        <v>1192</v>
      </c>
      <c r="O218" t="s">
        <v>49</v>
      </c>
    </row>
    <row r="219" spans="1:15" ht="15">
      <c r="A219" t="s">
        <v>1156</v>
      </c>
      <c r="B219" t="s">
        <v>1189</v>
      </c>
      <c r="C219" t="s">
        <v>57</v>
      </c>
      <c r="D219" t="s">
        <v>1236</v>
      </c>
      <c r="E219" t="s">
        <v>1237</v>
      </c>
      <c r="F219" t="s">
        <v>1238</v>
      </c>
      <c r="G219">
        <v>21.917000000000002</v>
      </c>
      <c r="I219" t="s">
        <v>1241</v>
      </c>
      <c r="M219" t="s">
        <v>49</v>
      </c>
      <c r="N219" t="s">
        <v>49</v>
      </c>
      <c r="O219" t="s">
        <v>2004</v>
      </c>
    </row>
    <row r="220" spans="1:15" ht="15">
      <c r="A220" t="s">
        <v>1156</v>
      </c>
      <c r="B220" t="s">
        <v>1189</v>
      </c>
      <c r="C220" t="s">
        <v>57</v>
      </c>
      <c r="D220" t="s">
        <v>1236</v>
      </c>
      <c r="E220" t="s">
        <v>1237</v>
      </c>
      <c r="F220" t="s">
        <v>1544</v>
      </c>
      <c r="G220">
        <v>1.6448999999999998E-2</v>
      </c>
      <c r="I220" t="s">
        <v>361</v>
      </c>
      <c r="M220" t="s">
        <v>49</v>
      </c>
      <c r="N220" t="s">
        <v>49</v>
      </c>
      <c r="O220" t="s">
        <v>2004</v>
      </c>
    </row>
    <row r="221" spans="1:15" ht="15">
      <c r="A221" t="s">
        <v>585</v>
      </c>
      <c r="B221" t="s">
        <v>1189</v>
      </c>
      <c r="C221" t="s">
        <v>57</v>
      </c>
      <c r="D221" t="s">
        <v>1236</v>
      </c>
      <c r="E221" t="s">
        <v>1237</v>
      </c>
      <c r="F221" t="s">
        <v>1336</v>
      </c>
      <c r="G221">
        <v>1.3120000000000001</v>
      </c>
      <c r="I221" t="s">
        <v>361</v>
      </c>
      <c r="M221" t="s">
        <v>49</v>
      </c>
      <c r="N221" t="s">
        <v>49</v>
      </c>
      <c r="O221" t="s">
        <v>2004</v>
      </c>
    </row>
    <row r="222" spans="1:15" ht="15">
      <c r="A222" t="s">
        <v>1156</v>
      </c>
      <c r="B222" t="s">
        <v>1189</v>
      </c>
      <c r="C222" t="s">
        <v>57</v>
      </c>
      <c r="D222" t="s">
        <v>1236</v>
      </c>
      <c r="E222" t="s">
        <v>1237</v>
      </c>
      <c r="F222" t="s">
        <v>1347</v>
      </c>
      <c r="G222">
        <v>0.95799999999999996</v>
      </c>
      <c r="I222" t="s">
        <v>361</v>
      </c>
      <c r="M222" t="s">
        <v>49</v>
      </c>
      <c r="N222" t="s">
        <v>49</v>
      </c>
      <c r="O222" t="s">
        <v>2004</v>
      </c>
    </row>
    <row r="223" spans="1:15" ht="15">
      <c r="A223" t="s">
        <v>1156</v>
      </c>
      <c r="B223" t="s">
        <v>1189</v>
      </c>
      <c r="C223" t="s">
        <v>57</v>
      </c>
      <c r="D223" t="s">
        <v>1236</v>
      </c>
      <c r="E223" t="s">
        <v>1237</v>
      </c>
      <c r="F223" t="s">
        <v>1395</v>
      </c>
      <c r="G223">
        <v>0.30399999999999999</v>
      </c>
      <c r="I223" t="s">
        <v>361</v>
      </c>
      <c r="M223" t="s">
        <v>49</v>
      </c>
      <c r="N223" t="s">
        <v>49</v>
      </c>
      <c r="O223" t="s">
        <v>2004</v>
      </c>
    </row>
    <row r="224" spans="1:15" ht="15">
      <c r="A224" t="s">
        <v>1156</v>
      </c>
      <c r="B224" t="s">
        <v>1182</v>
      </c>
      <c r="C224" t="s">
        <v>952</v>
      </c>
      <c r="D224" t="s">
        <v>1269</v>
      </c>
      <c r="E224" t="s">
        <v>1270</v>
      </c>
      <c r="F224" t="s">
        <v>1317</v>
      </c>
      <c r="G224">
        <v>1.974609375</v>
      </c>
      <c r="I224" t="s">
        <v>1273</v>
      </c>
      <c r="M224" t="s">
        <v>1192</v>
      </c>
      <c r="N224" t="s">
        <v>1192</v>
      </c>
      <c r="O224" t="s">
        <v>49</v>
      </c>
    </row>
    <row r="225" spans="1:15" ht="15">
      <c r="A225" t="s">
        <v>1156</v>
      </c>
      <c r="B225" t="s">
        <v>1182</v>
      </c>
      <c r="C225" t="s">
        <v>952</v>
      </c>
      <c r="D225" t="s">
        <v>1269</v>
      </c>
      <c r="E225" t="s">
        <v>1270</v>
      </c>
      <c r="F225" t="s">
        <v>1544</v>
      </c>
      <c r="G225">
        <v>1.8433000000000001E-2</v>
      </c>
      <c r="I225" t="s">
        <v>361</v>
      </c>
      <c r="M225" t="s">
        <v>1192</v>
      </c>
      <c r="N225" t="s">
        <v>1192</v>
      </c>
      <c r="O225" t="s">
        <v>49</v>
      </c>
    </row>
    <row r="226" spans="1:15" ht="15">
      <c r="A226" t="s">
        <v>1156</v>
      </c>
      <c r="B226" t="s">
        <v>1182</v>
      </c>
      <c r="C226" t="s">
        <v>952</v>
      </c>
      <c r="D226" t="s">
        <v>1269</v>
      </c>
      <c r="E226" t="s">
        <v>1270</v>
      </c>
      <c r="F226" t="s">
        <v>1439</v>
      </c>
      <c r="G226">
        <v>0.1240234375</v>
      </c>
      <c r="I226" t="s">
        <v>1273</v>
      </c>
      <c r="M226" t="s">
        <v>1192</v>
      </c>
      <c r="N226" t="s">
        <v>1192</v>
      </c>
      <c r="O226" t="s">
        <v>49</v>
      </c>
    </row>
    <row r="227" spans="1:15" ht="15">
      <c r="A227" t="s">
        <v>1156</v>
      </c>
      <c r="B227" t="s">
        <v>1182</v>
      </c>
      <c r="C227" t="s">
        <v>952</v>
      </c>
      <c r="D227" t="s">
        <v>1269</v>
      </c>
      <c r="E227" t="s">
        <v>1270</v>
      </c>
      <c r="F227" t="s">
        <v>1342</v>
      </c>
      <c r="G227">
        <v>1.2275390625</v>
      </c>
      <c r="I227" t="s">
        <v>1273</v>
      </c>
      <c r="M227" t="s">
        <v>1192</v>
      </c>
      <c r="N227" t="s">
        <v>1192</v>
      </c>
      <c r="O227" t="s">
        <v>49</v>
      </c>
    </row>
    <row r="228" spans="1:15" ht="15">
      <c r="A228" t="s">
        <v>1156</v>
      </c>
      <c r="B228" t="s">
        <v>1182</v>
      </c>
      <c r="C228" t="s">
        <v>952</v>
      </c>
      <c r="D228" t="s">
        <v>1269</v>
      </c>
      <c r="E228" t="s">
        <v>1270</v>
      </c>
      <c r="F228" t="s">
        <v>1361</v>
      </c>
      <c r="G228">
        <v>0.6337890625</v>
      </c>
      <c r="I228" t="s">
        <v>1273</v>
      </c>
      <c r="M228" t="s">
        <v>1192</v>
      </c>
      <c r="N228" t="s">
        <v>1192</v>
      </c>
      <c r="O228" t="s">
        <v>49</v>
      </c>
    </row>
    <row r="229" spans="1:15" ht="15">
      <c r="A229" t="s">
        <v>1156</v>
      </c>
      <c r="B229" t="s">
        <v>1182</v>
      </c>
      <c r="C229" t="s">
        <v>952</v>
      </c>
      <c r="D229" t="s">
        <v>1269</v>
      </c>
      <c r="E229" t="s">
        <v>1270</v>
      </c>
      <c r="F229" t="s">
        <v>1271</v>
      </c>
      <c r="G229">
        <v>5.25390625</v>
      </c>
      <c r="I229" t="s">
        <v>1273</v>
      </c>
      <c r="M229" t="s">
        <v>1192</v>
      </c>
      <c r="N229" t="s">
        <v>1192</v>
      </c>
      <c r="O229" t="s">
        <v>49</v>
      </c>
    </row>
    <row r="230" spans="1:15" ht="15">
      <c r="A230" t="s">
        <v>1156</v>
      </c>
      <c r="B230" t="s">
        <v>1182</v>
      </c>
      <c r="C230" t="s">
        <v>952</v>
      </c>
      <c r="D230" t="s">
        <v>1269</v>
      </c>
      <c r="E230" t="s">
        <v>1270</v>
      </c>
      <c r="F230" t="s">
        <v>1384</v>
      </c>
      <c r="G230">
        <v>0.375</v>
      </c>
      <c r="I230" t="s">
        <v>1273</v>
      </c>
      <c r="M230" t="s">
        <v>1192</v>
      </c>
      <c r="N230" t="s">
        <v>1192</v>
      </c>
      <c r="O230" t="s">
        <v>49</v>
      </c>
    </row>
    <row r="231" spans="1:15" ht="15">
      <c r="A231" t="s">
        <v>1156</v>
      </c>
      <c r="B231" t="s">
        <v>1182</v>
      </c>
      <c r="C231" t="s">
        <v>952</v>
      </c>
      <c r="D231" t="s">
        <v>1269</v>
      </c>
      <c r="E231" t="s">
        <v>1270</v>
      </c>
      <c r="F231" t="s">
        <v>1309</v>
      </c>
      <c r="G231">
        <v>2.3115234375</v>
      </c>
      <c r="I231" t="s">
        <v>361</v>
      </c>
      <c r="M231" t="s">
        <v>1192</v>
      </c>
      <c r="N231" t="s">
        <v>1192</v>
      </c>
      <c r="O231" t="s">
        <v>49</v>
      </c>
    </row>
    <row r="232" spans="1:15" ht="15">
      <c r="A232" t="s">
        <v>1156</v>
      </c>
      <c r="B232" t="s">
        <v>1189</v>
      </c>
      <c r="C232" t="s">
        <v>39</v>
      </c>
      <c r="D232" t="s">
        <v>1408</v>
      </c>
      <c r="E232" t="s">
        <v>1282</v>
      </c>
      <c r="F232" t="s">
        <v>1409</v>
      </c>
      <c r="G232">
        <v>0.224</v>
      </c>
      <c r="I232" t="s">
        <v>1410</v>
      </c>
      <c r="J232" t="s">
        <v>1182</v>
      </c>
      <c r="M232" t="s">
        <v>49</v>
      </c>
      <c r="N232" t="s">
        <v>49</v>
      </c>
      <c r="O232" t="s">
        <v>1192</v>
      </c>
    </row>
    <row r="233" spans="1:15" ht="15">
      <c r="A233" t="s">
        <v>1156</v>
      </c>
      <c r="B233" t="s">
        <v>1189</v>
      </c>
      <c r="C233" t="s">
        <v>39</v>
      </c>
      <c r="D233" t="s">
        <v>1408</v>
      </c>
      <c r="E233" t="s">
        <v>1282</v>
      </c>
      <c r="F233" t="s">
        <v>1684</v>
      </c>
      <c r="G233">
        <v>0</v>
      </c>
      <c r="I233" t="s">
        <v>1685</v>
      </c>
      <c r="J233" t="s">
        <v>1182</v>
      </c>
      <c r="M233" t="s">
        <v>49</v>
      </c>
      <c r="N233" t="s">
        <v>49</v>
      </c>
      <c r="O233" t="s">
        <v>2004</v>
      </c>
    </row>
    <row r="234" spans="1:15" ht="15">
      <c r="A234" t="s">
        <v>1156</v>
      </c>
      <c r="B234" t="s">
        <v>1189</v>
      </c>
      <c r="C234" t="s">
        <v>39</v>
      </c>
      <c r="D234" t="s">
        <v>1408</v>
      </c>
      <c r="E234" t="s">
        <v>1282</v>
      </c>
      <c r="F234" t="s">
        <v>1686</v>
      </c>
      <c r="G234">
        <v>0</v>
      </c>
      <c r="I234" t="s">
        <v>1687</v>
      </c>
      <c r="J234" t="s">
        <v>1182</v>
      </c>
      <c r="M234" t="s">
        <v>49</v>
      </c>
      <c r="N234" t="s">
        <v>49</v>
      </c>
      <c r="O234" t="s">
        <v>2004</v>
      </c>
    </row>
    <row r="235" spans="1:15" ht="15">
      <c r="A235" t="s">
        <v>1156</v>
      </c>
      <c r="B235" t="s">
        <v>1189</v>
      </c>
      <c r="C235" t="s">
        <v>39</v>
      </c>
      <c r="D235" t="s">
        <v>1288</v>
      </c>
      <c r="E235" t="s">
        <v>1282</v>
      </c>
      <c r="F235" t="s">
        <v>1523</v>
      </c>
      <c r="G235">
        <v>3.1E-2</v>
      </c>
      <c r="I235" t="s">
        <v>2050</v>
      </c>
      <c r="J235" t="s">
        <v>1182</v>
      </c>
      <c r="M235" t="s">
        <v>49</v>
      </c>
      <c r="N235" t="s">
        <v>49</v>
      </c>
      <c r="O235" t="s">
        <v>2004</v>
      </c>
    </row>
    <row r="236" spans="1:15" ht="15">
      <c r="A236" t="s">
        <v>1156</v>
      </c>
      <c r="B236" t="s">
        <v>1189</v>
      </c>
      <c r="C236" t="s">
        <v>39</v>
      </c>
      <c r="D236" t="s">
        <v>1288</v>
      </c>
      <c r="E236" t="s">
        <v>1282</v>
      </c>
      <c r="F236" t="s">
        <v>1549</v>
      </c>
      <c r="G236">
        <v>1.6E-2</v>
      </c>
      <c r="I236" t="s">
        <v>1516</v>
      </c>
      <c r="J236" t="s">
        <v>1182</v>
      </c>
      <c r="M236" t="s">
        <v>49</v>
      </c>
      <c r="N236" t="s">
        <v>49</v>
      </c>
      <c r="O236" t="s">
        <v>2004</v>
      </c>
    </row>
    <row r="237" spans="1:15" ht="15">
      <c r="A237" t="s">
        <v>1156</v>
      </c>
      <c r="B237" t="s">
        <v>1189</v>
      </c>
      <c r="C237" t="s">
        <v>39</v>
      </c>
      <c r="D237" t="s">
        <v>1288</v>
      </c>
      <c r="E237" t="s">
        <v>1282</v>
      </c>
      <c r="F237" t="s">
        <v>1515</v>
      </c>
      <c r="G237">
        <v>3.3000000000000002E-2</v>
      </c>
      <c r="I237" t="s">
        <v>1516</v>
      </c>
      <c r="J237" t="s">
        <v>1182</v>
      </c>
      <c r="M237" t="s">
        <v>49</v>
      </c>
      <c r="N237" t="s">
        <v>49</v>
      </c>
      <c r="O237" t="s">
        <v>2004</v>
      </c>
    </row>
    <row r="238" spans="1:15" ht="15">
      <c r="A238" t="s">
        <v>1156</v>
      </c>
      <c r="B238" t="s">
        <v>1189</v>
      </c>
      <c r="C238" t="s">
        <v>39</v>
      </c>
      <c r="D238" t="s">
        <v>1288</v>
      </c>
      <c r="E238" t="s">
        <v>1282</v>
      </c>
      <c r="F238" t="s">
        <v>1688</v>
      </c>
      <c r="G238">
        <v>0</v>
      </c>
      <c r="I238" t="s">
        <v>1689</v>
      </c>
      <c r="J238" t="s">
        <v>1182</v>
      </c>
      <c r="M238" t="s">
        <v>49</v>
      </c>
      <c r="N238" t="s">
        <v>49</v>
      </c>
      <c r="O238" t="s">
        <v>2004</v>
      </c>
    </row>
    <row r="239" spans="1:15" ht="15">
      <c r="A239" t="s">
        <v>1156</v>
      </c>
      <c r="B239" t="s">
        <v>1189</v>
      </c>
      <c r="C239" t="s">
        <v>39</v>
      </c>
      <c r="D239" t="s">
        <v>1288</v>
      </c>
      <c r="E239" t="s">
        <v>1282</v>
      </c>
      <c r="F239" t="s">
        <v>1571</v>
      </c>
      <c r="G239">
        <v>7.0000000000000001E-3</v>
      </c>
      <c r="I239" t="s">
        <v>1572</v>
      </c>
      <c r="J239" t="s">
        <v>1182</v>
      </c>
      <c r="M239" t="s">
        <v>49</v>
      </c>
      <c r="N239" t="s">
        <v>49</v>
      </c>
      <c r="O239" t="s">
        <v>2004</v>
      </c>
    </row>
    <row r="240" spans="1:15" ht="15">
      <c r="A240" t="s">
        <v>1156</v>
      </c>
      <c r="B240" t="s">
        <v>1189</v>
      </c>
      <c r="C240" t="s">
        <v>39</v>
      </c>
      <c r="D240" t="s">
        <v>1408</v>
      </c>
      <c r="E240" t="s">
        <v>1282</v>
      </c>
      <c r="F240" t="s">
        <v>1573</v>
      </c>
      <c r="G240">
        <v>6.79E-3</v>
      </c>
      <c r="I240" t="s">
        <v>1574</v>
      </c>
      <c r="J240" t="s">
        <v>1182</v>
      </c>
      <c r="M240" t="s">
        <v>49</v>
      </c>
      <c r="N240" t="s">
        <v>49</v>
      </c>
      <c r="O240" t="s">
        <v>2004</v>
      </c>
    </row>
    <row r="241" spans="1:15" ht="15">
      <c r="A241" t="s">
        <v>1156</v>
      </c>
      <c r="B241" t="s">
        <v>1189</v>
      </c>
      <c r="C241" t="s">
        <v>39</v>
      </c>
      <c r="D241" t="s">
        <v>1288</v>
      </c>
      <c r="E241" t="s">
        <v>1282</v>
      </c>
      <c r="F241" t="s">
        <v>1564</v>
      </c>
      <c r="G241">
        <v>8.9999999999999993E-3</v>
      </c>
      <c r="I241" t="s">
        <v>1565</v>
      </c>
      <c r="J241" t="s">
        <v>1182</v>
      </c>
      <c r="M241" t="s">
        <v>49</v>
      </c>
      <c r="N241" t="s">
        <v>49</v>
      </c>
      <c r="O241" t="s">
        <v>2004</v>
      </c>
    </row>
    <row r="242" spans="1:15" ht="15">
      <c r="A242" t="s">
        <v>609</v>
      </c>
      <c r="B242" t="s">
        <v>1189</v>
      </c>
      <c r="C242" t="s">
        <v>39</v>
      </c>
      <c r="D242" t="s">
        <v>1288</v>
      </c>
      <c r="E242" t="s">
        <v>1282</v>
      </c>
      <c r="F242" t="s">
        <v>1628</v>
      </c>
      <c r="G242">
        <v>1.22E-4</v>
      </c>
      <c r="I242" t="s">
        <v>1629</v>
      </c>
      <c r="J242" t="s">
        <v>1182</v>
      </c>
      <c r="M242" t="s">
        <v>49</v>
      </c>
      <c r="N242" t="s">
        <v>49</v>
      </c>
      <c r="O242" t="s">
        <v>2004</v>
      </c>
    </row>
    <row r="243" spans="1:15" ht="15">
      <c r="A243" t="s">
        <v>1156</v>
      </c>
      <c r="B243" t="s">
        <v>1189</v>
      </c>
      <c r="C243" t="s">
        <v>39</v>
      </c>
      <c r="D243" t="s">
        <v>1288</v>
      </c>
      <c r="E243" t="s">
        <v>1282</v>
      </c>
      <c r="F243" t="s">
        <v>1517</v>
      </c>
      <c r="G243">
        <v>3.2000000000000001E-2</v>
      </c>
      <c r="I243" t="s">
        <v>1518</v>
      </c>
      <c r="J243" t="s">
        <v>1182</v>
      </c>
      <c r="M243" t="s">
        <v>49</v>
      </c>
      <c r="N243" t="s">
        <v>49</v>
      </c>
      <c r="O243" t="s">
        <v>1192</v>
      </c>
    </row>
    <row r="244" spans="1:15" ht="15">
      <c r="A244" t="s">
        <v>1156</v>
      </c>
      <c r="B244" t="s">
        <v>1189</v>
      </c>
      <c r="C244" t="s">
        <v>39</v>
      </c>
      <c r="D244" t="s">
        <v>1288</v>
      </c>
      <c r="E244" t="s">
        <v>1282</v>
      </c>
      <c r="F244" t="s">
        <v>1289</v>
      </c>
      <c r="G244">
        <v>3.407</v>
      </c>
      <c r="I244" t="s">
        <v>1291</v>
      </c>
      <c r="J244" t="s">
        <v>1182</v>
      </c>
      <c r="M244" t="s">
        <v>49</v>
      </c>
      <c r="N244" t="s">
        <v>49</v>
      </c>
      <c r="O244" t="s">
        <v>1192</v>
      </c>
    </row>
    <row r="245" spans="1:15" ht="15">
      <c r="A245" t="s">
        <v>1156</v>
      </c>
      <c r="B245" t="s">
        <v>1189</v>
      </c>
      <c r="C245" t="s">
        <v>39</v>
      </c>
      <c r="D245" t="s">
        <v>1408</v>
      </c>
      <c r="E245" t="s">
        <v>1282</v>
      </c>
      <c r="F245" t="s">
        <v>1630</v>
      </c>
      <c r="G245">
        <v>3.1000000000000001E-5</v>
      </c>
      <c r="I245" t="s">
        <v>361</v>
      </c>
      <c r="J245" t="s">
        <v>1182</v>
      </c>
      <c r="M245" t="s">
        <v>49</v>
      </c>
      <c r="N245" t="s">
        <v>49</v>
      </c>
      <c r="O245" t="s">
        <v>2004</v>
      </c>
    </row>
    <row r="246" spans="1:15" ht="15">
      <c r="A246" t="s">
        <v>1156</v>
      </c>
      <c r="B246" t="s">
        <v>1189</v>
      </c>
      <c r="C246" t="s">
        <v>117</v>
      </c>
      <c r="D246" t="s">
        <v>1256</v>
      </c>
      <c r="E246" t="s">
        <v>117</v>
      </c>
      <c r="F246" t="s">
        <v>1257</v>
      </c>
      <c r="G246">
        <v>16.832000000000001</v>
      </c>
      <c r="I246" t="s">
        <v>361</v>
      </c>
      <c r="M246" t="s">
        <v>49</v>
      </c>
      <c r="N246" t="s">
        <v>49</v>
      </c>
      <c r="O246" t="s">
        <v>2004</v>
      </c>
    </row>
    <row r="247" spans="1:15" ht="15">
      <c r="A247" t="s">
        <v>1156</v>
      </c>
      <c r="B247" t="s">
        <v>1189</v>
      </c>
      <c r="C247" t="s">
        <v>117</v>
      </c>
      <c r="D247" t="s">
        <v>1256</v>
      </c>
      <c r="E247" t="s">
        <v>117</v>
      </c>
      <c r="F247" t="s">
        <v>1377</v>
      </c>
      <c r="G247">
        <v>0.42899999999999999</v>
      </c>
      <c r="I247" t="s">
        <v>1313</v>
      </c>
      <c r="M247" t="s">
        <v>49</v>
      </c>
      <c r="N247" t="s">
        <v>49</v>
      </c>
      <c r="O247" t="s">
        <v>2004</v>
      </c>
    </row>
    <row r="248" spans="1:15" ht="15">
      <c r="A248" t="s">
        <v>1156</v>
      </c>
      <c r="B248" t="s">
        <v>1182</v>
      </c>
      <c r="C248" t="s">
        <v>17</v>
      </c>
      <c r="D248" t="s">
        <v>1183</v>
      </c>
      <c r="E248" t="s">
        <v>1184</v>
      </c>
      <c r="F248" t="s">
        <v>1513</v>
      </c>
      <c r="G248">
        <v>3.4000000000000002E-2</v>
      </c>
      <c r="H248" t="s">
        <v>1503</v>
      </c>
      <c r="I248" t="s">
        <v>1514</v>
      </c>
      <c r="J248" t="s">
        <v>1182</v>
      </c>
      <c r="K248" t="s">
        <v>1216</v>
      </c>
      <c r="M248" t="s">
        <v>1192</v>
      </c>
      <c r="N248" t="s">
        <v>1192</v>
      </c>
      <c r="O248" t="s">
        <v>49</v>
      </c>
    </row>
    <row r="249" spans="1:15" ht="15" customHeight="1">
      <c r="A249" t="s">
        <v>580</v>
      </c>
      <c r="B249" t="s">
        <v>1182</v>
      </c>
      <c r="C249" t="s">
        <v>17</v>
      </c>
      <c r="D249" t="s">
        <v>1183</v>
      </c>
      <c r="E249" t="s">
        <v>1184</v>
      </c>
      <c r="F249" t="s">
        <v>1690</v>
      </c>
      <c r="G249">
        <v>0</v>
      </c>
      <c r="H249" t="s">
        <v>1418</v>
      </c>
      <c r="I249" t="s">
        <v>1298</v>
      </c>
      <c r="J249" t="s">
        <v>1182</v>
      </c>
      <c r="K249" t="s">
        <v>1216</v>
      </c>
      <c r="M249" t="s">
        <v>1192</v>
      </c>
      <c r="N249" t="s">
        <v>1192</v>
      </c>
      <c r="O249" t="s">
        <v>49</v>
      </c>
    </row>
    <row r="250" spans="1:15" ht="15">
      <c r="A250" t="s">
        <v>1156</v>
      </c>
      <c r="B250" t="s">
        <v>1182</v>
      </c>
      <c r="C250" t="s">
        <v>17</v>
      </c>
      <c r="D250" t="s">
        <v>1183</v>
      </c>
      <c r="E250" t="s">
        <v>1184</v>
      </c>
      <c r="F250" t="s">
        <v>1568</v>
      </c>
      <c r="G250">
        <v>8.0000000000000002E-3</v>
      </c>
      <c r="H250" t="s">
        <v>2051</v>
      </c>
      <c r="I250" t="s">
        <v>1569</v>
      </c>
      <c r="J250" t="s">
        <v>1182</v>
      </c>
      <c r="K250" t="s">
        <v>1216</v>
      </c>
      <c r="M250" t="s">
        <v>1192</v>
      </c>
      <c r="N250" t="s">
        <v>1192</v>
      </c>
      <c r="O250" t="s">
        <v>49</v>
      </c>
    </row>
    <row r="251" spans="1:15" ht="15" customHeight="1">
      <c r="A251" t="s">
        <v>1156</v>
      </c>
      <c r="B251" t="s">
        <v>1182</v>
      </c>
      <c r="C251" t="s">
        <v>17</v>
      </c>
      <c r="D251" t="s">
        <v>1183</v>
      </c>
      <c r="E251" t="s">
        <v>1184</v>
      </c>
      <c r="F251" t="s">
        <v>1691</v>
      </c>
      <c r="G251">
        <v>0</v>
      </c>
      <c r="H251" t="s">
        <v>2028</v>
      </c>
      <c r="I251" t="s">
        <v>361</v>
      </c>
      <c r="J251" t="s">
        <v>1182</v>
      </c>
      <c r="K251" t="s">
        <v>1216</v>
      </c>
      <c r="M251" t="s">
        <v>1192</v>
      </c>
      <c r="N251" t="s">
        <v>1192</v>
      </c>
      <c r="O251" t="s">
        <v>49</v>
      </c>
    </row>
    <row r="252" spans="1:15" ht="15">
      <c r="A252" t="s">
        <v>580</v>
      </c>
      <c r="B252" t="s">
        <v>1182</v>
      </c>
      <c r="C252" t="s">
        <v>17</v>
      </c>
      <c r="D252" t="s">
        <v>1183</v>
      </c>
      <c r="E252" t="s">
        <v>1184</v>
      </c>
      <c r="F252" t="s">
        <v>1441</v>
      </c>
      <c r="G252">
        <v>0.11600000000000001</v>
      </c>
      <c r="H252" t="s">
        <v>1442</v>
      </c>
      <c r="I252" t="s">
        <v>1443</v>
      </c>
      <c r="J252" t="s">
        <v>1182</v>
      </c>
      <c r="K252" t="s">
        <v>1216</v>
      </c>
      <c r="M252" t="s">
        <v>1192</v>
      </c>
      <c r="N252" t="s">
        <v>1192</v>
      </c>
      <c r="O252" t="s">
        <v>49</v>
      </c>
    </row>
    <row r="253" spans="1:15" ht="15" customHeight="1">
      <c r="A253" t="s">
        <v>580</v>
      </c>
      <c r="B253" t="s">
        <v>1182</v>
      </c>
      <c r="C253" t="s">
        <v>17</v>
      </c>
      <c r="D253" t="s">
        <v>1183</v>
      </c>
      <c r="E253" t="s">
        <v>1184</v>
      </c>
      <c r="F253" t="s">
        <v>1597</v>
      </c>
      <c r="G253">
        <v>3.0000000000000001E-3</v>
      </c>
      <c r="H253" t="s">
        <v>1598</v>
      </c>
      <c r="I253" t="s">
        <v>1599</v>
      </c>
      <c r="J253" t="s">
        <v>1182</v>
      </c>
      <c r="K253" t="s">
        <v>1216</v>
      </c>
      <c r="M253" t="s">
        <v>1192</v>
      </c>
      <c r="N253" t="s">
        <v>1192</v>
      </c>
      <c r="O253" t="s">
        <v>49</v>
      </c>
    </row>
    <row r="254" spans="1:15" ht="15">
      <c r="A254" t="s">
        <v>1156</v>
      </c>
      <c r="B254" t="s">
        <v>1182</v>
      </c>
      <c r="C254" t="s">
        <v>66</v>
      </c>
      <c r="E254" t="s">
        <v>1203</v>
      </c>
      <c r="F254" t="s">
        <v>1692</v>
      </c>
      <c r="G254">
        <v>0</v>
      </c>
      <c r="I254" t="s">
        <v>361</v>
      </c>
      <c r="M254" t="s">
        <v>2004</v>
      </c>
      <c r="N254" t="s">
        <v>1192</v>
      </c>
      <c r="O254" t="s">
        <v>49</v>
      </c>
    </row>
    <row r="255" spans="1:15" ht="15">
      <c r="A255" t="s">
        <v>1156</v>
      </c>
      <c r="B255" t="s">
        <v>1182</v>
      </c>
      <c r="C255" t="s">
        <v>66</v>
      </c>
      <c r="E255" t="s">
        <v>1203</v>
      </c>
      <c r="F255" t="s">
        <v>1485</v>
      </c>
      <c r="G255">
        <v>5.8999999999999997E-2</v>
      </c>
      <c r="I255" t="s">
        <v>361</v>
      </c>
      <c r="M255" t="s">
        <v>2004</v>
      </c>
      <c r="N255" t="s">
        <v>1192</v>
      </c>
      <c r="O255" t="s">
        <v>49</v>
      </c>
    </row>
    <row r="256" spans="1:15" ht="15">
      <c r="A256" t="s">
        <v>1156</v>
      </c>
      <c r="B256" t="s">
        <v>1182</v>
      </c>
      <c r="C256" t="s">
        <v>66</v>
      </c>
      <c r="E256" t="s">
        <v>1203</v>
      </c>
      <c r="F256" t="s">
        <v>1218</v>
      </c>
      <c r="G256">
        <v>69.927000000000007</v>
      </c>
      <c r="I256" t="s">
        <v>361</v>
      </c>
      <c r="M256" t="s">
        <v>2004</v>
      </c>
      <c r="N256" t="s">
        <v>1192</v>
      </c>
      <c r="O256" t="s">
        <v>49</v>
      </c>
    </row>
    <row r="257" spans="1:15" ht="15">
      <c r="A257" t="s">
        <v>1156</v>
      </c>
      <c r="B257" t="s">
        <v>1182</v>
      </c>
      <c r="C257" t="s">
        <v>66</v>
      </c>
      <c r="E257" t="s">
        <v>1203</v>
      </c>
      <c r="F257" t="s">
        <v>1204</v>
      </c>
      <c r="G257">
        <v>129.48400000000001</v>
      </c>
      <c r="I257" t="s">
        <v>361</v>
      </c>
      <c r="M257" t="s">
        <v>2004</v>
      </c>
      <c r="N257" t="s">
        <v>1192</v>
      </c>
      <c r="O257" t="s">
        <v>49</v>
      </c>
    </row>
    <row r="258" spans="1:15" ht="15">
      <c r="A258" t="s">
        <v>1156</v>
      </c>
      <c r="B258" t="s">
        <v>1182</v>
      </c>
      <c r="C258" t="s">
        <v>66</v>
      </c>
      <c r="E258" t="s">
        <v>1203</v>
      </c>
      <c r="F258" t="s">
        <v>1540</v>
      </c>
      <c r="G258">
        <v>0.02</v>
      </c>
      <c r="I258" t="s">
        <v>361</v>
      </c>
      <c r="M258" t="s">
        <v>2004</v>
      </c>
      <c r="N258" t="s">
        <v>1192</v>
      </c>
      <c r="O258" t="s">
        <v>49</v>
      </c>
    </row>
    <row r="259" spans="1:15" ht="15">
      <c r="A259" t="s">
        <v>609</v>
      </c>
      <c r="B259" t="s">
        <v>1189</v>
      </c>
      <c r="C259" t="s">
        <v>93</v>
      </c>
      <c r="D259" t="s">
        <v>1292</v>
      </c>
      <c r="E259" t="s">
        <v>1293</v>
      </c>
      <c r="F259" t="s">
        <v>1453</v>
      </c>
      <c r="G259">
        <v>8.984375E-2</v>
      </c>
      <c r="I259" t="s">
        <v>361</v>
      </c>
      <c r="M259" t="s">
        <v>49</v>
      </c>
      <c r="N259" t="s">
        <v>49</v>
      </c>
      <c r="O259" t="s">
        <v>1192</v>
      </c>
    </row>
    <row r="260" spans="1:15" ht="15">
      <c r="A260" t="s">
        <v>609</v>
      </c>
      <c r="B260" t="s">
        <v>1189</v>
      </c>
      <c r="C260" t="s">
        <v>93</v>
      </c>
      <c r="D260" t="s">
        <v>1292</v>
      </c>
      <c r="E260" t="s">
        <v>1293</v>
      </c>
      <c r="F260" t="s">
        <v>1294</v>
      </c>
      <c r="G260">
        <v>3</v>
      </c>
      <c r="I260" t="s">
        <v>361</v>
      </c>
      <c r="M260" t="s">
        <v>49</v>
      </c>
      <c r="N260" t="s">
        <v>49</v>
      </c>
      <c r="O260" t="s">
        <v>1192</v>
      </c>
    </row>
    <row r="261" spans="1:15" ht="15">
      <c r="A261" t="s">
        <v>609</v>
      </c>
      <c r="B261" t="s">
        <v>1189</v>
      </c>
      <c r="C261" t="s">
        <v>93</v>
      </c>
      <c r="D261" t="s">
        <v>1292</v>
      </c>
      <c r="E261" t="s">
        <v>1293</v>
      </c>
      <c r="F261" t="s">
        <v>1493</v>
      </c>
      <c r="G261">
        <v>4.9804688E-2</v>
      </c>
      <c r="I261" t="s">
        <v>361</v>
      </c>
      <c r="M261" t="s">
        <v>49</v>
      </c>
      <c r="N261" t="s">
        <v>49</v>
      </c>
      <c r="O261" t="s">
        <v>1192</v>
      </c>
    </row>
    <row r="262" spans="1:15" ht="15">
      <c r="A262" t="s">
        <v>1156</v>
      </c>
      <c r="B262" t="s">
        <v>1182</v>
      </c>
      <c r="C262" t="s">
        <v>17</v>
      </c>
      <c r="D262" t="s">
        <v>1183</v>
      </c>
      <c r="E262" t="s">
        <v>1184</v>
      </c>
      <c r="F262" t="s">
        <v>1448</v>
      </c>
      <c r="G262">
        <v>0.109</v>
      </c>
      <c r="H262" t="s">
        <v>1412</v>
      </c>
      <c r="I262" t="s">
        <v>361</v>
      </c>
      <c r="J262" t="s">
        <v>1182</v>
      </c>
      <c r="K262" t="s">
        <v>1216</v>
      </c>
      <c r="M262" t="s">
        <v>1192</v>
      </c>
      <c r="N262" t="s">
        <v>1192</v>
      </c>
      <c r="O262" t="s">
        <v>49</v>
      </c>
    </row>
    <row r="263" spans="1:15" ht="15" customHeight="1">
      <c r="A263" t="s">
        <v>1156</v>
      </c>
      <c r="B263" t="s">
        <v>1182</v>
      </c>
      <c r="C263" t="s">
        <v>17</v>
      </c>
      <c r="D263" t="s">
        <v>1183</v>
      </c>
      <c r="E263" t="s">
        <v>1184</v>
      </c>
      <c r="F263" t="s">
        <v>1724</v>
      </c>
      <c r="H263" t="s">
        <v>1418</v>
      </c>
      <c r="I263" t="s">
        <v>361</v>
      </c>
      <c r="J263" t="s">
        <v>1182</v>
      </c>
      <c r="K263" t="s">
        <v>1216</v>
      </c>
      <c r="M263" t="s">
        <v>1192</v>
      </c>
      <c r="N263" t="s">
        <v>1192</v>
      </c>
      <c r="O263" t="s">
        <v>49</v>
      </c>
    </row>
    <row r="264" spans="1:15" ht="15" customHeight="1">
      <c r="A264" t="s">
        <v>1156</v>
      </c>
      <c r="B264" t="s">
        <v>1182</v>
      </c>
      <c r="C264" t="s">
        <v>17</v>
      </c>
      <c r="D264" t="s">
        <v>1183</v>
      </c>
      <c r="E264" t="s">
        <v>1184</v>
      </c>
      <c r="F264" t="s">
        <v>1185</v>
      </c>
      <c r="G264">
        <v>2097.1039999999998</v>
      </c>
      <c r="H264" t="s">
        <v>1187</v>
      </c>
      <c r="I264" t="s">
        <v>1188</v>
      </c>
      <c r="J264" t="s">
        <v>1189</v>
      </c>
      <c r="K264" t="s">
        <v>1190</v>
      </c>
      <c r="M264" t="s">
        <v>1192</v>
      </c>
      <c r="N264" t="s">
        <v>1192</v>
      </c>
      <c r="O264" t="s">
        <v>49</v>
      </c>
    </row>
    <row r="265" spans="1:15" ht="15">
      <c r="A265" t="s">
        <v>1156</v>
      </c>
      <c r="B265" t="s">
        <v>1182</v>
      </c>
      <c r="C265" t="s">
        <v>955</v>
      </c>
      <c r="D265" t="s">
        <v>1193</v>
      </c>
      <c r="E265" t="s">
        <v>1194</v>
      </c>
      <c r="F265" t="s">
        <v>1694</v>
      </c>
      <c r="G265">
        <v>0</v>
      </c>
      <c r="I265" t="s">
        <v>361</v>
      </c>
      <c r="M265" t="s">
        <v>2004</v>
      </c>
      <c r="N265" t="s">
        <v>1192</v>
      </c>
      <c r="O265" t="s">
        <v>49</v>
      </c>
    </row>
    <row r="266" spans="1:15" ht="15">
      <c r="A266" t="s">
        <v>1156</v>
      </c>
      <c r="B266" t="s">
        <v>1182</v>
      </c>
      <c r="C266" t="s">
        <v>954</v>
      </c>
      <c r="D266" t="s">
        <v>1193</v>
      </c>
      <c r="E266" t="s">
        <v>1695</v>
      </c>
      <c r="F266" t="s">
        <v>1725</v>
      </c>
      <c r="I266" t="s">
        <v>361</v>
      </c>
      <c r="M266" t="s">
        <v>1192</v>
      </c>
      <c r="N266" t="s">
        <v>1192</v>
      </c>
      <c r="O266" t="s">
        <v>49</v>
      </c>
    </row>
    <row r="267" spans="1:15" ht="15">
      <c r="A267" t="s">
        <v>1156</v>
      </c>
      <c r="B267" t="s">
        <v>1182</v>
      </c>
      <c r="C267" t="s">
        <v>954</v>
      </c>
      <c r="D267" t="s">
        <v>1193</v>
      </c>
      <c r="E267" t="s">
        <v>1695</v>
      </c>
      <c r="F267" t="s">
        <v>1696</v>
      </c>
      <c r="G267">
        <v>0</v>
      </c>
      <c r="I267" t="s">
        <v>361</v>
      </c>
      <c r="M267" t="s">
        <v>1192</v>
      </c>
      <c r="N267" t="s">
        <v>1192</v>
      </c>
      <c r="O267" t="s">
        <v>49</v>
      </c>
    </row>
    <row r="268" spans="1:15" ht="15">
      <c r="A268" t="s">
        <v>1156</v>
      </c>
      <c r="B268" t="s">
        <v>1182</v>
      </c>
      <c r="C268" t="s">
        <v>955</v>
      </c>
      <c r="D268" t="s">
        <v>1193</v>
      </c>
      <c r="E268" t="s">
        <v>1194</v>
      </c>
      <c r="F268" t="s">
        <v>1339</v>
      </c>
      <c r="G268">
        <v>1.3049999999999999</v>
      </c>
      <c r="I268" t="s">
        <v>361</v>
      </c>
      <c r="M268" t="s">
        <v>2004</v>
      </c>
      <c r="N268" t="s">
        <v>1192</v>
      </c>
      <c r="O268" t="s">
        <v>49</v>
      </c>
    </row>
    <row r="269" spans="1:15" ht="15">
      <c r="A269" t="s">
        <v>1156</v>
      </c>
      <c r="B269" t="s">
        <v>1182</v>
      </c>
      <c r="C269" t="s">
        <v>955</v>
      </c>
      <c r="D269" t="s">
        <v>1193</v>
      </c>
      <c r="E269" t="s">
        <v>1194</v>
      </c>
      <c r="F269" t="s">
        <v>1280</v>
      </c>
      <c r="G269">
        <v>3.8109999999999999</v>
      </c>
      <c r="I269" t="s">
        <v>361</v>
      </c>
      <c r="M269" t="s">
        <v>1192</v>
      </c>
      <c r="N269" t="s">
        <v>1192</v>
      </c>
      <c r="O269" t="s">
        <v>49</v>
      </c>
    </row>
    <row r="270" spans="1:15" ht="15">
      <c r="A270" t="s">
        <v>609</v>
      </c>
      <c r="B270" t="s">
        <v>1182</v>
      </c>
      <c r="C270" t="s">
        <v>955</v>
      </c>
      <c r="D270" t="s">
        <v>1193</v>
      </c>
      <c r="E270" t="s">
        <v>1194</v>
      </c>
      <c r="F270" t="s">
        <v>1542</v>
      </c>
      <c r="G270">
        <v>1.9E-2</v>
      </c>
      <c r="I270" t="s">
        <v>361</v>
      </c>
      <c r="M270" t="s">
        <v>1192</v>
      </c>
      <c r="N270" t="s">
        <v>1192</v>
      </c>
      <c r="O270" t="s">
        <v>49</v>
      </c>
    </row>
    <row r="271" spans="1:15" ht="15">
      <c r="A271" t="s">
        <v>1156</v>
      </c>
      <c r="B271" t="s">
        <v>1182</v>
      </c>
      <c r="C271" t="s">
        <v>955</v>
      </c>
      <c r="D271" t="s">
        <v>1193</v>
      </c>
      <c r="E271" t="s">
        <v>1194</v>
      </c>
      <c r="F271" t="s">
        <v>1627</v>
      </c>
      <c r="G271">
        <v>1E-3</v>
      </c>
      <c r="I271" t="s">
        <v>361</v>
      </c>
      <c r="M271" t="s">
        <v>2004</v>
      </c>
      <c r="N271" t="s">
        <v>1192</v>
      </c>
      <c r="O271" t="s">
        <v>49</v>
      </c>
    </row>
    <row r="272" spans="1:15" ht="15">
      <c r="A272" t="s">
        <v>1156</v>
      </c>
      <c r="B272" t="s">
        <v>1182</v>
      </c>
      <c r="C272" t="s">
        <v>955</v>
      </c>
      <c r="D272" t="s">
        <v>1193</v>
      </c>
      <c r="E272" t="s">
        <v>1194</v>
      </c>
      <c r="F272" t="s">
        <v>1279</v>
      </c>
      <c r="G272">
        <v>4.0339999999999998</v>
      </c>
      <c r="I272" t="s">
        <v>361</v>
      </c>
      <c r="M272" t="s">
        <v>2004</v>
      </c>
      <c r="N272" t="s">
        <v>1192</v>
      </c>
      <c r="O272" t="s">
        <v>49</v>
      </c>
    </row>
    <row r="273" spans="1:15" ht="15">
      <c r="A273" t="s">
        <v>585</v>
      </c>
      <c r="B273" t="s">
        <v>1189</v>
      </c>
      <c r="C273" t="s">
        <v>39</v>
      </c>
      <c r="D273" t="s">
        <v>1281</v>
      </c>
      <c r="E273" t="s">
        <v>1282</v>
      </c>
      <c r="F273" t="s">
        <v>1283</v>
      </c>
      <c r="G273">
        <v>3.694</v>
      </c>
      <c r="J273" t="s">
        <v>1182</v>
      </c>
      <c r="L273" t="s">
        <v>1286</v>
      </c>
      <c r="M273" t="s">
        <v>2004</v>
      </c>
      <c r="N273" t="s">
        <v>49</v>
      </c>
      <c r="O273" t="s">
        <v>1192</v>
      </c>
    </row>
    <row r="274" spans="1:15" ht="15">
      <c r="A274" t="s">
        <v>1156</v>
      </c>
      <c r="B274" t="s">
        <v>1189</v>
      </c>
      <c r="C274" t="s">
        <v>39</v>
      </c>
      <c r="D274" t="s">
        <v>1281</v>
      </c>
      <c r="E274" t="s">
        <v>1282</v>
      </c>
      <c r="F274" t="s">
        <v>1525</v>
      </c>
      <c r="G274">
        <v>3.1E-2</v>
      </c>
      <c r="J274" t="s">
        <v>1189</v>
      </c>
      <c r="L274" t="s">
        <v>1526</v>
      </c>
      <c r="M274" t="s">
        <v>49</v>
      </c>
      <c r="N274" t="s">
        <v>49</v>
      </c>
      <c r="O274" t="s">
        <v>1192</v>
      </c>
    </row>
    <row r="275" spans="1:15" ht="15">
      <c r="A275" t="s">
        <v>1156</v>
      </c>
      <c r="B275" t="s">
        <v>1189</v>
      </c>
      <c r="C275" t="s">
        <v>39</v>
      </c>
      <c r="D275" t="s">
        <v>1281</v>
      </c>
      <c r="E275" t="s">
        <v>1282</v>
      </c>
      <c r="F275" t="s">
        <v>1305</v>
      </c>
      <c r="G275">
        <v>2.3319999999999999</v>
      </c>
      <c r="J275" t="s">
        <v>1189</v>
      </c>
      <c r="L275" t="s">
        <v>1307</v>
      </c>
      <c r="M275" t="s">
        <v>49</v>
      </c>
      <c r="N275" t="s">
        <v>49</v>
      </c>
      <c r="O275" t="s">
        <v>1192</v>
      </c>
    </row>
    <row r="276" spans="1:15" ht="15">
      <c r="A276" t="s">
        <v>1156</v>
      </c>
      <c r="B276" t="s">
        <v>1189</v>
      </c>
      <c r="C276" t="s">
        <v>39</v>
      </c>
      <c r="D276" t="s">
        <v>1281</v>
      </c>
      <c r="E276" t="s">
        <v>1282</v>
      </c>
      <c r="F276" t="s">
        <v>1697</v>
      </c>
      <c r="G276">
        <v>0</v>
      </c>
      <c r="J276" t="s">
        <v>1189</v>
      </c>
      <c r="L276" t="s">
        <v>1405</v>
      </c>
      <c r="M276" t="s">
        <v>49</v>
      </c>
      <c r="N276" t="s">
        <v>49</v>
      </c>
      <c r="O276" t="s">
        <v>1192</v>
      </c>
    </row>
    <row r="277" spans="1:15" ht="15">
      <c r="A277" t="s">
        <v>1156</v>
      </c>
      <c r="B277" t="s">
        <v>1189</v>
      </c>
      <c r="C277" t="s">
        <v>39</v>
      </c>
      <c r="D277" t="s">
        <v>1281</v>
      </c>
      <c r="E277" t="s">
        <v>1282</v>
      </c>
      <c r="F277" t="s">
        <v>1698</v>
      </c>
      <c r="G277">
        <v>0</v>
      </c>
      <c r="J277" t="s">
        <v>1189</v>
      </c>
      <c r="M277" t="s">
        <v>49</v>
      </c>
      <c r="N277" t="s">
        <v>49</v>
      </c>
      <c r="O277" t="s">
        <v>1192</v>
      </c>
    </row>
    <row r="278" spans="1:15" ht="15">
      <c r="A278" t="s">
        <v>1156</v>
      </c>
      <c r="B278" t="s">
        <v>1182</v>
      </c>
      <c r="C278" t="s">
        <v>393</v>
      </c>
      <c r="D278" t="s">
        <v>1230</v>
      </c>
      <c r="E278" t="s">
        <v>1487</v>
      </c>
      <c r="F278" t="s">
        <v>1488</v>
      </c>
      <c r="G278">
        <v>5.6000000000000001E-2</v>
      </c>
      <c r="I278" t="s">
        <v>361</v>
      </c>
      <c r="J278" t="s">
        <v>1182</v>
      </c>
      <c r="K278" t="s">
        <v>1490</v>
      </c>
      <c r="M278" t="s">
        <v>2004</v>
      </c>
      <c r="N278" t="s">
        <v>1192</v>
      </c>
      <c r="O278" t="s">
        <v>49</v>
      </c>
    </row>
    <row r="279" spans="1:15" ht="15">
      <c r="A279" t="s">
        <v>585</v>
      </c>
      <c r="B279" t="s">
        <v>1182</v>
      </c>
      <c r="C279" t="s">
        <v>110</v>
      </c>
      <c r="F279" t="s">
        <v>380</v>
      </c>
      <c r="G279">
        <v>0</v>
      </c>
      <c r="H279" t="s">
        <v>1703</v>
      </c>
      <c r="M279" t="s">
        <v>1192</v>
      </c>
      <c r="N279" t="s">
        <v>1192</v>
      </c>
      <c r="O279" t="s">
        <v>49</v>
      </c>
    </row>
    <row r="280" spans="1:15" ht="13.5" customHeight="1">
      <c r="A280" t="s">
        <v>585</v>
      </c>
      <c r="B280" t="s">
        <v>1182</v>
      </c>
      <c r="C280" t="s">
        <v>955</v>
      </c>
      <c r="D280" t="s">
        <v>1193</v>
      </c>
      <c r="E280" t="s">
        <v>1194</v>
      </c>
      <c r="F280" t="s">
        <v>1726</v>
      </c>
      <c r="H280" t="s">
        <v>1645</v>
      </c>
      <c r="J280" t="s">
        <v>361</v>
      </c>
      <c r="K280" t="s">
        <v>361</v>
      </c>
      <c r="L280" t="s">
        <v>1405</v>
      </c>
      <c r="M280" t="s">
        <v>2004</v>
      </c>
      <c r="N280" t="s">
        <v>1192</v>
      </c>
      <c r="O280" t="s">
        <v>49</v>
      </c>
    </row>
    <row r="281" spans="1:15" ht="13.5" customHeight="1">
      <c r="A281" t="s">
        <v>580</v>
      </c>
      <c r="B281" t="s">
        <v>1182</v>
      </c>
      <c r="C281" t="s">
        <v>955</v>
      </c>
      <c r="D281" t="s">
        <v>1193</v>
      </c>
      <c r="E281" t="s">
        <v>1194</v>
      </c>
      <c r="F281" t="s">
        <v>1727</v>
      </c>
      <c r="M281" t="s">
        <v>1192</v>
      </c>
      <c r="N281" t="s">
        <v>1192</v>
      </c>
      <c r="O281" t="s">
        <v>49</v>
      </c>
    </row>
    <row r="282" spans="1:15" ht="13.5" customHeight="1">
      <c r="A282" t="s">
        <v>580</v>
      </c>
      <c r="B282" t="s">
        <v>1182</v>
      </c>
      <c r="C282" t="s">
        <v>17</v>
      </c>
      <c r="D282" t="s">
        <v>1183</v>
      </c>
      <c r="E282" t="s">
        <v>1184</v>
      </c>
      <c r="F282" t="s">
        <v>1729</v>
      </c>
      <c r="H282" t="s">
        <v>1730</v>
      </c>
      <c r="J282" t="s">
        <v>1189</v>
      </c>
      <c r="M282" t="s">
        <v>1192</v>
      </c>
      <c r="N282" t="s">
        <v>1192</v>
      </c>
      <c r="O282" t="s">
        <v>49</v>
      </c>
    </row>
    <row r="283" spans="1:15" ht="13.5" customHeight="1">
      <c r="A283" t="s">
        <v>580</v>
      </c>
      <c r="B283" t="s">
        <v>1182</v>
      </c>
      <c r="C283" t="s">
        <v>17</v>
      </c>
      <c r="D283" t="s">
        <v>1183</v>
      </c>
      <c r="E283" t="s">
        <v>1184</v>
      </c>
      <c r="F283" t="s">
        <v>1731</v>
      </c>
      <c r="H283" t="s">
        <v>1732</v>
      </c>
      <c r="J283" t="s">
        <v>1189</v>
      </c>
      <c r="M283" t="s">
        <v>1192</v>
      </c>
      <c r="N283" t="s">
        <v>1192</v>
      </c>
      <c r="O283" t="s">
        <v>49</v>
      </c>
    </row>
    <row r="284" spans="1:15" ht="13.5" customHeight="1">
      <c r="A284" t="s">
        <v>580</v>
      </c>
      <c r="B284" t="s">
        <v>1182</v>
      </c>
      <c r="C284" t="s">
        <v>17</v>
      </c>
      <c r="D284" t="s">
        <v>1183</v>
      </c>
      <c r="E284" t="s">
        <v>1184</v>
      </c>
      <c r="F284" t="s">
        <v>1733</v>
      </c>
      <c r="H284" t="s">
        <v>1734</v>
      </c>
      <c r="J284" t="s">
        <v>1182</v>
      </c>
      <c r="M284" t="s">
        <v>1192</v>
      </c>
      <c r="N284" t="s">
        <v>1192</v>
      </c>
      <c r="O284" t="s">
        <v>49</v>
      </c>
    </row>
    <row r="285" spans="1:15" ht="13.5" customHeight="1">
      <c r="A285" t="s">
        <v>585</v>
      </c>
      <c r="B285" t="s">
        <v>1182</v>
      </c>
      <c r="C285" t="s">
        <v>112</v>
      </c>
      <c r="D285" t="s">
        <v>1230</v>
      </c>
      <c r="E285" t="s">
        <v>1244</v>
      </c>
      <c r="F285" t="s">
        <v>1735</v>
      </c>
      <c r="L285" t="s">
        <v>1736</v>
      </c>
      <c r="M285" t="s">
        <v>2004</v>
      </c>
      <c r="N285" t="s">
        <v>2004</v>
      </c>
      <c r="O285" t="s">
        <v>49</v>
      </c>
    </row>
    <row r="286" spans="1:15" ht="13.5" customHeight="1">
      <c r="A286" t="s">
        <v>580</v>
      </c>
      <c r="B286" t="s">
        <v>1182</v>
      </c>
      <c r="C286" t="s">
        <v>17</v>
      </c>
      <c r="D286" t="s">
        <v>1183</v>
      </c>
      <c r="E286" t="s">
        <v>1184</v>
      </c>
      <c r="F286" t="s">
        <v>1737</v>
      </c>
      <c r="H286" t="s">
        <v>1418</v>
      </c>
      <c r="J286" t="s">
        <v>1182</v>
      </c>
      <c r="M286" t="s">
        <v>1192</v>
      </c>
      <c r="N286" t="s">
        <v>1192</v>
      </c>
      <c r="O286" t="s">
        <v>49</v>
      </c>
    </row>
    <row r="287" spans="1:15" ht="13.5" customHeight="1">
      <c r="A287" t="s">
        <v>580</v>
      </c>
      <c r="B287" t="s">
        <v>1182</v>
      </c>
      <c r="C287" t="s">
        <v>17</v>
      </c>
      <c r="D287" t="s">
        <v>1274</v>
      </c>
      <c r="E287" t="s">
        <v>1184</v>
      </c>
      <c r="F287" t="s">
        <v>1738</v>
      </c>
      <c r="H287" t="s">
        <v>1610</v>
      </c>
      <c r="J287" t="s">
        <v>1182</v>
      </c>
      <c r="K287" t="s">
        <v>1277</v>
      </c>
      <c r="M287" t="s">
        <v>1191</v>
      </c>
      <c r="N287" t="s">
        <v>1191</v>
      </c>
      <c r="O287" t="s">
        <v>49</v>
      </c>
    </row>
    <row r="288" spans="1:15" ht="13.5" customHeight="1">
      <c r="A288" t="s">
        <v>580</v>
      </c>
      <c r="B288" t="s">
        <v>1182</v>
      </c>
      <c r="C288" t="s">
        <v>43</v>
      </c>
      <c r="D288" t="s">
        <v>1249</v>
      </c>
      <c r="E288" t="s">
        <v>1739</v>
      </c>
      <c r="F288" t="s">
        <v>1740</v>
      </c>
      <c r="H288" t="s">
        <v>49</v>
      </c>
      <c r="J288" t="s">
        <v>1189</v>
      </c>
      <c r="K288" t="s">
        <v>1252</v>
      </c>
      <c r="M288" t="s">
        <v>1192</v>
      </c>
      <c r="N288" t="s">
        <v>1192</v>
      </c>
      <c r="O288" t="s">
        <v>49</v>
      </c>
    </row>
    <row r="289" spans="1:15" ht="13.5" customHeight="1">
      <c r="A289" t="s">
        <v>580</v>
      </c>
      <c r="B289" t="s">
        <v>1182</v>
      </c>
      <c r="C289" t="s">
        <v>43</v>
      </c>
      <c r="D289" t="s">
        <v>1249</v>
      </c>
      <c r="E289" t="s">
        <v>1739</v>
      </c>
      <c r="F289" t="s">
        <v>1741</v>
      </c>
      <c r="H289" t="s">
        <v>1742</v>
      </c>
      <c r="J289" t="s">
        <v>1182</v>
      </c>
      <c r="M289" t="s">
        <v>1192</v>
      </c>
      <c r="N289" t="s">
        <v>1192</v>
      </c>
      <c r="O289" t="s">
        <v>49</v>
      </c>
    </row>
    <row r="290" spans="1:15" ht="13.5" customHeight="1">
      <c r="A290" t="s">
        <v>580</v>
      </c>
      <c r="B290" t="s">
        <v>1182</v>
      </c>
      <c r="C290" t="s">
        <v>43</v>
      </c>
      <c r="D290" t="s">
        <v>1249</v>
      </c>
      <c r="E290" t="s">
        <v>1739</v>
      </c>
      <c r="F290" t="s">
        <v>1743</v>
      </c>
      <c r="H290" t="s">
        <v>1744</v>
      </c>
      <c r="J290" t="s">
        <v>1182</v>
      </c>
      <c r="M290" t="s">
        <v>1192</v>
      </c>
      <c r="N290" t="s">
        <v>1192</v>
      </c>
      <c r="O290" t="s">
        <v>49</v>
      </c>
    </row>
    <row r="291" spans="1:15" ht="13.5" customHeight="1">
      <c r="A291" t="s">
        <v>580</v>
      </c>
      <c r="B291" t="s">
        <v>1182</v>
      </c>
      <c r="C291" t="s">
        <v>43</v>
      </c>
      <c r="D291" t="s">
        <v>1249</v>
      </c>
      <c r="E291" t="s">
        <v>1739</v>
      </c>
      <c r="F291" t="s">
        <v>1745</v>
      </c>
      <c r="H291" t="s">
        <v>1746</v>
      </c>
      <c r="J291" t="s">
        <v>1182</v>
      </c>
      <c r="M291" t="s">
        <v>1192</v>
      </c>
      <c r="N291" t="s">
        <v>1192</v>
      </c>
      <c r="O291" t="s">
        <v>49</v>
      </c>
    </row>
    <row r="292" spans="1:15" ht="13.5" customHeight="1">
      <c r="A292" t="s">
        <v>580</v>
      </c>
      <c r="B292" t="s">
        <v>1182</v>
      </c>
      <c r="C292" t="s">
        <v>43</v>
      </c>
      <c r="D292" t="s">
        <v>1249</v>
      </c>
      <c r="E292" t="s">
        <v>1739</v>
      </c>
      <c r="F292" t="s">
        <v>1747</v>
      </c>
      <c r="H292" t="s">
        <v>1748</v>
      </c>
      <c r="J292" t="s">
        <v>1182</v>
      </c>
      <c r="M292" t="s">
        <v>1192</v>
      </c>
      <c r="N292" t="s">
        <v>1192</v>
      </c>
      <c r="O292" t="s">
        <v>49</v>
      </c>
    </row>
    <row r="293" spans="1:15" ht="13.5" customHeight="1">
      <c r="A293" t="s">
        <v>580</v>
      </c>
      <c r="B293" t="s">
        <v>1182</v>
      </c>
      <c r="C293" t="s">
        <v>43</v>
      </c>
      <c r="D293" t="s">
        <v>1249</v>
      </c>
      <c r="E293" t="s">
        <v>1739</v>
      </c>
      <c r="F293" t="s">
        <v>1749</v>
      </c>
      <c r="H293" t="s">
        <v>1750</v>
      </c>
      <c r="J293" t="s">
        <v>1182</v>
      </c>
      <c r="M293" t="s">
        <v>1192</v>
      </c>
      <c r="N293" t="s">
        <v>1192</v>
      </c>
      <c r="O293" t="s">
        <v>49</v>
      </c>
    </row>
    <row r="294" spans="1:15" ht="13.5" customHeight="1">
      <c r="A294" t="s">
        <v>580</v>
      </c>
      <c r="B294" t="s">
        <v>1182</v>
      </c>
      <c r="C294" t="s">
        <v>953</v>
      </c>
      <c r="D294" t="s">
        <v>1243</v>
      </c>
      <c r="E294" t="s">
        <v>1460</v>
      </c>
      <c r="F294" t="s">
        <v>1751</v>
      </c>
      <c r="H294" t="s">
        <v>1370</v>
      </c>
      <c r="M294" t="s">
        <v>1192</v>
      </c>
      <c r="N294" t="s">
        <v>1192</v>
      </c>
      <c r="O294" t="s">
        <v>49</v>
      </c>
    </row>
    <row r="295" spans="1:15" ht="13.5" customHeight="1">
      <c r="A295" t="s">
        <v>609</v>
      </c>
      <c r="B295" t="s">
        <v>1182</v>
      </c>
      <c r="C295" t="s">
        <v>17</v>
      </c>
      <c r="D295" t="s">
        <v>1183</v>
      </c>
      <c r="E295" t="s">
        <v>1184</v>
      </c>
      <c r="F295" t="s">
        <v>815</v>
      </c>
      <c r="H295" t="s">
        <v>1418</v>
      </c>
      <c r="J295" t="s">
        <v>1182</v>
      </c>
      <c r="M295" t="s">
        <v>1192</v>
      </c>
      <c r="N295" t="s">
        <v>1192</v>
      </c>
      <c r="O295" t="s">
        <v>49</v>
      </c>
    </row>
    <row r="296" spans="1:15" ht="13.5" customHeight="1">
      <c r="A296" t="s">
        <v>580</v>
      </c>
      <c r="B296" t="s">
        <v>1182</v>
      </c>
      <c r="C296" t="s">
        <v>26</v>
      </c>
      <c r="D296" t="s">
        <v>1193</v>
      </c>
      <c r="E296" t="s">
        <v>1194</v>
      </c>
      <c r="F296" t="s">
        <v>1753</v>
      </c>
      <c r="H296" t="s">
        <v>49</v>
      </c>
      <c r="M296" t="s">
        <v>1192</v>
      </c>
      <c r="N296" t="s">
        <v>1192</v>
      </c>
      <c r="O296" t="s">
        <v>49</v>
      </c>
    </row>
    <row r="297" spans="1:15" ht="13.5" customHeight="1">
      <c r="A297" t="s">
        <v>580</v>
      </c>
      <c r="B297" t="s">
        <v>1182</v>
      </c>
      <c r="C297" t="s">
        <v>26</v>
      </c>
      <c r="D297" t="s">
        <v>1193</v>
      </c>
      <c r="E297" t="s">
        <v>1194</v>
      </c>
      <c r="F297" t="s">
        <v>1754</v>
      </c>
      <c r="H297" t="s">
        <v>49</v>
      </c>
      <c r="M297" t="s">
        <v>1192</v>
      </c>
      <c r="N297" t="s">
        <v>1192</v>
      </c>
      <c r="O297" t="s">
        <v>49</v>
      </c>
    </row>
    <row r="298" spans="1:15" ht="13.5" customHeight="1">
      <c r="A298" t="s">
        <v>609</v>
      </c>
      <c r="B298" t="s">
        <v>1182</v>
      </c>
      <c r="C298" t="s">
        <v>17</v>
      </c>
      <c r="D298" t="s">
        <v>1314</v>
      </c>
      <c r="E298" t="s">
        <v>1184</v>
      </c>
      <c r="F298" t="s">
        <v>1755</v>
      </c>
      <c r="H298" t="s">
        <v>1422</v>
      </c>
      <c r="J298" t="s">
        <v>1182</v>
      </c>
      <c r="K298" t="s">
        <v>1216</v>
      </c>
      <c r="M298" t="s">
        <v>1192</v>
      </c>
      <c r="N298" t="s">
        <v>1192</v>
      </c>
      <c r="O298" t="s">
        <v>49</v>
      </c>
    </row>
    <row r="299" spans="1:15" ht="13.5" customHeight="1">
      <c r="A299" t="s">
        <v>580</v>
      </c>
      <c r="B299" t="s">
        <v>1182</v>
      </c>
      <c r="C299" t="s">
        <v>955</v>
      </c>
      <c r="D299" t="s">
        <v>1193</v>
      </c>
      <c r="E299" t="s">
        <v>1194</v>
      </c>
      <c r="F299" t="s">
        <v>1756</v>
      </c>
      <c r="H299" t="s">
        <v>49</v>
      </c>
      <c r="M299" t="s">
        <v>1192</v>
      </c>
      <c r="N299" t="s">
        <v>1192</v>
      </c>
      <c r="O299" t="s">
        <v>49</v>
      </c>
    </row>
    <row r="300" spans="1:15" ht="13.5" customHeight="1">
      <c r="A300" t="s">
        <v>609</v>
      </c>
      <c r="B300" t="s">
        <v>1189</v>
      </c>
      <c r="C300" t="s">
        <v>117</v>
      </c>
      <c r="D300" t="s">
        <v>1256</v>
      </c>
      <c r="E300" t="s">
        <v>117</v>
      </c>
      <c r="F300" t="s">
        <v>2052</v>
      </c>
      <c r="J300" t="s">
        <v>361</v>
      </c>
      <c r="K300" t="s">
        <v>361</v>
      </c>
      <c r="M300" t="s">
        <v>49</v>
      </c>
      <c r="N300" t="s">
        <v>49</v>
      </c>
      <c r="O300" t="s">
        <v>49</v>
      </c>
    </row>
  </sheetData>
  <autoFilter ref="A1:O300" xr:uid="{97E36DDA-9363-4E95-8058-D57E658EE26F}"/>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FFCDE-27B2-485D-A794-3A5C144645AB}">
  <dimension ref="A1:V23"/>
  <sheetViews>
    <sheetView zoomScaleNormal="100" workbookViewId="0">
      <selection activeCell="A18" sqref="A18"/>
    </sheetView>
  </sheetViews>
  <sheetFormatPr defaultColWidth="8.5703125" defaultRowHeight="13.5" customHeight="1"/>
  <cols>
    <col min="1" max="1" width="24.140625" customWidth="1"/>
    <col min="2" max="2" width="13.85546875" customWidth="1"/>
    <col min="3" max="9" width="10.5703125" customWidth="1"/>
    <col min="19" max="19" width="12.42578125" bestFit="1" customWidth="1"/>
    <col min="20" max="20" width="10.42578125" bestFit="1" customWidth="1"/>
  </cols>
  <sheetData>
    <row r="1" spans="1:22" ht="47.45" customHeight="1">
      <c r="C1" s="311" t="s">
        <v>2053</v>
      </c>
    </row>
    <row r="2" spans="1:22" ht="14.85" customHeight="1">
      <c r="A2" s="565" t="s">
        <v>1095</v>
      </c>
      <c r="B2" s="567" t="s">
        <v>1096</v>
      </c>
      <c r="C2" s="568"/>
      <c r="D2" s="568"/>
      <c r="E2" s="568"/>
      <c r="F2" s="569" t="s">
        <v>1097</v>
      </c>
      <c r="G2" s="570"/>
      <c r="H2" s="570"/>
      <c r="I2" s="571"/>
    </row>
    <row r="3" spans="1:22" s="12" customFormat="1" ht="81.75">
      <c r="A3" s="566"/>
      <c r="B3" s="318" t="s">
        <v>1098</v>
      </c>
      <c r="C3" s="320" t="s">
        <v>2054</v>
      </c>
      <c r="D3" s="320" t="s">
        <v>2055</v>
      </c>
      <c r="E3" s="320" t="s">
        <v>2056</v>
      </c>
      <c r="F3" s="318" t="s">
        <v>1108</v>
      </c>
      <c r="G3" s="319" t="s">
        <v>2057</v>
      </c>
      <c r="H3" s="319" t="s">
        <v>2058</v>
      </c>
      <c r="I3" s="321" t="s">
        <v>2059</v>
      </c>
      <c r="S3" s="12" t="s">
        <v>1117</v>
      </c>
      <c r="V3" s="12" t="s">
        <v>1118</v>
      </c>
    </row>
    <row r="4" spans="1:22" ht="15">
      <c r="A4" s="313" t="s">
        <v>17</v>
      </c>
      <c r="B4" s="313">
        <f>COUNTIF(DataIngestion_SQLfulllist!C:C,IngestionSummary!A4)</f>
        <v>107</v>
      </c>
      <c r="C4">
        <f>COUNTIFS(DataIngestion_SQLfulllist!C:C,IngestionSummary!A4, DataIngestion_SQLfulllist!M:M,"Done")</f>
        <v>66</v>
      </c>
      <c r="D4">
        <f>COUNTIFS(DataIngestion_SQLfulllist!C:C,IngestionSummary!A4,DataIngestion_SQLfulllist!N:N,"Done")</f>
        <v>66</v>
      </c>
      <c r="E4" t="s">
        <v>326</v>
      </c>
      <c r="F4" s="313">
        <f>COUNTIF('DataIngestion-DV_fulllist'!I:I,IngestionSummary!A4)</f>
        <v>12</v>
      </c>
      <c r="G4">
        <f>COUNTIFS('DataIngestion-DV_fulllist'!I:I,IngestionSummary!A4,'DataIngestion-DV_fulllist'!O:O,"Done")</f>
        <v>12</v>
      </c>
      <c r="H4">
        <f>COUNTIFS('DataIngestion-DV_fulllist'!I:I,IngestionSummary!A4,'DataIngestion-DV_fulllist'!P:P,"Done")</f>
        <v>12</v>
      </c>
      <c r="I4" s="314">
        <f>COUNTIFS('DataIngestion-DV_fulllist'!I:I,IngestionSummary!A4,'DataIngestion-DV_fulllist'!Q:Q,"Done")</f>
        <v>0</v>
      </c>
      <c r="S4" t="s">
        <v>1119</v>
      </c>
      <c r="V4" t="s">
        <v>1120</v>
      </c>
    </row>
    <row r="5" spans="1:22" ht="15">
      <c r="A5" s="313" t="s">
        <v>955</v>
      </c>
      <c r="B5" s="313">
        <f>COUNTIF(DataIngestion_SQLfulllist!C:C,IngestionSummary!A5)</f>
        <v>40</v>
      </c>
      <c r="C5">
        <f>COUNTIFS(DataIngestion_SQLfulllist!C:C,IngestionSummary!A5, DataIngestion_SQLfulllist!M:M,"Done")</f>
        <v>34</v>
      </c>
      <c r="D5">
        <f>COUNTIFS(DataIngestion_SQLfulllist!C:C,IngestionSummary!A5,DataIngestion_SQLfulllist!N:N,"Done")</f>
        <v>29</v>
      </c>
      <c r="E5" t="s">
        <v>326</v>
      </c>
      <c r="F5" s="313">
        <f>COUNTIF('DataIngestion-DV_fulllist'!I:I,IngestionSummary!A5)</f>
        <v>1</v>
      </c>
      <c r="G5">
        <f>COUNTIFS('DataIngestion-DV_fulllist'!I:I,IngestionSummary!A5,'DataIngestion-DV_fulllist'!O:O,"Done")</f>
        <v>1</v>
      </c>
      <c r="H5">
        <f>COUNTIFS('DataIngestion-DV_fulllist'!I:I,IngestionSummary!A5,'DataIngestion-DV_fulllist'!P:P,"Done")</f>
        <v>1</v>
      </c>
      <c r="I5" s="314">
        <f>COUNTIFS('DataIngestion-DV_fulllist'!I:I,IngestionSummary!A5,'DataIngestion-DV_fulllist'!Q:Q,"Done")</f>
        <v>0</v>
      </c>
      <c r="S5" t="s">
        <v>1121</v>
      </c>
      <c r="V5" t="s">
        <v>1122</v>
      </c>
    </row>
    <row r="6" spans="1:22" ht="15">
      <c r="A6" s="313" t="s">
        <v>954</v>
      </c>
      <c r="B6" s="313">
        <f>COUNTIF(DataIngestion_SQLfulllist!C:C,IngestionSummary!A6)</f>
        <v>6</v>
      </c>
      <c r="C6">
        <f>COUNTIFS(DataIngestion_SQLfulllist!C:C,IngestionSummary!A6, DataIngestion_SQLfulllist!M:M,"Done")</f>
        <v>4</v>
      </c>
      <c r="D6">
        <f>COUNTIFS(DataIngestion_SQLfulllist!C:C,IngestionSummary!A6,DataIngestion_SQLfulllist!N:N,"Done")</f>
        <v>0</v>
      </c>
      <c r="E6" t="s">
        <v>326</v>
      </c>
      <c r="F6" s="313" t="s">
        <v>326</v>
      </c>
      <c r="G6" t="s">
        <v>326</v>
      </c>
      <c r="H6" t="s">
        <v>326</v>
      </c>
      <c r="I6" s="314" t="s">
        <v>326</v>
      </c>
    </row>
    <row r="7" spans="1:22" ht="15">
      <c r="A7" s="313" t="s">
        <v>36</v>
      </c>
      <c r="B7" s="313">
        <f>COUNTIF(DataIngestion_SQLfulllist!C:C,IngestionSummary!A7)</f>
        <v>23</v>
      </c>
      <c r="C7">
        <f>COUNTIFS(DataIngestion_SQLfulllist!C:C,IngestionSummary!A7, DataIngestion_SQLfulllist!M:M,"Done")</f>
        <v>14</v>
      </c>
      <c r="D7">
        <f>COUNTIFS(DataIngestion_SQLfulllist!C:C,IngestionSummary!A7,DataIngestion_SQLfulllist!N:N,"Done")</f>
        <v>1</v>
      </c>
      <c r="E7" t="s">
        <v>326</v>
      </c>
      <c r="F7" s="313">
        <f>COUNTIF('DataIngestion-DV_fulllist'!I:I,IngestionSummary!A7)</f>
        <v>1</v>
      </c>
      <c r="G7">
        <f>COUNTIFS('DataIngestion-DV_fulllist'!I:I,IngestionSummary!A7,'DataIngestion-DV_fulllist'!O:O,"Done")</f>
        <v>1</v>
      </c>
      <c r="H7">
        <f>COUNTIFS('DataIngestion-DV_fulllist'!I:I,IngestionSummary!A7,'DataIngestion-DV_fulllist'!P:P,"Done")</f>
        <v>1</v>
      </c>
      <c r="I7" s="314">
        <f>COUNTIFS('DataIngestion-DV_fulllist'!I:I,IngestionSummary!A7,'DataIngestion-DV_fulllist'!Q:Q,"Done")</f>
        <v>0</v>
      </c>
      <c r="S7" t="s">
        <v>1119</v>
      </c>
      <c r="V7" t="s">
        <v>1120</v>
      </c>
    </row>
    <row r="8" spans="1:22" ht="15">
      <c r="A8" s="313" t="s">
        <v>112</v>
      </c>
      <c r="B8" s="313">
        <f>COUNTIF(DataIngestion_SQLfulllist!C:C,IngestionSummary!A8)</f>
        <v>44</v>
      </c>
      <c r="C8">
        <f>COUNTIFS(DataIngestion_SQLfulllist!C:C,IngestionSummary!A8, DataIngestion_SQLfulllist!M:M,"Done")</f>
        <v>44</v>
      </c>
      <c r="D8">
        <f>COUNTIFS(DataIngestion_SQLfulllist!C:C,IngestionSummary!A8,DataIngestion_SQLfulllist!N:N,"Done")</f>
        <v>44</v>
      </c>
      <c r="E8" t="s">
        <v>326</v>
      </c>
      <c r="F8" s="313">
        <f>COUNTIF('DataIngestion-DV_fulllist'!I:I,IngestionSummary!A8)</f>
        <v>1</v>
      </c>
      <c r="G8">
        <f>COUNTIFS('DataIngestion-DV_fulllist'!I:I,IngestionSummary!A8,'DataIngestion-DV_fulllist'!O:O,"Done")</f>
        <v>1</v>
      </c>
      <c r="H8">
        <f>COUNTIFS('DataIngestion-DV_fulllist'!I:I,IngestionSummary!A8,'DataIngestion-DV_fulllist'!P:P,"Done")</f>
        <v>1</v>
      </c>
      <c r="I8" s="314">
        <f>COUNTIFS('DataIngestion-DV_fulllist'!I:I,IngestionSummary!A8,'DataIngestion-DV_fulllist'!Q:Q,"Done")</f>
        <v>0</v>
      </c>
      <c r="S8" t="s">
        <v>49</v>
      </c>
    </row>
    <row r="9" spans="1:22" ht="15">
      <c r="A9" s="313" t="s">
        <v>66</v>
      </c>
      <c r="B9" s="313">
        <f>COUNTIF(DataIngestion_SQLfulllist!C:C,IngestionSummary!A9)</f>
        <v>6</v>
      </c>
      <c r="C9">
        <f>COUNTIFS(DataIngestion_SQLfulllist!C:C,IngestionSummary!A9, DataIngestion_SQLfulllist!M:M,"Done")</f>
        <v>5</v>
      </c>
      <c r="D9">
        <f>COUNTIFS(DataIngestion_SQLfulllist!C:C,IngestionSummary!A9,DataIngestion_SQLfulllist!N:N,"Done")</f>
        <v>0</v>
      </c>
      <c r="E9" t="s">
        <v>326</v>
      </c>
      <c r="F9" s="313" t="s">
        <v>326</v>
      </c>
      <c r="G9" t="s">
        <v>326</v>
      </c>
      <c r="H9" t="s">
        <v>326</v>
      </c>
      <c r="I9" s="314" t="s">
        <v>326</v>
      </c>
      <c r="S9" t="s">
        <v>1123</v>
      </c>
    </row>
    <row r="10" spans="1:22" ht="15">
      <c r="A10" s="313" t="s">
        <v>71</v>
      </c>
      <c r="B10" s="313">
        <f>COUNTIF(DataIngestion_SQLfulllist!C:C,IngestionSummary!A10)</f>
        <v>4</v>
      </c>
      <c r="C10">
        <f>COUNTIFS(DataIngestion_SQLfulllist!C:C,IngestionSummary!A10, DataIngestion_SQLfulllist!M:M,"Done")</f>
        <v>4</v>
      </c>
      <c r="D10">
        <f>COUNTIFS(DataIngestion_SQLfulllist!C:C,IngestionSummary!A10,DataIngestion_SQLfulllist!N:N,"Done")</f>
        <v>0</v>
      </c>
      <c r="E10" t="s">
        <v>326</v>
      </c>
      <c r="F10" s="313" t="s">
        <v>326</v>
      </c>
      <c r="G10" t="s">
        <v>326</v>
      </c>
      <c r="H10" t="s">
        <v>326</v>
      </c>
      <c r="I10" s="314" t="s">
        <v>326</v>
      </c>
      <c r="S10" t="s">
        <v>49</v>
      </c>
    </row>
    <row r="11" spans="1:22" ht="15">
      <c r="A11" s="313" t="s">
        <v>43</v>
      </c>
      <c r="B11" s="313">
        <f>COUNTIF(DataIngestion_SQLfulllist!C:C,IngestionSummary!A11)</f>
        <v>8</v>
      </c>
      <c r="C11">
        <f>COUNTIFS(DataIngestion_SQLfulllist!C:C,IngestionSummary!A11, DataIngestion_SQLfulllist!M:M,"Done")</f>
        <v>2</v>
      </c>
      <c r="D11">
        <f>COUNTIFS(DataIngestion_SQLfulllist!C:C,IngestionSummary!A11,DataIngestion_SQLfulllist!N:N,"Done")</f>
        <v>2</v>
      </c>
      <c r="E11" t="s">
        <v>326</v>
      </c>
      <c r="F11" s="313" t="s">
        <v>326</v>
      </c>
      <c r="G11" t="s">
        <v>326</v>
      </c>
      <c r="H11" t="s">
        <v>326</v>
      </c>
      <c r="I11" s="314" t="s">
        <v>326</v>
      </c>
      <c r="S11" t="s">
        <v>1124</v>
      </c>
      <c r="V11" t="s">
        <v>1122</v>
      </c>
    </row>
    <row r="12" spans="1:22" ht="15">
      <c r="A12" s="313" t="s">
        <v>393</v>
      </c>
      <c r="B12" s="313">
        <f>COUNTIF(DataIngestion_SQLfulllist!C:C,IngestionSummary!A12)</f>
        <v>10</v>
      </c>
      <c r="C12">
        <f>COUNTIFS(DataIngestion_SQLfulllist!C:C,IngestionSummary!A12, DataIngestion_SQLfulllist!M:M,"Done")</f>
        <v>10</v>
      </c>
      <c r="D12">
        <f>COUNTIFS(DataIngestion_SQLfulllist!C:C,IngestionSummary!A12,DataIngestion_SQLfulllist!N:N,"Done")</f>
        <v>0</v>
      </c>
      <c r="E12" t="s">
        <v>326</v>
      </c>
      <c r="F12" s="313" t="s">
        <v>326</v>
      </c>
      <c r="G12" t="s">
        <v>326</v>
      </c>
      <c r="H12" t="s">
        <v>326</v>
      </c>
      <c r="I12" s="314" t="s">
        <v>326</v>
      </c>
      <c r="S12" t="s">
        <v>1124</v>
      </c>
      <c r="V12" t="s">
        <v>1122</v>
      </c>
    </row>
    <row r="13" spans="1:22" ht="15">
      <c r="A13" s="313" t="s">
        <v>952</v>
      </c>
      <c r="B13" s="313">
        <f>COUNTIF(DataIngestion_SQLfulllist!C:C,IngestionSummary!A13)</f>
        <v>8</v>
      </c>
      <c r="C13">
        <f>COUNTIFS(DataIngestion_SQLfulllist!C:C,IngestionSummary!A13, DataIngestion_SQLfulllist!M:M,"Done")</f>
        <v>0</v>
      </c>
      <c r="D13">
        <f>COUNTIFS(DataIngestion_SQLfulllist!C:C,IngestionSummary!A13,DataIngestion_SQLfulllist!N:N,"Done")</f>
        <v>0</v>
      </c>
      <c r="E13" t="s">
        <v>326</v>
      </c>
      <c r="F13" s="313" t="s">
        <v>326</v>
      </c>
      <c r="G13" t="s">
        <v>326</v>
      </c>
      <c r="H13" t="s">
        <v>326</v>
      </c>
      <c r="I13" s="314" t="s">
        <v>326</v>
      </c>
      <c r="S13" t="s">
        <v>49</v>
      </c>
    </row>
    <row r="14" spans="1:22" ht="15">
      <c r="A14" s="313" t="s">
        <v>953</v>
      </c>
      <c r="B14" s="313">
        <f>COUNTIF(DataIngestion_SQLfulllist!C:C,IngestionSummary!A14)</f>
        <v>4</v>
      </c>
      <c r="C14">
        <f>COUNTIFS(DataIngestion_SQLfulllist!C:C,IngestionSummary!A14, DataIngestion_SQLfulllist!M:M,"Done")</f>
        <v>3</v>
      </c>
      <c r="D14">
        <f>COUNTIFS(DataIngestion_SQLfulllist!C:C,IngestionSummary!A14,DataIngestion_SQLfulllist!N:N,"Done")</f>
        <v>3</v>
      </c>
      <c r="E14" t="s">
        <v>326</v>
      </c>
      <c r="F14" s="313" t="s">
        <v>326</v>
      </c>
      <c r="G14" t="s">
        <v>326</v>
      </c>
      <c r="H14" t="s">
        <v>326</v>
      </c>
      <c r="I14" s="314" t="s">
        <v>326</v>
      </c>
      <c r="S14" t="s">
        <v>49</v>
      </c>
      <c r="V14" t="s">
        <v>1122</v>
      </c>
    </row>
    <row r="15" spans="1:22" ht="15">
      <c r="A15" s="313" t="s">
        <v>110</v>
      </c>
      <c r="B15" s="313">
        <f>COUNTIF(DataIngestion_SQLfulllist!C:C,IngestionSummary!A15)</f>
        <v>1</v>
      </c>
      <c r="C15">
        <f>COUNTIFS(DataIngestion_SQLfulllist!C:C,IngestionSummary!A15, DataIngestion_SQLfulllist!M:M,"Done")</f>
        <v>0</v>
      </c>
      <c r="D15">
        <f>COUNTIFS(DataIngestion_SQLfulllist!C:C,IngestionSummary!A15,DataIngestion_SQLfulllist!N:N,"Done")</f>
        <v>0</v>
      </c>
      <c r="E15" t="s">
        <v>326</v>
      </c>
      <c r="F15" s="313" t="s">
        <v>326</v>
      </c>
      <c r="G15" t="s">
        <v>326</v>
      </c>
      <c r="H15" t="s">
        <v>326</v>
      </c>
      <c r="I15" s="314" t="s">
        <v>326</v>
      </c>
      <c r="S15" t="s">
        <v>1125</v>
      </c>
      <c r="T15" t="s">
        <v>1126</v>
      </c>
      <c r="V15" t="s">
        <v>1127</v>
      </c>
    </row>
    <row r="16" spans="1:22" ht="15">
      <c r="A16" s="313" t="s">
        <v>57</v>
      </c>
      <c r="B16" s="313">
        <f>COUNTIF(DataIngestion_SQLfulllist!C:C,IngestionSummary!A16)</f>
        <v>7</v>
      </c>
      <c r="C16" t="s">
        <v>326</v>
      </c>
      <c r="D16" t="s">
        <v>326</v>
      </c>
      <c r="E16">
        <f>COUNTIFS(DataIngestion_SQLfulllist!C:C,IngestionSummary!A16,DataIngestion_SQLfulllist!O:O,"Done")</f>
        <v>7</v>
      </c>
      <c r="F16" s="313">
        <f>COUNTIF('DataIngestion-DV_fulllist'!I:I,IngestionSummary!A16)</f>
        <v>1</v>
      </c>
      <c r="G16">
        <f>COUNTIFS('DataIngestion-DV_fulllist'!I:I,IngestionSummary!A16,'DataIngestion-DV_fulllist'!O:O,"Done")</f>
        <v>1</v>
      </c>
      <c r="H16">
        <f>COUNTIFS('DataIngestion-DV_fulllist'!I:I,IngestionSummary!A16,'DataIngestion-DV_fulllist'!P:P,"Done")</f>
        <v>1</v>
      </c>
      <c r="I16" s="314">
        <f>COUNTIFS('DataIngestion-DV_fulllist'!I:I,IngestionSummary!A16,'DataIngestion-DV_fulllist'!Q:Q,"Done")</f>
        <v>0</v>
      </c>
      <c r="S16" t="s">
        <v>49</v>
      </c>
      <c r="T16" t="s">
        <v>1128</v>
      </c>
    </row>
    <row r="17" spans="1:22" ht="15">
      <c r="A17" s="313" t="s">
        <v>39</v>
      </c>
      <c r="B17" s="313">
        <f>COUNTIF(DataIngestion_SQLfulllist!C:C,IngestionSummary!A17)</f>
        <v>23</v>
      </c>
      <c r="C17" t="s">
        <v>326</v>
      </c>
      <c r="D17" t="s">
        <v>326</v>
      </c>
      <c r="E17">
        <f>COUNTIFS(DataIngestion_SQLfulllist!C:C,IngestionSummary!A17,DataIngestion_SQLfulllist!O:O,"Done")</f>
        <v>15</v>
      </c>
      <c r="F17" s="313">
        <f>COUNTIF('DataIngestion-DV_fulllist'!I:I,IngestionSummary!A17)</f>
        <v>1</v>
      </c>
      <c r="G17">
        <f>COUNTIFS('DataIngestion-DV_fulllist'!I:I,IngestionSummary!A17,'DataIngestion-DV_fulllist'!O:O,"Done")</f>
        <v>1</v>
      </c>
      <c r="H17">
        <f>COUNTIFS('DataIngestion-DV_fulllist'!I:I,IngestionSummary!A17,'DataIngestion-DV_fulllist'!P:P,"Done")</f>
        <v>1</v>
      </c>
      <c r="I17" s="314">
        <f>COUNTIFS('DataIngestion-DV_fulllist'!I:I,IngestionSummary!A17,'DataIngestion-DV_fulllist'!Q:Q,"Done")</f>
        <v>0</v>
      </c>
      <c r="S17" t="s">
        <v>1129</v>
      </c>
      <c r="V17" t="s">
        <v>1122</v>
      </c>
    </row>
    <row r="18" spans="1:22" ht="15">
      <c r="A18" s="313" t="s">
        <v>93</v>
      </c>
      <c r="B18" s="313">
        <f>COUNTIF(DataIngestion_SQLfulllist!C:C,IngestionSummary!A18)</f>
        <v>3</v>
      </c>
      <c r="C18" t="s">
        <v>326</v>
      </c>
      <c r="D18" t="s">
        <v>326</v>
      </c>
      <c r="E18">
        <f>COUNTIFS(DataIngestion_SQLfulllist!C:C,IngestionSummary!A18,DataIngestion_SQLfulllist!O:O,"Done")</f>
        <v>0</v>
      </c>
      <c r="F18" s="313" t="s">
        <v>326</v>
      </c>
      <c r="G18" t="s">
        <v>326</v>
      </c>
      <c r="H18" t="s">
        <v>326</v>
      </c>
      <c r="I18" s="314" t="s">
        <v>326</v>
      </c>
      <c r="S18" t="s">
        <v>1121</v>
      </c>
      <c r="V18" t="s">
        <v>1122</v>
      </c>
    </row>
    <row r="19" spans="1:22" ht="15">
      <c r="A19" s="313" t="s">
        <v>117</v>
      </c>
      <c r="B19" s="313">
        <f>COUNTIF(DataIngestion_SQLfulllist!C:C,IngestionSummary!A19)</f>
        <v>5</v>
      </c>
      <c r="C19" t="s">
        <v>326</v>
      </c>
      <c r="D19" t="s">
        <v>326</v>
      </c>
      <c r="E19">
        <f>COUNTIFS(DataIngestion_SQLfulllist!C:C,IngestionSummary!A19,DataIngestion_SQLfulllist!O:O,"Done")</f>
        <v>4</v>
      </c>
      <c r="F19" s="313" t="s">
        <v>326</v>
      </c>
      <c r="G19" t="s">
        <v>326</v>
      </c>
      <c r="H19" t="s">
        <v>326</v>
      </c>
      <c r="I19" s="314" t="s">
        <v>326</v>
      </c>
      <c r="S19" t="s">
        <v>1121</v>
      </c>
      <c r="V19" t="s">
        <v>1122</v>
      </c>
    </row>
    <row r="20" spans="1:22" ht="15">
      <c r="A20" s="313" t="s">
        <v>47</v>
      </c>
      <c r="B20" s="313" t="s">
        <v>326</v>
      </c>
      <c r="C20" t="s">
        <v>326</v>
      </c>
      <c r="D20" t="s">
        <v>326</v>
      </c>
      <c r="E20" t="s">
        <v>326</v>
      </c>
      <c r="F20" s="313">
        <f>COUNTIF('DataIngestion-DV_fulllist'!I:I,IngestionSummary!A20)</f>
        <v>1</v>
      </c>
      <c r="G20">
        <f>COUNTIFS('DataIngestion-DV_fulllist'!I:I,IngestionSummary!A20,'DataIngestion-DV_fulllist'!O:O,"Done")</f>
        <v>0</v>
      </c>
      <c r="H20">
        <f>COUNTIFS('DataIngestion-DV_fulllist'!I:I,IngestionSummary!A20,'DataIngestion-DV_fulllist'!P:P,"Done")</f>
        <v>0</v>
      </c>
      <c r="I20" s="314">
        <f>COUNTIFS('DataIngestion-DV_fulllist'!I:I,IngestionSummary!A20,'DataIngestion-DV_fulllist'!Q:Q,"Done")</f>
        <v>0</v>
      </c>
      <c r="S20" t="s">
        <v>324</v>
      </c>
      <c r="V20" t="s">
        <v>49</v>
      </c>
    </row>
    <row r="21" spans="1:22" ht="15">
      <c r="A21" s="313" t="s">
        <v>113</v>
      </c>
      <c r="B21" s="313" t="s">
        <v>326</v>
      </c>
      <c r="C21" t="s">
        <v>326</v>
      </c>
      <c r="D21" t="s">
        <v>326</v>
      </c>
      <c r="E21" t="s">
        <v>326</v>
      </c>
      <c r="F21" s="313">
        <f>COUNTIF('DataIngestion-DV_fulllist'!I:I,IngestionSummary!A21)</f>
        <v>1</v>
      </c>
      <c r="G21">
        <f>COUNTIFS('DataIngestion-DV_fulllist'!I:I,IngestionSummary!A21,'DataIngestion-DV_fulllist'!O:O,"Done")</f>
        <v>1</v>
      </c>
      <c r="H21">
        <f>COUNTIFS('DataIngestion-DV_fulllist'!I:I,IngestionSummary!A21,'DataIngestion-DV_fulllist'!P:P,"Done")</f>
        <v>1</v>
      </c>
      <c r="I21" s="314">
        <f>COUNTIFS('DataIngestion-DV_fulllist'!I:I,IngestionSummary!A21,'DataIngestion-DV_fulllist'!Q:Q,"Done")</f>
        <v>0</v>
      </c>
      <c r="S21" t="s">
        <v>324</v>
      </c>
      <c r="V21" t="s">
        <v>49</v>
      </c>
    </row>
    <row r="22" spans="1:22" ht="15">
      <c r="A22" s="315" t="s">
        <v>950</v>
      </c>
      <c r="B22" s="315">
        <f>SUM(B4:B21)</f>
        <v>299</v>
      </c>
      <c r="C22" s="316">
        <f t="shared" ref="C22:E22" si="0">SUM(C4:C21)</f>
        <v>186</v>
      </c>
      <c r="D22" s="316">
        <f t="shared" si="0"/>
        <v>145</v>
      </c>
      <c r="E22" s="316">
        <f t="shared" si="0"/>
        <v>26</v>
      </c>
      <c r="F22" s="315">
        <f>SUM(F4:F21)</f>
        <v>19</v>
      </c>
      <c r="G22" s="316">
        <f t="shared" ref="G22" si="1">SUM(G4:G21)</f>
        <v>18</v>
      </c>
      <c r="H22" s="316">
        <f t="shared" ref="H22:I22" si="2">SUM(H4:H21)</f>
        <v>18</v>
      </c>
      <c r="I22" s="317">
        <f t="shared" si="2"/>
        <v>0</v>
      </c>
    </row>
    <row r="23" spans="1:22" ht="15"/>
  </sheetData>
  <mergeCells count="3">
    <mergeCell ref="A2:A3"/>
    <mergeCell ref="B2:E2"/>
    <mergeCell ref="F2:I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4C466-9748-4FD3-9779-FB3FCAFBD9E0}">
  <dimension ref="A1:L20"/>
  <sheetViews>
    <sheetView zoomScaleNormal="100" workbookViewId="0">
      <selection activeCell="C4" sqref="C4"/>
    </sheetView>
  </sheetViews>
  <sheetFormatPr defaultColWidth="8.5703125" defaultRowHeight="15"/>
  <cols>
    <col min="1" max="1" width="20.85546875" bestFit="1" customWidth="1"/>
    <col min="2" max="2" width="12.140625" bestFit="1" customWidth="1"/>
    <col min="3" max="3" width="18.85546875" bestFit="1" customWidth="1"/>
    <col min="4" max="4" width="14.42578125" customWidth="1"/>
    <col min="5" max="5" width="11.85546875" customWidth="1"/>
    <col min="6" max="6" width="8.85546875" customWidth="1"/>
    <col min="7" max="7" width="12.42578125" bestFit="1" customWidth="1"/>
    <col min="8" max="8" width="16.42578125" customWidth="1"/>
    <col min="9" max="9" width="12.42578125" bestFit="1" customWidth="1"/>
    <col min="10" max="10" width="10.42578125" bestFit="1" customWidth="1"/>
  </cols>
  <sheetData>
    <row r="1" spans="1:12" ht="15.75" thickBot="1">
      <c r="A1" s="572" t="s">
        <v>1095</v>
      </c>
      <c r="B1" s="572" t="s">
        <v>1096</v>
      </c>
      <c r="C1" s="572"/>
      <c r="D1" s="572"/>
      <c r="E1" s="572"/>
      <c r="F1" s="572" t="s">
        <v>1097</v>
      </c>
      <c r="G1" s="572"/>
      <c r="H1" s="572"/>
    </row>
    <row r="2" spans="1:12" ht="15.75" thickBot="1">
      <c r="A2" s="572"/>
      <c r="B2" t="s">
        <v>1098</v>
      </c>
      <c r="C2" t="s">
        <v>2060</v>
      </c>
      <c r="D2" t="s">
        <v>2061</v>
      </c>
      <c r="E2" t="s">
        <v>2062</v>
      </c>
      <c r="F2" t="s">
        <v>1108</v>
      </c>
      <c r="G2" t="s">
        <v>2063</v>
      </c>
      <c r="H2" t="s">
        <v>2064</v>
      </c>
      <c r="I2" t="s">
        <v>2065</v>
      </c>
      <c r="L2" t="s">
        <v>1118</v>
      </c>
    </row>
    <row r="3" spans="1:12">
      <c r="A3" t="s">
        <v>17</v>
      </c>
      <c r="B3" t="e">
        <f>COUNTIF(#REF!,IngestionSummary0!A3)</f>
        <v>#REF!</v>
      </c>
      <c r="C3" t="e">
        <f>COUNTIFS(#REF!,IngestionSummary0!A3,#REF!,"Done")</f>
        <v>#REF!</v>
      </c>
      <c r="D3" t="e">
        <f>COUNTIFS(#REF!,IngestionSummary0!A3,#REF!,"Done")</f>
        <v>#REF!</v>
      </c>
      <c r="E3" t="s">
        <v>326</v>
      </c>
      <c r="F3">
        <f>COUNTIF('DataIngestion-DV_fulllist0'!I:I,IngestionSummary0!A3)</f>
        <v>11</v>
      </c>
      <c r="G3">
        <f>COUNTIFS('DataIngestion-DV_fulllist0'!I:I,IngestionSummary0!A3,'DataIngestion-DV_fulllist0'!M:M,"Done")</f>
        <v>5</v>
      </c>
      <c r="H3">
        <f>COUNTIFS('DataIngestion-DV_fulllist0'!I:I,IngestionSummary0!A3,'DataIngestion-DV_fulllist0'!N:N,"Done")</f>
        <v>0</v>
      </c>
      <c r="I3" t="s">
        <v>1119</v>
      </c>
      <c r="L3" t="s">
        <v>1120</v>
      </c>
    </row>
    <row r="4" spans="1:12">
      <c r="A4" t="s">
        <v>955</v>
      </c>
      <c r="B4" t="e">
        <f>COUNTIF(#REF!,IngestionSummary0!A4)</f>
        <v>#REF!</v>
      </c>
      <c r="C4" t="e">
        <f>COUNTIFS(#REF!,IngestionSummary0!A4,#REF!,"Done")</f>
        <v>#REF!</v>
      </c>
      <c r="D4" t="e">
        <f>COUNTIFS(#REF!,IngestionSummary0!A4,#REF!,"Done")</f>
        <v>#REF!</v>
      </c>
      <c r="E4" t="s">
        <v>326</v>
      </c>
      <c r="F4">
        <f>COUNTIF('DataIngestion-DV_fulllist0'!I:I,IngestionSummary0!A4)</f>
        <v>2</v>
      </c>
      <c r="G4">
        <f>COUNTIFS('DataIngestion-DV_fulllist0'!I:I,IngestionSummary0!A4,'DataIngestion-DV_fulllist0'!M:M,"Done")</f>
        <v>0</v>
      </c>
      <c r="H4">
        <f>COUNTIFS('DataIngestion-DV_fulllist0'!I:I,IngestionSummary0!A4,'DataIngestion-DV_fulllist0'!N:N,"Done")</f>
        <v>0</v>
      </c>
      <c r="I4" t="s">
        <v>1121</v>
      </c>
      <c r="L4" t="s">
        <v>1122</v>
      </c>
    </row>
    <row r="5" spans="1:12">
      <c r="A5" t="s">
        <v>36</v>
      </c>
      <c r="B5" t="e">
        <f>COUNTIF(#REF!,IngestionSummary0!A5)</f>
        <v>#REF!</v>
      </c>
      <c r="C5" t="e">
        <f>COUNTIFS(#REF!,IngestionSummary0!A5,#REF!,"Done")</f>
        <v>#REF!</v>
      </c>
      <c r="D5" t="e">
        <f>COUNTIFS(#REF!,IngestionSummary0!A5,#REF!,"Done")</f>
        <v>#REF!</v>
      </c>
      <c r="E5" t="s">
        <v>326</v>
      </c>
      <c r="F5">
        <f>COUNTIF('DataIngestion-DV_fulllist0'!I:I,IngestionSummary0!A5)</f>
        <v>1</v>
      </c>
      <c r="G5">
        <f>COUNTIFS('DataIngestion-DV_fulllist0'!I:I,IngestionSummary0!A5,'DataIngestion-DV_fulllist0'!M:M,"Done")</f>
        <v>1</v>
      </c>
      <c r="H5">
        <f>COUNTIFS('DataIngestion-DV_fulllist0'!I:I,IngestionSummary0!A5,'DataIngestion-DV_fulllist0'!N:N,"Done")</f>
        <v>0</v>
      </c>
      <c r="I5" t="s">
        <v>1119</v>
      </c>
      <c r="L5" t="s">
        <v>1120</v>
      </c>
    </row>
    <row r="6" spans="1:12">
      <c r="A6" t="s">
        <v>112</v>
      </c>
      <c r="B6" t="e">
        <f>COUNTIF(#REF!,IngestionSummary0!A6)</f>
        <v>#REF!</v>
      </c>
      <c r="C6" t="e">
        <f>COUNTIFS(#REF!,IngestionSummary0!A6,#REF!,"Done")</f>
        <v>#REF!</v>
      </c>
      <c r="D6" t="e">
        <f>COUNTIFS(#REF!,IngestionSummary0!A6,#REF!,"Done")</f>
        <v>#REF!</v>
      </c>
      <c r="E6" t="s">
        <v>326</v>
      </c>
      <c r="F6">
        <f>COUNTIF('DataIngestion-DV_fulllist0'!I:I,IngestionSummary0!A6)</f>
        <v>1</v>
      </c>
      <c r="G6">
        <f>COUNTIFS('DataIngestion-DV_fulllist0'!I:I,IngestionSummary0!A6,'DataIngestion-DV_fulllist0'!M:M,"Done")</f>
        <v>0</v>
      </c>
      <c r="H6">
        <f>COUNTIFS('DataIngestion-DV_fulllist0'!I:I,IngestionSummary0!A6,'DataIngestion-DV_fulllist0'!N:N,"Done")</f>
        <v>0</v>
      </c>
      <c r="I6" t="s">
        <v>49</v>
      </c>
    </row>
    <row r="7" spans="1:12">
      <c r="A7" t="s">
        <v>66</v>
      </c>
      <c r="B7" t="e">
        <f>COUNTIF(#REF!,IngestionSummary0!A7)</f>
        <v>#REF!</v>
      </c>
      <c r="C7" t="e">
        <f>COUNTIFS(#REF!,IngestionSummary0!A7,#REF!,"Done")</f>
        <v>#REF!</v>
      </c>
      <c r="D7" t="e">
        <f>COUNTIFS(#REF!,IngestionSummary0!A7,#REF!,"Done")</f>
        <v>#REF!</v>
      </c>
      <c r="E7" t="s">
        <v>326</v>
      </c>
      <c r="F7" t="s">
        <v>326</v>
      </c>
      <c r="G7" t="s">
        <v>326</v>
      </c>
      <c r="H7" t="s">
        <v>326</v>
      </c>
      <c r="I7" t="s">
        <v>2066</v>
      </c>
    </row>
    <row r="8" spans="1:12">
      <c r="A8" t="s">
        <v>71</v>
      </c>
      <c r="B8" t="e">
        <f>COUNTIF(#REF!,IngestionSummary0!A8)</f>
        <v>#REF!</v>
      </c>
      <c r="C8" t="e">
        <f>COUNTIFS(#REF!,IngestionSummary0!A8,#REF!,"Done")</f>
        <v>#REF!</v>
      </c>
      <c r="D8" t="e">
        <f>COUNTIFS(#REF!,IngestionSummary0!A8,#REF!,"Done")</f>
        <v>#REF!</v>
      </c>
      <c r="E8" t="s">
        <v>326</v>
      </c>
      <c r="F8" t="s">
        <v>326</v>
      </c>
      <c r="G8" t="s">
        <v>326</v>
      </c>
      <c r="H8" t="s">
        <v>326</v>
      </c>
      <c r="I8" t="s">
        <v>49</v>
      </c>
    </row>
    <row r="9" spans="1:12">
      <c r="A9" t="s">
        <v>43</v>
      </c>
      <c r="B9" t="e">
        <f>COUNTIF(#REF!,IngestionSummary0!A9)</f>
        <v>#REF!</v>
      </c>
      <c r="C9" t="e">
        <f>COUNTIFS(#REF!,IngestionSummary0!A9,#REF!,"Done")</f>
        <v>#REF!</v>
      </c>
      <c r="D9" t="e">
        <f>COUNTIFS(#REF!,IngestionSummary0!A9,#REF!,"Done")</f>
        <v>#REF!</v>
      </c>
      <c r="E9" t="s">
        <v>326</v>
      </c>
      <c r="F9" t="s">
        <v>326</v>
      </c>
      <c r="G9" t="s">
        <v>326</v>
      </c>
      <c r="H9" t="s">
        <v>326</v>
      </c>
      <c r="I9" t="s">
        <v>1124</v>
      </c>
      <c r="L9" t="s">
        <v>1122</v>
      </c>
    </row>
    <row r="10" spans="1:12">
      <c r="A10" t="s">
        <v>393</v>
      </c>
      <c r="B10" t="e">
        <f>COUNTIF(#REF!,IngestionSummary0!A10)</f>
        <v>#REF!</v>
      </c>
      <c r="C10" t="e">
        <f>COUNTIFS(#REF!,IngestionSummary0!A10,#REF!,"Done")</f>
        <v>#REF!</v>
      </c>
      <c r="D10" t="e">
        <f>COUNTIFS(#REF!,IngestionSummary0!A10,#REF!,"Done")</f>
        <v>#REF!</v>
      </c>
      <c r="E10" t="s">
        <v>326</v>
      </c>
      <c r="F10" t="s">
        <v>326</v>
      </c>
      <c r="G10" t="s">
        <v>326</v>
      </c>
      <c r="H10" t="s">
        <v>326</v>
      </c>
      <c r="I10" t="s">
        <v>1124</v>
      </c>
      <c r="L10" t="s">
        <v>1122</v>
      </c>
    </row>
    <row r="11" spans="1:12">
      <c r="A11" t="s">
        <v>952</v>
      </c>
      <c r="B11" t="e">
        <f>COUNTIF(#REF!,IngestionSummary0!A11)</f>
        <v>#REF!</v>
      </c>
      <c r="C11" t="e">
        <f>COUNTIFS(#REF!,IngestionSummary0!A11,#REF!,"Done")</f>
        <v>#REF!</v>
      </c>
      <c r="D11" t="e">
        <f>COUNTIFS(#REF!,IngestionSummary0!A11,#REF!,"Done")</f>
        <v>#REF!</v>
      </c>
      <c r="E11" t="s">
        <v>326</v>
      </c>
      <c r="F11" t="s">
        <v>326</v>
      </c>
      <c r="G11" t="s">
        <v>326</v>
      </c>
      <c r="H11" t="s">
        <v>326</v>
      </c>
      <c r="I11" t="s">
        <v>49</v>
      </c>
    </row>
    <row r="12" spans="1:12">
      <c r="A12" t="s">
        <v>953</v>
      </c>
      <c r="B12" t="e">
        <f>COUNTIF(#REF!,IngestionSummary0!A12)</f>
        <v>#REF!</v>
      </c>
      <c r="C12" t="e">
        <f>COUNTIFS(#REF!,IngestionSummary0!A12,#REF!,"Done")</f>
        <v>#REF!</v>
      </c>
      <c r="D12" t="e">
        <f>COUNTIFS(#REF!,IngestionSummary0!A12,#REF!,"Done")</f>
        <v>#REF!</v>
      </c>
      <c r="E12" t="s">
        <v>326</v>
      </c>
      <c r="F12" t="s">
        <v>326</v>
      </c>
      <c r="G12" t="s">
        <v>326</v>
      </c>
      <c r="H12" t="s">
        <v>326</v>
      </c>
      <c r="I12" t="s">
        <v>49</v>
      </c>
      <c r="L12" t="s">
        <v>1122</v>
      </c>
    </row>
    <row r="13" spans="1:12">
      <c r="A13" t="s">
        <v>110</v>
      </c>
      <c r="B13" t="e">
        <f>COUNTIF(#REF!,IngestionSummary0!A13)</f>
        <v>#REF!</v>
      </c>
      <c r="C13" t="e">
        <f>COUNTIFS(#REF!,IngestionSummary0!A13,#REF!,"Done")</f>
        <v>#REF!</v>
      </c>
      <c r="D13" t="e">
        <f>COUNTIFS(#REF!,IngestionSummary0!A13,#REF!,"Done")</f>
        <v>#REF!</v>
      </c>
      <c r="E13" t="s">
        <v>326</v>
      </c>
      <c r="F13" t="s">
        <v>326</v>
      </c>
      <c r="G13" t="s">
        <v>326</v>
      </c>
      <c r="H13" t="s">
        <v>326</v>
      </c>
      <c r="I13" t="s">
        <v>1125</v>
      </c>
      <c r="J13" t="s">
        <v>1126</v>
      </c>
      <c r="L13" t="s">
        <v>1127</v>
      </c>
    </row>
    <row r="14" spans="1:12">
      <c r="A14" t="s">
        <v>57</v>
      </c>
      <c r="B14" t="e">
        <f>COUNTIF(#REF!,IngestionSummary0!A14)</f>
        <v>#REF!</v>
      </c>
      <c r="C14" t="s">
        <v>326</v>
      </c>
      <c r="D14" t="s">
        <v>326</v>
      </c>
      <c r="E14" t="e">
        <f>COUNTIFS(#REF!,IngestionSummary0!A14,#REF!,"Done")</f>
        <v>#REF!</v>
      </c>
      <c r="F14">
        <f>COUNTIF('DataIngestion-DV_fulllist0'!I:I,IngestionSummary0!A14)</f>
        <v>2</v>
      </c>
      <c r="G14">
        <f>COUNTIFS('DataIngestion-DV_fulllist0'!I:I,IngestionSummary0!A14,'DataIngestion-DV_fulllist0'!M:M,"Done")</f>
        <v>1</v>
      </c>
      <c r="H14">
        <f>COUNTIFS('DataIngestion-DV_fulllist0'!I:I,IngestionSummary0!A14,'DataIngestion-DV_fulllist0'!N:N,"Done")</f>
        <v>0</v>
      </c>
      <c r="I14" t="s">
        <v>49</v>
      </c>
      <c r="J14" t="s">
        <v>1128</v>
      </c>
    </row>
    <row r="15" spans="1:12">
      <c r="A15" t="s">
        <v>39</v>
      </c>
      <c r="B15" t="e">
        <f>COUNTIF(#REF!,IngestionSummary0!A15)</f>
        <v>#REF!</v>
      </c>
      <c r="C15" t="s">
        <v>326</v>
      </c>
      <c r="D15" t="s">
        <v>326</v>
      </c>
      <c r="E15" t="e">
        <f>COUNTIFS(#REF!,IngestionSummary0!A15,#REF!,"Done")</f>
        <v>#REF!</v>
      </c>
      <c r="F15">
        <f>COUNTIF('DataIngestion-DV_fulllist0'!I:I,IngestionSummary0!A15)</f>
        <v>3</v>
      </c>
      <c r="G15">
        <f>COUNTIFS('DataIngestion-DV_fulllist0'!I:I,IngestionSummary0!A15,'DataIngestion-DV_fulllist0'!M:M,"Done")</f>
        <v>1</v>
      </c>
      <c r="H15">
        <f>COUNTIFS('DataIngestion-DV_fulllist0'!I:I,IngestionSummary0!A15,'DataIngestion-DV_fulllist0'!N:N,"Done")</f>
        <v>0</v>
      </c>
      <c r="I15" t="s">
        <v>1129</v>
      </c>
      <c r="L15" t="s">
        <v>1122</v>
      </c>
    </row>
    <row r="16" spans="1:12">
      <c r="A16" t="s">
        <v>93</v>
      </c>
      <c r="B16" t="e">
        <f>COUNTIF(#REF!,IngestionSummary0!A16)</f>
        <v>#REF!</v>
      </c>
      <c r="C16" t="s">
        <v>326</v>
      </c>
      <c r="D16" t="s">
        <v>326</v>
      </c>
      <c r="E16" t="e">
        <f>COUNTIFS(#REF!,IngestionSummary0!A16,#REF!,"Done")</f>
        <v>#REF!</v>
      </c>
      <c r="F16" t="s">
        <v>326</v>
      </c>
      <c r="G16" t="s">
        <v>326</v>
      </c>
      <c r="H16" t="s">
        <v>326</v>
      </c>
      <c r="I16" t="s">
        <v>1121</v>
      </c>
      <c r="L16" t="s">
        <v>1122</v>
      </c>
    </row>
    <row r="17" spans="1:12">
      <c r="A17" t="s">
        <v>117</v>
      </c>
      <c r="B17" t="e">
        <f>COUNTIF(#REF!,IngestionSummary0!A17)</f>
        <v>#REF!</v>
      </c>
      <c r="C17" t="s">
        <v>326</v>
      </c>
      <c r="D17" t="s">
        <v>326</v>
      </c>
      <c r="E17" t="e">
        <f>COUNTIFS(#REF!,IngestionSummary0!A17,#REF!,"Done")</f>
        <v>#REF!</v>
      </c>
      <c r="F17" t="s">
        <v>326</v>
      </c>
      <c r="G17" t="s">
        <v>326</v>
      </c>
      <c r="H17" t="s">
        <v>326</v>
      </c>
      <c r="I17" t="s">
        <v>1121</v>
      </c>
      <c r="L17" t="s">
        <v>1122</v>
      </c>
    </row>
    <row r="18" spans="1:12">
      <c r="A18" t="s">
        <v>47</v>
      </c>
      <c r="B18" t="e">
        <f>COUNTIF(#REF!,IngestionSummary0!A18)</f>
        <v>#REF!</v>
      </c>
      <c r="C18" t="s">
        <v>326</v>
      </c>
      <c r="D18" t="s">
        <v>326</v>
      </c>
      <c r="E18" t="s">
        <v>326</v>
      </c>
      <c r="F18">
        <f>COUNTIF('DataIngestion-DV_fulllist0'!I:I,IngestionSummary0!A18)</f>
        <v>1</v>
      </c>
      <c r="G18">
        <f>COUNTIFS('DataIngestion-DV_fulllist0'!I:I,IngestionSummary0!A18,'DataIngestion-DV_fulllist0'!M:M,"Done")</f>
        <v>0</v>
      </c>
      <c r="H18">
        <f>COUNTIFS('DataIngestion-DV_fulllist0'!I:I,IngestionSummary0!A18,'DataIngestion-DV_fulllist0'!N:N,"Done")</f>
        <v>0</v>
      </c>
      <c r="I18" t="s">
        <v>324</v>
      </c>
      <c r="L18" t="s">
        <v>49</v>
      </c>
    </row>
    <row r="19" spans="1:12" ht="15.75" thickBot="1">
      <c r="A19" t="s">
        <v>113</v>
      </c>
      <c r="B19" t="e">
        <f>COUNTIF(#REF!,IngestionSummary0!A19)</f>
        <v>#REF!</v>
      </c>
      <c r="C19" t="s">
        <v>326</v>
      </c>
      <c r="D19" t="s">
        <v>326</v>
      </c>
      <c r="E19" t="s">
        <v>326</v>
      </c>
      <c r="F19">
        <f>COUNTIF('DataIngestion-DV_fulllist0'!I:I,IngestionSummary0!A19)</f>
        <v>1</v>
      </c>
      <c r="G19">
        <f>COUNTIFS('DataIngestion-DV_fulllist0'!I:I,IngestionSummary0!A19,'DataIngestion-DV_fulllist0'!M:M,"Done")</f>
        <v>0</v>
      </c>
      <c r="H19">
        <f>COUNTIFS('DataIngestion-DV_fulllist0'!I:I,IngestionSummary0!A19,'DataIngestion-DV_fulllist0'!N:N,"Done")</f>
        <v>0</v>
      </c>
      <c r="I19" t="s">
        <v>324</v>
      </c>
      <c r="L19" t="s">
        <v>49</v>
      </c>
    </row>
    <row r="20" spans="1:12" ht="15.75" thickBot="1">
      <c r="A20" t="s">
        <v>950</v>
      </c>
      <c r="B20" t="e">
        <f>SUM(B3:B19)</f>
        <v>#REF!</v>
      </c>
      <c r="C20" t="e">
        <f t="shared" ref="C20:E20" si="0">SUM(C3:C19)</f>
        <v>#REF!</v>
      </c>
      <c r="D20" t="e">
        <f t="shared" si="0"/>
        <v>#REF!</v>
      </c>
      <c r="E20" t="e">
        <f t="shared" si="0"/>
        <v>#REF!</v>
      </c>
      <c r="F20">
        <f>SUM(F3:F19)</f>
        <v>22</v>
      </c>
      <c r="G20">
        <f t="shared" ref="G20:H20" si="1">SUM(G3:G19)</f>
        <v>8</v>
      </c>
      <c r="H20">
        <f t="shared" si="1"/>
        <v>0</v>
      </c>
    </row>
  </sheetData>
  <autoFilter ref="A2:E20" xr:uid="{1D14C466-9748-4FD3-9779-FB3FCAFBD9E0}"/>
  <mergeCells count="3">
    <mergeCell ref="B1:E1"/>
    <mergeCell ref="F1:H1"/>
    <mergeCell ref="A1:A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C6337-F9DE-4E5D-B01B-BAD55551494E}">
  <dimension ref="A1:A47"/>
  <sheetViews>
    <sheetView workbookViewId="0">
      <selection sqref="A1:XFD1"/>
    </sheetView>
  </sheetViews>
  <sheetFormatPr defaultRowHeight="15"/>
  <cols>
    <col min="1" max="1" width="31.140625" style="8" bestFit="1" customWidth="1"/>
  </cols>
  <sheetData>
    <row r="1" spans="1:1">
      <c r="A1" t="s">
        <v>572</v>
      </c>
    </row>
    <row r="2" spans="1:1">
      <c r="A2" t="s">
        <v>590</v>
      </c>
    </row>
    <row r="3" spans="1:1">
      <c r="A3" t="s">
        <v>603</v>
      </c>
    </row>
    <row r="4" spans="1:1">
      <c r="A4" t="s">
        <v>614</v>
      </c>
    </row>
    <row r="5" spans="1:1">
      <c r="A5" t="s">
        <v>618</v>
      </c>
    </row>
    <row r="6" spans="1:1">
      <c r="A6" t="s">
        <v>624</v>
      </c>
    </row>
    <row r="7" spans="1:1">
      <c r="A7" t="s">
        <v>632</v>
      </c>
    </row>
    <row r="8" spans="1:1">
      <c r="A8" t="s">
        <v>642</v>
      </c>
    </row>
    <row r="9" spans="1:1">
      <c r="A9" t="s">
        <v>648</v>
      </c>
    </row>
    <row r="10" spans="1:1">
      <c r="A10" t="s">
        <v>651</v>
      </c>
    </row>
    <row r="11" spans="1:1">
      <c r="A11" t="s">
        <v>659</v>
      </c>
    </row>
    <row r="12" spans="1:1">
      <c r="A12" t="s">
        <v>663</v>
      </c>
    </row>
    <row r="13" spans="1:1">
      <c r="A13" t="s">
        <v>670</v>
      </c>
    </row>
    <row r="14" spans="1:1">
      <c r="A14" t="s">
        <v>673</v>
      </c>
    </row>
    <row r="15" spans="1:1">
      <c r="A15" t="s">
        <v>677</v>
      </c>
    </row>
    <row r="16" spans="1:1">
      <c r="A16" t="s">
        <v>686</v>
      </c>
    </row>
    <row r="17" spans="1:1">
      <c r="A17" t="s">
        <v>691</v>
      </c>
    </row>
    <row r="18" spans="1:1">
      <c r="A18" t="s">
        <v>696</v>
      </c>
    </row>
    <row r="19" spans="1:1">
      <c r="A19" t="s">
        <v>702</v>
      </c>
    </row>
    <row r="20" spans="1:1">
      <c r="A20" t="s">
        <v>708</v>
      </c>
    </row>
    <row r="21" spans="1:1">
      <c r="A21" t="s">
        <v>712</v>
      </c>
    </row>
    <row r="22" spans="1:1">
      <c r="A22" t="s">
        <v>718</v>
      </c>
    </row>
    <row r="23" spans="1:1">
      <c r="A23" t="s">
        <v>721</v>
      </c>
    </row>
    <row r="24" spans="1:1">
      <c r="A24" t="s">
        <v>725</v>
      </c>
    </row>
    <row r="25" spans="1:1">
      <c r="A25" t="s">
        <v>2067</v>
      </c>
    </row>
    <row r="26" spans="1:1">
      <c r="A26" t="s">
        <v>733</v>
      </c>
    </row>
    <row r="27" spans="1:1">
      <c r="A27" t="s">
        <v>737</v>
      </c>
    </row>
    <row r="28" spans="1:1">
      <c r="A28" t="s">
        <v>743</v>
      </c>
    </row>
    <row r="29" spans="1:1">
      <c r="A29" t="s">
        <v>747</v>
      </c>
    </row>
    <row r="30" spans="1:1">
      <c r="A30" t="s">
        <v>757</v>
      </c>
    </row>
    <row r="31" spans="1:1">
      <c r="A31" t="s">
        <v>761</v>
      </c>
    </row>
    <row r="32" spans="1:1">
      <c r="A32" t="s">
        <v>764</v>
      </c>
    </row>
    <row r="33" spans="1:1">
      <c r="A33" t="s">
        <v>769</v>
      </c>
    </row>
    <row r="34" spans="1:1">
      <c r="A34" t="s">
        <v>771</v>
      </c>
    </row>
    <row r="35" spans="1:1">
      <c r="A35" t="s">
        <v>773</v>
      </c>
    </row>
    <row r="36" spans="1:1">
      <c r="A36" t="s">
        <v>775</v>
      </c>
    </row>
    <row r="37" spans="1:1">
      <c r="A37" t="s">
        <v>777</v>
      </c>
    </row>
    <row r="38" spans="1:1">
      <c r="A38" t="s">
        <v>779</v>
      </c>
    </row>
    <row r="39" spans="1:1">
      <c r="A39" t="s">
        <v>781</v>
      </c>
    </row>
    <row r="40" spans="1:1">
      <c r="A40" t="s">
        <v>782</v>
      </c>
    </row>
    <row r="41" spans="1:1">
      <c r="A41" t="s">
        <v>783</v>
      </c>
    </row>
    <row r="42" spans="1:1">
      <c r="A42" t="s">
        <v>784</v>
      </c>
    </row>
    <row r="43" spans="1:1">
      <c r="A43" t="s">
        <v>786</v>
      </c>
    </row>
    <row r="44" spans="1:1">
      <c r="A44" t="s">
        <v>788</v>
      </c>
    </row>
    <row r="45" spans="1:1">
      <c r="A45" t="s">
        <v>789</v>
      </c>
    </row>
    <row r="46" spans="1:1">
      <c r="A46" t="s">
        <v>790</v>
      </c>
    </row>
    <row r="47" spans="1:1">
      <c r="A47" t="s">
        <v>792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9C70-151F-4362-9106-9D250438CE51}">
  <dimension ref="A1:N23"/>
  <sheetViews>
    <sheetView topLeftCell="G1" workbookViewId="0">
      <selection activeCell="K6" sqref="K6"/>
    </sheetView>
  </sheetViews>
  <sheetFormatPr defaultColWidth="8.5703125" defaultRowHeight="15"/>
  <cols>
    <col min="1" max="1" width="18.42578125" hidden="1" customWidth="1"/>
    <col min="2" max="2" width="28.5703125" hidden="1" customWidth="1"/>
    <col min="3" max="3" width="8.42578125" hidden="1" customWidth="1"/>
    <col min="4" max="5" width="9" hidden="1" customWidth="1"/>
    <col min="6" max="6" width="0" hidden="1" customWidth="1"/>
    <col min="8" max="8" width="10.140625" bestFit="1" customWidth="1"/>
    <col min="9" max="9" width="18.42578125" bestFit="1" customWidth="1"/>
    <col min="10" max="10" width="11.85546875" bestFit="1" customWidth="1"/>
    <col min="11" max="11" width="28.5703125" bestFit="1" customWidth="1"/>
    <col min="12" max="12" width="34.5703125" bestFit="1" customWidth="1"/>
    <col min="13" max="13" width="26.5703125" bestFit="1" customWidth="1"/>
    <col min="14" max="14" width="31.140625" bestFit="1" customWidth="1"/>
  </cols>
  <sheetData>
    <row r="1" spans="1:14">
      <c r="A1" t="s">
        <v>1980</v>
      </c>
      <c r="B1" t="s">
        <v>562</v>
      </c>
      <c r="C1" t="s">
        <v>568</v>
      </c>
      <c r="D1" t="s">
        <v>566</v>
      </c>
      <c r="E1" t="s">
        <v>567</v>
      </c>
      <c r="H1" t="s">
        <v>157</v>
      </c>
      <c r="I1" t="s">
        <v>366</v>
      </c>
      <c r="J1" t="s">
        <v>1159</v>
      </c>
      <c r="K1" t="s">
        <v>562</v>
      </c>
      <c r="L1" t="s">
        <v>1163</v>
      </c>
      <c r="M1" t="s">
        <v>2068</v>
      </c>
      <c r="N1" t="s">
        <v>2069</v>
      </c>
    </row>
    <row r="2" spans="1:14">
      <c r="A2" t="s">
        <v>17</v>
      </c>
      <c r="B2" t="s">
        <v>572</v>
      </c>
      <c r="H2" t="s">
        <v>571</v>
      </c>
      <c r="I2" t="s">
        <v>17</v>
      </c>
      <c r="J2" t="s">
        <v>1274</v>
      </c>
      <c r="K2" t="s">
        <v>642</v>
      </c>
      <c r="L2" t="s">
        <v>1313</v>
      </c>
      <c r="M2" t="s">
        <v>2004</v>
      </c>
      <c r="N2" t="s">
        <v>1991</v>
      </c>
    </row>
    <row r="3" spans="1:14">
      <c r="A3" t="s">
        <v>17</v>
      </c>
      <c r="B3" t="s">
        <v>590</v>
      </c>
      <c r="H3" t="s">
        <v>571</v>
      </c>
      <c r="I3" t="s">
        <v>17</v>
      </c>
      <c r="J3" t="s">
        <v>1274</v>
      </c>
      <c r="K3" t="s">
        <v>590</v>
      </c>
      <c r="L3" t="s">
        <v>1407</v>
      </c>
      <c r="M3" t="s">
        <v>1991</v>
      </c>
      <c r="N3" t="s">
        <v>1991</v>
      </c>
    </row>
    <row r="4" spans="1:14">
      <c r="A4" t="s">
        <v>17</v>
      </c>
      <c r="B4" t="s">
        <v>603</v>
      </c>
      <c r="H4" t="s">
        <v>571</v>
      </c>
      <c r="I4" t="s">
        <v>17</v>
      </c>
      <c r="J4" t="s">
        <v>1274</v>
      </c>
      <c r="K4" t="s">
        <v>603</v>
      </c>
      <c r="L4" t="s">
        <v>1341</v>
      </c>
      <c r="M4" t="s">
        <v>1991</v>
      </c>
      <c r="N4" t="s">
        <v>1991</v>
      </c>
    </row>
    <row r="5" spans="1:14">
      <c r="A5" t="s">
        <v>17</v>
      </c>
      <c r="B5" t="s">
        <v>677</v>
      </c>
      <c r="H5" t="s">
        <v>585</v>
      </c>
      <c r="I5" t="s">
        <v>17</v>
      </c>
      <c r="J5" t="s">
        <v>1274</v>
      </c>
      <c r="K5" t="s">
        <v>677</v>
      </c>
      <c r="L5" t="s">
        <v>1322</v>
      </c>
      <c r="M5" t="s">
        <v>1991</v>
      </c>
      <c r="N5" t="s">
        <v>1991</v>
      </c>
    </row>
    <row r="6" spans="1:14">
      <c r="A6" t="s">
        <v>17</v>
      </c>
      <c r="B6" t="s">
        <v>618</v>
      </c>
      <c r="H6" t="s">
        <v>571</v>
      </c>
      <c r="I6" t="s">
        <v>17</v>
      </c>
      <c r="J6" t="s">
        <v>1274</v>
      </c>
      <c r="K6" t="s">
        <v>618</v>
      </c>
      <c r="L6" t="s">
        <v>1345</v>
      </c>
      <c r="M6" t="s">
        <v>1991</v>
      </c>
      <c r="N6" t="s">
        <v>1991</v>
      </c>
    </row>
    <row r="7" spans="1:14">
      <c r="A7" t="s">
        <v>17</v>
      </c>
      <c r="B7" t="s">
        <v>614</v>
      </c>
      <c r="H7" t="s">
        <v>571</v>
      </c>
      <c r="I7" t="s">
        <v>17</v>
      </c>
      <c r="J7" t="s">
        <v>1274</v>
      </c>
      <c r="K7" t="s">
        <v>614</v>
      </c>
      <c r="L7" t="s">
        <v>1610</v>
      </c>
      <c r="M7" t="s">
        <v>2004</v>
      </c>
      <c r="N7" t="s">
        <v>1991</v>
      </c>
    </row>
    <row r="8" spans="1:14">
      <c r="A8" t="s">
        <v>17</v>
      </c>
      <c r="B8" t="s">
        <v>651</v>
      </c>
      <c r="H8" t="s">
        <v>585</v>
      </c>
      <c r="I8" t="s">
        <v>17</v>
      </c>
      <c r="J8" t="s">
        <v>1274</v>
      </c>
      <c r="K8" t="s">
        <v>651</v>
      </c>
      <c r="L8" t="s">
        <v>1634</v>
      </c>
      <c r="M8" t="s">
        <v>2004</v>
      </c>
      <c r="N8" t="s">
        <v>1991</v>
      </c>
    </row>
    <row r="9" spans="1:14">
      <c r="A9" t="s">
        <v>17</v>
      </c>
      <c r="B9" t="s">
        <v>648</v>
      </c>
      <c r="H9" t="s">
        <v>585</v>
      </c>
      <c r="I9" t="s">
        <v>17</v>
      </c>
      <c r="J9" t="s">
        <v>1274</v>
      </c>
      <c r="K9" t="s">
        <v>648</v>
      </c>
      <c r="L9" t="s">
        <v>1633</v>
      </c>
      <c r="M9" t="s">
        <v>2004</v>
      </c>
      <c r="N9" t="s">
        <v>1991</v>
      </c>
    </row>
    <row r="10" spans="1:14">
      <c r="A10" t="s">
        <v>17</v>
      </c>
      <c r="B10" t="s">
        <v>659</v>
      </c>
      <c r="H10" t="s">
        <v>585</v>
      </c>
      <c r="I10" t="s">
        <v>17</v>
      </c>
      <c r="J10" t="s">
        <v>1274</v>
      </c>
      <c r="K10" t="s">
        <v>659</v>
      </c>
      <c r="L10" t="s">
        <v>1360</v>
      </c>
      <c r="M10" t="s">
        <v>1991</v>
      </c>
      <c r="N10" t="s">
        <v>1991</v>
      </c>
    </row>
    <row r="11" spans="1:14">
      <c r="A11" t="s">
        <v>17</v>
      </c>
      <c r="B11" t="s">
        <v>673</v>
      </c>
      <c r="H11" t="s">
        <v>585</v>
      </c>
      <c r="I11" t="s">
        <v>17</v>
      </c>
      <c r="J11" t="s">
        <v>1183</v>
      </c>
      <c r="K11" t="s">
        <v>673</v>
      </c>
      <c r="L11" t="s">
        <v>1298</v>
      </c>
      <c r="M11" t="s">
        <v>2004</v>
      </c>
      <c r="N11" t="s">
        <v>1991</v>
      </c>
    </row>
    <row r="12" spans="1:14">
      <c r="A12" t="s">
        <v>17</v>
      </c>
      <c r="B12" t="s">
        <v>638</v>
      </c>
      <c r="H12" t="s">
        <v>571</v>
      </c>
      <c r="I12" t="s">
        <v>17</v>
      </c>
      <c r="J12" t="s">
        <v>1274</v>
      </c>
      <c r="K12" t="s">
        <v>638</v>
      </c>
      <c r="L12" t="s">
        <v>1276</v>
      </c>
      <c r="M12" t="s">
        <v>1991</v>
      </c>
      <c r="N12" t="s">
        <v>1991</v>
      </c>
    </row>
    <row r="13" spans="1:14">
      <c r="A13" t="s">
        <v>955</v>
      </c>
      <c r="B13" t="s">
        <v>706</v>
      </c>
      <c r="H13" t="s">
        <v>571</v>
      </c>
      <c r="I13" t="s">
        <v>955</v>
      </c>
      <c r="J13" t="s">
        <v>1193</v>
      </c>
      <c r="K13" t="s">
        <v>706</v>
      </c>
      <c r="L13" t="s">
        <v>1212</v>
      </c>
      <c r="M13" t="s">
        <v>1991</v>
      </c>
      <c r="N13" t="s">
        <v>1991</v>
      </c>
    </row>
    <row r="14" spans="1:14">
      <c r="A14" t="s">
        <v>955</v>
      </c>
      <c r="B14" t="s">
        <v>592</v>
      </c>
      <c r="H14" t="s">
        <v>571</v>
      </c>
      <c r="I14" t="s">
        <v>955</v>
      </c>
      <c r="J14" t="s">
        <v>1193</v>
      </c>
      <c r="K14" t="s">
        <v>592</v>
      </c>
      <c r="L14" t="s">
        <v>1212</v>
      </c>
      <c r="M14" t="s">
        <v>1991</v>
      </c>
      <c r="N14" t="s">
        <v>1991</v>
      </c>
    </row>
    <row r="15" spans="1:14">
      <c r="A15" t="s">
        <v>39</v>
      </c>
      <c r="B15" t="s">
        <v>578</v>
      </c>
      <c r="H15" t="s">
        <v>571</v>
      </c>
      <c r="I15" t="s">
        <v>39</v>
      </c>
      <c r="J15" t="s">
        <v>1288</v>
      </c>
      <c r="K15" t="s">
        <v>578</v>
      </c>
      <c r="L15" t="s">
        <v>1406</v>
      </c>
      <c r="M15" t="s">
        <v>2004</v>
      </c>
      <c r="N15" t="s">
        <v>1991</v>
      </c>
    </row>
    <row r="16" spans="1:14">
      <c r="A16" t="s">
        <v>39</v>
      </c>
      <c r="B16" t="s">
        <v>595</v>
      </c>
      <c r="H16" t="s">
        <v>571</v>
      </c>
      <c r="I16" t="s">
        <v>39</v>
      </c>
      <c r="J16" t="s">
        <v>1408</v>
      </c>
      <c r="K16" t="s">
        <v>595</v>
      </c>
      <c r="L16" t="s">
        <v>2017</v>
      </c>
      <c r="M16" t="s">
        <v>1991</v>
      </c>
      <c r="N16" t="s">
        <v>1991</v>
      </c>
    </row>
    <row r="17" spans="1:14">
      <c r="A17" t="s">
        <v>39</v>
      </c>
      <c r="B17" t="s">
        <v>607</v>
      </c>
      <c r="H17" t="s">
        <v>571</v>
      </c>
      <c r="I17" t="s">
        <v>39</v>
      </c>
      <c r="J17" t="s">
        <v>1288</v>
      </c>
      <c r="K17" t="s">
        <v>607</v>
      </c>
      <c r="L17" t="s">
        <v>1537</v>
      </c>
      <c r="M17" t="s">
        <v>1991</v>
      </c>
      <c r="N17" t="s">
        <v>1991</v>
      </c>
    </row>
    <row r="18" spans="1:14">
      <c r="A18" t="s">
        <v>36</v>
      </c>
      <c r="B18" t="s">
        <v>576</v>
      </c>
      <c r="H18" t="s">
        <v>571</v>
      </c>
      <c r="I18" t="s">
        <v>36</v>
      </c>
      <c r="J18" t="s">
        <v>1183</v>
      </c>
      <c r="K18" t="s">
        <v>576</v>
      </c>
      <c r="L18" t="s">
        <v>1555</v>
      </c>
      <c r="M18" t="s">
        <v>2004</v>
      </c>
      <c r="N18" t="s">
        <v>1991</v>
      </c>
    </row>
    <row r="19" spans="1:14">
      <c r="A19" t="s">
        <v>57</v>
      </c>
      <c r="B19" t="s">
        <v>531</v>
      </c>
      <c r="H19" t="s">
        <v>571</v>
      </c>
      <c r="I19" t="s">
        <v>57</v>
      </c>
      <c r="J19" t="s">
        <v>1236</v>
      </c>
      <c r="K19" t="s">
        <v>531</v>
      </c>
      <c r="M19" t="s">
        <v>1991</v>
      </c>
      <c r="N19" t="s">
        <v>1991</v>
      </c>
    </row>
    <row r="20" spans="1:14">
      <c r="A20" t="s">
        <v>57</v>
      </c>
      <c r="B20" t="s">
        <v>594</v>
      </c>
      <c r="H20" t="s">
        <v>571</v>
      </c>
      <c r="I20" t="s">
        <v>57</v>
      </c>
      <c r="J20" t="s">
        <v>1236</v>
      </c>
      <c r="K20" t="s">
        <v>594</v>
      </c>
      <c r="M20" t="s">
        <v>2004</v>
      </c>
      <c r="N20" t="s">
        <v>1991</v>
      </c>
    </row>
    <row r="21" spans="1:14">
      <c r="A21" t="s">
        <v>112</v>
      </c>
      <c r="B21" t="s">
        <v>547</v>
      </c>
      <c r="H21" t="s">
        <v>571</v>
      </c>
      <c r="I21" t="s">
        <v>112</v>
      </c>
      <c r="J21" t="s">
        <v>1243</v>
      </c>
      <c r="K21" t="s">
        <v>547</v>
      </c>
      <c r="L21" t="s">
        <v>1245</v>
      </c>
      <c r="M21" t="s">
        <v>1991</v>
      </c>
      <c r="N21" t="s">
        <v>1991</v>
      </c>
    </row>
    <row r="22" spans="1:14">
      <c r="A22" t="s">
        <v>47</v>
      </c>
      <c r="B22" t="s">
        <v>1761</v>
      </c>
      <c r="H22" t="s">
        <v>571</v>
      </c>
      <c r="I22" t="s">
        <v>47</v>
      </c>
      <c r="K22" t="s">
        <v>1761</v>
      </c>
      <c r="M22" t="s">
        <v>1991</v>
      </c>
      <c r="N22" t="s">
        <v>1991</v>
      </c>
    </row>
    <row r="23" spans="1:14">
      <c r="A23" t="s">
        <v>113</v>
      </c>
      <c r="B23" t="s">
        <v>1763</v>
      </c>
      <c r="H23" t="s">
        <v>571</v>
      </c>
      <c r="I23" t="s">
        <v>113</v>
      </c>
      <c r="K23" t="s">
        <v>1763</v>
      </c>
      <c r="M23" t="s">
        <v>1991</v>
      </c>
      <c r="N23" t="s">
        <v>1991</v>
      </c>
    </row>
  </sheetData>
  <autoFilter ref="H1:N23" xr:uid="{06619C70-151F-4362-9106-9D250438CE5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ED712-D562-4DF4-9467-3CC288800DD4}">
  <dimension ref="A1:Q20"/>
  <sheetViews>
    <sheetView topLeftCell="G1" workbookViewId="0">
      <selection activeCell="O2" sqref="O2"/>
    </sheetView>
  </sheetViews>
  <sheetFormatPr defaultColWidth="8.5703125" defaultRowHeight="15"/>
  <cols>
    <col min="1" max="1" width="18.42578125" hidden="1" customWidth="1"/>
    <col min="2" max="2" width="28.5703125" hidden="1" customWidth="1"/>
    <col min="3" max="3" width="8.42578125" hidden="1" customWidth="1"/>
    <col min="4" max="5" width="9" hidden="1" customWidth="1"/>
    <col min="6" max="6" width="0" hidden="1" customWidth="1"/>
    <col min="8" max="8" width="10.42578125" bestFit="1" customWidth="1"/>
    <col min="9" max="9" width="18.42578125" bestFit="1" customWidth="1"/>
    <col min="10" max="10" width="11.5703125" bestFit="1" customWidth="1"/>
    <col min="11" max="11" width="29.85546875" bestFit="1" customWidth="1"/>
    <col min="12" max="12" width="28.5703125" bestFit="1" customWidth="1"/>
    <col min="13" max="13" width="28.5703125" customWidth="1"/>
    <col min="14" max="14" width="34.5703125" bestFit="1" customWidth="1"/>
    <col min="15" max="15" width="22.42578125" bestFit="1" customWidth="1"/>
    <col min="16" max="17" width="21.5703125" bestFit="1" customWidth="1"/>
  </cols>
  <sheetData>
    <row r="1" spans="1:17" s="12" customFormat="1" ht="105">
      <c r="A1" s="12" t="s">
        <v>1980</v>
      </c>
      <c r="B1" s="12" t="s">
        <v>562</v>
      </c>
      <c r="C1" s="12" t="s">
        <v>568</v>
      </c>
      <c r="D1" s="12" t="s">
        <v>566</v>
      </c>
      <c r="E1" s="12" t="s">
        <v>567</v>
      </c>
      <c r="H1" s="312" t="s">
        <v>157</v>
      </c>
      <c r="I1" s="312" t="s">
        <v>366</v>
      </c>
      <c r="J1" s="312" t="s">
        <v>1159</v>
      </c>
      <c r="K1" s="312" t="s">
        <v>1981</v>
      </c>
      <c r="L1" s="312" t="s">
        <v>562</v>
      </c>
      <c r="M1" s="312" t="s">
        <v>1162</v>
      </c>
      <c r="N1" s="312" t="s">
        <v>1163</v>
      </c>
      <c r="O1" s="319" t="s">
        <v>2070</v>
      </c>
      <c r="P1" s="319" t="s">
        <v>2071</v>
      </c>
      <c r="Q1" s="319" t="s">
        <v>2072</v>
      </c>
    </row>
    <row r="2" spans="1:17">
      <c r="A2" t="s">
        <v>17</v>
      </c>
      <c r="B2" t="s">
        <v>572</v>
      </c>
      <c r="H2" t="s">
        <v>571</v>
      </c>
      <c r="I2" t="s">
        <v>17</v>
      </c>
      <c r="J2" t="s">
        <v>1274</v>
      </c>
      <c r="K2" t="s">
        <v>1990</v>
      </c>
      <c r="L2" t="s">
        <v>642</v>
      </c>
      <c r="N2" t="s">
        <v>1313</v>
      </c>
      <c r="O2" t="s">
        <v>1191</v>
      </c>
      <c r="P2" t="s">
        <v>1191</v>
      </c>
      <c r="Q2" t="s">
        <v>1991</v>
      </c>
    </row>
    <row r="3" spans="1:17">
      <c r="A3" t="s">
        <v>17</v>
      </c>
      <c r="B3" t="s">
        <v>603</v>
      </c>
      <c r="H3" t="s">
        <v>571</v>
      </c>
      <c r="I3" t="s">
        <v>17</v>
      </c>
      <c r="J3" t="s">
        <v>1274</v>
      </c>
      <c r="K3" t="s">
        <v>1992</v>
      </c>
      <c r="L3" t="s">
        <v>603</v>
      </c>
      <c r="N3" t="s">
        <v>1341</v>
      </c>
      <c r="O3" t="s">
        <v>1191</v>
      </c>
      <c r="P3" t="s">
        <v>1191</v>
      </c>
      <c r="Q3" t="s">
        <v>1991</v>
      </c>
    </row>
    <row r="4" spans="1:17">
      <c r="A4" t="s">
        <v>17</v>
      </c>
      <c r="B4" t="s">
        <v>677</v>
      </c>
      <c r="H4" t="s">
        <v>585</v>
      </c>
      <c r="I4" t="s">
        <v>17</v>
      </c>
      <c r="J4" t="s">
        <v>1274</v>
      </c>
      <c r="K4" t="s">
        <v>1993</v>
      </c>
      <c r="L4" t="s">
        <v>677</v>
      </c>
      <c r="N4" t="s">
        <v>1322</v>
      </c>
      <c r="O4" t="s">
        <v>1191</v>
      </c>
      <c r="P4" t="s">
        <v>1191</v>
      </c>
      <c r="Q4" t="s">
        <v>1991</v>
      </c>
    </row>
    <row r="5" spans="1:17">
      <c r="A5" t="s">
        <v>17</v>
      </c>
      <c r="B5" t="s">
        <v>590</v>
      </c>
      <c r="H5" t="s">
        <v>571</v>
      </c>
      <c r="I5" t="s">
        <v>17</v>
      </c>
      <c r="J5" t="s">
        <v>1274</v>
      </c>
      <c r="K5" t="s">
        <v>1994</v>
      </c>
      <c r="L5" t="s">
        <v>590</v>
      </c>
      <c r="N5" t="s">
        <v>1407</v>
      </c>
      <c r="O5" t="s">
        <v>1191</v>
      </c>
      <c r="P5" t="s">
        <v>1191</v>
      </c>
      <c r="Q5" t="s">
        <v>1991</v>
      </c>
    </row>
    <row r="6" spans="1:17">
      <c r="H6" t="s">
        <v>580</v>
      </c>
      <c r="I6" t="s">
        <v>17</v>
      </c>
      <c r="J6" t="s">
        <v>1274</v>
      </c>
      <c r="K6" t="s">
        <v>1994</v>
      </c>
      <c r="L6" t="s">
        <v>642</v>
      </c>
      <c r="N6" t="s">
        <v>1313</v>
      </c>
      <c r="O6" t="s">
        <v>1191</v>
      </c>
      <c r="P6" t="s">
        <v>1191</v>
      </c>
      <c r="Q6" t="s">
        <v>1991</v>
      </c>
    </row>
    <row r="7" spans="1:17">
      <c r="A7" t="s">
        <v>17</v>
      </c>
      <c r="B7" t="s">
        <v>618</v>
      </c>
      <c r="H7" t="s">
        <v>571</v>
      </c>
      <c r="I7" t="s">
        <v>17</v>
      </c>
      <c r="J7" t="s">
        <v>1274</v>
      </c>
      <c r="K7" t="s">
        <v>1995</v>
      </c>
      <c r="L7" t="s">
        <v>618</v>
      </c>
      <c r="N7" t="s">
        <v>1345</v>
      </c>
      <c r="O7" t="s">
        <v>1191</v>
      </c>
      <c r="P7" t="s">
        <v>1191</v>
      </c>
      <c r="Q7" t="s">
        <v>1991</v>
      </c>
    </row>
    <row r="8" spans="1:17">
      <c r="A8" t="s">
        <v>17</v>
      </c>
      <c r="B8" t="s">
        <v>614</v>
      </c>
      <c r="H8" t="s">
        <v>571</v>
      </c>
      <c r="I8" t="s">
        <v>17</v>
      </c>
      <c r="J8" t="s">
        <v>1274</v>
      </c>
      <c r="K8" t="s">
        <v>1996</v>
      </c>
      <c r="L8" t="s">
        <v>614</v>
      </c>
      <c r="N8" t="s">
        <v>1610</v>
      </c>
      <c r="O8" t="s">
        <v>1191</v>
      </c>
      <c r="P8" t="s">
        <v>1191</v>
      </c>
      <c r="Q8" t="s">
        <v>1991</v>
      </c>
    </row>
    <row r="9" spans="1:17">
      <c r="A9" t="s">
        <v>17</v>
      </c>
      <c r="B9" t="s">
        <v>648</v>
      </c>
      <c r="H9" t="s">
        <v>585</v>
      </c>
      <c r="I9" t="s">
        <v>17</v>
      </c>
      <c r="J9" t="s">
        <v>1274</v>
      </c>
      <c r="K9" t="s">
        <v>1996</v>
      </c>
      <c r="L9" t="s">
        <v>648</v>
      </c>
      <c r="N9" t="s">
        <v>1633</v>
      </c>
      <c r="O9" t="s">
        <v>1191</v>
      </c>
      <c r="P9" t="s">
        <v>1191</v>
      </c>
      <c r="Q9" t="s">
        <v>1991</v>
      </c>
    </row>
    <row r="10" spans="1:17">
      <c r="A10" t="s">
        <v>17</v>
      </c>
      <c r="B10" t="s">
        <v>651</v>
      </c>
      <c r="H10" t="s">
        <v>585</v>
      </c>
      <c r="I10" t="s">
        <v>17</v>
      </c>
      <c r="J10" t="s">
        <v>1274</v>
      </c>
      <c r="K10" t="s">
        <v>1997</v>
      </c>
      <c r="L10" t="s">
        <v>651</v>
      </c>
      <c r="N10" t="s">
        <v>1634</v>
      </c>
      <c r="O10" t="s">
        <v>1191</v>
      </c>
      <c r="P10" t="s">
        <v>1191</v>
      </c>
      <c r="Q10" t="s">
        <v>1991</v>
      </c>
    </row>
    <row r="11" spans="1:17">
      <c r="A11" t="s">
        <v>17</v>
      </c>
      <c r="B11" t="s">
        <v>659</v>
      </c>
      <c r="H11" t="s">
        <v>585</v>
      </c>
      <c r="I11" t="s">
        <v>17</v>
      </c>
      <c r="J11" t="s">
        <v>1274</v>
      </c>
      <c r="K11" t="s">
        <v>1998</v>
      </c>
      <c r="L11" t="s">
        <v>659</v>
      </c>
      <c r="N11" t="s">
        <v>1360</v>
      </c>
      <c r="O11" t="s">
        <v>1191</v>
      </c>
      <c r="P11" t="s">
        <v>1191</v>
      </c>
      <c r="Q11" t="s">
        <v>1991</v>
      </c>
    </row>
    <row r="12" spans="1:17">
      <c r="A12" t="s">
        <v>17</v>
      </c>
      <c r="B12" t="s">
        <v>673</v>
      </c>
      <c r="H12" t="s">
        <v>585</v>
      </c>
      <c r="I12" t="s">
        <v>17</v>
      </c>
      <c r="J12" t="s">
        <v>1183</v>
      </c>
      <c r="K12" t="s">
        <v>1999</v>
      </c>
      <c r="L12" t="s">
        <v>673</v>
      </c>
      <c r="N12" t="s">
        <v>1298</v>
      </c>
      <c r="O12" t="s">
        <v>1191</v>
      </c>
      <c r="P12" t="s">
        <v>1191</v>
      </c>
      <c r="Q12" t="s">
        <v>1991</v>
      </c>
    </row>
    <row r="13" spans="1:17">
      <c r="A13" t="s">
        <v>17</v>
      </c>
      <c r="B13" t="s">
        <v>638</v>
      </c>
      <c r="H13" t="s">
        <v>571</v>
      </c>
      <c r="I13" t="s">
        <v>17</v>
      </c>
      <c r="J13" t="s">
        <v>1274</v>
      </c>
      <c r="K13" t="s">
        <v>1999</v>
      </c>
      <c r="L13" t="s">
        <v>638</v>
      </c>
      <c r="N13" t="s">
        <v>1276</v>
      </c>
      <c r="O13" t="s">
        <v>1191</v>
      </c>
      <c r="P13" t="s">
        <v>1191</v>
      </c>
      <c r="Q13" t="s">
        <v>1991</v>
      </c>
    </row>
    <row r="14" spans="1:17">
      <c r="A14" t="s">
        <v>955</v>
      </c>
      <c r="B14" t="s">
        <v>706</v>
      </c>
      <c r="H14" t="s">
        <v>571</v>
      </c>
      <c r="I14" t="s">
        <v>955</v>
      </c>
      <c r="J14" t="s">
        <v>1193</v>
      </c>
      <c r="K14" t="s">
        <v>1999</v>
      </c>
      <c r="L14" t="s">
        <v>706</v>
      </c>
      <c r="N14" t="s">
        <v>1212</v>
      </c>
      <c r="O14" t="s">
        <v>1191</v>
      </c>
      <c r="P14" t="s">
        <v>1191</v>
      </c>
      <c r="Q14" t="s">
        <v>1991</v>
      </c>
    </row>
    <row r="15" spans="1:17">
      <c r="A15" t="s">
        <v>39</v>
      </c>
      <c r="B15" t="s">
        <v>578</v>
      </c>
      <c r="H15" t="s">
        <v>571</v>
      </c>
      <c r="I15" t="s">
        <v>39</v>
      </c>
      <c r="J15" t="s">
        <v>1288</v>
      </c>
      <c r="K15" t="s">
        <v>1999</v>
      </c>
      <c r="L15" t="s">
        <v>578</v>
      </c>
      <c r="N15" t="s">
        <v>1406</v>
      </c>
      <c r="O15" t="s">
        <v>1191</v>
      </c>
      <c r="P15" t="s">
        <v>1191</v>
      </c>
      <c r="Q15" t="s">
        <v>1991</v>
      </c>
    </row>
    <row r="16" spans="1:17">
      <c r="A16" t="s">
        <v>36</v>
      </c>
      <c r="B16" t="s">
        <v>576</v>
      </c>
      <c r="H16" t="s">
        <v>571</v>
      </c>
      <c r="I16" t="s">
        <v>36</v>
      </c>
      <c r="J16" t="s">
        <v>1183</v>
      </c>
      <c r="K16" t="s">
        <v>1999</v>
      </c>
      <c r="L16" t="s">
        <v>576</v>
      </c>
      <c r="N16" t="s">
        <v>1555</v>
      </c>
      <c r="O16" t="s">
        <v>1191</v>
      </c>
      <c r="P16" t="s">
        <v>1191</v>
      </c>
      <c r="Q16" t="s">
        <v>1991</v>
      </c>
    </row>
    <row r="17" spans="1:17">
      <c r="A17" t="s">
        <v>57</v>
      </c>
      <c r="B17" t="s">
        <v>594</v>
      </c>
      <c r="H17" t="s">
        <v>571</v>
      </c>
      <c r="I17" t="s">
        <v>57</v>
      </c>
      <c r="J17" t="s">
        <v>1236</v>
      </c>
      <c r="K17" t="s">
        <v>2000</v>
      </c>
      <c r="L17" t="s">
        <v>594</v>
      </c>
      <c r="O17" t="s">
        <v>1191</v>
      </c>
      <c r="P17" t="s">
        <v>1191</v>
      </c>
      <c r="Q17" t="s">
        <v>1991</v>
      </c>
    </row>
    <row r="18" spans="1:17">
      <c r="A18" t="s">
        <v>112</v>
      </c>
      <c r="B18" t="s">
        <v>547</v>
      </c>
      <c r="H18" t="s">
        <v>571</v>
      </c>
      <c r="I18" t="s">
        <v>112</v>
      </c>
      <c r="J18" t="s">
        <v>1243</v>
      </c>
      <c r="K18" t="s">
        <v>2000</v>
      </c>
      <c r="L18" t="s">
        <v>547</v>
      </c>
      <c r="N18" t="s">
        <v>1245</v>
      </c>
      <c r="O18" t="s">
        <v>1191</v>
      </c>
      <c r="P18" t="s">
        <v>1191</v>
      </c>
      <c r="Q18" t="s">
        <v>1991</v>
      </c>
    </row>
    <row r="19" spans="1:17">
      <c r="A19" t="s">
        <v>47</v>
      </c>
      <c r="B19" t="s">
        <v>1761</v>
      </c>
      <c r="H19" t="s">
        <v>571</v>
      </c>
      <c r="I19" t="s">
        <v>47</v>
      </c>
      <c r="J19" t="s">
        <v>1230</v>
      </c>
      <c r="K19" t="s">
        <v>2000</v>
      </c>
      <c r="L19" t="s">
        <v>1761</v>
      </c>
      <c r="O19" t="s">
        <v>1991</v>
      </c>
      <c r="P19" t="s">
        <v>1991</v>
      </c>
      <c r="Q19" t="s">
        <v>1991</v>
      </c>
    </row>
    <row r="20" spans="1:17">
      <c r="A20" t="s">
        <v>113</v>
      </c>
      <c r="B20" t="s">
        <v>1763</v>
      </c>
      <c r="H20" t="s">
        <v>571</v>
      </c>
      <c r="I20" t="s">
        <v>113</v>
      </c>
      <c r="J20" t="s">
        <v>1230</v>
      </c>
      <c r="K20" t="s">
        <v>2000</v>
      </c>
      <c r="L20" t="s">
        <v>1763</v>
      </c>
      <c r="O20" t="s">
        <v>1191</v>
      </c>
      <c r="P20" t="s">
        <v>1191</v>
      </c>
      <c r="Q20" t="s">
        <v>1991</v>
      </c>
    </row>
  </sheetData>
  <autoFilter ref="H1:Q20" xr:uid="{1F5ED712-D562-4DF4-9467-3CC288800DD4}"/>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8D106-8EED-4060-83E4-611280ADB358}">
  <dimension ref="A1:M18"/>
  <sheetViews>
    <sheetView workbookViewId="0">
      <selection activeCell="G12" sqref="G12"/>
    </sheetView>
  </sheetViews>
  <sheetFormatPr defaultColWidth="20" defaultRowHeight="15"/>
  <cols>
    <col min="1" max="1" width="13.42578125" style="8" bestFit="1" customWidth="1"/>
    <col min="2" max="2" width="23.140625" style="8" bestFit="1" customWidth="1"/>
    <col min="3" max="3" width="12.140625" style="8" customWidth="1"/>
    <col min="4" max="4" width="9.42578125" style="8" customWidth="1"/>
    <col min="5" max="5" width="16.140625" style="8" customWidth="1"/>
    <col min="6" max="6" width="24.5703125" style="8" customWidth="1"/>
    <col min="7" max="7" width="20" style="8" customWidth="1"/>
    <col min="8" max="8" width="96.42578125" style="8" bestFit="1" customWidth="1"/>
    <col min="9" max="12" width="15.5703125" style="8" customWidth="1"/>
    <col min="13" max="13" width="6.5703125" style="8" customWidth="1"/>
    <col min="14" max="16384" width="20" style="5"/>
  </cols>
  <sheetData>
    <row r="1" spans="1:13" ht="45">
      <c r="A1" s="323" t="s">
        <v>2073</v>
      </c>
      <c r="B1" s="323" t="s">
        <v>2074</v>
      </c>
      <c r="C1" s="323" t="s">
        <v>2075</v>
      </c>
      <c r="D1" s="517" t="s">
        <v>2076</v>
      </c>
      <c r="E1" s="517" t="s">
        <v>2077</v>
      </c>
      <c r="F1" s="323" t="s">
        <v>174</v>
      </c>
      <c r="G1" s="323" t="s">
        <v>185</v>
      </c>
      <c r="H1" s="323" t="s">
        <v>2078</v>
      </c>
      <c r="I1" s="323" t="s">
        <v>294</v>
      </c>
      <c r="J1" s="323" t="s">
        <v>2079</v>
      </c>
      <c r="K1" s="323" t="s">
        <v>2080</v>
      </c>
      <c r="L1" s="323" t="s">
        <v>2081</v>
      </c>
      <c r="M1" s="323" t="s">
        <v>2082</v>
      </c>
    </row>
    <row r="2" spans="1:13">
      <c r="A2" s="5" t="s">
        <v>2083</v>
      </c>
      <c r="B2" s="5" t="s">
        <v>17</v>
      </c>
      <c r="C2" s="5" t="s">
        <v>2084</v>
      </c>
      <c r="D2" s="5" t="s">
        <v>2085</v>
      </c>
      <c r="E2" s="5" t="s">
        <v>2086</v>
      </c>
      <c r="F2" s="5" t="s">
        <v>2087</v>
      </c>
      <c r="G2" s="324" t="s">
        <v>2088</v>
      </c>
      <c r="H2" s="5" t="s">
        <v>49</v>
      </c>
      <c r="I2" s="5" t="s">
        <v>2089</v>
      </c>
      <c r="J2" s="5" t="s">
        <v>2090</v>
      </c>
      <c r="K2" s="5" t="s">
        <v>2091</v>
      </c>
      <c r="L2" s="5"/>
      <c r="M2" s="5">
        <v>5300</v>
      </c>
    </row>
    <row r="3" spans="1:13">
      <c r="A3" s="5" t="s">
        <v>2083</v>
      </c>
      <c r="B3" s="5" t="s">
        <v>2092</v>
      </c>
      <c r="C3" s="5" t="s">
        <v>2084</v>
      </c>
      <c r="D3" s="5" t="s">
        <v>2093</v>
      </c>
      <c r="E3" s="5" t="s">
        <v>2094</v>
      </c>
      <c r="F3" s="5" t="s">
        <v>1194</v>
      </c>
      <c r="G3" s="324" t="s">
        <v>2095</v>
      </c>
      <c r="H3" s="5" t="s">
        <v>49</v>
      </c>
      <c r="I3" s="5" t="s">
        <v>2096</v>
      </c>
      <c r="J3" s="5" t="s">
        <v>49</v>
      </c>
      <c r="K3" s="5" t="s">
        <v>2097</v>
      </c>
      <c r="L3" s="5"/>
      <c r="M3" s="5">
        <v>5300</v>
      </c>
    </row>
    <row r="4" spans="1:13">
      <c r="A4" s="5" t="s">
        <v>2083</v>
      </c>
      <c r="B4" s="5" t="s">
        <v>954</v>
      </c>
      <c r="C4" s="5" t="s">
        <v>2098</v>
      </c>
      <c r="D4" s="5" t="s">
        <v>2099</v>
      </c>
      <c r="E4" s="5" t="s">
        <v>2100</v>
      </c>
      <c r="F4" s="5" t="s">
        <v>2101</v>
      </c>
      <c r="G4" s="324" t="s">
        <v>2102</v>
      </c>
      <c r="H4" s="5" t="s">
        <v>49</v>
      </c>
      <c r="I4" s="5" t="s">
        <v>2103</v>
      </c>
      <c r="J4" s="5" t="s">
        <v>2104</v>
      </c>
      <c r="K4" s="5" t="s">
        <v>2105</v>
      </c>
      <c r="L4" s="5"/>
      <c r="M4" s="5">
        <v>5300</v>
      </c>
    </row>
    <row r="5" spans="1:13">
      <c r="A5" s="5" t="s">
        <v>2083</v>
      </c>
      <c r="B5" s="64" t="s">
        <v>36</v>
      </c>
      <c r="C5" s="5" t="s">
        <v>2084</v>
      </c>
      <c r="D5" s="5" t="s">
        <v>2084</v>
      </c>
      <c r="E5" s="5" t="s">
        <v>2106</v>
      </c>
      <c r="F5" s="5" t="s">
        <v>2107</v>
      </c>
      <c r="G5" s="5" t="s">
        <v>49</v>
      </c>
      <c r="H5" s="64" t="s">
        <v>2108</v>
      </c>
      <c r="I5" s="5" t="s">
        <v>49</v>
      </c>
      <c r="J5" s="5" t="s">
        <v>49</v>
      </c>
      <c r="K5" s="5" t="s">
        <v>49</v>
      </c>
      <c r="L5" s="5"/>
      <c r="M5" s="5">
        <v>5301</v>
      </c>
    </row>
    <row r="6" spans="1:13">
      <c r="A6" s="5" t="s">
        <v>2083</v>
      </c>
      <c r="B6" s="5" t="s">
        <v>57</v>
      </c>
      <c r="C6" s="5" t="s">
        <v>2098</v>
      </c>
      <c r="D6" s="5" t="s">
        <v>2109</v>
      </c>
      <c r="E6" s="5" t="s">
        <v>2110</v>
      </c>
      <c r="F6" s="5" t="s">
        <v>1237</v>
      </c>
      <c r="G6" s="324" t="s">
        <v>2111</v>
      </c>
      <c r="H6" s="5" t="s">
        <v>49</v>
      </c>
      <c r="I6" s="5" t="s">
        <v>2112</v>
      </c>
      <c r="J6" s="5" t="s">
        <v>2113</v>
      </c>
      <c r="K6" s="5" t="s">
        <v>2114</v>
      </c>
      <c r="L6" s="5"/>
      <c r="M6" s="5">
        <v>5300</v>
      </c>
    </row>
    <row r="7" spans="1:13" ht="45">
      <c r="A7" s="5" t="s">
        <v>2115</v>
      </c>
      <c r="B7" s="64" t="s">
        <v>952</v>
      </c>
      <c r="C7" s="5" t="s">
        <v>2116</v>
      </c>
      <c r="D7" s="5" t="s">
        <v>2117</v>
      </c>
      <c r="E7" s="5" t="s">
        <v>2118</v>
      </c>
      <c r="F7" s="5" t="s">
        <v>1237</v>
      </c>
      <c r="G7" s="5" t="s">
        <v>49</v>
      </c>
      <c r="H7" s="397" t="s">
        <v>2119</v>
      </c>
      <c r="I7" s="5" t="s">
        <v>49</v>
      </c>
      <c r="J7" s="5" t="s">
        <v>49</v>
      </c>
      <c r="K7" s="5" t="s">
        <v>49</v>
      </c>
      <c r="L7" s="5"/>
      <c r="M7" s="5">
        <v>5500</v>
      </c>
    </row>
    <row r="8" spans="1:13">
      <c r="A8" s="5" t="s">
        <v>2083</v>
      </c>
      <c r="B8" s="5" t="s">
        <v>39</v>
      </c>
      <c r="C8" s="5" t="s">
        <v>2084</v>
      </c>
      <c r="D8" s="5" t="s">
        <v>2120</v>
      </c>
      <c r="E8" s="5" t="s">
        <v>2121</v>
      </c>
      <c r="F8" s="5" t="s">
        <v>2122</v>
      </c>
      <c r="G8" s="324" t="s">
        <v>2123</v>
      </c>
      <c r="H8" s="5" t="s">
        <v>49</v>
      </c>
      <c r="I8" s="5" t="s">
        <v>2124</v>
      </c>
      <c r="J8" s="5" t="s">
        <v>49</v>
      </c>
      <c r="K8" s="5" t="s">
        <v>2125</v>
      </c>
      <c r="L8" s="5"/>
      <c r="M8" s="5">
        <v>5300</v>
      </c>
    </row>
    <row r="9" spans="1:13">
      <c r="A9" s="5" t="s">
        <v>2083</v>
      </c>
      <c r="B9" s="5" t="s">
        <v>43</v>
      </c>
      <c r="C9" s="5" t="s">
        <v>2126</v>
      </c>
      <c r="D9" s="5" t="s">
        <v>2126</v>
      </c>
      <c r="E9" s="5" t="s">
        <v>2100</v>
      </c>
      <c r="F9" s="5" t="s">
        <v>1739</v>
      </c>
      <c r="G9" s="324" t="s">
        <v>2127</v>
      </c>
      <c r="H9" s="5" t="s">
        <v>49</v>
      </c>
      <c r="I9" s="5" t="s">
        <v>2127</v>
      </c>
      <c r="J9" s="5" t="s">
        <v>2128</v>
      </c>
      <c r="K9" s="5" t="s">
        <v>2127</v>
      </c>
      <c r="L9" s="5"/>
      <c r="M9" s="5">
        <v>5300</v>
      </c>
    </row>
    <row r="10" spans="1:13">
      <c r="A10" s="5" t="s">
        <v>876</v>
      </c>
      <c r="B10" s="64" t="s">
        <v>953</v>
      </c>
      <c r="C10" s="5" t="s">
        <v>2098</v>
      </c>
      <c r="D10" s="5" t="s">
        <v>2129</v>
      </c>
      <c r="E10" s="5" t="s">
        <v>2130</v>
      </c>
      <c r="F10" s="5" t="s">
        <v>1460</v>
      </c>
      <c r="G10" s="5" t="s">
        <v>49</v>
      </c>
      <c r="H10" s="5" t="s">
        <v>49</v>
      </c>
      <c r="I10" s="64" t="s">
        <v>2131</v>
      </c>
      <c r="J10" s="5" t="s">
        <v>2132</v>
      </c>
      <c r="K10" s="5" t="s">
        <v>49</v>
      </c>
      <c r="L10" s="5"/>
      <c r="M10" s="5">
        <v>5301</v>
      </c>
    </row>
    <row r="11" spans="1:13">
      <c r="A11" s="5" t="s">
        <v>876</v>
      </c>
      <c r="B11" s="5" t="s">
        <v>112</v>
      </c>
      <c r="C11" s="5" t="s">
        <v>2116</v>
      </c>
      <c r="D11" s="5" t="s">
        <v>324</v>
      </c>
      <c r="E11" s="5" t="s">
        <v>2133</v>
      </c>
      <c r="F11" s="5" t="s">
        <v>2134</v>
      </c>
      <c r="G11" s="324" t="s">
        <v>2135</v>
      </c>
      <c r="H11" s="5"/>
      <c r="I11" s="5" t="s">
        <v>2136</v>
      </c>
      <c r="J11" s="5" t="s">
        <v>49</v>
      </c>
      <c r="K11" s="5" t="s">
        <v>2137</v>
      </c>
      <c r="L11" s="5"/>
      <c r="M11" s="5">
        <v>5301</v>
      </c>
    </row>
    <row r="12" spans="1:13" ht="30">
      <c r="A12" s="5" t="s">
        <v>2138</v>
      </c>
      <c r="B12" s="64" t="s">
        <v>393</v>
      </c>
      <c r="C12" s="5" t="s">
        <v>2126</v>
      </c>
      <c r="D12" s="5" t="s">
        <v>2129</v>
      </c>
      <c r="E12" s="5" t="s">
        <v>2139</v>
      </c>
      <c r="F12" s="5" t="s">
        <v>2140</v>
      </c>
      <c r="G12" s="5" t="s">
        <v>49</v>
      </c>
      <c r="H12" s="529" t="s">
        <v>2141</v>
      </c>
      <c r="I12" s="5" t="s">
        <v>49</v>
      </c>
      <c r="J12" s="5" t="s">
        <v>49</v>
      </c>
      <c r="K12" s="5" t="s">
        <v>49</v>
      </c>
      <c r="L12" s="5"/>
      <c r="M12" s="5">
        <v>5301</v>
      </c>
    </row>
    <row r="13" spans="1:13">
      <c r="A13" s="5" t="s">
        <v>876</v>
      </c>
      <c r="B13" s="64" t="s">
        <v>66</v>
      </c>
      <c r="C13" s="5" t="s">
        <v>2098</v>
      </c>
      <c r="D13" s="5" t="s">
        <v>2142</v>
      </c>
      <c r="E13" s="5" t="s">
        <v>2143</v>
      </c>
      <c r="F13" s="5" t="s">
        <v>2144</v>
      </c>
      <c r="G13" s="5" t="s">
        <v>49</v>
      </c>
      <c r="H13" s="64" t="s">
        <v>2145</v>
      </c>
      <c r="I13" s="5" t="s">
        <v>49</v>
      </c>
      <c r="J13" s="5" t="s">
        <v>49</v>
      </c>
      <c r="K13" s="5" t="s">
        <v>49</v>
      </c>
      <c r="L13" s="5"/>
      <c r="M13" s="5">
        <v>5301</v>
      </c>
    </row>
    <row r="14" spans="1:13">
      <c r="A14" s="5" t="s">
        <v>2083</v>
      </c>
      <c r="B14" s="5" t="s">
        <v>117</v>
      </c>
      <c r="C14" s="5" t="s">
        <v>2084</v>
      </c>
      <c r="D14" s="5" t="s">
        <v>2093</v>
      </c>
      <c r="E14" s="5" t="s">
        <v>2094</v>
      </c>
      <c r="F14" s="5" t="s">
        <v>117</v>
      </c>
      <c r="G14" s="324" t="s">
        <v>2146</v>
      </c>
      <c r="H14" s="5" t="s">
        <v>49</v>
      </c>
      <c r="I14" s="5" t="s">
        <v>2147</v>
      </c>
      <c r="J14" s="5" t="s">
        <v>49</v>
      </c>
      <c r="K14" s="5" t="s">
        <v>2148</v>
      </c>
      <c r="L14" s="5"/>
      <c r="M14" s="5">
        <v>5310</v>
      </c>
    </row>
    <row r="15" spans="1:13">
      <c r="A15" s="5" t="s">
        <v>876</v>
      </c>
      <c r="B15" s="64" t="s">
        <v>71</v>
      </c>
      <c r="C15" s="5" t="s">
        <v>2116</v>
      </c>
      <c r="D15" s="5" t="s">
        <v>324</v>
      </c>
      <c r="E15" s="5" t="s">
        <v>2149</v>
      </c>
      <c r="F15" s="5" t="s">
        <v>2150</v>
      </c>
      <c r="G15" s="5" t="s">
        <v>49</v>
      </c>
      <c r="H15" s="64" t="s">
        <v>2151</v>
      </c>
      <c r="I15" s="5" t="s">
        <v>49</v>
      </c>
      <c r="J15" s="5" t="s">
        <v>49</v>
      </c>
      <c r="K15" s="5" t="s">
        <v>49</v>
      </c>
      <c r="L15" s="5"/>
      <c r="M15" s="5">
        <v>5301</v>
      </c>
    </row>
    <row r="16" spans="1:13">
      <c r="A16" s="5" t="s">
        <v>2152</v>
      </c>
      <c r="B16" s="5" t="s">
        <v>93</v>
      </c>
      <c r="C16" s="5" t="s">
        <v>2084</v>
      </c>
      <c r="D16" s="5" t="s">
        <v>2093</v>
      </c>
      <c r="E16" s="5" t="s">
        <v>2094</v>
      </c>
      <c r="F16" s="5" t="s">
        <v>93</v>
      </c>
      <c r="G16" s="324" t="s">
        <v>2153</v>
      </c>
      <c r="H16" s="5"/>
      <c r="I16" s="5"/>
      <c r="J16" s="5"/>
      <c r="K16" s="5"/>
      <c r="L16" s="5"/>
      <c r="M16" s="5">
        <v>5302</v>
      </c>
    </row>
    <row r="17" spans="1:13">
      <c r="A17" s="5" t="s">
        <v>876</v>
      </c>
      <c r="B17" s="5" t="s">
        <v>47</v>
      </c>
      <c r="C17" s="5" t="s">
        <v>2116</v>
      </c>
      <c r="D17" s="5" t="s">
        <v>324</v>
      </c>
      <c r="E17" s="5" t="s">
        <v>2154</v>
      </c>
      <c r="F17" s="5" t="s">
        <v>1760</v>
      </c>
      <c r="G17" s="324" t="s">
        <v>2155</v>
      </c>
      <c r="H17" s="5"/>
      <c r="I17" s="5"/>
      <c r="J17" s="5"/>
      <c r="K17" s="5"/>
      <c r="L17" s="5"/>
      <c r="M17" s="5">
        <v>5301</v>
      </c>
    </row>
    <row r="18" spans="1:13">
      <c r="A18" s="5" t="s">
        <v>876</v>
      </c>
      <c r="B18" s="5" t="s">
        <v>113</v>
      </c>
      <c r="C18" s="5" t="s">
        <v>2116</v>
      </c>
      <c r="D18" s="5" t="s">
        <v>324</v>
      </c>
      <c r="E18" s="5" t="s">
        <v>2154</v>
      </c>
      <c r="F18" s="5" t="s">
        <v>2156</v>
      </c>
      <c r="G18" s="324" t="s">
        <v>2155</v>
      </c>
      <c r="H18" s="5"/>
      <c r="I18" s="5"/>
      <c r="J18" s="5"/>
      <c r="K18" s="5"/>
      <c r="L18" s="5"/>
      <c r="M18" s="5">
        <v>5301</v>
      </c>
    </row>
  </sheetData>
  <autoFilter ref="A1:M18" xr:uid="{0C38D106-8EED-4060-83E4-611280ADB358}"/>
  <pageMargins left="0.7" right="0.7" top="0.75" bottom="0.75" header="0.3" footer="0.3"/>
  <headerFooter>
    <oddFooter>&amp;L_x000D_&amp;1#&amp;"Calibri"&amp;8&amp;KFF0000 Classification: RAKBANK-Internal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3F32B-39A3-4745-94FE-F3CD533EEC0C}">
  <sheetPr>
    <tabColor rgb="FFFFFF00"/>
  </sheetPr>
  <dimension ref="A1:AC1271"/>
  <sheetViews>
    <sheetView tabSelected="1" zoomScale="80" zoomScaleNormal="80" workbookViewId="0">
      <pane ySplit="1" topLeftCell="A2" activePane="bottomLeft" state="frozen"/>
      <selection activeCell="P1" sqref="P1"/>
      <selection pane="bottomLeft" activeCell="B33" sqref="B33"/>
    </sheetView>
  </sheetViews>
  <sheetFormatPr defaultRowHeight="15" customHeight="1"/>
  <cols>
    <col min="1" max="1" width="35.5703125" customWidth="1"/>
    <col min="2" max="2" width="48.5703125" customWidth="1"/>
    <col min="3" max="3" width="35.85546875" customWidth="1"/>
    <col min="4" max="4" width="14.5703125" customWidth="1"/>
    <col min="5" max="5" width="69.42578125" customWidth="1"/>
    <col min="6" max="6" width="20.5703125" style="8" customWidth="1"/>
    <col min="7" max="7" width="15.28515625" style="8" customWidth="1"/>
    <col min="8" max="8" width="13.140625" style="8" customWidth="1"/>
    <col min="9" max="9" width="14.140625" style="8" customWidth="1"/>
    <col min="10" max="10" width="28" style="8" customWidth="1"/>
    <col min="11" max="11" width="42.7109375" style="8" customWidth="1"/>
    <col min="12" max="12" width="48.7109375" style="8" customWidth="1"/>
    <col min="13" max="17" width="42.140625" style="8" customWidth="1"/>
    <col min="18" max="18" width="45.42578125" style="8" customWidth="1"/>
    <col min="19" max="19" width="45.5703125" style="8" customWidth="1"/>
    <col min="20" max="20" width="22" style="8" customWidth="1"/>
    <col min="21" max="21" width="25.5703125" style="8" customWidth="1"/>
    <col min="22" max="22" width="17.5703125" style="8" customWidth="1"/>
    <col min="23" max="23" width="22.140625" style="8" customWidth="1"/>
    <col min="24" max="24" width="18.140625" style="8" customWidth="1"/>
    <col min="25" max="25" width="25.5703125" style="8" customWidth="1"/>
    <col min="26" max="26" width="31.42578125" style="8" customWidth="1"/>
    <col min="27" max="27" width="31" style="8" customWidth="1"/>
    <col min="28" max="28" width="51.42578125" style="8" customWidth="1"/>
    <col min="29" max="29" width="105" style="8" bestFit="1" customWidth="1"/>
  </cols>
  <sheetData>
    <row r="1" spans="1:29">
      <c r="A1" s="339" t="s">
        <v>2157</v>
      </c>
      <c r="B1" s="339" t="s">
        <v>336</v>
      </c>
      <c r="C1" s="339" t="s">
        <v>337</v>
      </c>
      <c r="D1" s="339" t="s">
        <v>338</v>
      </c>
      <c r="E1" s="339" t="s">
        <v>339</v>
      </c>
      <c r="F1" s="404" t="s">
        <v>2158</v>
      </c>
      <c r="G1" s="404" t="s">
        <v>2159</v>
      </c>
      <c r="H1" s="404" t="s">
        <v>2160</v>
      </c>
      <c r="I1" s="404" t="s">
        <v>174</v>
      </c>
      <c r="J1" s="404" t="s">
        <v>426</v>
      </c>
      <c r="K1" s="404" t="s">
        <v>427</v>
      </c>
      <c r="L1" s="404" t="s">
        <v>2161</v>
      </c>
      <c r="M1" s="404" t="s">
        <v>2162</v>
      </c>
      <c r="N1" s="404" t="s">
        <v>2163</v>
      </c>
      <c r="O1" s="404" t="s">
        <v>2164</v>
      </c>
      <c r="P1" s="404" t="s">
        <v>2165</v>
      </c>
      <c r="Q1" s="404" t="s">
        <v>2166</v>
      </c>
      <c r="R1" s="404" t="s">
        <v>2167</v>
      </c>
      <c r="S1" s="404" t="s">
        <v>16</v>
      </c>
      <c r="T1" s="404" t="s">
        <v>416</v>
      </c>
      <c r="U1" s="404" t="s">
        <v>417</v>
      </c>
      <c r="V1" s="404" t="s">
        <v>418</v>
      </c>
      <c r="W1" s="404" t="s">
        <v>419</v>
      </c>
      <c r="X1" s="404" t="s">
        <v>420</v>
      </c>
      <c r="Y1" s="404" t="s">
        <v>421</v>
      </c>
      <c r="Z1" s="404" t="s">
        <v>422</v>
      </c>
      <c r="AA1" s="404" t="s">
        <v>423</v>
      </c>
      <c r="AB1" s="404" t="s">
        <v>424</v>
      </c>
      <c r="AC1" s="405"/>
    </row>
    <row r="2" spans="1:29">
      <c r="A2" s="151" t="s">
        <v>2168</v>
      </c>
      <c r="B2" s="151" t="s">
        <v>2169</v>
      </c>
      <c r="C2" s="151" t="s">
        <v>2170</v>
      </c>
      <c r="D2" s="151" t="s">
        <v>17</v>
      </c>
      <c r="E2" s="151" t="s">
        <v>2171</v>
      </c>
      <c r="F2" s="151" t="s">
        <v>2172</v>
      </c>
      <c r="G2" s="151" t="s">
        <v>2173</v>
      </c>
      <c r="H2" s="151" t="s">
        <v>1274</v>
      </c>
      <c r="I2" s="151" t="s">
        <v>1184</v>
      </c>
      <c r="J2" s="151" t="s">
        <v>572</v>
      </c>
      <c r="K2" s="151" t="s">
        <v>2174</v>
      </c>
      <c r="L2" s="151" t="s">
        <v>2175</v>
      </c>
      <c r="M2" s="151" t="s">
        <v>2176</v>
      </c>
      <c r="N2" s="151"/>
      <c r="O2" s="151"/>
      <c r="P2" s="151"/>
      <c r="Q2" s="151"/>
      <c r="R2" s="151" t="s">
        <v>2177</v>
      </c>
      <c r="S2" s="151" t="s">
        <v>2178</v>
      </c>
      <c r="T2" s="151" t="s">
        <v>435</v>
      </c>
      <c r="U2" s="151" t="s">
        <v>2179</v>
      </c>
      <c r="V2" s="151">
        <v>38</v>
      </c>
      <c r="W2" s="151" t="s">
        <v>2180</v>
      </c>
      <c r="X2" s="151" t="s">
        <v>431</v>
      </c>
      <c r="Y2" s="151" t="s">
        <v>2179</v>
      </c>
      <c r="Z2" s="151"/>
      <c r="AA2" s="151"/>
      <c r="AB2" s="151" t="s">
        <v>855</v>
      </c>
      <c r="AC2" s="342"/>
    </row>
    <row r="3" spans="1:29">
      <c r="A3" s="151" t="s">
        <v>2168</v>
      </c>
      <c r="B3" s="151" t="s">
        <v>2181</v>
      </c>
      <c r="C3" s="151" t="s">
        <v>2170</v>
      </c>
      <c r="D3" s="151" t="s">
        <v>17</v>
      </c>
      <c r="E3" s="151" t="s">
        <v>2182</v>
      </c>
      <c r="F3" s="151" t="s">
        <v>2172</v>
      </c>
      <c r="G3" s="151" t="s">
        <v>2173</v>
      </c>
      <c r="H3" s="151" t="s">
        <v>1274</v>
      </c>
      <c r="I3" s="151" t="s">
        <v>1184</v>
      </c>
      <c r="J3" s="151" t="s">
        <v>572</v>
      </c>
      <c r="K3" s="151" t="s">
        <v>2183</v>
      </c>
      <c r="L3" s="151" t="s">
        <v>2175</v>
      </c>
      <c r="M3" s="151" t="s">
        <v>2184</v>
      </c>
      <c r="N3" s="151"/>
      <c r="O3" s="151"/>
      <c r="P3" s="151"/>
      <c r="Q3" s="151"/>
      <c r="R3" s="151" t="s">
        <v>2177</v>
      </c>
      <c r="S3" s="151" t="s">
        <v>2178</v>
      </c>
      <c r="T3" s="151" t="s">
        <v>435</v>
      </c>
      <c r="U3" s="151" t="s">
        <v>2179</v>
      </c>
      <c r="V3" s="151">
        <v>80</v>
      </c>
      <c r="W3" s="151" t="s">
        <v>2185</v>
      </c>
      <c r="X3" s="151" t="s">
        <v>431</v>
      </c>
      <c r="Y3" s="151" t="s">
        <v>2179</v>
      </c>
      <c r="Z3" s="151"/>
      <c r="AA3" s="151"/>
      <c r="AB3" s="151" t="s">
        <v>855</v>
      </c>
      <c r="AC3" t="s">
        <v>2186</v>
      </c>
    </row>
    <row r="4" spans="1:29">
      <c r="A4" s="151" t="s">
        <v>2168</v>
      </c>
      <c r="B4" s="151" t="s">
        <v>2187</v>
      </c>
      <c r="C4" s="151" t="s">
        <v>2170</v>
      </c>
      <c r="D4" s="151" t="s">
        <v>17</v>
      </c>
      <c r="E4" s="151" t="s">
        <v>2188</v>
      </c>
      <c r="F4" s="151" t="s">
        <v>2189</v>
      </c>
      <c r="G4" s="151" t="s">
        <v>2173</v>
      </c>
      <c r="H4" s="151" t="s">
        <v>1274</v>
      </c>
      <c r="I4" s="151" t="s">
        <v>1184</v>
      </c>
      <c r="J4" s="151" t="s">
        <v>572</v>
      </c>
      <c r="K4" s="151" t="s">
        <v>2190</v>
      </c>
      <c r="L4" s="151" t="s">
        <v>2175</v>
      </c>
      <c r="M4" s="151" t="s">
        <v>2184</v>
      </c>
      <c r="N4" s="151"/>
      <c r="O4" s="151"/>
      <c r="P4" s="151"/>
      <c r="Q4" s="151"/>
      <c r="R4" s="151" t="s">
        <v>2177</v>
      </c>
      <c r="S4" s="151" t="s">
        <v>2178</v>
      </c>
      <c r="T4" s="151" t="s">
        <v>2191</v>
      </c>
      <c r="U4" s="151" t="s">
        <v>2179</v>
      </c>
      <c r="V4" s="151">
        <v>5</v>
      </c>
      <c r="W4" s="151" t="s">
        <v>2180</v>
      </c>
      <c r="X4" s="151" t="s">
        <v>431</v>
      </c>
      <c r="Y4" s="151" t="s">
        <v>2179</v>
      </c>
      <c r="Z4" s="151" t="s">
        <v>2192</v>
      </c>
      <c r="AA4" s="151" t="s">
        <v>2193</v>
      </c>
      <c r="AB4" s="151" t="s">
        <v>855</v>
      </c>
      <c r="AC4" s="342"/>
    </row>
    <row r="5" spans="1:29">
      <c r="A5" s="151" t="s">
        <v>2168</v>
      </c>
      <c r="B5" s="151" t="s">
        <v>2194</v>
      </c>
      <c r="C5" s="151" t="s">
        <v>2170</v>
      </c>
      <c r="D5" s="151" t="s">
        <v>17</v>
      </c>
      <c r="E5" s="151" t="s">
        <v>2195</v>
      </c>
      <c r="F5" s="151" t="s">
        <v>2196</v>
      </c>
      <c r="G5" s="151" t="s">
        <v>2173</v>
      </c>
      <c r="H5" s="151" t="s">
        <v>1274</v>
      </c>
      <c r="I5" s="151" t="s">
        <v>1184</v>
      </c>
      <c r="J5" s="151" t="s">
        <v>603</v>
      </c>
      <c r="K5" s="151" t="s">
        <v>2197</v>
      </c>
      <c r="L5" s="151" t="s">
        <v>2198</v>
      </c>
      <c r="M5" s="151" t="s">
        <v>2199</v>
      </c>
      <c r="N5" s="151"/>
      <c r="O5" s="151"/>
      <c r="P5" s="151"/>
      <c r="Q5" s="151"/>
      <c r="R5" s="151" t="s">
        <v>2177</v>
      </c>
      <c r="S5" s="151" t="s">
        <v>2178</v>
      </c>
      <c r="T5" s="151" t="s">
        <v>2200</v>
      </c>
      <c r="U5" s="151" t="s">
        <v>2179</v>
      </c>
      <c r="V5" s="151">
        <v>100</v>
      </c>
      <c r="W5" s="151" t="s">
        <v>2185</v>
      </c>
      <c r="X5" s="151" t="s">
        <v>431</v>
      </c>
      <c r="Y5" s="151" t="s">
        <v>2179</v>
      </c>
      <c r="Z5" s="151"/>
      <c r="AA5" s="151"/>
      <c r="AB5" s="151" t="s">
        <v>855</v>
      </c>
      <c r="AC5" s="342"/>
    </row>
    <row r="6" spans="1:29">
      <c r="A6" s="151" t="s">
        <v>2168</v>
      </c>
      <c r="B6" s="151" t="s">
        <v>2201</v>
      </c>
      <c r="C6" s="151" t="s">
        <v>2170</v>
      </c>
      <c r="D6" s="151" t="s">
        <v>17</v>
      </c>
      <c r="E6" s="151" t="s">
        <v>2202</v>
      </c>
      <c r="F6" s="151" t="s">
        <v>2196</v>
      </c>
      <c r="G6" s="151" t="s">
        <v>2173</v>
      </c>
      <c r="H6" s="151" t="s">
        <v>1274</v>
      </c>
      <c r="I6" s="151" t="s">
        <v>1184</v>
      </c>
      <c r="J6" s="151" t="s">
        <v>603</v>
      </c>
      <c r="K6" s="151" t="s">
        <v>2197</v>
      </c>
      <c r="L6" s="151" t="s">
        <v>2198</v>
      </c>
      <c r="M6" s="151" t="s">
        <v>2203</v>
      </c>
      <c r="N6" s="151"/>
      <c r="O6" s="151"/>
      <c r="P6" s="151"/>
      <c r="Q6" s="151"/>
      <c r="R6" s="151" t="s">
        <v>2177</v>
      </c>
      <c r="S6" s="151" t="s">
        <v>2178</v>
      </c>
      <c r="T6" s="151" t="s">
        <v>2200</v>
      </c>
      <c r="U6" s="151" t="s">
        <v>2179</v>
      </c>
      <c r="V6" s="151">
        <v>100</v>
      </c>
      <c r="W6" s="151" t="s">
        <v>2185</v>
      </c>
      <c r="X6" s="151" t="s">
        <v>431</v>
      </c>
      <c r="Y6" s="151" t="s">
        <v>2179</v>
      </c>
      <c r="Z6" s="151"/>
      <c r="AA6" s="151"/>
      <c r="AB6" s="151" t="s">
        <v>855</v>
      </c>
      <c r="AC6" s="342"/>
    </row>
    <row r="7" spans="1:29">
      <c r="A7" s="151" t="s">
        <v>2168</v>
      </c>
      <c r="B7" s="151" t="s">
        <v>2204</v>
      </c>
      <c r="C7" s="151" t="s">
        <v>2170</v>
      </c>
      <c r="D7" s="151" t="s">
        <v>17</v>
      </c>
      <c r="E7" s="151" t="s">
        <v>2205</v>
      </c>
      <c r="F7" s="151" t="s">
        <v>2189</v>
      </c>
      <c r="G7" s="151" t="s">
        <v>2173</v>
      </c>
      <c r="H7" s="151" t="s">
        <v>1274</v>
      </c>
      <c r="I7" s="151" t="s">
        <v>1184</v>
      </c>
      <c r="J7" s="151" t="s">
        <v>572</v>
      </c>
      <c r="K7" s="151" t="s">
        <v>2206</v>
      </c>
      <c r="L7" s="151" t="s">
        <v>2175</v>
      </c>
      <c r="M7" s="151" t="s">
        <v>2184</v>
      </c>
      <c r="N7" s="151"/>
      <c r="O7" s="151"/>
      <c r="P7" s="151"/>
      <c r="Q7" s="151"/>
      <c r="R7" s="151" t="s">
        <v>2177</v>
      </c>
      <c r="S7" s="151" t="s">
        <v>2178</v>
      </c>
      <c r="T7" s="151" t="s">
        <v>2207</v>
      </c>
      <c r="U7" s="151" t="s">
        <v>2207</v>
      </c>
      <c r="V7" s="151">
        <v>8</v>
      </c>
      <c r="W7" s="151" t="s">
        <v>2207</v>
      </c>
      <c r="X7" s="151" t="s">
        <v>2207</v>
      </c>
      <c r="Y7" s="151" t="s">
        <v>2207</v>
      </c>
      <c r="Z7" s="151"/>
      <c r="AA7" s="151"/>
      <c r="AB7" s="151" t="s">
        <v>855</v>
      </c>
      <c r="AC7" s="342"/>
    </row>
    <row r="8" spans="1:29">
      <c r="A8" s="151" t="s">
        <v>2168</v>
      </c>
      <c r="B8" s="151" t="s">
        <v>2208</v>
      </c>
      <c r="C8" s="151" t="s">
        <v>2170</v>
      </c>
      <c r="D8" s="151" t="s">
        <v>17</v>
      </c>
      <c r="E8" s="151" t="s">
        <v>2209</v>
      </c>
      <c r="F8" s="151" t="s">
        <v>2172</v>
      </c>
      <c r="G8" s="151" t="s">
        <v>2173</v>
      </c>
      <c r="H8" s="151" t="s">
        <v>1274</v>
      </c>
      <c r="I8" s="151" t="s">
        <v>1184</v>
      </c>
      <c r="J8" s="151" t="s">
        <v>618</v>
      </c>
      <c r="K8" s="151" t="s">
        <v>2210</v>
      </c>
      <c r="L8" s="151" t="s">
        <v>2211</v>
      </c>
      <c r="M8" s="151" t="s">
        <v>2212</v>
      </c>
      <c r="N8" s="151"/>
      <c r="O8" s="151"/>
      <c r="P8" s="151"/>
      <c r="Q8" s="151"/>
      <c r="R8" s="151" t="s">
        <v>2177</v>
      </c>
      <c r="S8" s="151" t="s">
        <v>2178</v>
      </c>
      <c r="T8" s="151" t="s">
        <v>2213</v>
      </c>
      <c r="U8" s="151" t="s">
        <v>2179</v>
      </c>
      <c r="V8" s="151" t="s">
        <v>49</v>
      </c>
      <c r="W8" s="151" t="s">
        <v>2214</v>
      </c>
      <c r="X8" s="151" t="s">
        <v>431</v>
      </c>
      <c r="Y8" s="151" t="s">
        <v>2179</v>
      </c>
      <c r="Z8" s="151"/>
      <c r="AA8" s="151"/>
      <c r="AB8" s="151" t="s">
        <v>855</v>
      </c>
      <c r="AC8" s="342"/>
    </row>
    <row r="9" spans="1:29">
      <c r="A9" s="151" t="s">
        <v>2168</v>
      </c>
      <c r="B9" s="151" t="s">
        <v>2215</v>
      </c>
      <c r="C9" s="151" t="s">
        <v>2170</v>
      </c>
      <c r="D9" s="151" t="s">
        <v>17</v>
      </c>
      <c r="E9" s="151" t="s">
        <v>2216</v>
      </c>
      <c r="F9" s="151" t="s">
        <v>2196</v>
      </c>
      <c r="G9" s="151" t="s">
        <v>2173</v>
      </c>
      <c r="H9" s="151" t="s">
        <v>1274</v>
      </c>
      <c r="I9" s="151" t="s">
        <v>1184</v>
      </c>
      <c r="J9" s="151" t="s">
        <v>659</v>
      </c>
      <c r="K9" s="151" t="s">
        <v>2217</v>
      </c>
      <c r="L9" s="151" t="s">
        <v>2218</v>
      </c>
      <c r="M9" s="151" t="s">
        <v>361</v>
      </c>
      <c r="N9" s="151"/>
      <c r="O9" s="151"/>
      <c r="P9" s="151"/>
      <c r="Q9" s="151"/>
      <c r="R9" s="151" t="s">
        <v>2177</v>
      </c>
      <c r="S9" s="151" t="s">
        <v>2219</v>
      </c>
      <c r="T9" s="151" t="s">
        <v>2220</v>
      </c>
      <c r="U9" s="151" t="s">
        <v>2179</v>
      </c>
      <c r="V9" s="151">
        <v>50</v>
      </c>
      <c r="W9" s="151" t="s">
        <v>2180</v>
      </c>
      <c r="X9" s="151" t="s">
        <v>431</v>
      </c>
      <c r="Y9" s="151" t="s">
        <v>2179</v>
      </c>
      <c r="Z9" s="151"/>
      <c r="AA9" s="151"/>
      <c r="AB9" s="151" t="s">
        <v>855</v>
      </c>
      <c r="AC9" s="342"/>
    </row>
    <row r="10" spans="1:29">
      <c r="A10" s="151" t="s">
        <v>2168</v>
      </c>
      <c r="B10" s="151" t="s">
        <v>2221</v>
      </c>
      <c r="C10" s="151" t="s">
        <v>2170</v>
      </c>
      <c r="D10" s="151" t="s">
        <v>17</v>
      </c>
      <c r="E10" s="151" t="s">
        <v>2222</v>
      </c>
      <c r="F10" s="151" t="s">
        <v>2196</v>
      </c>
      <c r="G10" s="151" t="s">
        <v>2173</v>
      </c>
      <c r="H10" s="151" t="s">
        <v>1274</v>
      </c>
      <c r="I10" s="151" t="s">
        <v>1184</v>
      </c>
      <c r="J10" s="151" t="s">
        <v>642</v>
      </c>
      <c r="K10" s="151" t="s">
        <v>2223</v>
      </c>
      <c r="L10" s="151" t="s">
        <v>2175</v>
      </c>
      <c r="M10" s="151" t="s">
        <v>2184</v>
      </c>
      <c r="N10" s="151"/>
      <c r="O10" s="151"/>
      <c r="P10" s="151"/>
      <c r="Q10" s="151"/>
      <c r="R10" s="151" t="s">
        <v>2177</v>
      </c>
      <c r="S10" s="151" t="s">
        <v>2178</v>
      </c>
      <c r="T10" s="151" t="s">
        <v>2207</v>
      </c>
      <c r="U10" s="151" t="s">
        <v>2207</v>
      </c>
      <c r="V10" s="151">
        <v>10</v>
      </c>
      <c r="W10" s="151" t="s">
        <v>2207</v>
      </c>
      <c r="X10" s="151" t="s">
        <v>2207</v>
      </c>
      <c r="Y10" s="151" t="s">
        <v>2207</v>
      </c>
      <c r="Z10" s="151"/>
      <c r="AA10" s="151"/>
      <c r="AB10" s="151" t="s">
        <v>855</v>
      </c>
      <c r="AC10" s="342"/>
    </row>
    <row r="11" spans="1:29">
      <c r="A11" s="151" t="s">
        <v>2168</v>
      </c>
      <c r="B11" s="151" t="s">
        <v>2224</v>
      </c>
      <c r="C11" s="151" t="s">
        <v>2170</v>
      </c>
      <c r="D11" s="151" t="s">
        <v>17</v>
      </c>
      <c r="E11" s="151" t="s">
        <v>2225</v>
      </c>
      <c r="F11" s="151" t="s">
        <v>2172</v>
      </c>
      <c r="G11" s="151" t="s">
        <v>2173</v>
      </c>
      <c r="H11" s="151" t="s">
        <v>1274</v>
      </c>
      <c r="I11" s="151" t="s">
        <v>1184</v>
      </c>
      <c r="J11" s="151" t="s">
        <v>618</v>
      </c>
      <c r="K11" s="151" t="s">
        <v>2226</v>
      </c>
      <c r="L11" s="151" t="s">
        <v>2211</v>
      </c>
      <c r="M11" s="151" t="s">
        <v>2227</v>
      </c>
      <c r="N11" s="151"/>
      <c r="O11" s="151"/>
      <c r="P11" s="151"/>
      <c r="Q11" s="151"/>
      <c r="R11" s="151" t="s">
        <v>2177</v>
      </c>
      <c r="S11" s="151" t="s">
        <v>2178</v>
      </c>
      <c r="T11" s="151" t="s">
        <v>2213</v>
      </c>
      <c r="U11" s="151" t="s">
        <v>2179</v>
      </c>
      <c r="V11" s="151" t="s">
        <v>49</v>
      </c>
      <c r="W11" s="151" t="s">
        <v>2228</v>
      </c>
      <c r="X11" s="151" t="s">
        <v>431</v>
      </c>
      <c r="Y11" s="151" t="s">
        <v>2179</v>
      </c>
      <c r="Z11" s="151"/>
      <c r="AA11" s="151"/>
      <c r="AB11" s="151" t="s">
        <v>855</v>
      </c>
      <c r="AC11" s="342"/>
    </row>
    <row r="12" spans="1:29">
      <c r="A12" s="151" t="s">
        <v>2168</v>
      </c>
      <c r="B12" s="151" t="s">
        <v>2229</v>
      </c>
      <c r="C12" s="151" t="s">
        <v>2170</v>
      </c>
      <c r="D12" s="151" t="s">
        <v>17</v>
      </c>
      <c r="E12" s="151" t="s">
        <v>2230</v>
      </c>
      <c r="F12" s="151" t="s">
        <v>2231</v>
      </c>
      <c r="G12" s="151" t="s">
        <v>2173</v>
      </c>
      <c r="H12" s="151" t="s">
        <v>1274</v>
      </c>
      <c r="I12" s="151" t="s">
        <v>1184</v>
      </c>
      <c r="J12" s="151" t="s">
        <v>642</v>
      </c>
      <c r="K12" s="151" t="s">
        <v>2232</v>
      </c>
      <c r="L12" s="151" t="s">
        <v>2175</v>
      </c>
      <c r="M12" s="151" t="s">
        <v>2184</v>
      </c>
      <c r="N12" s="151"/>
      <c r="O12" s="151"/>
      <c r="P12" s="151"/>
      <c r="Q12" s="151"/>
      <c r="R12" s="151" t="s">
        <v>2177</v>
      </c>
      <c r="S12" s="151" t="s">
        <v>2233</v>
      </c>
      <c r="T12" s="151" t="s">
        <v>2191</v>
      </c>
      <c r="U12" s="151" t="s">
        <v>2179</v>
      </c>
      <c r="V12" s="151">
        <v>100</v>
      </c>
      <c r="W12" s="151" t="s">
        <v>2185</v>
      </c>
      <c r="X12" s="151" t="s">
        <v>431</v>
      </c>
      <c r="Y12" s="151" t="s">
        <v>2179</v>
      </c>
      <c r="Z12" s="151" t="s">
        <v>2234</v>
      </c>
      <c r="AA12" s="151" t="s">
        <v>2235</v>
      </c>
      <c r="AB12" s="151" t="s">
        <v>855</v>
      </c>
      <c r="AC12" s="342"/>
    </row>
    <row r="13" spans="1:29">
      <c r="A13" s="151" t="s">
        <v>2168</v>
      </c>
      <c r="B13" s="151" t="s">
        <v>2236</v>
      </c>
      <c r="C13" s="151" t="s">
        <v>2170</v>
      </c>
      <c r="D13" s="151" t="s">
        <v>17</v>
      </c>
      <c r="E13" s="151" t="s">
        <v>2237</v>
      </c>
      <c r="F13" s="151" t="s">
        <v>2231</v>
      </c>
      <c r="G13" s="151" t="s">
        <v>2173</v>
      </c>
      <c r="H13" s="151" t="s">
        <v>1274</v>
      </c>
      <c r="I13" s="151" t="s">
        <v>1184</v>
      </c>
      <c r="J13" s="151" t="s">
        <v>642</v>
      </c>
      <c r="K13" s="151" t="s">
        <v>2238</v>
      </c>
      <c r="L13" s="151" t="s">
        <v>2175</v>
      </c>
      <c r="M13" s="151" t="s">
        <v>2184</v>
      </c>
      <c r="N13" s="151"/>
      <c r="O13" s="151"/>
      <c r="P13" s="151"/>
      <c r="Q13" s="151"/>
      <c r="R13" s="151" t="s">
        <v>2177</v>
      </c>
      <c r="S13" s="151" t="s">
        <v>2233</v>
      </c>
      <c r="T13" s="151" t="s">
        <v>2191</v>
      </c>
      <c r="U13" s="151" t="s">
        <v>2179</v>
      </c>
      <c r="V13" s="151">
        <v>50</v>
      </c>
      <c r="W13" s="151" t="s">
        <v>2228</v>
      </c>
      <c r="X13" s="151" t="s">
        <v>431</v>
      </c>
      <c r="Y13" s="151" t="s">
        <v>2179</v>
      </c>
      <c r="Z13" s="151" t="s">
        <v>2239</v>
      </c>
      <c r="AA13" s="151" t="s">
        <v>2240</v>
      </c>
      <c r="AB13" s="151" t="s">
        <v>855</v>
      </c>
      <c r="AC13" s="342"/>
    </row>
    <row r="14" spans="1:29">
      <c r="A14" s="151" t="s">
        <v>2168</v>
      </c>
      <c r="B14" s="151" t="s">
        <v>2241</v>
      </c>
      <c r="C14" s="151" t="s">
        <v>2170</v>
      </c>
      <c r="D14" s="151" t="s">
        <v>17</v>
      </c>
      <c r="E14" s="151" t="s">
        <v>2242</v>
      </c>
      <c r="F14" s="151" t="s">
        <v>2196</v>
      </c>
      <c r="G14" s="151" t="s">
        <v>2173</v>
      </c>
      <c r="H14" s="151" t="s">
        <v>1274</v>
      </c>
      <c r="I14" s="151" t="s">
        <v>1184</v>
      </c>
      <c r="J14" s="151" t="s">
        <v>642</v>
      </c>
      <c r="K14" s="151" t="s">
        <v>2243</v>
      </c>
      <c r="L14" s="151" t="s">
        <v>2175</v>
      </c>
      <c r="M14" s="151" t="s">
        <v>2184</v>
      </c>
      <c r="N14" s="151"/>
      <c r="O14" s="151"/>
      <c r="P14" s="151"/>
      <c r="Q14" s="151"/>
      <c r="R14" s="151" t="s">
        <v>2177</v>
      </c>
      <c r="S14" s="151" t="s">
        <v>2178</v>
      </c>
      <c r="T14" s="151" t="s">
        <v>2191</v>
      </c>
      <c r="U14" s="151" t="s">
        <v>2179</v>
      </c>
      <c r="V14" s="151">
        <v>50</v>
      </c>
      <c r="W14" s="151" t="s">
        <v>2228</v>
      </c>
      <c r="X14" s="151" t="s">
        <v>431</v>
      </c>
      <c r="Y14" s="151" t="s">
        <v>2179</v>
      </c>
      <c r="Z14" s="151" t="s">
        <v>2244</v>
      </c>
      <c r="AA14" s="151" t="s">
        <v>2245</v>
      </c>
      <c r="AB14" s="151" t="s">
        <v>855</v>
      </c>
      <c r="AC14" s="342"/>
    </row>
    <row r="15" spans="1:29">
      <c r="A15" s="151" t="s">
        <v>2168</v>
      </c>
      <c r="B15" s="151" t="s">
        <v>2246</v>
      </c>
      <c r="C15" s="151" t="s">
        <v>2247</v>
      </c>
      <c r="D15" s="151" t="s">
        <v>17</v>
      </c>
      <c r="E15" s="151" t="s">
        <v>2248</v>
      </c>
      <c r="F15" s="151" t="s">
        <v>544</v>
      </c>
      <c r="G15" s="151" t="s">
        <v>2173</v>
      </c>
      <c r="H15" s="151" t="s">
        <v>1274</v>
      </c>
      <c r="I15" s="151" t="s">
        <v>1184</v>
      </c>
      <c r="J15" s="151" t="s">
        <v>642</v>
      </c>
      <c r="K15" s="151" t="s">
        <v>2249</v>
      </c>
      <c r="L15" s="151" t="s">
        <v>2175</v>
      </c>
      <c r="M15" s="151" t="s">
        <v>2184</v>
      </c>
      <c r="N15" s="151"/>
      <c r="O15" s="151"/>
      <c r="P15" s="151"/>
      <c r="Q15" s="151"/>
      <c r="R15" s="151" t="s">
        <v>2177</v>
      </c>
      <c r="S15" s="151" t="s">
        <v>2178</v>
      </c>
      <c r="T15" s="151" t="s">
        <v>2191</v>
      </c>
      <c r="U15" s="151" t="s">
        <v>2179</v>
      </c>
      <c r="V15" s="151">
        <v>5</v>
      </c>
      <c r="W15" s="151" t="s">
        <v>2250</v>
      </c>
      <c r="X15" s="151" t="s">
        <v>431</v>
      </c>
      <c r="Y15" s="151" t="s">
        <v>2179</v>
      </c>
      <c r="Z15" s="151" t="s">
        <v>2251</v>
      </c>
      <c r="AA15" s="151" t="s">
        <v>2252</v>
      </c>
      <c r="AB15" s="151" t="s">
        <v>2253</v>
      </c>
      <c r="AC15" s="342"/>
    </row>
    <row r="16" spans="1:29">
      <c r="A16" s="151" t="s">
        <v>2168</v>
      </c>
      <c r="B16" s="151" t="s">
        <v>2254</v>
      </c>
      <c r="C16" s="151" t="s">
        <v>2247</v>
      </c>
      <c r="D16" s="151" t="s">
        <v>17</v>
      </c>
      <c r="E16" s="151" t="s">
        <v>2255</v>
      </c>
      <c r="F16" s="151" t="s">
        <v>544</v>
      </c>
      <c r="G16" s="151" t="s">
        <v>2173</v>
      </c>
      <c r="H16" s="151" t="s">
        <v>1274</v>
      </c>
      <c r="I16" s="151" t="s">
        <v>1184</v>
      </c>
      <c r="J16" s="151" t="s">
        <v>642</v>
      </c>
      <c r="K16" s="151" t="s">
        <v>2256</v>
      </c>
      <c r="L16" s="151" t="s">
        <v>2175</v>
      </c>
      <c r="M16" s="151" t="s">
        <v>2184</v>
      </c>
      <c r="N16" s="151"/>
      <c r="O16" s="151"/>
      <c r="P16" s="151"/>
      <c r="Q16" s="151"/>
      <c r="R16" s="151" t="s">
        <v>2177</v>
      </c>
      <c r="S16" s="151" t="s">
        <v>2178</v>
      </c>
      <c r="T16" s="151" t="s">
        <v>435</v>
      </c>
      <c r="U16" s="151" t="s">
        <v>2179</v>
      </c>
      <c r="V16" s="151">
        <v>80</v>
      </c>
      <c r="W16" s="151" t="s">
        <v>2257</v>
      </c>
      <c r="X16" s="151" t="s">
        <v>431</v>
      </c>
      <c r="Y16" s="151" t="s">
        <v>2179</v>
      </c>
      <c r="Z16" s="151"/>
      <c r="AA16" s="151"/>
      <c r="AB16" s="151" t="s">
        <v>855</v>
      </c>
      <c r="AC16" t="s">
        <v>2258</v>
      </c>
    </row>
    <row r="17" spans="1:29">
      <c r="A17" s="151" t="s">
        <v>2168</v>
      </c>
      <c r="B17" s="151" t="s">
        <v>2259</v>
      </c>
      <c r="C17" s="151" t="s">
        <v>2247</v>
      </c>
      <c r="D17" s="151" t="s">
        <v>17</v>
      </c>
      <c r="E17" s="151" t="s">
        <v>2260</v>
      </c>
      <c r="F17" s="151" t="s">
        <v>544</v>
      </c>
      <c r="G17" s="151" t="s">
        <v>2173</v>
      </c>
      <c r="H17" s="151" t="s">
        <v>1274</v>
      </c>
      <c r="I17" s="151" t="s">
        <v>1184</v>
      </c>
      <c r="J17" s="151" t="s">
        <v>642</v>
      </c>
      <c r="K17" s="151" t="s">
        <v>2261</v>
      </c>
      <c r="L17" s="151" t="s">
        <v>2175</v>
      </c>
      <c r="M17" s="151" t="s">
        <v>2184</v>
      </c>
      <c r="N17" s="151"/>
      <c r="O17" s="151"/>
      <c r="P17" s="151"/>
      <c r="Q17" s="151"/>
      <c r="R17" s="151" t="s">
        <v>2177</v>
      </c>
      <c r="S17" s="151" t="s">
        <v>2178</v>
      </c>
      <c r="T17" s="151" t="s">
        <v>435</v>
      </c>
      <c r="U17" s="151" t="s">
        <v>2179</v>
      </c>
      <c r="V17" s="151">
        <v>80</v>
      </c>
      <c r="W17" s="151" t="s">
        <v>2257</v>
      </c>
      <c r="X17" s="151" t="s">
        <v>431</v>
      </c>
      <c r="Y17" s="151" t="s">
        <v>2179</v>
      </c>
      <c r="Z17" s="151"/>
      <c r="AA17" s="151"/>
      <c r="AB17" s="151" t="s">
        <v>855</v>
      </c>
      <c r="AC17" s="342"/>
    </row>
    <row r="18" spans="1:29">
      <c r="A18" s="151" t="s">
        <v>2168</v>
      </c>
      <c r="B18" s="151" t="s">
        <v>2262</v>
      </c>
      <c r="C18" s="151" t="s">
        <v>2247</v>
      </c>
      <c r="D18" s="151" t="s">
        <v>17</v>
      </c>
      <c r="E18" s="151" t="s">
        <v>2263</v>
      </c>
      <c r="F18" s="151" t="s">
        <v>544</v>
      </c>
      <c r="G18" s="151" t="s">
        <v>2173</v>
      </c>
      <c r="H18" s="151" t="s">
        <v>1274</v>
      </c>
      <c r="I18" s="151" t="s">
        <v>1184</v>
      </c>
      <c r="J18" s="151" t="s">
        <v>642</v>
      </c>
      <c r="K18" s="151" t="s">
        <v>2264</v>
      </c>
      <c r="L18" s="151" t="s">
        <v>2175</v>
      </c>
      <c r="M18" s="151" t="s">
        <v>2184</v>
      </c>
      <c r="N18" s="151"/>
      <c r="O18" s="151"/>
      <c r="P18" s="151"/>
      <c r="Q18" s="151"/>
      <c r="R18" s="151" t="s">
        <v>2177</v>
      </c>
      <c r="S18" s="151" t="s">
        <v>2178</v>
      </c>
      <c r="T18" s="151" t="s">
        <v>435</v>
      </c>
      <c r="U18" s="151" t="s">
        <v>2179</v>
      </c>
      <c r="V18" s="151">
        <v>80</v>
      </c>
      <c r="W18" s="151" t="s">
        <v>2265</v>
      </c>
      <c r="X18" s="151" t="s">
        <v>431</v>
      </c>
      <c r="Y18" s="151" t="s">
        <v>2179</v>
      </c>
      <c r="Z18" s="151"/>
      <c r="AA18" s="151"/>
      <c r="AB18" s="151" t="s">
        <v>855</v>
      </c>
      <c r="AC18" t="s">
        <v>2266</v>
      </c>
    </row>
    <row r="19" spans="1:29">
      <c r="A19" s="151" t="s">
        <v>2168</v>
      </c>
      <c r="B19" s="151" t="s">
        <v>2267</v>
      </c>
      <c r="C19" s="151" t="s">
        <v>2247</v>
      </c>
      <c r="D19" s="151" t="s">
        <v>17</v>
      </c>
      <c r="E19" s="151" t="s">
        <v>2268</v>
      </c>
      <c r="F19" s="151" t="s">
        <v>544</v>
      </c>
      <c r="G19" s="151" t="s">
        <v>2173</v>
      </c>
      <c r="H19" s="151" t="s">
        <v>1274</v>
      </c>
      <c r="I19" s="151" t="s">
        <v>1184</v>
      </c>
      <c r="J19" s="151" t="s">
        <v>642</v>
      </c>
      <c r="K19" s="151" t="s">
        <v>2183</v>
      </c>
      <c r="L19" s="151" t="s">
        <v>2175</v>
      </c>
      <c r="M19" s="151" t="s">
        <v>2184</v>
      </c>
      <c r="N19" s="151"/>
      <c r="O19" s="151"/>
      <c r="P19" s="151"/>
      <c r="Q19" s="151"/>
      <c r="R19" s="151" t="s">
        <v>2177</v>
      </c>
      <c r="S19" s="151" t="s">
        <v>2178</v>
      </c>
      <c r="T19" s="151" t="s">
        <v>435</v>
      </c>
      <c r="U19" s="151" t="s">
        <v>2179</v>
      </c>
      <c r="V19" s="151">
        <v>80</v>
      </c>
      <c r="W19" s="151" t="s">
        <v>2265</v>
      </c>
      <c r="X19" s="151" t="s">
        <v>431</v>
      </c>
      <c r="Y19" s="151" t="s">
        <v>2179</v>
      </c>
      <c r="Z19" s="151"/>
      <c r="AA19" s="151"/>
      <c r="AB19" s="151" t="s">
        <v>855</v>
      </c>
      <c r="AC19" s="342"/>
    </row>
    <row r="20" spans="1:29">
      <c r="A20" s="151" t="s">
        <v>2168</v>
      </c>
      <c r="B20" s="151" t="s">
        <v>2269</v>
      </c>
      <c r="C20" s="151" t="s">
        <v>2247</v>
      </c>
      <c r="D20" s="151" t="s">
        <v>17</v>
      </c>
      <c r="E20" s="151" t="s">
        <v>2270</v>
      </c>
      <c r="F20" s="151" t="s">
        <v>544</v>
      </c>
      <c r="G20" s="151" t="s">
        <v>2173</v>
      </c>
      <c r="H20" s="151" t="s">
        <v>1274</v>
      </c>
      <c r="I20" s="151" t="s">
        <v>1184</v>
      </c>
      <c r="J20" s="151" t="s">
        <v>642</v>
      </c>
      <c r="K20" s="151" t="s">
        <v>2271</v>
      </c>
      <c r="L20" s="151" t="s">
        <v>2175</v>
      </c>
      <c r="M20" s="151" t="s">
        <v>2184</v>
      </c>
      <c r="N20" s="151"/>
      <c r="O20" s="151"/>
      <c r="P20" s="151"/>
      <c r="Q20" s="151"/>
      <c r="R20" s="151" t="s">
        <v>2177</v>
      </c>
      <c r="S20" s="151" t="s">
        <v>2178</v>
      </c>
      <c r="T20" s="151" t="s">
        <v>435</v>
      </c>
      <c r="U20" s="151" t="s">
        <v>2179</v>
      </c>
      <c r="V20" s="151">
        <v>10</v>
      </c>
      <c r="W20" s="151" t="s">
        <v>2272</v>
      </c>
      <c r="X20" s="151" t="s">
        <v>431</v>
      </c>
      <c r="Y20" s="151" t="s">
        <v>2179</v>
      </c>
      <c r="Z20" s="151"/>
      <c r="AA20" s="151"/>
      <c r="AB20" s="151" t="s">
        <v>855</v>
      </c>
      <c r="AC20" s="342"/>
    </row>
    <row r="21" spans="1:29">
      <c r="A21" s="151" t="s">
        <v>2168</v>
      </c>
      <c r="B21" s="151" t="s">
        <v>2273</v>
      </c>
      <c r="C21" s="151" t="s">
        <v>2247</v>
      </c>
      <c r="D21" s="151" t="s">
        <v>17</v>
      </c>
      <c r="E21" s="151" t="s">
        <v>2274</v>
      </c>
      <c r="F21" s="151" t="s">
        <v>544</v>
      </c>
      <c r="G21" s="151" t="s">
        <v>2173</v>
      </c>
      <c r="H21" s="151" t="s">
        <v>1274</v>
      </c>
      <c r="I21" s="151" t="s">
        <v>1184</v>
      </c>
      <c r="J21" s="151" t="s">
        <v>642</v>
      </c>
      <c r="K21" s="151" t="s">
        <v>2275</v>
      </c>
      <c r="L21" s="151" t="s">
        <v>2175</v>
      </c>
      <c r="M21" s="151" t="s">
        <v>2184</v>
      </c>
      <c r="N21" s="151"/>
      <c r="O21" s="151"/>
      <c r="P21" s="151"/>
      <c r="Q21" s="151"/>
      <c r="R21" s="151" t="s">
        <v>2177</v>
      </c>
      <c r="S21" s="151" t="s">
        <v>2178</v>
      </c>
      <c r="T21" s="151" t="s">
        <v>435</v>
      </c>
      <c r="U21" s="151" t="s">
        <v>2179</v>
      </c>
      <c r="V21" s="151">
        <v>50</v>
      </c>
      <c r="W21" s="151" t="s">
        <v>2276</v>
      </c>
      <c r="X21" s="151" t="s">
        <v>431</v>
      </c>
      <c r="Y21" s="151" t="s">
        <v>2179</v>
      </c>
      <c r="Z21" s="151"/>
      <c r="AA21" s="151"/>
      <c r="AB21" s="151" t="s">
        <v>855</v>
      </c>
      <c r="AC21" s="342"/>
    </row>
    <row r="22" spans="1:29">
      <c r="A22" s="151" t="s">
        <v>2168</v>
      </c>
      <c r="B22" s="151" t="s">
        <v>2204</v>
      </c>
      <c r="C22" s="151" t="s">
        <v>2247</v>
      </c>
      <c r="D22" s="151" t="s">
        <v>17</v>
      </c>
      <c r="E22" s="151" t="s">
        <v>2277</v>
      </c>
      <c r="F22" s="151" t="s">
        <v>544</v>
      </c>
      <c r="G22" s="151" t="s">
        <v>2173</v>
      </c>
      <c r="H22" s="151" t="s">
        <v>1274</v>
      </c>
      <c r="I22" s="151" t="s">
        <v>1184</v>
      </c>
      <c r="J22" s="151" t="s">
        <v>642</v>
      </c>
      <c r="K22" s="151" t="s">
        <v>2278</v>
      </c>
      <c r="L22" s="151" t="s">
        <v>2175</v>
      </c>
      <c r="M22" s="151" t="s">
        <v>2184</v>
      </c>
      <c r="N22" s="151"/>
      <c r="O22" s="151"/>
      <c r="P22" s="151"/>
      <c r="Q22" s="151"/>
      <c r="R22" s="151" t="s">
        <v>2177</v>
      </c>
      <c r="S22" s="151" t="s">
        <v>2178</v>
      </c>
      <c r="T22" s="151" t="s">
        <v>2279</v>
      </c>
      <c r="U22" s="151" t="s">
        <v>2207</v>
      </c>
      <c r="V22" s="151">
        <v>8</v>
      </c>
      <c r="W22" s="151" t="s">
        <v>2207</v>
      </c>
      <c r="X22" s="151" t="s">
        <v>2207</v>
      </c>
      <c r="Y22" s="151" t="s">
        <v>2207</v>
      </c>
      <c r="Z22" s="151"/>
      <c r="AA22" s="151"/>
      <c r="AB22" s="151" t="s">
        <v>855</v>
      </c>
      <c r="AC22" s="342"/>
    </row>
    <row r="23" spans="1:29" ht="90">
      <c r="A23" s="151" t="s">
        <v>2168</v>
      </c>
      <c r="B23" s="151" t="s">
        <v>2280</v>
      </c>
      <c r="C23" s="151" t="s">
        <v>2247</v>
      </c>
      <c r="D23" s="151" t="s">
        <v>17</v>
      </c>
      <c r="E23" s="151" t="s">
        <v>2281</v>
      </c>
      <c r="F23" s="151" t="s">
        <v>544</v>
      </c>
      <c r="G23" s="151" t="s">
        <v>2173</v>
      </c>
      <c r="H23" s="151" t="s">
        <v>1274</v>
      </c>
      <c r="I23" s="151" t="s">
        <v>1184</v>
      </c>
      <c r="J23" s="151" t="s">
        <v>642</v>
      </c>
      <c r="K23" s="151" t="s">
        <v>2282</v>
      </c>
      <c r="L23" s="151" t="s">
        <v>2175</v>
      </c>
      <c r="M23" s="151" t="s">
        <v>2184</v>
      </c>
      <c r="N23" s="151"/>
      <c r="O23" s="151"/>
      <c r="P23" s="151"/>
      <c r="Q23" s="151"/>
      <c r="R23" s="151" t="s">
        <v>2177</v>
      </c>
      <c r="S23" s="341" t="s">
        <v>2283</v>
      </c>
      <c r="T23" s="151" t="s">
        <v>429</v>
      </c>
      <c r="U23" s="151" t="s">
        <v>2179</v>
      </c>
      <c r="V23" s="151">
        <v>10</v>
      </c>
      <c r="W23" s="151" t="s">
        <v>2272</v>
      </c>
      <c r="X23" s="151" t="s">
        <v>431</v>
      </c>
      <c r="Y23" s="151" t="s">
        <v>2179</v>
      </c>
      <c r="Z23" s="151" t="s">
        <v>433</v>
      </c>
      <c r="AA23" s="151" t="s">
        <v>434</v>
      </c>
      <c r="AB23" s="151" t="s">
        <v>855</v>
      </c>
      <c r="AC23" s="342"/>
    </row>
    <row r="24" spans="1:29" ht="210">
      <c r="A24" s="151" t="s">
        <v>2168</v>
      </c>
      <c r="B24" s="151" t="s">
        <v>2215</v>
      </c>
      <c r="C24" s="151" t="s">
        <v>2247</v>
      </c>
      <c r="D24" s="151" t="s">
        <v>17</v>
      </c>
      <c r="E24" s="151" t="s">
        <v>2216</v>
      </c>
      <c r="F24" s="151" t="s">
        <v>544</v>
      </c>
      <c r="G24" s="151" t="s">
        <v>2173</v>
      </c>
      <c r="H24" s="151" t="s">
        <v>1274</v>
      </c>
      <c r="I24" s="151" t="s">
        <v>1184</v>
      </c>
      <c r="J24" s="151" t="s">
        <v>659</v>
      </c>
      <c r="K24" s="151" t="s">
        <v>2217</v>
      </c>
      <c r="L24" s="151" t="s">
        <v>2218</v>
      </c>
      <c r="M24" s="151" t="s">
        <v>361</v>
      </c>
      <c r="N24" s="151"/>
      <c r="O24" s="151"/>
      <c r="P24" s="151"/>
      <c r="Q24" s="151"/>
      <c r="R24" s="151" t="s">
        <v>2177</v>
      </c>
      <c r="S24" s="341" t="s">
        <v>2219</v>
      </c>
      <c r="T24" s="151" t="s">
        <v>2220</v>
      </c>
      <c r="U24" s="151" t="s">
        <v>2179</v>
      </c>
      <c r="V24" s="151">
        <v>50</v>
      </c>
      <c r="W24" s="151" t="s">
        <v>2180</v>
      </c>
      <c r="X24" s="151" t="s">
        <v>431</v>
      </c>
      <c r="Y24" s="151" t="s">
        <v>2179</v>
      </c>
      <c r="Z24" s="151"/>
      <c r="AA24" s="151"/>
      <c r="AB24" s="151" t="s">
        <v>855</v>
      </c>
      <c r="AC24" s="342"/>
    </row>
    <row r="25" spans="1:29">
      <c r="A25" s="151" t="s">
        <v>2168</v>
      </c>
      <c r="B25" s="151" t="s">
        <v>2284</v>
      </c>
      <c r="C25" s="151" t="s">
        <v>2247</v>
      </c>
      <c r="D25" s="151" t="s">
        <v>17</v>
      </c>
      <c r="E25" s="151" t="s">
        <v>2285</v>
      </c>
      <c r="F25" s="151" t="s">
        <v>544</v>
      </c>
      <c r="G25" s="151" t="s">
        <v>2173</v>
      </c>
      <c r="H25" s="151" t="s">
        <v>1274</v>
      </c>
      <c r="I25" s="151" t="s">
        <v>1184</v>
      </c>
      <c r="J25" s="151" t="s">
        <v>659</v>
      </c>
      <c r="K25" s="151" t="s">
        <v>2286</v>
      </c>
      <c r="L25" s="151" t="s">
        <v>2218</v>
      </c>
      <c r="M25" s="151" t="s">
        <v>361</v>
      </c>
      <c r="N25" s="151"/>
      <c r="O25" s="151"/>
      <c r="P25" s="151"/>
      <c r="Q25" s="151"/>
      <c r="R25" s="151" t="s">
        <v>2177</v>
      </c>
      <c r="S25" s="151" t="s">
        <v>2178</v>
      </c>
      <c r="T25" s="151" t="s">
        <v>429</v>
      </c>
      <c r="U25" s="151" t="s">
        <v>2179</v>
      </c>
      <c r="V25" s="151">
        <v>5</v>
      </c>
      <c r="W25" s="151" t="s">
        <v>2180</v>
      </c>
      <c r="X25" s="151" t="s">
        <v>431</v>
      </c>
      <c r="Y25" s="151" t="s">
        <v>2179</v>
      </c>
      <c r="Z25" s="151" t="s">
        <v>2287</v>
      </c>
      <c r="AA25" s="151" t="e" cm="1">
        <f t="array" ref="AA25">-D
-M
-O
-S
-W</f>
        <v>#NAME?</v>
      </c>
      <c r="AB25" s="151" t="s">
        <v>855</v>
      </c>
      <c r="AC25" s="342"/>
    </row>
    <row r="26" spans="1:29">
      <c r="A26" s="151" t="s">
        <v>2168</v>
      </c>
      <c r="B26" s="151" t="s">
        <v>2288</v>
      </c>
      <c r="C26" s="151" t="s">
        <v>2247</v>
      </c>
      <c r="D26" s="151" t="s">
        <v>17</v>
      </c>
      <c r="E26" s="151" t="s">
        <v>2289</v>
      </c>
      <c r="F26" s="151" t="s">
        <v>544</v>
      </c>
      <c r="G26" s="151" t="s">
        <v>2173</v>
      </c>
      <c r="H26" s="151" t="s">
        <v>1274</v>
      </c>
      <c r="I26" s="151" t="s">
        <v>1184</v>
      </c>
      <c r="J26" s="151" t="s">
        <v>642</v>
      </c>
      <c r="K26" s="151" t="s">
        <v>2290</v>
      </c>
      <c r="L26" s="151" t="s">
        <v>2175</v>
      </c>
      <c r="M26" s="151" t="s">
        <v>2184</v>
      </c>
      <c r="N26" s="151"/>
      <c r="O26" s="151"/>
      <c r="P26" s="151"/>
      <c r="Q26" s="151"/>
      <c r="R26" s="151" t="s">
        <v>2177</v>
      </c>
      <c r="S26" s="151" t="s">
        <v>2178</v>
      </c>
      <c r="T26" s="151" t="s">
        <v>2220</v>
      </c>
      <c r="U26" s="151" t="s">
        <v>2179</v>
      </c>
      <c r="V26" s="151">
        <v>5</v>
      </c>
      <c r="W26" s="151" t="s">
        <v>2250</v>
      </c>
      <c r="X26" s="151" t="s">
        <v>431</v>
      </c>
      <c r="Y26" s="151" t="s">
        <v>2179</v>
      </c>
      <c r="Z26" s="151"/>
      <c r="AA26" s="151"/>
      <c r="AB26" s="151" t="s">
        <v>855</v>
      </c>
      <c r="AC26" s="342"/>
    </row>
    <row r="27" spans="1:29">
      <c r="A27" s="151" t="s">
        <v>2168</v>
      </c>
      <c r="B27" s="151" t="s">
        <v>2291</v>
      </c>
      <c r="C27" s="151" t="s">
        <v>2247</v>
      </c>
      <c r="D27" s="151" t="s">
        <v>17</v>
      </c>
      <c r="E27" s="151" t="s">
        <v>2292</v>
      </c>
      <c r="F27" s="151" t="s">
        <v>2231</v>
      </c>
      <c r="G27" s="151" t="s">
        <v>2173</v>
      </c>
      <c r="H27" s="151" t="s">
        <v>1274</v>
      </c>
      <c r="I27" s="151" t="s">
        <v>1184</v>
      </c>
      <c r="J27" s="151" t="s">
        <v>642</v>
      </c>
      <c r="K27" s="151" t="s">
        <v>2293</v>
      </c>
      <c r="L27" s="151" t="s">
        <v>2175</v>
      </c>
      <c r="M27" s="151" t="s">
        <v>2184</v>
      </c>
      <c r="N27" s="151"/>
      <c r="O27" s="151"/>
      <c r="P27" s="151"/>
      <c r="Q27" s="151"/>
      <c r="R27" s="151" t="s">
        <v>2177</v>
      </c>
      <c r="S27" s="151" t="s">
        <v>2178</v>
      </c>
      <c r="T27" s="151" t="s">
        <v>435</v>
      </c>
      <c r="U27" s="151" t="s">
        <v>2207</v>
      </c>
      <c r="V27" s="151">
        <v>10</v>
      </c>
      <c r="W27" s="151" t="s">
        <v>2207</v>
      </c>
      <c r="X27" s="151" t="s">
        <v>2207</v>
      </c>
      <c r="Y27" s="151" t="s">
        <v>2207</v>
      </c>
      <c r="Z27" s="151"/>
      <c r="AA27" s="151"/>
      <c r="AB27" s="151" t="s">
        <v>855</v>
      </c>
      <c r="AC27" s="342"/>
    </row>
    <row r="28" spans="1:29">
      <c r="A28" s="151" t="s">
        <v>2168</v>
      </c>
      <c r="B28" s="151" t="s">
        <v>2294</v>
      </c>
      <c r="C28" s="151" t="s">
        <v>2247</v>
      </c>
      <c r="D28" s="151" t="s">
        <v>17</v>
      </c>
      <c r="E28" s="151" t="s">
        <v>2295</v>
      </c>
      <c r="F28" s="151" t="s">
        <v>544</v>
      </c>
      <c r="G28" s="151" t="s">
        <v>2173</v>
      </c>
      <c r="H28" s="151" t="s">
        <v>1274</v>
      </c>
      <c r="I28" s="151" t="s">
        <v>1184</v>
      </c>
      <c r="J28" s="151" t="s">
        <v>677</v>
      </c>
      <c r="K28" s="151" t="s">
        <v>2296</v>
      </c>
      <c r="L28" s="151" t="s">
        <v>2297</v>
      </c>
      <c r="M28" s="151" t="s">
        <v>2298</v>
      </c>
      <c r="N28" s="151"/>
      <c r="O28" s="151"/>
      <c r="P28" s="151"/>
      <c r="Q28" s="151"/>
      <c r="R28" s="151" t="s">
        <v>2177</v>
      </c>
      <c r="S28" s="151" t="s">
        <v>2299</v>
      </c>
      <c r="T28" s="151" t="s">
        <v>429</v>
      </c>
      <c r="U28" s="151" t="s">
        <v>2179</v>
      </c>
      <c r="V28" s="151">
        <v>50</v>
      </c>
      <c r="W28" s="151" t="s">
        <v>2228</v>
      </c>
      <c r="X28" s="151" t="s">
        <v>431</v>
      </c>
      <c r="Y28" s="151" t="s">
        <v>2179</v>
      </c>
      <c r="Z28" s="151" t="s">
        <v>2300</v>
      </c>
      <c r="AA28" s="151" t="s">
        <v>2301</v>
      </c>
      <c r="AB28" s="151" t="s">
        <v>855</v>
      </c>
      <c r="AC28" s="342"/>
    </row>
    <row r="29" spans="1:29">
      <c r="A29" s="151" t="s">
        <v>2168</v>
      </c>
      <c r="B29" s="151" t="s">
        <v>2302</v>
      </c>
      <c r="C29" s="151" t="s">
        <v>2247</v>
      </c>
      <c r="D29" s="151" t="s">
        <v>17</v>
      </c>
      <c r="E29" s="151" t="s">
        <v>2303</v>
      </c>
      <c r="F29" s="151" t="s">
        <v>2189</v>
      </c>
      <c r="G29" s="151" t="s">
        <v>2173</v>
      </c>
      <c r="H29" s="151" t="s">
        <v>1274</v>
      </c>
      <c r="I29" s="151" t="s">
        <v>1184</v>
      </c>
      <c r="J29" s="151" t="s">
        <v>642</v>
      </c>
      <c r="K29" s="151" t="s">
        <v>2304</v>
      </c>
      <c r="L29" s="151" t="s">
        <v>2175</v>
      </c>
      <c r="M29" s="151" t="s">
        <v>2184</v>
      </c>
      <c r="N29" s="151"/>
      <c r="O29" s="151"/>
      <c r="P29" s="151"/>
      <c r="Q29" s="151"/>
      <c r="R29" s="151" t="s">
        <v>2177</v>
      </c>
      <c r="S29" s="151" t="s">
        <v>2178</v>
      </c>
      <c r="T29" s="151" t="s">
        <v>2191</v>
      </c>
      <c r="U29" s="151" t="s">
        <v>2179</v>
      </c>
      <c r="V29" s="151">
        <v>10</v>
      </c>
      <c r="W29" s="151" t="s">
        <v>2272</v>
      </c>
      <c r="X29" s="151" t="s">
        <v>431</v>
      </c>
      <c r="Y29" s="151" t="s">
        <v>2179</v>
      </c>
      <c r="Z29" s="151" t="s">
        <v>2305</v>
      </c>
      <c r="AA29" s="151" t="s">
        <v>2305</v>
      </c>
      <c r="AB29" s="151" t="s">
        <v>855</v>
      </c>
      <c r="AC29" s="342"/>
    </row>
    <row r="30" spans="1:29">
      <c r="A30" s="151" t="s">
        <v>2168</v>
      </c>
      <c r="B30" s="151" t="s">
        <v>2187</v>
      </c>
      <c r="C30" s="151" t="s">
        <v>2306</v>
      </c>
      <c r="D30" s="151" t="s">
        <v>17</v>
      </c>
      <c r="E30" s="151" t="s">
        <v>2188</v>
      </c>
      <c r="F30" s="151" t="s">
        <v>544</v>
      </c>
      <c r="G30" s="151" t="s">
        <v>2173</v>
      </c>
      <c r="H30" s="151" t="s">
        <v>1274</v>
      </c>
      <c r="I30" s="151" t="s">
        <v>1184</v>
      </c>
      <c r="J30" s="151" t="s">
        <v>642</v>
      </c>
      <c r="K30" s="151" t="s">
        <v>2307</v>
      </c>
      <c r="L30" s="151" t="s">
        <v>2175</v>
      </c>
      <c r="M30" s="151" t="s">
        <v>2184</v>
      </c>
      <c r="N30" s="151"/>
      <c r="O30" s="151"/>
      <c r="P30" s="151"/>
      <c r="Q30" s="151"/>
      <c r="R30" s="151" t="s">
        <v>2177</v>
      </c>
      <c r="S30" s="151" t="s">
        <v>2178</v>
      </c>
      <c r="T30" s="151" t="s">
        <v>2191</v>
      </c>
      <c r="U30" s="151" t="s">
        <v>2179</v>
      </c>
      <c r="V30" s="151">
        <v>5</v>
      </c>
      <c r="W30" s="151" t="s">
        <v>2180</v>
      </c>
      <c r="X30" s="151" t="s">
        <v>431</v>
      </c>
      <c r="Y30" s="151" t="s">
        <v>2179</v>
      </c>
      <c r="Z30" s="151" t="s">
        <v>2192</v>
      </c>
      <c r="AA30" s="151" t="s">
        <v>2193</v>
      </c>
      <c r="AB30" s="151" t="s">
        <v>855</v>
      </c>
      <c r="AC30" s="342"/>
    </row>
    <row r="31" spans="1:29" ht="45">
      <c r="A31" s="151" t="s">
        <v>2168</v>
      </c>
      <c r="B31" s="151" t="s">
        <v>2308</v>
      </c>
      <c r="C31" s="151" t="s">
        <v>2306</v>
      </c>
      <c r="D31" s="151" t="s">
        <v>17</v>
      </c>
      <c r="E31" s="151" t="s">
        <v>2309</v>
      </c>
      <c r="F31" s="151" t="s">
        <v>544</v>
      </c>
      <c r="G31" s="151" t="s">
        <v>2173</v>
      </c>
      <c r="H31" s="151" t="s">
        <v>1274</v>
      </c>
      <c r="I31" s="151" t="s">
        <v>1184</v>
      </c>
      <c r="J31" s="151" t="s">
        <v>642</v>
      </c>
      <c r="K31" s="151" t="s">
        <v>2310</v>
      </c>
      <c r="L31" s="151" t="s">
        <v>2175</v>
      </c>
      <c r="M31" s="151" t="s">
        <v>2184</v>
      </c>
      <c r="N31" s="151"/>
      <c r="O31" s="151"/>
      <c r="P31" s="151"/>
      <c r="Q31" s="151"/>
      <c r="R31" s="151" t="s">
        <v>2177</v>
      </c>
      <c r="S31" s="341" t="s">
        <v>2311</v>
      </c>
      <c r="T31" s="151" t="s">
        <v>2191</v>
      </c>
      <c r="U31" s="151" t="s">
        <v>2179</v>
      </c>
      <c r="V31" s="151">
        <v>5</v>
      </c>
      <c r="W31" s="151" t="s">
        <v>2180</v>
      </c>
      <c r="X31" s="151" t="s">
        <v>431</v>
      </c>
      <c r="Y31" s="151" t="s">
        <v>2179</v>
      </c>
      <c r="Z31" s="151" t="s">
        <v>2312</v>
      </c>
      <c r="AA31" s="151" t="s">
        <v>2313</v>
      </c>
      <c r="AB31" s="151" t="s">
        <v>855</v>
      </c>
      <c r="AC31" s="342"/>
    </row>
    <row r="32" spans="1:29" ht="120">
      <c r="A32" s="151" t="s">
        <v>2168</v>
      </c>
      <c r="B32" s="151" t="s">
        <v>2314</v>
      </c>
      <c r="C32" s="151" t="s">
        <v>2306</v>
      </c>
      <c r="D32" s="151" t="s">
        <v>17</v>
      </c>
      <c r="E32" s="151" t="s">
        <v>2315</v>
      </c>
      <c r="F32" s="151" t="s">
        <v>544</v>
      </c>
      <c r="G32" s="151" t="s">
        <v>2173</v>
      </c>
      <c r="H32" s="151" t="s">
        <v>1274</v>
      </c>
      <c r="I32" s="151" t="s">
        <v>1184</v>
      </c>
      <c r="J32" s="151" t="s">
        <v>642</v>
      </c>
      <c r="K32" s="151" t="s">
        <v>2316</v>
      </c>
      <c r="L32" s="151" t="s">
        <v>2175</v>
      </c>
      <c r="M32" s="151" t="s">
        <v>2184</v>
      </c>
      <c r="N32" s="151"/>
      <c r="O32" s="151"/>
      <c r="P32" s="151"/>
      <c r="Q32" s="151"/>
      <c r="R32" s="151" t="s">
        <v>2177</v>
      </c>
      <c r="S32" s="485" t="s">
        <v>2317</v>
      </c>
      <c r="T32" s="151" t="s">
        <v>2191</v>
      </c>
      <c r="U32" s="151" t="s">
        <v>2179</v>
      </c>
      <c r="V32" s="151">
        <v>1</v>
      </c>
      <c r="W32" s="151" t="s">
        <v>2318</v>
      </c>
      <c r="X32" s="151" t="s">
        <v>431</v>
      </c>
      <c r="Y32" s="151" t="s">
        <v>2179</v>
      </c>
      <c r="Z32" s="151" t="s">
        <v>2319</v>
      </c>
      <c r="AA32" s="151" t="s">
        <v>2320</v>
      </c>
      <c r="AB32" s="151" t="s">
        <v>855</v>
      </c>
      <c r="AC32" s="342"/>
    </row>
    <row r="33" spans="1:29">
      <c r="A33" s="151" t="s">
        <v>2168</v>
      </c>
      <c r="B33" s="151" t="s">
        <v>2321</v>
      </c>
      <c r="C33" s="151" t="s">
        <v>2306</v>
      </c>
      <c r="D33" s="151" t="s">
        <v>17</v>
      </c>
      <c r="E33" s="151" t="s">
        <v>2322</v>
      </c>
      <c r="F33" s="151" t="s">
        <v>240</v>
      </c>
      <c r="G33" s="151" t="s">
        <v>2173</v>
      </c>
      <c r="H33" s="151" t="s">
        <v>1274</v>
      </c>
      <c r="I33" s="151" t="s">
        <v>1184</v>
      </c>
      <c r="J33" s="151" t="s">
        <v>677</v>
      </c>
      <c r="K33" s="151" t="s">
        <v>2323</v>
      </c>
      <c r="L33" s="151" t="s">
        <v>2297</v>
      </c>
      <c r="M33" s="151" t="s">
        <v>2324</v>
      </c>
      <c r="N33" s="151"/>
      <c r="O33" s="151"/>
      <c r="P33" s="151"/>
      <c r="Q33" s="151"/>
      <c r="R33" s="151" t="s">
        <v>2177</v>
      </c>
      <c r="S33" s="151" t="s">
        <v>2178</v>
      </c>
      <c r="T33" s="151" t="s">
        <v>2325</v>
      </c>
      <c r="U33" s="151" t="s">
        <v>2179</v>
      </c>
      <c r="V33" s="151">
        <v>5</v>
      </c>
      <c r="W33" s="151" t="s">
        <v>2326</v>
      </c>
      <c r="X33" s="151" t="s">
        <v>431</v>
      </c>
      <c r="Y33" s="151" t="s">
        <v>2179</v>
      </c>
      <c r="Z33" s="151"/>
      <c r="AA33" s="151"/>
      <c r="AB33" s="151" t="s">
        <v>855</v>
      </c>
      <c r="AC33" s="342"/>
    </row>
    <row r="34" spans="1:29">
      <c r="A34" s="151" t="s">
        <v>2168</v>
      </c>
      <c r="B34" s="151" t="s">
        <v>2327</v>
      </c>
      <c r="C34" s="151" t="s">
        <v>2306</v>
      </c>
      <c r="D34" s="151" t="s">
        <v>17</v>
      </c>
      <c r="E34" s="151" t="s">
        <v>2328</v>
      </c>
      <c r="F34" s="151" t="s">
        <v>544</v>
      </c>
      <c r="G34" s="151" t="s">
        <v>2173</v>
      </c>
      <c r="H34" s="151" t="s">
        <v>1274</v>
      </c>
      <c r="I34" s="151" t="s">
        <v>1184</v>
      </c>
      <c r="J34" s="151" t="s">
        <v>677</v>
      </c>
      <c r="K34" s="151" t="s">
        <v>2329</v>
      </c>
      <c r="L34" s="151" t="s">
        <v>2297</v>
      </c>
      <c r="M34" s="151" t="s">
        <v>2330</v>
      </c>
      <c r="N34" s="151"/>
      <c r="O34" s="151"/>
      <c r="P34" s="151"/>
      <c r="Q34" s="151"/>
      <c r="R34" s="151" t="s">
        <v>2177</v>
      </c>
      <c r="S34" s="151" t="s">
        <v>2178</v>
      </c>
      <c r="T34" s="151" t="s">
        <v>435</v>
      </c>
      <c r="U34" s="151" t="s">
        <v>2179</v>
      </c>
      <c r="V34" s="151">
        <v>255</v>
      </c>
      <c r="W34" s="151" t="s">
        <v>2326</v>
      </c>
      <c r="X34" s="151" t="s">
        <v>431</v>
      </c>
      <c r="Y34" s="151" t="s">
        <v>2179</v>
      </c>
      <c r="Z34" s="151"/>
      <c r="AA34" s="151"/>
      <c r="AB34" s="151" t="s">
        <v>855</v>
      </c>
      <c r="AC34" s="342"/>
    </row>
    <row r="35" spans="1:29">
      <c r="A35" s="151" t="s">
        <v>2168</v>
      </c>
      <c r="B35" s="151" t="s">
        <v>2331</v>
      </c>
      <c r="C35" s="151" t="s">
        <v>2306</v>
      </c>
      <c r="D35" s="151" t="s">
        <v>17</v>
      </c>
      <c r="E35" s="151" t="s">
        <v>2332</v>
      </c>
      <c r="F35" s="151" t="s">
        <v>544</v>
      </c>
      <c r="G35" s="151" t="s">
        <v>2173</v>
      </c>
      <c r="H35" s="151" t="s">
        <v>1274</v>
      </c>
      <c r="I35" s="151" t="s">
        <v>1184</v>
      </c>
      <c r="J35" s="151" t="s">
        <v>786</v>
      </c>
      <c r="K35" s="151" t="s">
        <v>2333</v>
      </c>
      <c r="L35" s="151" t="s">
        <v>2334</v>
      </c>
      <c r="M35" s="151" t="s">
        <v>361</v>
      </c>
      <c r="N35" s="151"/>
      <c r="O35" s="151"/>
      <c r="P35" s="151"/>
      <c r="Q35" s="151"/>
      <c r="R35" s="151" t="s">
        <v>2177</v>
      </c>
      <c r="S35" s="151" t="s">
        <v>2178</v>
      </c>
      <c r="T35" s="151" t="s">
        <v>2191</v>
      </c>
      <c r="U35" s="151" t="s">
        <v>2179</v>
      </c>
      <c r="V35" s="151">
        <v>50</v>
      </c>
      <c r="W35" s="151" t="s">
        <v>2228</v>
      </c>
      <c r="X35" s="151" t="s">
        <v>431</v>
      </c>
      <c r="Y35" s="151" t="s">
        <v>2179</v>
      </c>
      <c r="Z35" s="151" t="s">
        <v>2335</v>
      </c>
      <c r="AA35" s="151" t="s">
        <v>2336</v>
      </c>
      <c r="AB35" s="151" t="s">
        <v>855</v>
      </c>
      <c r="AC35" s="342"/>
    </row>
    <row r="36" spans="1:29">
      <c r="A36" s="151" t="s">
        <v>2168</v>
      </c>
      <c r="B36" s="151" t="s">
        <v>2337</v>
      </c>
      <c r="C36" s="151" t="s">
        <v>2306</v>
      </c>
      <c r="D36" s="151" t="s">
        <v>17</v>
      </c>
      <c r="E36" s="151" t="s">
        <v>2338</v>
      </c>
      <c r="F36" s="151" t="s">
        <v>2189</v>
      </c>
      <c r="G36" s="151" t="s">
        <v>2173</v>
      </c>
      <c r="H36" s="151" t="s">
        <v>1274</v>
      </c>
      <c r="I36" s="151" t="s">
        <v>1184</v>
      </c>
      <c r="J36" s="151" t="s">
        <v>642</v>
      </c>
      <c r="K36" s="151" t="s">
        <v>2339</v>
      </c>
      <c r="L36" s="151" t="s">
        <v>2175</v>
      </c>
      <c r="M36" s="151" t="s">
        <v>2184</v>
      </c>
      <c r="N36" s="151"/>
      <c r="O36" s="151"/>
      <c r="P36" s="151"/>
      <c r="Q36" s="151"/>
      <c r="R36" s="151" t="s">
        <v>2177</v>
      </c>
      <c r="S36" s="151" t="s">
        <v>2178</v>
      </c>
      <c r="T36" s="151" t="s">
        <v>435</v>
      </c>
      <c r="U36" s="151" t="s">
        <v>2179</v>
      </c>
      <c r="V36" s="151">
        <v>1</v>
      </c>
      <c r="W36" s="151" t="s">
        <v>2318</v>
      </c>
      <c r="X36" s="151" t="s">
        <v>431</v>
      </c>
      <c r="Y36" s="151" t="s">
        <v>2179</v>
      </c>
      <c r="Z36" s="151"/>
      <c r="AA36" s="151"/>
      <c r="AB36" s="151" t="s">
        <v>855</v>
      </c>
      <c r="AC36" s="342"/>
    </row>
    <row r="37" spans="1:29">
      <c r="A37" s="151" t="s">
        <v>2168</v>
      </c>
      <c r="B37" s="151" t="s">
        <v>2340</v>
      </c>
      <c r="C37" s="151" t="s">
        <v>2306</v>
      </c>
      <c r="D37" s="151" t="s">
        <v>17</v>
      </c>
      <c r="E37" s="151" t="s">
        <v>2341</v>
      </c>
      <c r="F37" s="151" t="s">
        <v>544</v>
      </c>
      <c r="G37" s="151" t="s">
        <v>2173</v>
      </c>
      <c r="H37" s="151" t="s">
        <v>1274</v>
      </c>
      <c r="I37" s="151" t="s">
        <v>1184</v>
      </c>
      <c r="J37" s="151" t="s">
        <v>642</v>
      </c>
      <c r="K37" s="151" t="s">
        <v>2342</v>
      </c>
      <c r="L37" s="151" t="s">
        <v>2175</v>
      </c>
      <c r="M37" s="151" t="s">
        <v>2184</v>
      </c>
      <c r="N37" s="151"/>
      <c r="O37" s="151"/>
      <c r="P37" s="151"/>
      <c r="Q37" s="151"/>
      <c r="R37" s="151" t="s">
        <v>2177</v>
      </c>
      <c r="S37" s="151" t="s">
        <v>2178</v>
      </c>
      <c r="T37" s="151" t="s">
        <v>435</v>
      </c>
      <c r="U37" s="151" t="s">
        <v>2179</v>
      </c>
      <c r="V37" s="151">
        <v>100</v>
      </c>
      <c r="W37" s="151" t="s">
        <v>2185</v>
      </c>
      <c r="X37" s="151" t="s">
        <v>431</v>
      </c>
      <c r="Y37" s="151" t="s">
        <v>2179</v>
      </c>
      <c r="Z37" s="151"/>
      <c r="AA37" s="151"/>
      <c r="AB37" s="151" t="s">
        <v>855</v>
      </c>
      <c r="AC37" s="342"/>
    </row>
    <row r="38" spans="1:29">
      <c r="A38" s="151" t="s">
        <v>2168</v>
      </c>
      <c r="B38" s="151" t="s">
        <v>2343</v>
      </c>
      <c r="C38" s="151" t="s">
        <v>2344</v>
      </c>
      <c r="D38" s="151" t="s">
        <v>17</v>
      </c>
      <c r="E38" s="151" t="s">
        <v>2345</v>
      </c>
      <c r="F38" s="151" t="s">
        <v>544</v>
      </c>
      <c r="G38" s="151" t="s">
        <v>2173</v>
      </c>
      <c r="H38" s="151" t="s">
        <v>1380</v>
      </c>
      <c r="I38" s="151" t="s">
        <v>1184</v>
      </c>
      <c r="J38" s="151" t="s">
        <v>1819</v>
      </c>
      <c r="K38" s="151" t="s">
        <v>2346</v>
      </c>
      <c r="L38" s="151" t="s">
        <v>2347</v>
      </c>
      <c r="M38" s="151" t="s">
        <v>361</v>
      </c>
      <c r="N38" s="151"/>
      <c r="O38" s="151"/>
      <c r="P38" s="151"/>
      <c r="Q38" s="151"/>
      <c r="R38" s="151" t="s">
        <v>2177</v>
      </c>
      <c r="S38" s="151" t="s">
        <v>2178</v>
      </c>
      <c r="T38" s="151" t="s">
        <v>435</v>
      </c>
      <c r="U38" s="151" t="s">
        <v>2179</v>
      </c>
      <c r="V38" s="151">
        <v>75</v>
      </c>
      <c r="W38" s="151" t="s">
        <v>2228</v>
      </c>
      <c r="X38" s="151" t="s">
        <v>431</v>
      </c>
      <c r="Y38" s="151" t="s">
        <v>2179</v>
      </c>
      <c r="Z38" s="151"/>
      <c r="AA38" s="151"/>
      <c r="AB38" s="151" t="s">
        <v>855</v>
      </c>
      <c r="AC38" s="342"/>
    </row>
    <row r="39" spans="1:29">
      <c r="A39" s="151" t="s">
        <v>2168</v>
      </c>
      <c r="B39" s="151" t="s">
        <v>2348</v>
      </c>
      <c r="C39" s="151" t="s">
        <v>2344</v>
      </c>
      <c r="D39" s="151" t="s">
        <v>17</v>
      </c>
      <c r="E39" s="151" t="s">
        <v>2349</v>
      </c>
      <c r="F39" s="151" t="s">
        <v>544</v>
      </c>
      <c r="G39" s="151" t="s">
        <v>2173</v>
      </c>
      <c r="H39" s="151" t="s">
        <v>1380</v>
      </c>
      <c r="I39" s="151" t="s">
        <v>1184</v>
      </c>
      <c r="J39" s="151" t="s">
        <v>1819</v>
      </c>
      <c r="K39" s="151" t="s">
        <v>2010</v>
      </c>
      <c r="L39" s="151" t="s">
        <v>2347</v>
      </c>
      <c r="M39" s="151" t="s">
        <v>361</v>
      </c>
      <c r="N39" s="151"/>
      <c r="O39" s="151"/>
      <c r="P39" s="151"/>
      <c r="Q39" s="151"/>
      <c r="R39" s="151" t="s">
        <v>2177</v>
      </c>
      <c r="S39" s="151" t="s">
        <v>2178</v>
      </c>
      <c r="T39" s="151" t="s">
        <v>435</v>
      </c>
      <c r="U39" s="151" t="s">
        <v>2207</v>
      </c>
      <c r="V39" s="151" t="s">
        <v>49</v>
      </c>
      <c r="W39" s="151" t="s">
        <v>2207</v>
      </c>
      <c r="X39" s="151" t="s">
        <v>2207</v>
      </c>
      <c r="Y39" s="151" t="s">
        <v>2207</v>
      </c>
      <c r="Z39" s="151"/>
      <c r="AA39" s="151"/>
      <c r="AB39" s="151" t="s">
        <v>855</v>
      </c>
      <c r="AC39" s="342"/>
    </row>
    <row r="40" spans="1:29">
      <c r="A40" s="151" t="s">
        <v>2168</v>
      </c>
      <c r="B40" s="151" t="s">
        <v>2350</v>
      </c>
      <c r="C40" s="151" t="s">
        <v>2344</v>
      </c>
      <c r="D40" s="151" t="s">
        <v>17</v>
      </c>
      <c r="E40" s="151" t="s">
        <v>2351</v>
      </c>
      <c r="F40" s="151" t="s">
        <v>544</v>
      </c>
      <c r="G40" s="151" t="s">
        <v>2173</v>
      </c>
      <c r="H40" s="151" t="s">
        <v>1380</v>
      </c>
      <c r="I40" s="151" t="s">
        <v>1184</v>
      </c>
      <c r="J40" s="151" t="s">
        <v>1819</v>
      </c>
      <c r="K40" s="151" t="s">
        <v>2352</v>
      </c>
      <c r="L40" s="151" t="s">
        <v>2347</v>
      </c>
      <c r="M40" s="151" t="s">
        <v>361</v>
      </c>
      <c r="N40" s="151"/>
      <c r="O40" s="151"/>
      <c r="P40" s="151"/>
      <c r="Q40" s="151"/>
      <c r="R40" s="151" t="s">
        <v>2177</v>
      </c>
      <c r="S40" s="151" t="s">
        <v>2178</v>
      </c>
      <c r="T40" s="151" t="s">
        <v>435</v>
      </c>
      <c r="U40" s="151" t="s">
        <v>2207</v>
      </c>
      <c r="V40" s="151" t="s">
        <v>49</v>
      </c>
      <c r="W40" s="151" t="s">
        <v>2207</v>
      </c>
      <c r="X40" s="151" t="s">
        <v>2207</v>
      </c>
      <c r="Y40" s="151" t="s">
        <v>2207</v>
      </c>
      <c r="Z40" s="151"/>
      <c r="AA40" s="151"/>
      <c r="AB40" s="151" t="s">
        <v>855</v>
      </c>
      <c r="AC40" s="342"/>
    </row>
    <row r="41" spans="1:29">
      <c r="A41" s="151" t="s">
        <v>2168</v>
      </c>
      <c r="B41" s="151" t="s">
        <v>159</v>
      </c>
      <c r="C41" s="151" t="s">
        <v>2344</v>
      </c>
      <c r="D41" s="151" t="s">
        <v>17</v>
      </c>
      <c r="E41" s="151" t="s">
        <v>2353</v>
      </c>
      <c r="F41" s="151" t="s">
        <v>544</v>
      </c>
      <c r="G41" s="151" t="s">
        <v>2173</v>
      </c>
      <c r="H41" s="151" t="s">
        <v>1274</v>
      </c>
      <c r="I41" s="151" t="s">
        <v>1184</v>
      </c>
      <c r="J41" s="151" t="s">
        <v>642</v>
      </c>
      <c r="K41" s="151" t="s">
        <v>2354</v>
      </c>
      <c r="L41" s="151" t="s">
        <v>2175</v>
      </c>
      <c r="M41" s="151" t="s">
        <v>2184</v>
      </c>
      <c r="N41" s="151"/>
      <c r="O41" s="151"/>
      <c r="P41" s="151"/>
      <c r="Q41" s="151"/>
      <c r="R41" s="151" t="s">
        <v>2177</v>
      </c>
      <c r="S41" s="151" t="s">
        <v>2178</v>
      </c>
      <c r="T41" s="151" t="s">
        <v>435</v>
      </c>
      <c r="U41" s="151" t="s">
        <v>2179</v>
      </c>
      <c r="V41" s="151">
        <v>50</v>
      </c>
      <c r="W41" s="151" t="s">
        <v>2180</v>
      </c>
      <c r="X41" s="151" t="s">
        <v>431</v>
      </c>
      <c r="Y41" s="151" t="s">
        <v>2179</v>
      </c>
      <c r="Z41" s="151"/>
      <c r="AA41" s="151"/>
      <c r="AB41" s="151" t="s">
        <v>855</v>
      </c>
      <c r="AC41" s="342"/>
    </row>
    <row r="42" spans="1:29">
      <c r="A42" s="151" t="s">
        <v>2168</v>
      </c>
      <c r="B42" s="151" t="s">
        <v>2355</v>
      </c>
      <c r="C42" s="151" t="s">
        <v>2344</v>
      </c>
      <c r="D42" s="151" t="s">
        <v>17</v>
      </c>
      <c r="E42" s="151" t="s">
        <v>2356</v>
      </c>
      <c r="F42" s="151" t="s">
        <v>544</v>
      </c>
      <c r="G42" s="151" t="s">
        <v>2173</v>
      </c>
      <c r="H42" s="151" t="s">
        <v>1380</v>
      </c>
      <c r="I42" s="151" t="s">
        <v>1184</v>
      </c>
      <c r="J42" s="151" t="s">
        <v>1819</v>
      </c>
      <c r="K42" s="151" t="s">
        <v>2357</v>
      </c>
      <c r="L42" s="151" t="s">
        <v>2347</v>
      </c>
      <c r="M42" s="151" t="s">
        <v>361</v>
      </c>
      <c r="N42" s="151"/>
      <c r="O42" s="151"/>
      <c r="P42" s="151"/>
      <c r="Q42" s="151"/>
      <c r="R42" s="151" t="s">
        <v>2177</v>
      </c>
      <c r="S42" s="151" t="s">
        <v>2178</v>
      </c>
      <c r="T42" s="151" t="s">
        <v>435</v>
      </c>
      <c r="U42" s="151" t="s">
        <v>2207</v>
      </c>
      <c r="V42" s="151" t="s">
        <v>49</v>
      </c>
      <c r="W42" s="151" t="s">
        <v>2207</v>
      </c>
      <c r="X42" s="151" t="s">
        <v>2207</v>
      </c>
      <c r="Y42" s="151" t="s">
        <v>2207</v>
      </c>
      <c r="Z42" s="151"/>
      <c r="AA42" s="151"/>
      <c r="AB42" s="151" t="s">
        <v>855</v>
      </c>
      <c r="AC42" s="342"/>
    </row>
    <row r="43" spans="1:29">
      <c r="A43" s="151" t="s">
        <v>2168</v>
      </c>
      <c r="B43" s="151" t="s">
        <v>2358</v>
      </c>
      <c r="C43" s="151" t="s">
        <v>2344</v>
      </c>
      <c r="D43" s="151" t="s">
        <v>17</v>
      </c>
      <c r="E43" s="151" t="s">
        <v>2359</v>
      </c>
      <c r="F43" s="151" t="s">
        <v>544</v>
      </c>
      <c r="G43" s="151" t="s">
        <v>2173</v>
      </c>
      <c r="H43" s="151" t="s">
        <v>1380</v>
      </c>
      <c r="I43" s="151" t="s">
        <v>1184</v>
      </c>
      <c r="J43" s="151" t="s">
        <v>1819</v>
      </c>
      <c r="K43" s="151" t="s">
        <v>2360</v>
      </c>
      <c r="L43" s="151" t="s">
        <v>2347</v>
      </c>
      <c r="M43" s="151" t="s">
        <v>361</v>
      </c>
      <c r="N43" s="151"/>
      <c r="O43" s="151"/>
      <c r="P43" s="151"/>
      <c r="Q43" s="151"/>
      <c r="R43" s="151" t="s">
        <v>2177</v>
      </c>
      <c r="S43" s="151" t="s">
        <v>2178</v>
      </c>
      <c r="T43" s="151" t="s">
        <v>435</v>
      </c>
      <c r="U43" s="151" t="s">
        <v>2207</v>
      </c>
      <c r="V43" s="151" t="s">
        <v>49</v>
      </c>
      <c r="W43" s="151" t="s">
        <v>2207</v>
      </c>
      <c r="X43" s="151" t="s">
        <v>2207</v>
      </c>
      <c r="Y43" s="151" t="s">
        <v>2207</v>
      </c>
      <c r="Z43" s="151"/>
      <c r="AA43" s="151"/>
      <c r="AB43" s="151" t="s">
        <v>855</v>
      </c>
      <c r="AC43" s="342"/>
    </row>
    <row r="44" spans="1:29">
      <c r="A44" s="151" t="s">
        <v>2168</v>
      </c>
      <c r="B44" s="151" t="s">
        <v>825</v>
      </c>
      <c r="C44" s="151" t="s">
        <v>2344</v>
      </c>
      <c r="D44" s="151" t="s">
        <v>17</v>
      </c>
      <c r="E44" s="151" t="s">
        <v>2361</v>
      </c>
      <c r="F44" s="151" t="s">
        <v>544</v>
      </c>
      <c r="G44" s="151" t="s">
        <v>2173</v>
      </c>
      <c r="H44" s="151" t="s">
        <v>1380</v>
      </c>
      <c r="I44" s="151" t="s">
        <v>1184</v>
      </c>
      <c r="J44" s="151" t="s">
        <v>1819</v>
      </c>
      <c r="K44" s="151" t="s">
        <v>2362</v>
      </c>
      <c r="L44" s="151" t="s">
        <v>2347</v>
      </c>
      <c r="M44" s="151" t="s">
        <v>361</v>
      </c>
      <c r="N44" s="151"/>
      <c r="O44" s="151"/>
      <c r="P44" s="151"/>
      <c r="Q44" s="151"/>
      <c r="R44" s="151" t="s">
        <v>2177</v>
      </c>
      <c r="S44" s="151" t="s">
        <v>2178</v>
      </c>
      <c r="T44" s="151" t="s">
        <v>435</v>
      </c>
      <c r="U44" s="151" t="s">
        <v>2179</v>
      </c>
      <c r="V44" s="151">
        <v>150</v>
      </c>
      <c r="W44" s="151" t="s">
        <v>2363</v>
      </c>
      <c r="X44" s="151" t="s">
        <v>431</v>
      </c>
      <c r="Y44" s="151" t="s">
        <v>2179</v>
      </c>
      <c r="Z44" s="151"/>
      <c r="AA44" s="151"/>
      <c r="AB44" s="151" t="s">
        <v>855</v>
      </c>
      <c r="AC44" s="342"/>
    </row>
    <row r="45" spans="1:29">
      <c r="A45" s="151" t="s">
        <v>2168</v>
      </c>
      <c r="B45" s="151" t="s">
        <v>2364</v>
      </c>
      <c r="C45" s="151" t="s">
        <v>2344</v>
      </c>
      <c r="D45" s="151" t="s">
        <v>17</v>
      </c>
      <c r="E45" s="151" t="s">
        <v>2365</v>
      </c>
      <c r="F45" s="151" t="s">
        <v>544</v>
      </c>
      <c r="G45" s="151" t="s">
        <v>2173</v>
      </c>
      <c r="H45" s="151" t="s">
        <v>1274</v>
      </c>
      <c r="I45" s="151" t="s">
        <v>1184</v>
      </c>
      <c r="J45" s="151" t="s">
        <v>792</v>
      </c>
      <c r="K45" s="151" t="s">
        <v>2366</v>
      </c>
      <c r="L45" s="151" t="s">
        <v>361</v>
      </c>
      <c r="M45" s="151" t="s">
        <v>361</v>
      </c>
      <c r="N45" s="151"/>
      <c r="O45" s="151"/>
      <c r="P45" s="151"/>
      <c r="Q45" s="151"/>
      <c r="R45" s="151" t="s">
        <v>2177</v>
      </c>
      <c r="S45" s="151" t="s">
        <v>2178</v>
      </c>
      <c r="T45" s="151" t="s">
        <v>435</v>
      </c>
      <c r="U45" s="151" t="s">
        <v>2179</v>
      </c>
      <c r="V45" s="151">
        <v>50</v>
      </c>
      <c r="W45" s="151" t="s">
        <v>2180</v>
      </c>
      <c r="X45" s="151" t="s">
        <v>431</v>
      </c>
      <c r="Y45" s="151" t="s">
        <v>2179</v>
      </c>
      <c r="Z45" s="151"/>
      <c r="AA45" s="151"/>
      <c r="AB45" s="151" t="s">
        <v>855</v>
      </c>
      <c r="AC45" s="342"/>
    </row>
    <row r="46" spans="1:29">
      <c r="A46" s="151" t="s">
        <v>2168</v>
      </c>
      <c r="B46" s="151" t="s">
        <v>16</v>
      </c>
      <c r="C46" s="151" t="s">
        <v>2344</v>
      </c>
      <c r="D46" s="151" t="s">
        <v>17</v>
      </c>
      <c r="E46" s="151" t="s">
        <v>2367</v>
      </c>
      <c r="F46" s="151" t="s">
        <v>544</v>
      </c>
      <c r="G46" s="151" t="s">
        <v>2173</v>
      </c>
      <c r="H46" s="151" t="s">
        <v>1380</v>
      </c>
      <c r="I46" s="151" t="s">
        <v>1184</v>
      </c>
      <c r="J46" s="151" t="s">
        <v>1819</v>
      </c>
      <c r="K46" s="151" t="s">
        <v>2368</v>
      </c>
      <c r="L46" s="151" t="s">
        <v>2347</v>
      </c>
      <c r="M46" s="151" t="s">
        <v>361</v>
      </c>
      <c r="N46" s="151"/>
      <c r="O46" s="151"/>
      <c r="P46" s="151"/>
      <c r="Q46" s="151"/>
      <c r="R46" s="151" t="s">
        <v>2177</v>
      </c>
      <c r="S46" s="151" t="s">
        <v>2178</v>
      </c>
      <c r="T46" s="151" t="s">
        <v>435</v>
      </c>
      <c r="U46" s="151" t="s">
        <v>2179</v>
      </c>
      <c r="V46" s="151" t="s">
        <v>49</v>
      </c>
      <c r="W46" s="151" t="s">
        <v>2369</v>
      </c>
      <c r="X46" s="151" t="s">
        <v>431</v>
      </c>
      <c r="Y46" s="151" t="s">
        <v>2179</v>
      </c>
      <c r="Z46" s="151"/>
      <c r="AA46" s="151"/>
      <c r="AB46" s="151" t="s">
        <v>855</v>
      </c>
      <c r="AC46" s="342"/>
    </row>
    <row r="47" spans="1:29">
      <c r="A47" s="151" t="s">
        <v>2168</v>
      </c>
      <c r="B47" s="151" t="s">
        <v>2370</v>
      </c>
      <c r="C47" s="151" t="s">
        <v>2306</v>
      </c>
      <c r="D47" s="151" t="s">
        <v>17</v>
      </c>
      <c r="E47" s="151" t="s">
        <v>2371</v>
      </c>
      <c r="F47" s="151" t="s">
        <v>2189</v>
      </c>
      <c r="G47" s="151" t="s">
        <v>2173</v>
      </c>
      <c r="H47" s="151" t="s">
        <v>1274</v>
      </c>
      <c r="I47" s="151" t="s">
        <v>1184</v>
      </c>
      <c r="J47" s="151" t="s">
        <v>642</v>
      </c>
      <c r="K47" s="151" t="s">
        <v>2372</v>
      </c>
      <c r="L47" s="151" t="s">
        <v>2175</v>
      </c>
      <c r="M47" s="151" t="s">
        <v>2184</v>
      </c>
      <c r="N47" s="151"/>
      <c r="O47" s="151"/>
      <c r="P47" s="151"/>
      <c r="Q47" s="151"/>
      <c r="R47" s="151" t="s">
        <v>2177</v>
      </c>
      <c r="S47" s="151" t="s">
        <v>2178</v>
      </c>
      <c r="T47" s="151" t="s">
        <v>435</v>
      </c>
      <c r="U47" s="151" t="s">
        <v>2179</v>
      </c>
      <c r="V47" s="151" t="s">
        <v>49</v>
      </c>
      <c r="W47" s="151" t="s">
        <v>2373</v>
      </c>
      <c r="X47" s="151" t="s">
        <v>49</v>
      </c>
      <c r="Y47" s="151" t="s">
        <v>2179</v>
      </c>
      <c r="Z47" s="151"/>
      <c r="AA47" s="151"/>
      <c r="AB47" s="151" t="s">
        <v>855</v>
      </c>
      <c r="AC47" s="342"/>
    </row>
    <row r="48" spans="1:29">
      <c r="A48" s="151" t="s">
        <v>2168</v>
      </c>
      <c r="B48" s="151" t="s">
        <v>2374</v>
      </c>
      <c r="C48" s="151" t="s">
        <v>2306</v>
      </c>
      <c r="D48" s="151" t="s">
        <v>17</v>
      </c>
      <c r="E48" s="151" t="s">
        <v>2375</v>
      </c>
      <c r="F48" s="151" t="s">
        <v>544</v>
      </c>
      <c r="G48" s="151" t="s">
        <v>2173</v>
      </c>
      <c r="H48" s="151" t="s">
        <v>1274</v>
      </c>
      <c r="I48" s="151" t="s">
        <v>1184</v>
      </c>
      <c r="J48" s="151" t="s">
        <v>642</v>
      </c>
      <c r="K48" s="151" t="s">
        <v>2376</v>
      </c>
      <c r="L48" s="151" t="s">
        <v>2175</v>
      </c>
      <c r="M48" s="151" t="s">
        <v>2184</v>
      </c>
      <c r="N48" s="151"/>
      <c r="O48" s="151"/>
      <c r="P48" s="151"/>
      <c r="Q48" s="151"/>
      <c r="R48" s="151" t="s">
        <v>2177</v>
      </c>
      <c r="S48" s="151" t="s">
        <v>2178</v>
      </c>
      <c r="T48" s="151" t="s">
        <v>435</v>
      </c>
      <c r="U48" s="151" t="s">
        <v>2179</v>
      </c>
      <c r="V48" s="151">
        <v>100</v>
      </c>
      <c r="W48" s="151" t="s">
        <v>2185</v>
      </c>
      <c r="X48" s="151" t="s">
        <v>431</v>
      </c>
      <c r="Y48" s="151" t="s">
        <v>2179</v>
      </c>
      <c r="Z48" s="151"/>
      <c r="AA48" s="151"/>
      <c r="AB48" s="151" t="s">
        <v>855</v>
      </c>
      <c r="AC48" s="342"/>
    </row>
    <row r="49" spans="1:29">
      <c r="A49" s="151" t="s">
        <v>2168</v>
      </c>
      <c r="B49" s="151" t="s">
        <v>2343</v>
      </c>
      <c r="C49" s="151" t="s">
        <v>2377</v>
      </c>
      <c r="D49" s="151" t="s">
        <v>17</v>
      </c>
      <c r="E49" s="151" t="s">
        <v>2378</v>
      </c>
      <c r="F49" s="151" t="s">
        <v>544</v>
      </c>
      <c r="G49" s="151" t="s">
        <v>2173</v>
      </c>
      <c r="H49" s="151" t="s">
        <v>1380</v>
      </c>
      <c r="I49" s="151" t="s">
        <v>1184</v>
      </c>
      <c r="J49" s="151" t="s">
        <v>1819</v>
      </c>
      <c r="K49" s="151" t="s">
        <v>2346</v>
      </c>
      <c r="L49" s="151" t="s">
        <v>2347</v>
      </c>
      <c r="M49" s="151" t="s">
        <v>361</v>
      </c>
      <c r="N49" s="151"/>
      <c r="O49" s="151"/>
      <c r="P49" s="151"/>
      <c r="Q49" s="151"/>
      <c r="R49" s="151" t="s">
        <v>2177</v>
      </c>
      <c r="S49" s="151" t="s">
        <v>2178</v>
      </c>
      <c r="T49" s="151" t="s">
        <v>435</v>
      </c>
      <c r="U49" s="151" t="s">
        <v>2179</v>
      </c>
      <c r="V49" s="151">
        <v>75</v>
      </c>
      <c r="W49" s="151" t="s">
        <v>2228</v>
      </c>
      <c r="X49" s="151" t="s">
        <v>431</v>
      </c>
      <c r="Y49" s="151" t="s">
        <v>2179</v>
      </c>
      <c r="Z49" s="151"/>
      <c r="AA49" s="151"/>
      <c r="AB49" s="151" t="s">
        <v>855</v>
      </c>
      <c r="AC49" s="342"/>
    </row>
    <row r="50" spans="1:29">
      <c r="A50" s="151" t="s">
        <v>2168</v>
      </c>
      <c r="B50" s="151" t="s">
        <v>2348</v>
      </c>
      <c r="C50" s="151" t="s">
        <v>2377</v>
      </c>
      <c r="D50" s="151" t="s">
        <v>17</v>
      </c>
      <c r="E50" s="151" t="s">
        <v>2379</v>
      </c>
      <c r="F50" s="151" t="s">
        <v>544</v>
      </c>
      <c r="G50" s="151" t="s">
        <v>2173</v>
      </c>
      <c r="H50" s="151" t="s">
        <v>1380</v>
      </c>
      <c r="I50" s="151" t="s">
        <v>1184</v>
      </c>
      <c r="J50" s="151" t="s">
        <v>1819</v>
      </c>
      <c r="K50" s="151" t="s">
        <v>2010</v>
      </c>
      <c r="L50" s="151" t="s">
        <v>2347</v>
      </c>
      <c r="M50" s="151" t="s">
        <v>361</v>
      </c>
      <c r="N50" s="151"/>
      <c r="O50" s="151"/>
      <c r="P50" s="151"/>
      <c r="Q50" s="151"/>
      <c r="R50" s="151" t="s">
        <v>2177</v>
      </c>
      <c r="S50" s="151" t="s">
        <v>2178</v>
      </c>
      <c r="T50" s="151" t="s">
        <v>435</v>
      </c>
      <c r="U50" s="151" t="s">
        <v>2207</v>
      </c>
      <c r="V50" s="151" t="s">
        <v>49</v>
      </c>
      <c r="W50" s="151" t="s">
        <v>2207</v>
      </c>
      <c r="X50" s="151" t="s">
        <v>2207</v>
      </c>
      <c r="Y50" s="151" t="s">
        <v>2207</v>
      </c>
      <c r="Z50" s="151"/>
      <c r="AA50" s="151"/>
      <c r="AB50" s="151" t="s">
        <v>855</v>
      </c>
      <c r="AC50" s="342"/>
    </row>
    <row r="51" spans="1:29">
      <c r="A51" s="151" t="s">
        <v>2168</v>
      </c>
      <c r="B51" s="151" t="s">
        <v>159</v>
      </c>
      <c r="C51" s="151" t="s">
        <v>2377</v>
      </c>
      <c r="D51" s="151" t="s">
        <v>17</v>
      </c>
      <c r="E51" s="151" t="s">
        <v>2380</v>
      </c>
      <c r="F51" s="151" t="s">
        <v>544</v>
      </c>
      <c r="G51" s="151" t="s">
        <v>2173</v>
      </c>
      <c r="H51" s="151" t="s">
        <v>1274</v>
      </c>
      <c r="I51" s="151" t="s">
        <v>1184</v>
      </c>
      <c r="J51" s="151" t="s">
        <v>642</v>
      </c>
      <c r="K51" s="151" t="s">
        <v>2354</v>
      </c>
      <c r="L51" s="151" t="s">
        <v>2175</v>
      </c>
      <c r="M51" s="151" t="s">
        <v>2184</v>
      </c>
      <c r="N51" s="151"/>
      <c r="O51" s="151"/>
      <c r="P51" s="151"/>
      <c r="Q51" s="151"/>
      <c r="R51" s="151" t="s">
        <v>2177</v>
      </c>
      <c r="S51" s="151" t="s">
        <v>2178</v>
      </c>
      <c r="T51" s="151" t="s">
        <v>435</v>
      </c>
      <c r="U51" s="151" t="s">
        <v>2179</v>
      </c>
      <c r="V51" s="151">
        <v>50</v>
      </c>
      <c r="W51" s="151" t="s">
        <v>2180</v>
      </c>
      <c r="X51" s="151" t="s">
        <v>431</v>
      </c>
      <c r="Y51" s="151" t="s">
        <v>2179</v>
      </c>
      <c r="Z51" s="151"/>
      <c r="AA51" s="151"/>
      <c r="AB51" s="151" t="s">
        <v>855</v>
      </c>
      <c r="AC51" s="342"/>
    </row>
    <row r="52" spans="1:29">
      <c r="A52" s="151" t="s">
        <v>2168</v>
      </c>
      <c r="B52" s="151" t="s">
        <v>825</v>
      </c>
      <c r="C52" s="151" t="s">
        <v>2377</v>
      </c>
      <c r="D52" s="151" t="s">
        <v>17</v>
      </c>
      <c r="E52" s="151" t="s">
        <v>2381</v>
      </c>
      <c r="F52" s="151" t="s">
        <v>544</v>
      </c>
      <c r="G52" s="151" t="s">
        <v>2173</v>
      </c>
      <c r="H52" s="151" t="s">
        <v>1380</v>
      </c>
      <c r="I52" s="151" t="s">
        <v>1184</v>
      </c>
      <c r="J52" s="151" t="s">
        <v>1819</v>
      </c>
      <c r="K52" s="151" t="s">
        <v>2362</v>
      </c>
      <c r="L52" s="151" t="s">
        <v>2347</v>
      </c>
      <c r="M52" s="151" t="s">
        <v>361</v>
      </c>
      <c r="N52" s="151"/>
      <c r="O52" s="151"/>
      <c r="P52" s="151"/>
      <c r="Q52" s="151"/>
      <c r="R52" s="151" t="s">
        <v>2177</v>
      </c>
      <c r="S52" s="151" t="s">
        <v>2178</v>
      </c>
      <c r="T52" s="151" t="s">
        <v>435</v>
      </c>
      <c r="U52" s="151" t="s">
        <v>2179</v>
      </c>
      <c r="V52" s="151">
        <v>150</v>
      </c>
      <c r="W52" s="151" t="s">
        <v>2363</v>
      </c>
      <c r="X52" s="151" t="s">
        <v>431</v>
      </c>
      <c r="Y52" s="151" t="s">
        <v>2179</v>
      </c>
      <c r="Z52" s="151"/>
      <c r="AA52" s="151"/>
      <c r="AB52" s="151" t="s">
        <v>855</v>
      </c>
      <c r="AC52" s="342"/>
    </row>
    <row r="53" spans="1:29">
      <c r="A53" s="151" t="s">
        <v>2168</v>
      </c>
      <c r="B53" s="151" t="s">
        <v>2364</v>
      </c>
      <c r="C53" s="151" t="s">
        <v>2377</v>
      </c>
      <c r="D53" s="151" t="s">
        <v>17</v>
      </c>
      <c r="E53" s="151" t="s">
        <v>2382</v>
      </c>
      <c r="F53" s="151" t="s">
        <v>544</v>
      </c>
      <c r="G53" s="151" t="s">
        <v>2173</v>
      </c>
      <c r="H53" s="151" t="s">
        <v>1274</v>
      </c>
      <c r="I53" s="151" t="s">
        <v>1184</v>
      </c>
      <c r="J53" s="151" t="s">
        <v>792</v>
      </c>
      <c r="K53" s="151" t="s">
        <v>2366</v>
      </c>
      <c r="L53" s="151" t="s">
        <v>361</v>
      </c>
      <c r="M53" s="151" t="s">
        <v>361</v>
      </c>
      <c r="N53" s="151"/>
      <c r="O53" s="151"/>
      <c r="P53" s="151"/>
      <c r="Q53" s="151"/>
      <c r="R53" s="151" t="s">
        <v>2177</v>
      </c>
      <c r="S53" s="151" t="s">
        <v>2178</v>
      </c>
      <c r="T53" s="151" t="s">
        <v>435</v>
      </c>
      <c r="U53" s="151" t="s">
        <v>2179</v>
      </c>
      <c r="V53" s="151">
        <v>50</v>
      </c>
      <c r="W53" s="151" t="s">
        <v>2180</v>
      </c>
      <c r="X53" s="151" t="s">
        <v>431</v>
      </c>
      <c r="Y53" s="151" t="s">
        <v>2179</v>
      </c>
      <c r="Z53" s="151"/>
      <c r="AA53" s="151"/>
      <c r="AB53" s="151" t="s">
        <v>855</v>
      </c>
      <c r="AC53" s="342"/>
    </row>
    <row r="54" spans="1:29">
      <c r="A54" s="151" t="s">
        <v>2168</v>
      </c>
      <c r="B54" s="151" t="s">
        <v>16</v>
      </c>
      <c r="C54" s="151" t="s">
        <v>2377</v>
      </c>
      <c r="D54" s="151" t="s">
        <v>17</v>
      </c>
      <c r="E54" s="151" t="s">
        <v>2383</v>
      </c>
      <c r="F54" s="151" t="s">
        <v>544</v>
      </c>
      <c r="G54" s="151" t="s">
        <v>2173</v>
      </c>
      <c r="H54" s="151" t="s">
        <v>1380</v>
      </c>
      <c r="I54" s="151" t="s">
        <v>1184</v>
      </c>
      <c r="J54" s="151" t="s">
        <v>1819</v>
      </c>
      <c r="K54" s="151" t="s">
        <v>2368</v>
      </c>
      <c r="L54" s="151" t="s">
        <v>2347</v>
      </c>
      <c r="M54" s="151" t="s">
        <v>361</v>
      </c>
      <c r="N54" s="151"/>
      <c r="O54" s="151"/>
      <c r="P54" s="151"/>
      <c r="Q54" s="151"/>
      <c r="R54" s="151" t="s">
        <v>2177</v>
      </c>
      <c r="S54" s="151" t="s">
        <v>2178</v>
      </c>
      <c r="T54" s="151" t="s">
        <v>435</v>
      </c>
      <c r="U54" s="151" t="s">
        <v>2179</v>
      </c>
      <c r="V54" s="151" t="s">
        <v>49</v>
      </c>
      <c r="W54" s="151" t="s">
        <v>2369</v>
      </c>
      <c r="X54" s="151" t="s">
        <v>431</v>
      </c>
      <c r="Y54" s="151" t="s">
        <v>2179</v>
      </c>
      <c r="Z54" s="151"/>
      <c r="AA54" s="151"/>
      <c r="AB54" s="151" t="s">
        <v>855</v>
      </c>
      <c r="AC54" s="342"/>
    </row>
    <row r="55" spans="1:29">
      <c r="A55" s="151" t="s">
        <v>2168</v>
      </c>
      <c r="B55" s="151" t="s">
        <v>2384</v>
      </c>
      <c r="C55" s="151" t="s">
        <v>2306</v>
      </c>
      <c r="D55" s="151" t="s">
        <v>17</v>
      </c>
      <c r="E55" s="151" t="s">
        <v>2385</v>
      </c>
      <c r="F55" s="151" t="s">
        <v>2189</v>
      </c>
      <c r="G55" s="151" t="s">
        <v>2173</v>
      </c>
      <c r="H55" s="151" t="s">
        <v>1274</v>
      </c>
      <c r="I55" s="151" t="s">
        <v>1184</v>
      </c>
      <c r="J55" s="151" t="s">
        <v>642</v>
      </c>
      <c r="K55" s="151" t="s">
        <v>2386</v>
      </c>
      <c r="L55" s="151" t="s">
        <v>2175</v>
      </c>
      <c r="M55" s="151" t="s">
        <v>2184</v>
      </c>
      <c r="N55" s="151"/>
      <c r="O55" s="151"/>
      <c r="P55" s="151"/>
      <c r="Q55" s="151"/>
      <c r="R55" s="151" t="s">
        <v>2177</v>
      </c>
      <c r="S55" s="151" t="s">
        <v>2178</v>
      </c>
      <c r="T55" s="151" t="s">
        <v>2191</v>
      </c>
      <c r="U55" s="151" t="s">
        <v>2179</v>
      </c>
      <c r="V55" s="151">
        <v>1</v>
      </c>
      <c r="W55" s="151" t="s">
        <v>2373</v>
      </c>
      <c r="X55" s="151" t="s">
        <v>2387</v>
      </c>
      <c r="Y55" s="151" t="s">
        <v>2179</v>
      </c>
      <c r="Z55" s="151" t="s">
        <v>2387</v>
      </c>
      <c r="AA55" s="151" t="s">
        <v>2387</v>
      </c>
      <c r="AB55" s="151" t="s">
        <v>855</v>
      </c>
      <c r="AC55" s="342"/>
    </row>
    <row r="56" spans="1:29">
      <c r="A56" s="151" t="s">
        <v>2168</v>
      </c>
      <c r="B56" s="151" t="s">
        <v>2388</v>
      </c>
      <c r="C56" s="151" t="s">
        <v>2306</v>
      </c>
      <c r="D56" s="151" t="s">
        <v>17</v>
      </c>
      <c r="E56" s="151" t="s">
        <v>2389</v>
      </c>
      <c r="F56" s="151" t="s">
        <v>544</v>
      </c>
      <c r="G56" s="151" t="s">
        <v>2173</v>
      </c>
      <c r="H56" s="151" t="s">
        <v>1274</v>
      </c>
      <c r="I56" s="151" t="s">
        <v>1184</v>
      </c>
      <c r="J56" s="151" t="s">
        <v>757</v>
      </c>
      <c r="K56" s="151" t="s">
        <v>2390</v>
      </c>
      <c r="L56" s="151" t="s">
        <v>2391</v>
      </c>
      <c r="M56" s="151" t="s">
        <v>361</v>
      </c>
      <c r="N56" s="151"/>
      <c r="O56" s="151"/>
      <c r="P56" s="151"/>
      <c r="Q56" s="151"/>
      <c r="R56" s="151" t="s">
        <v>2177</v>
      </c>
      <c r="S56" s="151" t="s">
        <v>2178</v>
      </c>
      <c r="T56" s="151" t="s">
        <v>2220</v>
      </c>
      <c r="U56" s="151" t="s">
        <v>2179</v>
      </c>
      <c r="V56" s="151" t="s">
        <v>49</v>
      </c>
      <c r="W56" s="151" t="s">
        <v>2185</v>
      </c>
      <c r="X56" s="151" t="s">
        <v>431</v>
      </c>
      <c r="Y56" s="151" t="s">
        <v>2179</v>
      </c>
      <c r="Z56" s="151"/>
      <c r="AA56" s="151"/>
      <c r="AB56" s="151" t="s">
        <v>855</v>
      </c>
      <c r="AC56" s="342"/>
    </row>
    <row r="57" spans="1:29">
      <c r="A57" s="151" t="s">
        <v>2168</v>
      </c>
      <c r="B57" s="151" t="s">
        <v>2392</v>
      </c>
      <c r="C57" s="151" t="s">
        <v>2306</v>
      </c>
      <c r="D57" s="151" t="s">
        <v>17</v>
      </c>
      <c r="E57" s="151" t="s">
        <v>2393</v>
      </c>
      <c r="F57" s="151" t="s">
        <v>544</v>
      </c>
      <c r="G57" s="151" t="s">
        <v>2173</v>
      </c>
      <c r="H57" s="151" t="s">
        <v>1274</v>
      </c>
      <c r="I57" s="151" t="s">
        <v>1184</v>
      </c>
      <c r="J57" s="151" t="s">
        <v>642</v>
      </c>
      <c r="K57" s="151" t="s">
        <v>2183</v>
      </c>
      <c r="L57" s="151" t="s">
        <v>2175</v>
      </c>
      <c r="M57" s="151" t="s">
        <v>2184</v>
      </c>
      <c r="N57" s="151"/>
      <c r="O57" s="151"/>
      <c r="P57" s="151"/>
      <c r="Q57" s="151"/>
      <c r="R57" s="151" t="s">
        <v>2177</v>
      </c>
      <c r="S57" s="151" t="s">
        <v>2178</v>
      </c>
      <c r="T57" s="151" t="s">
        <v>435</v>
      </c>
      <c r="U57" s="151" t="s">
        <v>2179</v>
      </c>
      <c r="V57" s="151">
        <v>100</v>
      </c>
      <c r="W57" s="151" t="s">
        <v>2185</v>
      </c>
      <c r="X57" s="151" t="s">
        <v>431</v>
      </c>
      <c r="Y57" s="151" t="s">
        <v>2179</v>
      </c>
      <c r="Z57" s="151">
        <v>0</v>
      </c>
      <c r="AA57" s="151">
        <v>0</v>
      </c>
      <c r="AB57" s="151" t="s">
        <v>855</v>
      </c>
      <c r="AC57" s="342"/>
    </row>
    <row r="58" spans="1:29" ht="90">
      <c r="A58" s="151" t="s">
        <v>2168</v>
      </c>
      <c r="B58" s="151" t="s">
        <v>2394</v>
      </c>
      <c r="C58" s="151" t="s">
        <v>2306</v>
      </c>
      <c r="D58" s="151" t="s">
        <v>17</v>
      </c>
      <c r="E58" s="151" t="s">
        <v>2395</v>
      </c>
      <c r="F58" s="151" t="s">
        <v>544</v>
      </c>
      <c r="G58" s="151" t="s">
        <v>2173</v>
      </c>
      <c r="H58" s="151" t="s">
        <v>1274</v>
      </c>
      <c r="I58" s="151" t="s">
        <v>1184</v>
      </c>
      <c r="J58" s="151" t="s">
        <v>642</v>
      </c>
      <c r="K58" s="151" t="s">
        <v>2282</v>
      </c>
      <c r="L58" s="151" t="s">
        <v>2175</v>
      </c>
      <c r="M58" s="151" t="s">
        <v>2184</v>
      </c>
      <c r="N58" s="151"/>
      <c r="O58" s="151"/>
      <c r="P58" s="151"/>
      <c r="Q58" s="151"/>
      <c r="R58" s="151" t="s">
        <v>2177</v>
      </c>
      <c r="S58" s="341" t="s">
        <v>2283</v>
      </c>
      <c r="T58" s="151" t="s">
        <v>2191</v>
      </c>
      <c r="U58" s="151" t="s">
        <v>2179</v>
      </c>
      <c r="V58" s="151">
        <v>10</v>
      </c>
      <c r="W58" s="151" t="s">
        <v>2396</v>
      </c>
      <c r="X58" s="151" t="s">
        <v>431</v>
      </c>
      <c r="Y58" s="151" t="s">
        <v>2179</v>
      </c>
      <c r="Z58" s="151" t="s">
        <v>2397</v>
      </c>
      <c r="AA58" s="151" t="s">
        <v>434</v>
      </c>
      <c r="AB58" s="151" t="s">
        <v>855</v>
      </c>
      <c r="AC58" s="342"/>
    </row>
    <row r="59" spans="1:29">
      <c r="A59" s="151" t="s">
        <v>2168</v>
      </c>
      <c r="B59" s="151" t="s">
        <v>2398</v>
      </c>
      <c r="C59" s="151" t="s">
        <v>2306</v>
      </c>
      <c r="D59" s="151" t="s">
        <v>17</v>
      </c>
      <c r="E59" s="151" t="s">
        <v>2399</v>
      </c>
      <c r="F59" s="151" t="s">
        <v>544</v>
      </c>
      <c r="G59" s="151" t="s">
        <v>2173</v>
      </c>
      <c r="H59" s="151" t="s">
        <v>1274</v>
      </c>
      <c r="I59" s="151" t="s">
        <v>1184</v>
      </c>
      <c r="J59" s="151" t="s">
        <v>642</v>
      </c>
      <c r="K59" s="151" t="s">
        <v>2206</v>
      </c>
      <c r="L59" s="151" t="s">
        <v>2175</v>
      </c>
      <c r="M59" s="151" t="s">
        <v>2184</v>
      </c>
      <c r="N59" s="151"/>
      <c r="O59" s="151"/>
      <c r="P59" s="151"/>
      <c r="Q59" s="151"/>
      <c r="R59" s="151" t="s">
        <v>2177</v>
      </c>
      <c r="S59" s="151" t="s">
        <v>2178</v>
      </c>
      <c r="T59" s="151" t="s">
        <v>2279</v>
      </c>
      <c r="U59" s="151" t="s">
        <v>2400</v>
      </c>
      <c r="V59" s="151">
        <v>23</v>
      </c>
      <c r="W59" s="151" t="s">
        <v>2400</v>
      </c>
      <c r="X59" s="151" t="s">
        <v>2400</v>
      </c>
      <c r="Y59" s="151" t="s">
        <v>2400</v>
      </c>
      <c r="Z59" s="151">
        <v>0</v>
      </c>
      <c r="AA59" s="151">
        <v>0</v>
      </c>
      <c r="AB59" s="151" t="s">
        <v>855</v>
      </c>
      <c r="AC59" s="342"/>
    </row>
    <row r="60" spans="1:29">
      <c r="A60" s="151" t="s">
        <v>2168</v>
      </c>
      <c r="B60" s="151" t="s">
        <v>356</v>
      </c>
      <c r="C60" s="151" t="s">
        <v>2306</v>
      </c>
      <c r="D60" s="151" t="s">
        <v>17</v>
      </c>
      <c r="E60" s="151" t="s">
        <v>2401</v>
      </c>
      <c r="F60" s="151" t="s">
        <v>544</v>
      </c>
      <c r="G60" s="151" t="s">
        <v>2173</v>
      </c>
      <c r="H60" s="151" t="s">
        <v>1274</v>
      </c>
      <c r="I60" s="151" t="s">
        <v>1184</v>
      </c>
      <c r="J60" s="151" t="s">
        <v>757</v>
      </c>
      <c r="K60" s="151" t="s">
        <v>2402</v>
      </c>
      <c r="L60" s="151" t="s">
        <v>2391</v>
      </c>
      <c r="M60" s="151" t="s">
        <v>361</v>
      </c>
      <c r="N60" s="151"/>
      <c r="O60" s="151"/>
      <c r="P60" s="151"/>
      <c r="Q60" s="151"/>
      <c r="R60" s="151" t="s">
        <v>2177</v>
      </c>
      <c r="S60" s="151" t="s">
        <v>2178</v>
      </c>
      <c r="T60" s="151" t="s">
        <v>429</v>
      </c>
      <c r="U60" s="151" t="s">
        <v>2179</v>
      </c>
      <c r="V60" s="151">
        <v>100</v>
      </c>
      <c r="W60" s="151" t="s">
        <v>2185</v>
      </c>
      <c r="X60" s="151" t="s">
        <v>431</v>
      </c>
      <c r="Y60" s="151" t="s">
        <v>2179</v>
      </c>
      <c r="Z60" s="151" t="s">
        <v>2403</v>
      </c>
      <c r="AA60" s="151" t="s">
        <v>2403</v>
      </c>
      <c r="AB60" s="151" t="s">
        <v>855</v>
      </c>
      <c r="AC60" s="342"/>
    </row>
    <row r="61" spans="1:29">
      <c r="A61" s="151" t="s">
        <v>2168</v>
      </c>
      <c r="B61" s="151" t="s">
        <v>2404</v>
      </c>
      <c r="C61" s="151" t="s">
        <v>2306</v>
      </c>
      <c r="D61" s="151" t="s">
        <v>17</v>
      </c>
      <c r="E61" s="151" t="s">
        <v>2405</v>
      </c>
      <c r="F61" s="151" t="s">
        <v>544</v>
      </c>
      <c r="G61" s="151" t="s">
        <v>2173</v>
      </c>
      <c r="H61" s="151" t="s">
        <v>1274</v>
      </c>
      <c r="I61" s="151" t="s">
        <v>1184</v>
      </c>
      <c r="J61" s="151" t="s">
        <v>642</v>
      </c>
      <c r="K61" s="151" t="s">
        <v>2406</v>
      </c>
      <c r="L61" s="151" t="s">
        <v>2175</v>
      </c>
      <c r="M61" s="151" t="s">
        <v>2184</v>
      </c>
      <c r="N61" s="151"/>
      <c r="O61" s="151"/>
      <c r="P61" s="151"/>
      <c r="Q61" s="151"/>
      <c r="R61" s="151" t="s">
        <v>2177</v>
      </c>
      <c r="S61" s="151" t="s">
        <v>2178</v>
      </c>
      <c r="T61" s="151" t="s">
        <v>429</v>
      </c>
      <c r="U61" s="151" t="s">
        <v>2179</v>
      </c>
      <c r="V61" s="151">
        <v>1</v>
      </c>
      <c r="W61" s="151" t="s">
        <v>2373</v>
      </c>
      <c r="X61" s="151" t="s">
        <v>431</v>
      </c>
      <c r="Y61" s="151" t="s">
        <v>2179</v>
      </c>
      <c r="Z61" s="151" t="s">
        <v>2387</v>
      </c>
      <c r="AA61" s="151" t="s">
        <v>2387</v>
      </c>
      <c r="AB61" s="151" t="s">
        <v>855</v>
      </c>
      <c r="AC61" s="342"/>
    </row>
    <row r="62" spans="1:29">
      <c r="A62" s="151" t="s">
        <v>2168</v>
      </c>
      <c r="B62" s="151" t="s">
        <v>2407</v>
      </c>
      <c r="C62" s="151" t="s">
        <v>2306</v>
      </c>
      <c r="D62" s="151" t="s">
        <v>17</v>
      </c>
      <c r="E62" s="151" t="s">
        <v>2408</v>
      </c>
      <c r="F62" s="151" t="s">
        <v>544</v>
      </c>
      <c r="G62" s="151" t="s">
        <v>2173</v>
      </c>
      <c r="H62" s="151" t="s">
        <v>1274</v>
      </c>
      <c r="I62" s="151" t="s">
        <v>1184</v>
      </c>
      <c r="J62" s="151" t="s">
        <v>642</v>
      </c>
      <c r="K62" s="151" t="s">
        <v>2409</v>
      </c>
      <c r="L62" s="151" t="s">
        <v>2175</v>
      </c>
      <c r="M62" s="151" t="s">
        <v>2184</v>
      </c>
      <c r="N62" s="151"/>
      <c r="O62" s="151"/>
      <c r="P62" s="151"/>
      <c r="Q62" s="151"/>
      <c r="R62" s="151" t="s">
        <v>2177</v>
      </c>
      <c r="S62" s="151" t="s">
        <v>2178</v>
      </c>
      <c r="T62" s="151" t="s">
        <v>2279</v>
      </c>
      <c r="U62" s="151" t="s">
        <v>2400</v>
      </c>
      <c r="V62" s="151">
        <v>8</v>
      </c>
      <c r="W62" s="151" t="s">
        <v>2400</v>
      </c>
      <c r="X62" s="151" t="s">
        <v>2400</v>
      </c>
      <c r="Y62" s="151" t="s">
        <v>2400</v>
      </c>
      <c r="Z62" s="151"/>
      <c r="AA62" s="151"/>
      <c r="AB62" s="151" t="s">
        <v>855</v>
      </c>
      <c r="AC62" s="342"/>
    </row>
    <row r="63" spans="1:29">
      <c r="A63" s="151" t="s">
        <v>2168</v>
      </c>
      <c r="B63" s="151" t="s">
        <v>2410</v>
      </c>
      <c r="C63" s="151" t="s">
        <v>2306</v>
      </c>
      <c r="D63" s="151" t="s">
        <v>17</v>
      </c>
      <c r="E63" s="151" t="s">
        <v>2411</v>
      </c>
      <c r="F63" s="151" t="s">
        <v>544</v>
      </c>
      <c r="G63" s="151" t="s">
        <v>2173</v>
      </c>
      <c r="H63" s="151" t="s">
        <v>1274</v>
      </c>
      <c r="I63" s="151" t="s">
        <v>1184</v>
      </c>
      <c r="J63" s="151" t="s">
        <v>2412</v>
      </c>
      <c r="K63" s="151" t="s">
        <v>2413</v>
      </c>
      <c r="L63" s="151" t="s">
        <v>2218</v>
      </c>
      <c r="M63" s="151" t="s">
        <v>361</v>
      </c>
      <c r="N63" s="151"/>
      <c r="O63" s="151"/>
      <c r="P63" s="151"/>
      <c r="Q63" s="151"/>
      <c r="R63" s="151" t="s">
        <v>2177</v>
      </c>
      <c r="S63" s="151" t="s">
        <v>2178</v>
      </c>
      <c r="T63" s="151" t="s">
        <v>2220</v>
      </c>
      <c r="U63" s="151" t="s">
        <v>2179</v>
      </c>
      <c r="V63" s="151">
        <v>50</v>
      </c>
      <c r="W63" s="151" t="s">
        <v>2180</v>
      </c>
      <c r="X63" s="151" t="s">
        <v>431</v>
      </c>
      <c r="Y63" s="151" t="s">
        <v>2179</v>
      </c>
      <c r="Z63" s="151"/>
      <c r="AA63" s="151"/>
      <c r="AB63" s="151" t="s">
        <v>855</v>
      </c>
      <c r="AC63" s="342"/>
    </row>
    <row r="64" spans="1:29">
      <c r="A64" s="151" t="s">
        <v>2168</v>
      </c>
      <c r="B64" s="151" t="s">
        <v>2414</v>
      </c>
      <c r="C64" s="151" t="s">
        <v>2306</v>
      </c>
      <c r="D64" s="151" t="s">
        <v>17</v>
      </c>
      <c r="E64" s="151" t="s">
        <v>2415</v>
      </c>
      <c r="F64" s="151" t="s">
        <v>544</v>
      </c>
      <c r="G64" s="151" t="s">
        <v>2173</v>
      </c>
      <c r="H64" s="151" t="s">
        <v>1274</v>
      </c>
      <c r="I64" s="151" t="s">
        <v>1184</v>
      </c>
      <c r="J64" s="151" t="s">
        <v>642</v>
      </c>
      <c r="K64" s="151" t="s">
        <v>2416</v>
      </c>
      <c r="L64" s="151" t="s">
        <v>2175</v>
      </c>
      <c r="M64" s="151" t="s">
        <v>2184</v>
      </c>
      <c r="N64" s="151"/>
      <c r="O64" s="151"/>
      <c r="P64" s="151"/>
      <c r="Q64" s="151"/>
      <c r="R64" s="151" t="s">
        <v>2177</v>
      </c>
      <c r="S64" s="151" t="s">
        <v>2178</v>
      </c>
      <c r="T64" s="151" t="s">
        <v>429</v>
      </c>
      <c r="U64" s="151" t="s">
        <v>2179</v>
      </c>
      <c r="V64" s="151">
        <v>25</v>
      </c>
      <c r="W64" s="151" t="s">
        <v>2417</v>
      </c>
      <c r="X64" s="151" t="s">
        <v>431</v>
      </c>
      <c r="Y64" s="151" t="s">
        <v>2179</v>
      </c>
      <c r="Z64" s="151" t="s">
        <v>2418</v>
      </c>
      <c r="AA64" s="151" t="s">
        <v>2419</v>
      </c>
      <c r="AB64" s="151" t="s">
        <v>855</v>
      </c>
      <c r="AC64" s="342"/>
    </row>
    <row r="65" spans="1:29">
      <c r="A65" s="151" t="s">
        <v>2168</v>
      </c>
      <c r="B65" s="151" t="s">
        <v>2420</v>
      </c>
      <c r="C65" s="151" t="s">
        <v>2306</v>
      </c>
      <c r="D65" s="151" t="s">
        <v>17</v>
      </c>
      <c r="E65" s="151" t="s">
        <v>2421</v>
      </c>
      <c r="F65" s="151" t="s">
        <v>544</v>
      </c>
      <c r="G65" s="151" t="s">
        <v>2173</v>
      </c>
      <c r="H65" s="151" t="s">
        <v>1274</v>
      </c>
      <c r="I65" s="151" t="s">
        <v>1184</v>
      </c>
      <c r="J65" s="151" t="s">
        <v>642</v>
      </c>
      <c r="K65" s="151" t="s">
        <v>2422</v>
      </c>
      <c r="L65" s="151" t="s">
        <v>2175</v>
      </c>
      <c r="M65" s="151" t="s">
        <v>2184</v>
      </c>
      <c r="N65" s="151"/>
      <c r="O65" s="151"/>
      <c r="P65" s="151"/>
      <c r="Q65" s="151"/>
      <c r="R65" s="151" t="s">
        <v>2177</v>
      </c>
      <c r="S65" s="151" t="s">
        <v>2178</v>
      </c>
      <c r="T65" s="151" t="s">
        <v>435</v>
      </c>
      <c r="U65" s="151" t="s">
        <v>2179</v>
      </c>
      <c r="V65" s="151">
        <v>50</v>
      </c>
      <c r="W65" s="151" t="s">
        <v>2180</v>
      </c>
      <c r="X65" s="151" t="s">
        <v>431</v>
      </c>
      <c r="Y65" s="151" t="s">
        <v>2179</v>
      </c>
      <c r="Z65" s="151"/>
      <c r="AA65" s="151"/>
      <c r="AB65" s="151" t="s">
        <v>855</v>
      </c>
      <c r="AC65" s="342"/>
    </row>
    <row r="66" spans="1:29">
      <c r="A66" s="151" t="s">
        <v>2168</v>
      </c>
      <c r="B66" s="151" t="s">
        <v>2423</v>
      </c>
      <c r="C66" s="151" t="s">
        <v>2306</v>
      </c>
      <c r="D66" s="151" t="s">
        <v>17</v>
      </c>
      <c r="E66" s="151" t="s">
        <v>2424</v>
      </c>
      <c r="F66" s="151" t="s">
        <v>544</v>
      </c>
      <c r="G66" s="151" t="s">
        <v>2173</v>
      </c>
      <c r="H66" s="151" t="s">
        <v>1274</v>
      </c>
      <c r="I66" s="151" t="s">
        <v>1184</v>
      </c>
      <c r="J66" s="151" t="s">
        <v>677</v>
      </c>
      <c r="K66" s="151" t="s">
        <v>2425</v>
      </c>
      <c r="L66" s="151" t="s">
        <v>2297</v>
      </c>
      <c r="M66" s="151"/>
      <c r="N66" s="151"/>
      <c r="O66" s="151"/>
      <c r="P66" s="151"/>
      <c r="Q66" s="151"/>
      <c r="R66" s="151" t="s">
        <v>2177</v>
      </c>
      <c r="S66" s="151" t="s">
        <v>2178</v>
      </c>
      <c r="T66" s="151" t="s">
        <v>2191</v>
      </c>
      <c r="U66" s="151" t="s">
        <v>2179</v>
      </c>
      <c r="V66" s="151">
        <v>50</v>
      </c>
      <c r="W66" s="151" t="s">
        <v>2180</v>
      </c>
      <c r="X66" s="151" t="s">
        <v>431</v>
      </c>
      <c r="Y66" s="151" t="s">
        <v>2179</v>
      </c>
      <c r="Z66" s="151" t="s">
        <v>2305</v>
      </c>
      <c r="AA66" s="151" t="s">
        <v>2305</v>
      </c>
      <c r="AB66" s="151" t="s">
        <v>855</v>
      </c>
      <c r="AC66" s="342"/>
    </row>
    <row r="67" spans="1:29">
      <c r="A67" s="151" t="s">
        <v>2168</v>
      </c>
      <c r="B67" s="151" t="s">
        <v>2426</v>
      </c>
      <c r="C67" s="151" t="s">
        <v>2427</v>
      </c>
      <c r="D67" s="151" t="s">
        <v>17</v>
      </c>
      <c r="E67" s="151" t="s">
        <v>2428</v>
      </c>
      <c r="F67" s="151" t="s">
        <v>2429</v>
      </c>
      <c r="G67" s="151" t="s">
        <v>2173</v>
      </c>
      <c r="H67" s="151" t="s">
        <v>1274</v>
      </c>
      <c r="I67" s="151" t="s">
        <v>1184</v>
      </c>
      <c r="J67" s="151" t="s">
        <v>642</v>
      </c>
      <c r="K67" s="151" t="s">
        <v>2430</v>
      </c>
      <c r="L67" s="151" t="s">
        <v>2175</v>
      </c>
      <c r="M67" s="151" t="s">
        <v>2184</v>
      </c>
      <c r="N67" s="151"/>
      <c r="O67" s="151"/>
      <c r="P67" s="151"/>
      <c r="Q67" s="151"/>
      <c r="R67" s="151" t="s">
        <v>2177</v>
      </c>
      <c r="S67" s="151" t="s">
        <v>2178</v>
      </c>
      <c r="T67" s="151" t="s">
        <v>2191</v>
      </c>
      <c r="U67" s="151" t="s">
        <v>2179</v>
      </c>
      <c r="V67" s="151">
        <v>1</v>
      </c>
      <c r="W67" s="151" t="s">
        <v>2431</v>
      </c>
      <c r="X67" s="151" t="s">
        <v>431</v>
      </c>
      <c r="Y67" s="151" t="s">
        <v>2179</v>
      </c>
      <c r="Z67" s="151" t="s">
        <v>2305</v>
      </c>
      <c r="AA67" s="151" t="s">
        <v>2305</v>
      </c>
      <c r="AB67" s="151" t="s">
        <v>855</v>
      </c>
      <c r="AC67" s="342"/>
    </row>
    <row r="68" spans="1:29">
      <c r="A68" s="151" t="s">
        <v>2168</v>
      </c>
      <c r="B68" s="151" t="s">
        <v>2432</v>
      </c>
      <c r="C68" s="151" t="s">
        <v>2427</v>
      </c>
      <c r="D68" s="151" t="s">
        <v>17</v>
      </c>
      <c r="E68" s="151" t="s">
        <v>2433</v>
      </c>
      <c r="F68" s="151" t="s">
        <v>2429</v>
      </c>
      <c r="G68" s="151" t="s">
        <v>2173</v>
      </c>
      <c r="H68" s="151" t="s">
        <v>1274</v>
      </c>
      <c r="I68" s="151" t="s">
        <v>1184</v>
      </c>
      <c r="J68" s="151" t="s">
        <v>642</v>
      </c>
      <c r="K68" s="151" t="s">
        <v>2434</v>
      </c>
      <c r="L68" s="151" t="s">
        <v>2175</v>
      </c>
      <c r="M68" s="151" t="s">
        <v>2184</v>
      </c>
      <c r="N68" s="151"/>
      <c r="O68" s="151"/>
      <c r="P68" s="151"/>
      <c r="Q68" s="151"/>
      <c r="R68" s="151" t="s">
        <v>2177</v>
      </c>
      <c r="S68" s="151" t="s">
        <v>2178</v>
      </c>
      <c r="T68" s="151" t="s">
        <v>2191</v>
      </c>
      <c r="U68" s="151" t="s">
        <v>2179</v>
      </c>
      <c r="V68" s="151">
        <v>1</v>
      </c>
      <c r="W68" s="151" t="s">
        <v>2431</v>
      </c>
      <c r="X68" s="151" t="s">
        <v>431</v>
      </c>
      <c r="Y68" s="151" t="s">
        <v>2179</v>
      </c>
      <c r="Z68" s="151" t="s">
        <v>2305</v>
      </c>
      <c r="AA68" s="151" t="s">
        <v>2305</v>
      </c>
      <c r="AB68" s="151" t="s">
        <v>855</v>
      </c>
      <c r="AC68" s="342"/>
    </row>
    <row r="69" spans="1:29">
      <c r="A69" s="151" t="s">
        <v>2168</v>
      </c>
      <c r="B69" s="151" t="s">
        <v>2435</v>
      </c>
      <c r="C69" s="151" t="s">
        <v>2427</v>
      </c>
      <c r="D69" s="151" t="s">
        <v>17</v>
      </c>
      <c r="E69" s="151" t="s">
        <v>2436</v>
      </c>
      <c r="F69" s="151" t="s">
        <v>2429</v>
      </c>
      <c r="G69" s="151" t="s">
        <v>2173</v>
      </c>
      <c r="H69" s="151" t="s">
        <v>1274</v>
      </c>
      <c r="I69" s="151" t="s">
        <v>1184</v>
      </c>
      <c r="J69" s="151" t="s">
        <v>642</v>
      </c>
      <c r="K69" s="151" t="s">
        <v>2437</v>
      </c>
      <c r="L69" s="151" t="s">
        <v>2175</v>
      </c>
      <c r="M69" s="151" t="s">
        <v>2184</v>
      </c>
      <c r="N69" s="151"/>
      <c r="O69" s="151"/>
      <c r="P69" s="151"/>
      <c r="Q69" s="151"/>
      <c r="R69" s="151" t="s">
        <v>2177</v>
      </c>
      <c r="S69" s="151" t="s">
        <v>2178</v>
      </c>
      <c r="T69" s="151" t="s">
        <v>2191</v>
      </c>
      <c r="U69" s="151" t="s">
        <v>2179</v>
      </c>
      <c r="V69" s="151">
        <v>1</v>
      </c>
      <c r="W69" s="151" t="s">
        <v>2431</v>
      </c>
      <c r="X69" s="151" t="s">
        <v>431</v>
      </c>
      <c r="Y69" s="151" t="s">
        <v>2179</v>
      </c>
      <c r="Z69" s="151" t="s">
        <v>2305</v>
      </c>
      <c r="AA69" s="151" t="s">
        <v>2305</v>
      </c>
      <c r="AB69" s="151" t="s">
        <v>855</v>
      </c>
      <c r="AC69" s="342"/>
    </row>
    <row r="70" spans="1:29">
      <c r="A70" s="151" t="s">
        <v>2168</v>
      </c>
      <c r="B70" s="151" t="s">
        <v>2438</v>
      </c>
      <c r="C70" s="151" t="s">
        <v>2439</v>
      </c>
      <c r="D70" s="151" t="s">
        <v>17</v>
      </c>
      <c r="E70" s="151" t="s">
        <v>2440</v>
      </c>
      <c r="F70" s="151" t="s">
        <v>2429</v>
      </c>
      <c r="G70" s="151" t="s">
        <v>2173</v>
      </c>
      <c r="H70" s="151" t="s">
        <v>1274</v>
      </c>
      <c r="I70" s="151" t="s">
        <v>1184</v>
      </c>
      <c r="J70" s="151" t="s">
        <v>670</v>
      </c>
      <c r="K70" s="151" t="s">
        <v>2441</v>
      </c>
      <c r="L70" s="151" t="s">
        <v>2442</v>
      </c>
      <c r="M70" s="151" t="s">
        <v>2443</v>
      </c>
      <c r="N70" s="151"/>
      <c r="O70" s="151"/>
      <c r="P70" s="151"/>
      <c r="Q70" s="151"/>
      <c r="R70" s="151" t="s">
        <v>2177</v>
      </c>
      <c r="S70" s="151" t="s">
        <v>2178</v>
      </c>
      <c r="T70" s="151" t="s">
        <v>2213</v>
      </c>
      <c r="U70" s="151" t="s">
        <v>2444</v>
      </c>
      <c r="V70" s="151" t="s">
        <v>49</v>
      </c>
      <c r="W70" s="151">
        <v>15</v>
      </c>
      <c r="X70" s="151" t="s">
        <v>2445</v>
      </c>
      <c r="Y70" s="151" t="s">
        <v>2444</v>
      </c>
      <c r="Z70" s="151"/>
      <c r="AA70" s="151"/>
      <c r="AB70" s="151" t="s">
        <v>855</v>
      </c>
      <c r="AC70" s="342"/>
    </row>
    <row r="71" spans="1:29">
      <c r="A71" s="151" t="s">
        <v>2168</v>
      </c>
      <c r="B71" s="151" t="s">
        <v>2446</v>
      </c>
      <c r="C71" s="151" t="s">
        <v>2439</v>
      </c>
      <c r="D71" s="151" t="s">
        <v>17</v>
      </c>
      <c r="E71" s="151" t="s">
        <v>2447</v>
      </c>
      <c r="F71" s="151" t="s">
        <v>2429</v>
      </c>
      <c r="G71" s="151" t="s">
        <v>2173</v>
      </c>
      <c r="H71" s="151" t="s">
        <v>1274</v>
      </c>
      <c r="I71" s="151" t="s">
        <v>1184</v>
      </c>
      <c r="J71" s="151" t="s">
        <v>670</v>
      </c>
      <c r="K71" s="151" t="s">
        <v>2448</v>
      </c>
      <c r="L71" s="151" t="s">
        <v>2449</v>
      </c>
      <c r="M71" s="151" t="s">
        <v>2450</v>
      </c>
      <c r="N71" s="151"/>
      <c r="O71" s="151"/>
      <c r="P71" s="151"/>
      <c r="Q71" s="151"/>
      <c r="R71" s="151" t="s">
        <v>2177</v>
      </c>
      <c r="S71" s="151" t="s">
        <v>2178</v>
      </c>
      <c r="T71" s="151" t="s">
        <v>2213</v>
      </c>
      <c r="U71" s="151" t="s">
        <v>2451</v>
      </c>
      <c r="V71" s="151" t="s">
        <v>49</v>
      </c>
      <c r="W71" s="151">
        <v>1.5</v>
      </c>
      <c r="X71" s="151" t="s">
        <v>2445</v>
      </c>
      <c r="Y71" s="151" t="s">
        <v>2451</v>
      </c>
      <c r="Z71" s="151"/>
      <c r="AA71" s="151"/>
      <c r="AB71" s="151" t="s">
        <v>855</v>
      </c>
      <c r="AC71" s="342"/>
    </row>
    <row r="72" spans="1:29">
      <c r="A72" s="151" t="s">
        <v>2168</v>
      </c>
      <c r="B72" s="151" t="s">
        <v>2452</v>
      </c>
      <c r="C72" s="151" t="s">
        <v>2439</v>
      </c>
      <c r="D72" s="151" t="s">
        <v>17</v>
      </c>
      <c r="E72" s="151" t="s">
        <v>2453</v>
      </c>
      <c r="F72" s="151" t="s">
        <v>2429</v>
      </c>
      <c r="G72" s="151" t="s">
        <v>2173</v>
      </c>
      <c r="H72" s="151" t="s">
        <v>1274</v>
      </c>
      <c r="I72" s="151" t="s">
        <v>1184</v>
      </c>
      <c r="J72" s="151" t="s">
        <v>670</v>
      </c>
      <c r="K72" s="151" t="s">
        <v>2454</v>
      </c>
      <c r="L72" s="151" t="s">
        <v>2449</v>
      </c>
      <c r="M72" s="151" t="s">
        <v>2450</v>
      </c>
      <c r="N72" s="151"/>
      <c r="O72" s="151"/>
      <c r="P72" s="151"/>
      <c r="Q72" s="151"/>
      <c r="R72" s="151" t="s">
        <v>2177</v>
      </c>
      <c r="S72" s="151" t="s">
        <v>2178</v>
      </c>
      <c r="T72" s="151" t="s">
        <v>2213</v>
      </c>
      <c r="U72" s="151" t="s">
        <v>2451</v>
      </c>
      <c r="V72" s="151" t="s">
        <v>49</v>
      </c>
      <c r="W72" s="151">
        <v>1.5</v>
      </c>
      <c r="X72" s="151" t="s">
        <v>2445</v>
      </c>
      <c r="Y72" s="151" t="s">
        <v>2451</v>
      </c>
      <c r="Z72" s="151"/>
      <c r="AA72" s="151"/>
      <c r="AB72" s="151" t="s">
        <v>855</v>
      </c>
      <c r="AC72" s="342"/>
    </row>
    <row r="73" spans="1:29">
      <c r="A73" s="151" t="s">
        <v>2168</v>
      </c>
      <c r="B73" s="151" t="s">
        <v>2455</v>
      </c>
      <c r="C73" s="151" t="s">
        <v>2456</v>
      </c>
      <c r="D73" s="151" t="s">
        <v>17</v>
      </c>
      <c r="E73" s="151" t="s">
        <v>2457</v>
      </c>
      <c r="F73" s="151" t="s">
        <v>544</v>
      </c>
      <c r="G73" s="151" t="s">
        <v>2173</v>
      </c>
      <c r="H73" s="151" t="s">
        <v>1274</v>
      </c>
      <c r="I73" s="151" t="s">
        <v>1184</v>
      </c>
      <c r="J73" s="151" t="s">
        <v>2412</v>
      </c>
      <c r="K73" s="151" t="s">
        <v>2458</v>
      </c>
      <c r="L73" s="151" t="s">
        <v>2218</v>
      </c>
      <c r="M73" s="151" t="s">
        <v>361</v>
      </c>
      <c r="N73" s="151"/>
      <c r="O73" s="151"/>
      <c r="P73" s="151"/>
      <c r="Q73" s="151"/>
      <c r="R73" s="151" t="s">
        <v>2177</v>
      </c>
      <c r="S73" s="151" t="s">
        <v>2178</v>
      </c>
      <c r="T73" s="151" t="s">
        <v>2191</v>
      </c>
      <c r="U73" s="151" t="s">
        <v>2179</v>
      </c>
      <c r="V73" s="151">
        <v>50</v>
      </c>
      <c r="W73" s="151" t="s">
        <v>2180</v>
      </c>
      <c r="X73" s="151" t="s">
        <v>431</v>
      </c>
      <c r="Y73" s="151" t="s">
        <v>2179</v>
      </c>
      <c r="Z73" s="151" t="s">
        <v>2459</v>
      </c>
      <c r="AA73" s="151" t="s">
        <v>2460</v>
      </c>
      <c r="AB73" s="151" t="s">
        <v>855</v>
      </c>
      <c r="AC73" s="342"/>
    </row>
    <row r="74" spans="1:29">
      <c r="A74" s="151" t="s">
        <v>2168</v>
      </c>
      <c r="B74" s="151" t="s">
        <v>2461</v>
      </c>
      <c r="C74" s="151" t="s">
        <v>2456</v>
      </c>
      <c r="D74" s="151" t="s">
        <v>17</v>
      </c>
      <c r="E74" s="151" t="s">
        <v>2462</v>
      </c>
      <c r="F74" s="151" t="s">
        <v>544</v>
      </c>
      <c r="G74" s="151" t="s">
        <v>2173</v>
      </c>
      <c r="H74" s="151" t="s">
        <v>1274</v>
      </c>
      <c r="I74" s="151" t="s">
        <v>1184</v>
      </c>
      <c r="J74" s="151" t="s">
        <v>677</v>
      </c>
      <c r="K74" s="151" t="s">
        <v>2463</v>
      </c>
      <c r="L74" s="151" t="s">
        <v>2297</v>
      </c>
      <c r="M74" s="151" t="s">
        <v>2464</v>
      </c>
      <c r="N74" s="151"/>
      <c r="O74" s="151"/>
      <c r="P74" s="151"/>
      <c r="Q74" s="151"/>
      <c r="R74" s="151" t="s">
        <v>2177</v>
      </c>
      <c r="S74" s="151" t="s">
        <v>2178</v>
      </c>
      <c r="T74" s="151" t="s">
        <v>2220</v>
      </c>
      <c r="U74" s="151" t="s">
        <v>2179</v>
      </c>
      <c r="V74" s="151">
        <v>50</v>
      </c>
      <c r="W74" s="151" t="s">
        <v>2180</v>
      </c>
      <c r="X74" s="151" t="s">
        <v>431</v>
      </c>
      <c r="Y74" s="151" t="s">
        <v>2179</v>
      </c>
      <c r="Z74" s="151"/>
      <c r="AA74" s="151"/>
      <c r="AB74" s="151" t="s">
        <v>855</v>
      </c>
      <c r="AC74" s="342"/>
    </row>
    <row r="75" spans="1:29">
      <c r="A75" s="151" t="s">
        <v>2168</v>
      </c>
      <c r="B75" s="151" t="s">
        <v>2465</v>
      </c>
      <c r="C75" s="151" t="s">
        <v>2456</v>
      </c>
      <c r="D75" s="151" t="s">
        <v>17</v>
      </c>
      <c r="E75" s="151" t="s">
        <v>2466</v>
      </c>
      <c r="F75" s="151" t="s">
        <v>544</v>
      </c>
      <c r="G75" s="151" t="s">
        <v>2173</v>
      </c>
      <c r="H75" s="151" t="s">
        <v>1274</v>
      </c>
      <c r="I75" s="151" t="s">
        <v>1184</v>
      </c>
      <c r="J75" s="151" t="s">
        <v>677</v>
      </c>
      <c r="K75" s="151" t="s">
        <v>2467</v>
      </c>
      <c r="L75" s="151" t="s">
        <v>2297</v>
      </c>
      <c r="M75" s="151" t="s">
        <v>2464</v>
      </c>
      <c r="N75" s="151"/>
      <c r="O75" s="151"/>
      <c r="P75" s="151"/>
      <c r="Q75" s="151"/>
      <c r="R75" s="151" t="s">
        <v>2177</v>
      </c>
      <c r="S75" s="151" t="s">
        <v>2178</v>
      </c>
      <c r="T75" s="151" t="s">
        <v>435</v>
      </c>
      <c r="U75" s="151" t="s">
        <v>2179</v>
      </c>
      <c r="V75" s="151">
        <v>255</v>
      </c>
      <c r="W75" s="151" t="s">
        <v>2468</v>
      </c>
      <c r="X75" s="151" t="s">
        <v>431</v>
      </c>
      <c r="Y75" s="151" t="s">
        <v>2179</v>
      </c>
      <c r="Z75" s="151"/>
      <c r="AA75" s="151"/>
      <c r="AB75" s="151" t="s">
        <v>855</v>
      </c>
      <c r="AC75" s="342"/>
    </row>
    <row r="76" spans="1:29">
      <c r="A76" s="151" t="s">
        <v>2168</v>
      </c>
      <c r="B76" s="151" t="s">
        <v>2469</v>
      </c>
      <c r="C76" s="151" t="s">
        <v>2456</v>
      </c>
      <c r="D76" s="151" t="s">
        <v>17</v>
      </c>
      <c r="E76" s="151" t="s">
        <v>2470</v>
      </c>
      <c r="F76" s="151" t="s">
        <v>544</v>
      </c>
      <c r="G76" s="151" t="s">
        <v>2173</v>
      </c>
      <c r="H76" s="151" t="s">
        <v>1274</v>
      </c>
      <c r="I76" s="151" t="s">
        <v>1184</v>
      </c>
      <c r="J76" s="151" t="s">
        <v>677</v>
      </c>
      <c r="K76" s="151" t="s">
        <v>2471</v>
      </c>
      <c r="L76" s="151" t="s">
        <v>2297</v>
      </c>
      <c r="M76" s="151" t="s">
        <v>2464</v>
      </c>
      <c r="N76" s="151"/>
      <c r="O76" s="151"/>
      <c r="P76" s="151"/>
      <c r="Q76" s="151"/>
      <c r="R76" s="151" t="s">
        <v>2177</v>
      </c>
      <c r="S76" s="151" t="s">
        <v>2178</v>
      </c>
      <c r="T76" s="151" t="s">
        <v>435</v>
      </c>
      <c r="U76" s="151" t="s">
        <v>2179</v>
      </c>
      <c r="V76" s="151">
        <v>255</v>
      </c>
      <c r="W76" s="151" t="s">
        <v>2468</v>
      </c>
      <c r="X76" s="151" t="s">
        <v>431</v>
      </c>
      <c r="Y76" s="151" t="s">
        <v>2179</v>
      </c>
      <c r="Z76" s="151"/>
      <c r="AA76" s="151"/>
      <c r="AB76" s="151" t="s">
        <v>855</v>
      </c>
      <c r="AC76" s="342"/>
    </row>
    <row r="77" spans="1:29">
      <c r="A77" s="151" t="s">
        <v>2168</v>
      </c>
      <c r="B77" s="151" t="s">
        <v>2472</v>
      </c>
      <c r="C77" s="151" t="s">
        <v>2456</v>
      </c>
      <c r="D77" s="151" t="s">
        <v>17</v>
      </c>
      <c r="E77" s="151" t="s">
        <v>2473</v>
      </c>
      <c r="F77" s="151" t="s">
        <v>544</v>
      </c>
      <c r="G77" s="151" t="s">
        <v>2173</v>
      </c>
      <c r="H77" s="151" t="s">
        <v>1274</v>
      </c>
      <c r="I77" s="151" t="s">
        <v>1184</v>
      </c>
      <c r="J77" s="151" t="s">
        <v>677</v>
      </c>
      <c r="K77" s="151" t="s">
        <v>2474</v>
      </c>
      <c r="L77" s="151" t="s">
        <v>2297</v>
      </c>
      <c r="M77" s="151" t="s">
        <v>2464</v>
      </c>
      <c r="N77" s="151"/>
      <c r="O77" s="151"/>
      <c r="P77" s="151"/>
      <c r="Q77" s="151"/>
      <c r="R77" s="151" t="s">
        <v>2177</v>
      </c>
      <c r="S77" s="151" t="s">
        <v>2178</v>
      </c>
      <c r="T77" s="151" t="s">
        <v>435</v>
      </c>
      <c r="U77" s="151" t="s">
        <v>2179</v>
      </c>
      <c r="V77" s="151">
        <v>255</v>
      </c>
      <c r="W77" s="151" t="s">
        <v>2468</v>
      </c>
      <c r="X77" s="151" t="s">
        <v>431</v>
      </c>
      <c r="Y77" s="151" t="s">
        <v>2179</v>
      </c>
      <c r="Z77" s="151"/>
      <c r="AA77" s="151"/>
      <c r="AB77" s="151" t="s">
        <v>855</v>
      </c>
      <c r="AC77" s="342"/>
    </row>
    <row r="78" spans="1:29">
      <c r="A78" s="151" t="s">
        <v>2168</v>
      </c>
      <c r="B78" s="151" t="s">
        <v>2475</v>
      </c>
      <c r="C78" s="151" t="s">
        <v>2456</v>
      </c>
      <c r="D78" s="151" t="s">
        <v>17</v>
      </c>
      <c r="E78" s="151" t="s">
        <v>2476</v>
      </c>
      <c r="F78" s="151" t="s">
        <v>544</v>
      </c>
      <c r="G78" s="151" t="s">
        <v>2173</v>
      </c>
      <c r="H78" s="151" t="s">
        <v>1274</v>
      </c>
      <c r="I78" s="151" t="s">
        <v>1184</v>
      </c>
      <c r="J78" s="151" t="s">
        <v>2412</v>
      </c>
      <c r="K78" s="151" t="s">
        <v>2477</v>
      </c>
      <c r="L78" s="151" t="s">
        <v>2218</v>
      </c>
      <c r="M78" s="151" t="s">
        <v>361</v>
      </c>
      <c r="N78" s="151"/>
      <c r="O78" s="151"/>
      <c r="P78" s="151"/>
      <c r="Q78" s="151"/>
      <c r="R78" s="151" t="s">
        <v>2177</v>
      </c>
      <c r="S78" s="151" t="s">
        <v>2178</v>
      </c>
      <c r="T78" s="151" t="s">
        <v>2191</v>
      </c>
      <c r="U78" s="151" t="s">
        <v>2179</v>
      </c>
      <c r="V78" s="151">
        <v>50</v>
      </c>
      <c r="W78" s="151" t="s">
        <v>2180</v>
      </c>
      <c r="X78" s="151" t="s">
        <v>431</v>
      </c>
      <c r="Y78" s="151" t="s">
        <v>2179</v>
      </c>
      <c r="Z78" s="151" t="s">
        <v>2478</v>
      </c>
      <c r="AA78" s="151" t="s">
        <v>2479</v>
      </c>
      <c r="AB78" s="151" t="s">
        <v>855</v>
      </c>
      <c r="AC78" s="342"/>
    </row>
    <row r="79" spans="1:29">
      <c r="A79" s="151" t="s">
        <v>2168</v>
      </c>
      <c r="B79" s="151" t="s">
        <v>2480</v>
      </c>
      <c r="C79" s="151" t="s">
        <v>2456</v>
      </c>
      <c r="D79" s="151" t="s">
        <v>17</v>
      </c>
      <c r="E79" s="151" t="s">
        <v>2481</v>
      </c>
      <c r="F79" s="151" t="s">
        <v>544</v>
      </c>
      <c r="G79" s="151" t="s">
        <v>2173</v>
      </c>
      <c r="H79" s="151" t="s">
        <v>1274</v>
      </c>
      <c r="I79" s="151" t="s">
        <v>1184</v>
      </c>
      <c r="J79" s="151" t="s">
        <v>677</v>
      </c>
      <c r="K79" s="151" t="s">
        <v>2482</v>
      </c>
      <c r="L79" s="151" t="s">
        <v>2297</v>
      </c>
      <c r="M79" s="151" t="s">
        <v>2464</v>
      </c>
      <c r="N79" s="151"/>
      <c r="O79" s="151"/>
      <c r="P79" s="151"/>
      <c r="Q79" s="151"/>
      <c r="R79" s="151" t="s">
        <v>2177</v>
      </c>
      <c r="S79" s="151" t="s">
        <v>2178</v>
      </c>
      <c r="T79" s="151" t="s">
        <v>2279</v>
      </c>
      <c r="U79" s="151" t="s">
        <v>2400</v>
      </c>
      <c r="V79" s="151">
        <v>8</v>
      </c>
      <c r="W79" s="151" t="s">
        <v>2400</v>
      </c>
      <c r="X79" s="151" t="s">
        <v>2400</v>
      </c>
      <c r="Y79" s="151" t="s">
        <v>2400</v>
      </c>
      <c r="Z79" s="151"/>
      <c r="AA79" s="151"/>
      <c r="AB79" s="151" t="s">
        <v>855</v>
      </c>
      <c r="AC79" s="342"/>
    </row>
    <row r="80" spans="1:29">
      <c r="A80" s="151" t="s">
        <v>2168</v>
      </c>
      <c r="B80" s="151" t="s">
        <v>2483</v>
      </c>
      <c r="C80" s="151" t="s">
        <v>2456</v>
      </c>
      <c r="D80" s="151" t="s">
        <v>17</v>
      </c>
      <c r="E80" s="151" t="s">
        <v>2484</v>
      </c>
      <c r="F80" s="151" t="s">
        <v>544</v>
      </c>
      <c r="G80" s="151" t="s">
        <v>2173</v>
      </c>
      <c r="H80" s="151" t="s">
        <v>1274</v>
      </c>
      <c r="I80" s="151" t="s">
        <v>1184</v>
      </c>
      <c r="J80" s="151" t="s">
        <v>677</v>
      </c>
      <c r="K80" s="151" t="s">
        <v>2485</v>
      </c>
      <c r="L80" s="151" t="s">
        <v>2297</v>
      </c>
      <c r="M80" s="151" t="s">
        <v>2486</v>
      </c>
      <c r="N80" s="151"/>
      <c r="O80" s="151"/>
      <c r="P80" s="151"/>
      <c r="Q80" s="151"/>
      <c r="R80" s="151" t="s">
        <v>2177</v>
      </c>
      <c r="S80" s="151" t="s">
        <v>2487</v>
      </c>
      <c r="T80" s="151" t="s">
        <v>2191</v>
      </c>
      <c r="U80" s="151" t="s">
        <v>2179</v>
      </c>
      <c r="V80" s="151">
        <v>50</v>
      </c>
      <c r="W80" s="151" t="s">
        <v>2180</v>
      </c>
      <c r="X80" s="151" t="s">
        <v>431</v>
      </c>
      <c r="Y80" s="151" t="s">
        <v>2179</v>
      </c>
      <c r="Z80" s="151" t="s">
        <v>2488</v>
      </c>
      <c r="AA80" s="151" t="s">
        <v>2489</v>
      </c>
      <c r="AB80" s="151" t="s">
        <v>855</v>
      </c>
      <c r="AC80" s="342"/>
    </row>
    <row r="81" spans="1:29">
      <c r="A81" s="151" t="s">
        <v>2168</v>
      </c>
      <c r="B81" s="151" t="s">
        <v>2490</v>
      </c>
      <c r="C81" s="151" t="s">
        <v>2456</v>
      </c>
      <c r="D81" s="151" t="s">
        <v>17</v>
      </c>
      <c r="E81" s="151" t="s">
        <v>2491</v>
      </c>
      <c r="F81" s="151" t="s">
        <v>544</v>
      </c>
      <c r="G81" s="151" t="s">
        <v>2173</v>
      </c>
      <c r="H81" s="151" t="s">
        <v>1274</v>
      </c>
      <c r="I81" s="151" t="s">
        <v>1184</v>
      </c>
      <c r="J81" s="151" t="s">
        <v>677</v>
      </c>
      <c r="K81" s="151" t="s">
        <v>2492</v>
      </c>
      <c r="L81" s="151" t="s">
        <v>2297</v>
      </c>
      <c r="M81" s="151" t="s">
        <v>2464</v>
      </c>
      <c r="N81" s="151"/>
      <c r="O81" s="151"/>
      <c r="P81" s="151"/>
      <c r="Q81" s="151"/>
      <c r="R81" s="151" t="s">
        <v>2177</v>
      </c>
      <c r="S81" s="151" t="s">
        <v>2178</v>
      </c>
      <c r="T81" s="151" t="s">
        <v>435</v>
      </c>
      <c r="U81" s="151" t="s">
        <v>2179</v>
      </c>
      <c r="V81" s="151">
        <v>255</v>
      </c>
      <c r="W81" s="151" t="s">
        <v>2468</v>
      </c>
      <c r="X81" s="151" t="s">
        <v>431</v>
      </c>
      <c r="Y81" s="151" t="s">
        <v>2179</v>
      </c>
      <c r="Z81" s="151"/>
      <c r="AA81" s="151"/>
      <c r="AB81" s="151" t="s">
        <v>855</v>
      </c>
      <c r="AC81" s="342"/>
    </row>
    <row r="82" spans="1:29">
      <c r="A82" s="151" t="s">
        <v>2168</v>
      </c>
      <c r="B82" s="151" t="s">
        <v>2493</v>
      </c>
      <c r="C82" s="151" t="s">
        <v>2456</v>
      </c>
      <c r="D82" s="151" t="s">
        <v>17</v>
      </c>
      <c r="E82" s="151" t="s">
        <v>2494</v>
      </c>
      <c r="F82" s="151" t="s">
        <v>544</v>
      </c>
      <c r="G82" s="151" t="s">
        <v>2173</v>
      </c>
      <c r="H82" s="151" t="s">
        <v>1274</v>
      </c>
      <c r="I82" s="151" t="s">
        <v>1184</v>
      </c>
      <c r="J82" s="151" t="s">
        <v>2412</v>
      </c>
      <c r="K82" s="151" t="s">
        <v>2495</v>
      </c>
      <c r="L82" s="151" t="s">
        <v>2218</v>
      </c>
      <c r="M82" s="151" t="s">
        <v>361</v>
      </c>
      <c r="N82" s="151"/>
      <c r="O82" s="151"/>
      <c r="P82" s="151"/>
      <c r="Q82" s="151"/>
      <c r="R82" s="151" t="s">
        <v>2177</v>
      </c>
      <c r="S82" s="151" t="s">
        <v>2178</v>
      </c>
      <c r="T82" s="151" t="s">
        <v>435</v>
      </c>
      <c r="U82" s="151" t="s">
        <v>2179</v>
      </c>
      <c r="V82" s="151">
        <v>50</v>
      </c>
      <c r="W82" s="151" t="s">
        <v>2180</v>
      </c>
      <c r="X82" s="151" t="s">
        <v>431</v>
      </c>
      <c r="Y82" s="151" t="s">
        <v>2179</v>
      </c>
      <c r="Z82" s="151"/>
      <c r="AA82" s="151"/>
      <c r="AB82" s="151" t="s">
        <v>855</v>
      </c>
      <c r="AC82" s="342"/>
    </row>
    <row r="83" spans="1:29">
      <c r="A83" s="151" t="s">
        <v>2168</v>
      </c>
      <c r="B83" s="151" t="s">
        <v>2496</v>
      </c>
      <c r="C83" s="151" t="s">
        <v>2456</v>
      </c>
      <c r="D83" s="151" t="s">
        <v>17</v>
      </c>
      <c r="E83" s="151" t="s">
        <v>2497</v>
      </c>
      <c r="F83" s="151" t="s">
        <v>544</v>
      </c>
      <c r="G83" s="151" t="s">
        <v>2173</v>
      </c>
      <c r="H83" s="151" t="s">
        <v>1274</v>
      </c>
      <c r="I83" s="151" t="s">
        <v>1184</v>
      </c>
      <c r="J83" s="151" t="s">
        <v>2412</v>
      </c>
      <c r="K83" s="151" t="s">
        <v>2498</v>
      </c>
      <c r="L83" s="151" t="s">
        <v>2218</v>
      </c>
      <c r="M83" s="151" t="s">
        <v>361</v>
      </c>
      <c r="N83" s="151"/>
      <c r="O83" s="151"/>
      <c r="P83" s="151"/>
      <c r="Q83" s="151"/>
      <c r="R83" s="151" t="s">
        <v>2177</v>
      </c>
      <c r="S83" s="151" t="s">
        <v>2178</v>
      </c>
      <c r="T83" s="151" t="s">
        <v>2191</v>
      </c>
      <c r="U83" s="151" t="s">
        <v>2179</v>
      </c>
      <c r="V83" s="151">
        <v>1</v>
      </c>
      <c r="W83" s="151" t="s">
        <v>2373</v>
      </c>
      <c r="X83" s="151" t="s">
        <v>431</v>
      </c>
      <c r="Y83" s="151" t="s">
        <v>2179</v>
      </c>
      <c r="Z83" s="151" t="s">
        <v>2305</v>
      </c>
      <c r="AA83" s="151" t="s">
        <v>2305</v>
      </c>
      <c r="AB83" s="151" t="s">
        <v>855</v>
      </c>
      <c r="AC83" s="342"/>
    </row>
    <row r="84" spans="1:29">
      <c r="A84" s="151" t="s">
        <v>2168</v>
      </c>
      <c r="B84" s="151" t="s">
        <v>2499</v>
      </c>
      <c r="C84" s="151" t="s">
        <v>2456</v>
      </c>
      <c r="D84" s="151" t="s">
        <v>17</v>
      </c>
      <c r="E84" s="151" t="s">
        <v>2500</v>
      </c>
      <c r="F84" s="151" t="s">
        <v>544</v>
      </c>
      <c r="G84" s="151" t="s">
        <v>2173</v>
      </c>
      <c r="H84" s="151" t="s">
        <v>1274</v>
      </c>
      <c r="I84" s="151" t="s">
        <v>1184</v>
      </c>
      <c r="J84" s="151" t="s">
        <v>784</v>
      </c>
      <c r="K84" s="151" t="s">
        <v>2501</v>
      </c>
      <c r="L84" s="151" t="s">
        <v>2502</v>
      </c>
      <c r="M84" s="151" t="s">
        <v>361</v>
      </c>
      <c r="N84" s="151"/>
      <c r="O84" s="151"/>
      <c r="P84" s="151"/>
      <c r="Q84" s="151"/>
      <c r="R84" s="151" t="s">
        <v>2177</v>
      </c>
      <c r="S84" s="151" t="s">
        <v>2178</v>
      </c>
      <c r="T84" s="151" t="s">
        <v>2325</v>
      </c>
      <c r="U84" s="151" t="s">
        <v>2179</v>
      </c>
      <c r="V84" s="151">
        <v>200</v>
      </c>
      <c r="W84" s="151" t="s">
        <v>2503</v>
      </c>
      <c r="X84" s="151" t="s">
        <v>431</v>
      </c>
      <c r="Y84" s="151" t="s">
        <v>2179</v>
      </c>
      <c r="Z84" s="151"/>
      <c r="AA84" s="151"/>
      <c r="AB84" s="151" t="s">
        <v>855</v>
      </c>
      <c r="AC84" s="342"/>
    </row>
    <row r="85" spans="1:29">
      <c r="A85" s="151" t="s">
        <v>2168</v>
      </c>
      <c r="B85" s="151" t="s">
        <v>2504</v>
      </c>
      <c r="C85" s="151" t="s">
        <v>2456</v>
      </c>
      <c r="D85" s="151" t="s">
        <v>17</v>
      </c>
      <c r="E85" s="151" t="s">
        <v>2505</v>
      </c>
      <c r="F85" s="151" t="s">
        <v>544</v>
      </c>
      <c r="G85" s="151" t="s">
        <v>2173</v>
      </c>
      <c r="H85" s="151" t="s">
        <v>1274</v>
      </c>
      <c r="I85" s="151" t="s">
        <v>1184</v>
      </c>
      <c r="J85" s="151" t="s">
        <v>2412</v>
      </c>
      <c r="K85" s="151" t="s">
        <v>2506</v>
      </c>
      <c r="L85" s="151" t="s">
        <v>2218</v>
      </c>
      <c r="M85" s="151" t="s">
        <v>361</v>
      </c>
      <c r="N85" s="151"/>
      <c r="O85" s="151"/>
      <c r="P85" s="151"/>
      <c r="Q85" s="151"/>
      <c r="R85" s="151" t="s">
        <v>2177</v>
      </c>
      <c r="S85" s="151" t="s">
        <v>2178</v>
      </c>
      <c r="T85" s="151" t="s">
        <v>435</v>
      </c>
      <c r="U85" s="151" t="s">
        <v>2507</v>
      </c>
      <c r="V85" s="151">
        <v>15</v>
      </c>
      <c r="W85" s="151"/>
      <c r="X85" s="151" t="s">
        <v>2508</v>
      </c>
      <c r="Y85" s="151" t="s">
        <v>2507</v>
      </c>
      <c r="Z85" s="151"/>
      <c r="AA85" s="151"/>
      <c r="AB85" s="151" t="s">
        <v>855</v>
      </c>
      <c r="AC85" s="342"/>
    </row>
    <row r="86" spans="1:29">
      <c r="A86" s="151" t="s">
        <v>2168</v>
      </c>
      <c r="B86" s="151" t="s">
        <v>2509</v>
      </c>
      <c r="C86" s="151" t="s">
        <v>2510</v>
      </c>
      <c r="D86" s="151" t="s">
        <v>17</v>
      </c>
      <c r="E86" s="151" t="s">
        <v>2230</v>
      </c>
      <c r="F86" s="151" t="s">
        <v>240</v>
      </c>
      <c r="G86" s="151" t="s">
        <v>2173</v>
      </c>
      <c r="H86" s="151" t="s">
        <v>1274</v>
      </c>
      <c r="I86" s="151" t="s">
        <v>1184</v>
      </c>
      <c r="J86" s="151" t="s">
        <v>572</v>
      </c>
      <c r="K86" s="151" t="s">
        <v>2511</v>
      </c>
      <c r="L86" s="151" t="s">
        <v>2175</v>
      </c>
      <c r="M86" s="151" t="s">
        <v>2184</v>
      </c>
      <c r="N86" s="151"/>
      <c r="O86" s="151"/>
      <c r="P86" s="151"/>
      <c r="Q86" s="151"/>
      <c r="R86" s="151" t="s">
        <v>2177</v>
      </c>
      <c r="S86" s="151" t="s">
        <v>2178</v>
      </c>
      <c r="T86" s="151" t="s">
        <v>2191</v>
      </c>
      <c r="U86" s="151" t="s">
        <v>2179</v>
      </c>
      <c r="V86" s="151">
        <v>100</v>
      </c>
      <c r="W86" s="151" t="s">
        <v>2185</v>
      </c>
      <c r="X86" s="151" t="s">
        <v>431</v>
      </c>
      <c r="Y86" s="151" t="s">
        <v>2179</v>
      </c>
      <c r="Z86" s="151" t="s">
        <v>2234</v>
      </c>
      <c r="AA86" s="151" t="s">
        <v>2235</v>
      </c>
      <c r="AB86" s="151" t="s">
        <v>855</v>
      </c>
      <c r="AC86" s="342"/>
    </row>
    <row r="87" spans="1:29">
      <c r="A87" s="151" t="s">
        <v>2168</v>
      </c>
      <c r="B87" s="151" t="s">
        <v>2512</v>
      </c>
      <c r="C87" s="151" t="s">
        <v>2510</v>
      </c>
      <c r="D87" s="151" t="s">
        <v>17</v>
      </c>
      <c r="E87" s="151" t="s">
        <v>2513</v>
      </c>
      <c r="F87" s="151" t="s">
        <v>240</v>
      </c>
      <c r="G87" s="151" t="s">
        <v>2173</v>
      </c>
      <c r="H87" s="151" t="s">
        <v>1274</v>
      </c>
      <c r="I87" s="151" t="s">
        <v>1184</v>
      </c>
      <c r="J87" s="151" t="s">
        <v>572</v>
      </c>
      <c r="K87" s="151" t="s">
        <v>2514</v>
      </c>
      <c r="L87" s="151" t="s">
        <v>2175</v>
      </c>
      <c r="M87" s="151" t="s">
        <v>2184</v>
      </c>
      <c r="N87" s="151"/>
      <c r="O87" s="151"/>
      <c r="P87" s="151"/>
      <c r="Q87" s="151"/>
      <c r="R87" s="151" t="s">
        <v>2177</v>
      </c>
      <c r="S87" s="151" t="s">
        <v>2233</v>
      </c>
      <c r="T87" s="151" t="s">
        <v>2191</v>
      </c>
      <c r="U87" s="151" t="s">
        <v>2179</v>
      </c>
      <c r="V87" s="151">
        <v>50</v>
      </c>
      <c r="W87" s="151" t="s">
        <v>2180</v>
      </c>
      <c r="X87" s="151" t="s">
        <v>431</v>
      </c>
      <c r="Y87" s="151" t="s">
        <v>2179</v>
      </c>
      <c r="Z87" s="151" t="s">
        <v>2515</v>
      </c>
      <c r="AA87" s="151" t="s">
        <v>2516</v>
      </c>
      <c r="AB87" s="151" t="s">
        <v>855</v>
      </c>
      <c r="AC87" s="342"/>
    </row>
    <row r="88" spans="1:29">
      <c r="A88" s="151" t="s">
        <v>2168</v>
      </c>
      <c r="B88" s="151" t="s">
        <v>2517</v>
      </c>
      <c r="C88" s="151" t="s">
        <v>2510</v>
      </c>
      <c r="D88" s="151" t="s">
        <v>17</v>
      </c>
      <c r="E88" s="151" t="s">
        <v>2518</v>
      </c>
      <c r="F88" s="151" t="s">
        <v>544</v>
      </c>
      <c r="G88" s="151" t="s">
        <v>2173</v>
      </c>
      <c r="H88" s="151" t="s">
        <v>1274</v>
      </c>
      <c r="I88" s="151" t="s">
        <v>1184</v>
      </c>
      <c r="J88" s="151" t="s">
        <v>572</v>
      </c>
      <c r="K88" s="151" t="s">
        <v>2519</v>
      </c>
      <c r="L88" s="151" t="s">
        <v>2175</v>
      </c>
      <c r="M88" s="151" t="s">
        <v>2184</v>
      </c>
      <c r="N88" s="151"/>
      <c r="O88" s="151"/>
      <c r="P88" s="151"/>
      <c r="Q88" s="151"/>
      <c r="R88" s="151" t="s">
        <v>2177</v>
      </c>
      <c r="S88" s="151" t="s">
        <v>2178</v>
      </c>
      <c r="T88" s="151" t="s">
        <v>2191</v>
      </c>
      <c r="U88" s="151" t="s">
        <v>2179</v>
      </c>
      <c r="V88" s="151">
        <v>5</v>
      </c>
      <c r="W88" s="151" t="s">
        <v>2180</v>
      </c>
      <c r="X88" s="151" t="s">
        <v>431</v>
      </c>
      <c r="Y88" s="151" t="s">
        <v>2179</v>
      </c>
      <c r="Z88" s="151" t="s">
        <v>2520</v>
      </c>
      <c r="AA88" s="151" t="s">
        <v>2521</v>
      </c>
      <c r="AB88" s="151" t="s">
        <v>855</v>
      </c>
      <c r="AC88" s="342"/>
    </row>
    <row r="89" spans="1:29">
      <c r="A89" s="151" t="s">
        <v>2168</v>
      </c>
      <c r="B89" s="151" t="s">
        <v>2522</v>
      </c>
      <c r="C89" s="151" t="s">
        <v>2510</v>
      </c>
      <c r="D89" s="151" t="s">
        <v>17</v>
      </c>
      <c r="E89" s="151" t="s">
        <v>2523</v>
      </c>
      <c r="F89" s="151" t="s">
        <v>544</v>
      </c>
      <c r="G89" s="151" t="s">
        <v>2173</v>
      </c>
      <c r="H89" s="151" t="s">
        <v>1274</v>
      </c>
      <c r="I89" s="151" t="s">
        <v>1184</v>
      </c>
      <c r="J89" s="151" t="s">
        <v>572</v>
      </c>
      <c r="K89" s="151" t="s">
        <v>2524</v>
      </c>
      <c r="L89" s="151" t="s">
        <v>2175</v>
      </c>
      <c r="M89" s="151" t="s">
        <v>2184</v>
      </c>
      <c r="N89" s="151"/>
      <c r="O89" s="151"/>
      <c r="P89" s="151"/>
      <c r="Q89" s="151"/>
      <c r="R89" s="151" t="s">
        <v>2177</v>
      </c>
      <c r="S89" s="151" t="s">
        <v>2178</v>
      </c>
      <c r="T89" s="151" t="s">
        <v>2191</v>
      </c>
      <c r="U89" s="151" t="s">
        <v>2179</v>
      </c>
      <c r="V89" s="151">
        <v>5</v>
      </c>
      <c r="W89" s="151" t="s">
        <v>2180</v>
      </c>
      <c r="X89" s="151" t="s">
        <v>431</v>
      </c>
      <c r="Y89" s="151" t="s">
        <v>2179</v>
      </c>
      <c r="Z89" s="151"/>
      <c r="AA89" s="151" t="s">
        <v>2525</v>
      </c>
      <c r="AB89" s="151" t="s">
        <v>855</v>
      </c>
      <c r="AC89" s="342"/>
    </row>
    <row r="90" spans="1:29" ht="240">
      <c r="A90" s="151" t="s">
        <v>2168</v>
      </c>
      <c r="B90" s="151" t="s">
        <v>2314</v>
      </c>
      <c r="C90" s="151" t="s">
        <v>2510</v>
      </c>
      <c r="D90" s="151" t="s">
        <v>17</v>
      </c>
      <c r="E90" s="151" t="s">
        <v>2526</v>
      </c>
      <c r="F90" s="151" t="s">
        <v>2527</v>
      </c>
      <c r="G90" s="151" t="s">
        <v>2173</v>
      </c>
      <c r="H90" s="151" t="s">
        <v>1274</v>
      </c>
      <c r="I90" s="151" t="s">
        <v>1184</v>
      </c>
      <c r="J90" s="151" t="s">
        <v>572</v>
      </c>
      <c r="K90" s="151" t="s">
        <v>2316</v>
      </c>
      <c r="L90" s="151" t="s">
        <v>2175</v>
      </c>
      <c r="M90" s="151" t="s">
        <v>2184</v>
      </c>
      <c r="N90" s="341" t="s">
        <v>2528</v>
      </c>
      <c r="O90" s="151">
        <v>223873</v>
      </c>
      <c r="P90" s="151"/>
      <c r="Q90" s="151"/>
      <c r="R90" s="151" t="s">
        <v>2177</v>
      </c>
      <c r="S90" s="485" t="s">
        <v>2529</v>
      </c>
      <c r="T90" s="151" t="s">
        <v>2191</v>
      </c>
      <c r="U90" s="151" t="s">
        <v>2179</v>
      </c>
      <c r="V90" s="151">
        <v>1</v>
      </c>
      <c r="W90" s="151" t="s">
        <v>2373</v>
      </c>
      <c r="X90" s="151" t="s">
        <v>431</v>
      </c>
      <c r="Y90" s="151" t="s">
        <v>2179</v>
      </c>
      <c r="Z90" s="151" t="s">
        <v>2319</v>
      </c>
      <c r="AA90" s="151" t="s">
        <v>2320</v>
      </c>
      <c r="AB90" s="151" t="s">
        <v>855</v>
      </c>
      <c r="AC90" s="342"/>
    </row>
    <row r="91" spans="1:29">
      <c r="A91" s="151" t="s">
        <v>2168</v>
      </c>
      <c r="B91" s="151" t="s">
        <v>2530</v>
      </c>
      <c r="C91" s="151" t="s">
        <v>2531</v>
      </c>
      <c r="D91" s="151" t="s">
        <v>17</v>
      </c>
      <c r="E91" s="151" t="s">
        <v>2532</v>
      </c>
      <c r="F91" s="151" t="s">
        <v>2172</v>
      </c>
      <c r="G91" s="151" t="s">
        <v>2173</v>
      </c>
      <c r="H91" s="151" t="s">
        <v>1274</v>
      </c>
      <c r="I91" s="151" t="s">
        <v>1184</v>
      </c>
      <c r="J91" s="151" t="s">
        <v>572</v>
      </c>
      <c r="K91" s="151" t="s">
        <v>2533</v>
      </c>
      <c r="L91" s="341" t="s">
        <v>2175</v>
      </c>
      <c r="M91" s="151" t="s">
        <v>2184</v>
      </c>
      <c r="N91" s="151"/>
      <c r="O91" s="151"/>
      <c r="P91" s="151"/>
      <c r="Q91" s="151"/>
      <c r="R91" s="151" t="s">
        <v>2177</v>
      </c>
      <c r="S91" s="151" t="s">
        <v>2178</v>
      </c>
      <c r="T91" s="151" t="s">
        <v>435</v>
      </c>
      <c r="U91" s="151" t="s">
        <v>2179</v>
      </c>
      <c r="V91" s="151">
        <v>100</v>
      </c>
      <c r="W91" s="151" t="s">
        <v>2185</v>
      </c>
      <c r="X91" s="151" t="s">
        <v>431</v>
      </c>
      <c r="Y91" s="151" t="s">
        <v>2179</v>
      </c>
      <c r="Z91" s="151"/>
      <c r="AA91" s="151"/>
      <c r="AB91" s="151" t="s">
        <v>855</v>
      </c>
      <c r="AC91" s="342"/>
    </row>
    <row r="92" spans="1:29" ht="30">
      <c r="A92" s="151" t="s">
        <v>2168</v>
      </c>
      <c r="B92" s="151" t="s">
        <v>2534</v>
      </c>
      <c r="C92" s="151" t="s">
        <v>2531</v>
      </c>
      <c r="D92" s="151" t="s">
        <v>17</v>
      </c>
      <c r="E92" s="151" t="s">
        <v>2535</v>
      </c>
      <c r="F92" s="151" t="s">
        <v>2172</v>
      </c>
      <c r="G92" s="151" t="s">
        <v>2173</v>
      </c>
      <c r="H92" s="151" t="s">
        <v>1274</v>
      </c>
      <c r="I92" s="151" t="s">
        <v>1184</v>
      </c>
      <c r="J92" s="151" t="s">
        <v>614</v>
      </c>
      <c r="K92" s="151" t="s">
        <v>2536</v>
      </c>
      <c r="L92" s="341" t="s">
        <v>2537</v>
      </c>
      <c r="M92" s="151" t="s">
        <v>361</v>
      </c>
      <c r="N92" s="151"/>
      <c r="O92" s="151"/>
      <c r="P92" s="151"/>
      <c r="Q92" s="151"/>
      <c r="R92" s="151" t="s">
        <v>2177</v>
      </c>
      <c r="S92" s="151" t="s">
        <v>2178</v>
      </c>
      <c r="T92" s="151" t="s">
        <v>435</v>
      </c>
      <c r="U92" s="151" t="s">
        <v>2179</v>
      </c>
      <c r="V92" s="151" t="s">
        <v>49</v>
      </c>
      <c r="W92" s="151" t="s">
        <v>2257</v>
      </c>
      <c r="X92" s="151" t="s">
        <v>431</v>
      </c>
      <c r="Y92" s="151" t="s">
        <v>2179</v>
      </c>
      <c r="Z92" s="151"/>
      <c r="AA92" s="151"/>
      <c r="AB92" s="151" t="s">
        <v>855</v>
      </c>
      <c r="AC92" s="342"/>
    </row>
    <row r="93" spans="1:29" ht="30">
      <c r="A93" s="151" t="s">
        <v>2168</v>
      </c>
      <c r="B93" s="151" t="s">
        <v>2538</v>
      </c>
      <c r="C93" s="151" t="s">
        <v>2531</v>
      </c>
      <c r="D93" s="151" t="s">
        <v>17</v>
      </c>
      <c r="E93" s="151" t="s">
        <v>2539</v>
      </c>
      <c r="F93" s="151" t="s">
        <v>240</v>
      </c>
      <c r="G93" s="151" t="s">
        <v>2173</v>
      </c>
      <c r="H93" s="151" t="s">
        <v>1274</v>
      </c>
      <c r="I93" s="151" t="s">
        <v>1184</v>
      </c>
      <c r="J93" s="151" t="s">
        <v>614</v>
      </c>
      <c r="K93" s="151" t="s">
        <v>2540</v>
      </c>
      <c r="L93" s="341" t="s">
        <v>2537</v>
      </c>
      <c r="M93" s="151" t="s">
        <v>361</v>
      </c>
      <c r="N93" s="151"/>
      <c r="O93" s="151"/>
      <c r="P93" s="151"/>
      <c r="Q93" s="151"/>
      <c r="R93" s="151" t="s">
        <v>2177</v>
      </c>
      <c r="S93" s="151" t="s">
        <v>2178</v>
      </c>
      <c r="T93" s="151" t="s">
        <v>435</v>
      </c>
      <c r="U93" s="151" t="s">
        <v>2179</v>
      </c>
      <c r="V93" s="151" t="s">
        <v>49</v>
      </c>
      <c r="W93" s="151" t="s">
        <v>2503</v>
      </c>
      <c r="X93" s="151" t="s">
        <v>431</v>
      </c>
      <c r="Y93" s="151" t="s">
        <v>2179</v>
      </c>
      <c r="Z93" s="151"/>
      <c r="AA93" s="151"/>
      <c r="AB93" s="151" t="s">
        <v>855</v>
      </c>
      <c r="AC93" s="342"/>
    </row>
    <row r="94" spans="1:29" ht="30">
      <c r="A94" s="151" t="s">
        <v>2168</v>
      </c>
      <c r="B94" s="151" t="s">
        <v>2541</v>
      </c>
      <c r="C94" s="151" t="s">
        <v>2531</v>
      </c>
      <c r="D94" s="151" t="s">
        <v>17</v>
      </c>
      <c r="E94" s="151" t="s">
        <v>2542</v>
      </c>
      <c r="F94" s="151" t="s">
        <v>240</v>
      </c>
      <c r="G94" s="151" t="s">
        <v>2173</v>
      </c>
      <c r="H94" s="151" t="s">
        <v>1274</v>
      </c>
      <c r="I94" s="151" t="s">
        <v>1184</v>
      </c>
      <c r="J94" s="151" t="s">
        <v>614</v>
      </c>
      <c r="K94" s="151" t="s">
        <v>2543</v>
      </c>
      <c r="L94" s="341" t="s">
        <v>2537</v>
      </c>
      <c r="M94" s="151" t="s">
        <v>361</v>
      </c>
      <c r="N94" s="151"/>
      <c r="O94" s="151"/>
      <c r="P94" s="151"/>
      <c r="Q94" s="151"/>
      <c r="R94" s="151" t="s">
        <v>2177</v>
      </c>
      <c r="S94" s="151" t="s">
        <v>2178</v>
      </c>
      <c r="T94" s="151" t="s">
        <v>435</v>
      </c>
      <c r="U94" s="151" t="s">
        <v>2179</v>
      </c>
      <c r="V94" s="151" t="s">
        <v>49</v>
      </c>
      <c r="W94" s="151" t="s">
        <v>2503</v>
      </c>
      <c r="X94" s="151" t="s">
        <v>431</v>
      </c>
      <c r="Y94" s="151" t="s">
        <v>2179</v>
      </c>
      <c r="Z94" s="151"/>
      <c r="AA94" s="151"/>
      <c r="AB94" s="151" t="s">
        <v>855</v>
      </c>
      <c r="AC94" s="342"/>
    </row>
    <row r="95" spans="1:29" ht="30">
      <c r="A95" s="151" t="s">
        <v>2168</v>
      </c>
      <c r="B95" s="151" t="s">
        <v>2544</v>
      </c>
      <c r="C95" s="151" t="s">
        <v>2531</v>
      </c>
      <c r="D95" s="151" t="s">
        <v>17</v>
      </c>
      <c r="E95" s="151" t="s">
        <v>2545</v>
      </c>
      <c r="F95" s="151" t="s">
        <v>240</v>
      </c>
      <c r="G95" s="151" t="s">
        <v>2546</v>
      </c>
      <c r="H95" s="151" t="s">
        <v>361</v>
      </c>
      <c r="I95" s="151" t="s">
        <v>1184</v>
      </c>
      <c r="J95" s="151" t="s">
        <v>2547</v>
      </c>
      <c r="K95" s="151" t="s">
        <v>2548</v>
      </c>
      <c r="L95" s="341" t="s">
        <v>2549</v>
      </c>
      <c r="M95" s="151" t="s">
        <v>361</v>
      </c>
      <c r="N95" s="151"/>
      <c r="O95" s="151"/>
      <c r="P95" s="151"/>
      <c r="Q95" s="151"/>
      <c r="R95" s="151" t="s">
        <v>2550</v>
      </c>
      <c r="S95" s="151" t="s">
        <v>2178</v>
      </c>
      <c r="T95" s="151"/>
      <c r="U95" s="151"/>
      <c r="V95" s="151"/>
      <c r="W95" s="151"/>
      <c r="X95" s="151"/>
      <c r="Y95" s="151"/>
      <c r="Z95" s="151"/>
      <c r="AA95" s="151"/>
      <c r="AB95" s="151"/>
      <c r="AC95" s="342"/>
    </row>
    <row r="96" spans="1:29" ht="45">
      <c r="A96" s="151" t="s">
        <v>2168</v>
      </c>
      <c r="B96" s="151" t="s">
        <v>2551</v>
      </c>
      <c r="C96" s="151" t="s">
        <v>2552</v>
      </c>
      <c r="D96" s="151" t="s">
        <v>17</v>
      </c>
      <c r="E96" s="151" t="s">
        <v>2553</v>
      </c>
      <c r="F96" s="151" t="s">
        <v>240</v>
      </c>
      <c r="G96" s="151" t="s">
        <v>2173</v>
      </c>
      <c r="H96" s="151" t="s">
        <v>1274</v>
      </c>
      <c r="I96" s="151" t="s">
        <v>1184</v>
      </c>
      <c r="J96" s="151" t="s">
        <v>651</v>
      </c>
      <c r="K96" s="151" t="s">
        <v>2554</v>
      </c>
      <c r="L96" s="341" t="s">
        <v>2555</v>
      </c>
      <c r="M96" s="151" t="s">
        <v>361</v>
      </c>
      <c r="N96" s="151"/>
      <c r="O96" s="151"/>
      <c r="P96" s="151"/>
      <c r="Q96" s="151"/>
      <c r="R96" s="151" t="s">
        <v>2177</v>
      </c>
      <c r="S96" s="151" t="s">
        <v>2178</v>
      </c>
      <c r="T96" s="151" t="s">
        <v>435</v>
      </c>
      <c r="U96" s="151" t="s">
        <v>2179</v>
      </c>
      <c r="V96" s="151" t="s">
        <v>49</v>
      </c>
      <c r="W96" s="151" t="s">
        <v>2180</v>
      </c>
      <c r="X96" s="151" t="s">
        <v>431</v>
      </c>
      <c r="Y96" s="151" t="s">
        <v>2179</v>
      </c>
      <c r="Z96" s="151"/>
      <c r="AA96" s="151"/>
      <c r="AB96" s="151" t="s">
        <v>855</v>
      </c>
      <c r="AC96" s="342"/>
    </row>
    <row r="97" spans="1:29">
      <c r="A97" s="151" t="s">
        <v>2168</v>
      </c>
      <c r="B97" s="151" t="s">
        <v>2556</v>
      </c>
      <c r="C97" s="151" t="s">
        <v>2531</v>
      </c>
      <c r="D97" s="151" t="s">
        <v>17</v>
      </c>
      <c r="E97" s="151" t="s">
        <v>2557</v>
      </c>
      <c r="F97" s="151" t="s">
        <v>240</v>
      </c>
      <c r="G97" s="151" t="s">
        <v>2173</v>
      </c>
      <c r="H97" s="151" t="s">
        <v>1274</v>
      </c>
      <c r="I97" s="151" t="s">
        <v>1184</v>
      </c>
      <c r="J97" s="151" t="s">
        <v>572</v>
      </c>
      <c r="K97" s="151" t="s">
        <v>2558</v>
      </c>
      <c r="L97" s="341" t="s">
        <v>2175</v>
      </c>
      <c r="M97" s="151" t="s">
        <v>2184</v>
      </c>
      <c r="N97" s="151"/>
      <c r="O97" s="151"/>
      <c r="P97" s="151"/>
      <c r="Q97" s="151"/>
      <c r="R97" s="151" t="s">
        <v>2177</v>
      </c>
      <c r="S97" s="151" t="s">
        <v>2178</v>
      </c>
      <c r="T97" s="151" t="s">
        <v>2220</v>
      </c>
      <c r="U97" s="151" t="s">
        <v>2179</v>
      </c>
      <c r="V97" s="151">
        <v>50</v>
      </c>
      <c r="W97" s="151" t="s">
        <v>2180</v>
      </c>
      <c r="X97" s="151" t="s">
        <v>431</v>
      </c>
      <c r="Y97" s="151" t="s">
        <v>2179</v>
      </c>
      <c r="Z97" s="151"/>
      <c r="AA97" s="151"/>
      <c r="AB97" s="151" t="s">
        <v>855</v>
      </c>
      <c r="AC97" s="342"/>
    </row>
    <row r="98" spans="1:29" ht="30">
      <c r="A98" s="151" t="s">
        <v>2168</v>
      </c>
      <c r="B98" s="151" t="s">
        <v>2559</v>
      </c>
      <c r="C98" s="151" t="s">
        <v>2531</v>
      </c>
      <c r="D98" s="151" t="s">
        <v>17</v>
      </c>
      <c r="E98" s="151" t="s">
        <v>2535</v>
      </c>
      <c r="F98" s="151" t="s">
        <v>240</v>
      </c>
      <c r="G98" s="151" t="s">
        <v>2173</v>
      </c>
      <c r="H98" s="151" t="s">
        <v>2560</v>
      </c>
      <c r="I98" s="151" t="s">
        <v>1184</v>
      </c>
      <c r="J98" s="151" t="s">
        <v>614</v>
      </c>
      <c r="K98" s="341" t="s">
        <v>2561</v>
      </c>
      <c r="L98" s="341" t="s">
        <v>2562</v>
      </c>
      <c r="M98" s="151" t="s">
        <v>361</v>
      </c>
      <c r="N98" s="151"/>
      <c r="O98" s="151"/>
      <c r="P98" s="151"/>
      <c r="Q98" s="151"/>
      <c r="R98" s="151" t="s">
        <v>2177</v>
      </c>
      <c r="S98" s="151" t="s">
        <v>2178</v>
      </c>
      <c r="T98" s="151" t="s">
        <v>435</v>
      </c>
      <c r="U98" s="151" t="s">
        <v>2179</v>
      </c>
      <c r="V98" s="151" t="s">
        <v>49</v>
      </c>
      <c r="W98" s="151" t="s">
        <v>2257</v>
      </c>
      <c r="X98" s="151" t="s">
        <v>431</v>
      </c>
      <c r="Y98" s="151" t="s">
        <v>2179</v>
      </c>
      <c r="Z98" s="151"/>
      <c r="AA98" s="151"/>
      <c r="AB98" s="151" t="s">
        <v>855</v>
      </c>
      <c r="AC98" s="342"/>
    </row>
    <row r="99" spans="1:29" ht="30">
      <c r="A99" s="151" t="s">
        <v>2168</v>
      </c>
      <c r="B99" s="151" t="s">
        <v>2563</v>
      </c>
      <c r="C99" s="151" t="s">
        <v>2531</v>
      </c>
      <c r="D99" s="151" t="s">
        <v>17</v>
      </c>
      <c r="E99" s="151" t="s">
        <v>2539</v>
      </c>
      <c r="F99" s="151" t="s">
        <v>240</v>
      </c>
      <c r="G99" s="151" t="s">
        <v>2173</v>
      </c>
      <c r="H99" s="151" t="s">
        <v>1274</v>
      </c>
      <c r="I99" s="151" t="s">
        <v>1184</v>
      </c>
      <c r="J99" s="151" t="s">
        <v>614</v>
      </c>
      <c r="K99" s="151" t="s">
        <v>2540</v>
      </c>
      <c r="L99" s="341" t="s">
        <v>2562</v>
      </c>
      <c r="M99" s="151" t="s">
        <v>361</v>
      </c>
      <c r="N99" s="151"/>
      <c r="O99" s="151"/>
      <c r="P99" s="151"/>
      <c r="Q99" s="151"/>
      <c r="R99" s="151" t="s">
        <v>2177</v>
      </c>
      <c r="S99" s="151" t="s">
        <v>2178</v>
      </c>
      <c r="T99" s="151" t="s">
        <v>435</v>
      </c>
      <c r="U99" s="151" t="s">
        <v>2179</v>
      </c>
      <c r="V99" s="151" t="s">
        <v>49</v>
      </c>
      <c r="W99" s="151" t="s">
        <v>2503</v>
      </c>
      <c r="X99" s="151" t="s">
        <v>431</v>
      </c>
      <c r="Y99" s="151" t="s">
        <v>2179</v>
      </c>
      <c r="Z99" s="151"/>
      <c r="AA99" s="151"/>
      <c r="AB99" s="151" t="s">
        <v>855</v>
      </c>
      <c r="AC99" s="342"/>
    </row>
    <row r="100" spans="1:29" ht="30">
      <c r="A100" s="151" t="s">
        <v>2168</v>
      </c>
      <c r="B100" s="151" t="s">
        <v>2564</v>
      </c>
      <c r="C100" s="151" t="s">
        <v>2531</v>
      </c>
      <c r="D100" s="151" t="s">
        <v>17</v>
      </c>
      <c r="E100" s="151" t="s">
        <v>2542</v>
      </c>
      <c r="F100" s="151" t="s">
        <v>240</v>
      </c>
      <c r="G100" s="151" t="s">
        <v>2173</v>
      </c>
      <c r="H100" s="151" t="s">
        <v>1274</v>
      </c>
      <c r="I100" s="151" t="s">
        <v>1184</v>
      </c>
      <c r="J100" s="151" t="s">
        <v>614</v>
      </c>
      <c r="K100" s="151" t="s">
        <v>2543</v>
      </c>
      <c r="L100" s="341" t="s">
        <v>2562</v>
      </c>
      <c r="M100" s="151" t="s">
        <v>361</v>
      </c>
      <c r="N100" s="151"/>
      <c r="O100" s="151"/>
      <c r="P100" s="151"/>
      <c r="Q100" s="151"/>
      <c r="R100" s="151" t="s">
        <v>2177</v>
      </c>
      <c r="S100" s="151" t="s">
        <v>2178</v>
      </c>
      <c r="T100" s="151" t="s">
        <v>435</v>
      </c>
      <c r="U100" s="151" t="s">
        <v>2179</v>
      </c>
      <c r="V100" s="151" t="s">
        <v>49</v>
      </c>
      <c r="W100" s="151" t="s">
        <v>2503</v>
      </c>
      <c r="X100" s="151" t="s">
        <v>431</v>
      </c>
      <c r="Y100" s="151" t="s">
        <v>2179</v>
      </c>
      <c r="Z100" s="151"/>
      <c r="AA100" s="151"/>
      <c r="AB100" s="151" t="s">
        <v>855</v>
      </c>
      <c r="AC100" s="342"/>
    </row>
    <row r="101" spans="1:29" ht="30">
      <c r="A101" s="151" t="s">
        <v>2168</v>
      </c>
      <c r="B101" s="151" t="s">
        <v>2565</v>
      </c>
      <c r="C101" s="151" t="s">
        <v>2531</v>
      </c>
      <c r="D101" s="151" t="s">
        <v>17</v>
      </c>
      <c r="E101" s="151" t="s">
        <v>2566</v>
      </c>
      <c r="F101" s="151" t="s">
        <v>240</v>
      </c>
      <c r="G101" s="151" t="s">
        <v>2546</v>
      </c>
      <c r="H101" s="151" t="s">
        <v>361</v>
      </c>
      <c r="I101" s="151" t="s">
        <v>1184</v>
      </c>
      <c r="J101" s="151" t="s">
        <v>2547</v>
      </c>
      <c r="K101" s="151" t="s">
        <v>2548</v>
      </c>
      <c r="L101" s="341" t="s">
        <v>2562</v>
      </c>
      <c r="M101" s="151" t="s">
        <v>361</v>
      </c>
      <c r="N101" s="151"/>
      <c r="O101" s="151"/>
      <c r="P101" s="151"/>
      <c r="Q101" s="151"/>
      <c r="R101" s="151" t="s">
        <v>2550</v>
      </c>
      <c r="S101" s="151" t="s">
        <v>2178</v>
      </c>
      <c r="T101" s="151"/>
      <c r="U101" s="151"/>
      <c r="V101" s="151"/>
      <c r="W101" s="151"/>
      <c r="X101" s="151"/>
      <c r="Y101" s="151"/>
      <c r="Z101" s="151"/>
      <c r="AA101" s="151"/>
      <c r="AB101" s="151"/>
      <c r="AC101" s="342"/>
    </row>
    <row r="102" spans="1:29" ht="45">
      <c r="A102" s="151" t="s">
        <v>2168</v>
      </c>
      <c r="B102" s="151" t="s">
        <v>2567</v>
      </c>
      <c r="C102" s="151" t="s">
        <v>2552</v>
      </c>
      <c r="D102" s="151" t="s">
        <v>17</v>
      </c>
      <c r="E102" s="151" t="s">
        <v>2553</v>
      </c>
      <c r="F102" s="151" t="s">
        <v>240</v>
      </c>
      <c r="G102" s="151" t="s">
        <v>2173</v>
      </c>
      <c r="H102" s="151" t="s">
        <v>1274</v>
      </c>
      <c r="I102" s="151" t="s">
        <v>1184</v>
      </c>
      <c r="J102" s="151" t="s">
        <v>651</v>
      </c>
      <c r="K102" s="151" t="s">
        <v>2554</v>
      </c>
      <c r="L102" s="341" t="s">
        <v>2568</v>
      </c>
      <c r="M102" s="151" t="s">
        <v>361</v>
      </c>
      <c r="N102" s="151"/>
      <c r="O102" s="151"/>
      <c r="P102" s="151"/>
      <c r="Q102" s="151"/>
      <c r="R102" s="151" t="s">
        <v>2177</v>
      </c>
      <c r="S102" s="151" t="s">
        <v>2178</v>
      </c>
      <c r="T102" s="151" t="s">
        <v>435</v>
      </c>
      <c r="U102" s="151" t="s">
        <v>2179</v>
      </c>
      <c r="V102" s="151" t="s">
        <v>49</v>
      </c>
      <c r="W102" s="151" t="s">
        <v>2180</v>
      </c>
      <c r="X102" s="151" t="s">
        <v>431</v>
      </c>
      <c r="Y102" s="151" t="s">
        <v>2179</v>
      </c>
      <c r="Z102" s="151"/>
      <c r="AA102" s="151"/>
      <c r="AB102" s="151" t="s">
        <v>855</v>
      </c>
      <c r="AC102" s="342"/>
    </row>
    <row r="103" spans="1:29" ht="45">
      <c r="A103" s="151" t="s">
        <v>2168</v>
      </c>
      <c r="B103" s="151" t="s">
        <v>2569</v>
      </c>
      <c r="C103" s="151" t="s">
        <v>2531</v>
      </c>
      <c r="D103" s="151" t="s">
        <v>17</v>
      </c>
      <c r="E103" s="151" t="s">
        <v>2570</v>
      </c>
      <c r="F103" s="151" t="s">
        <v>240</v>
      </c>
      <c r="G103" s="151" t="s">
        <v>2173</v>
      </c>
      <c r="H103" s="151" t="s">
        <v>1274</v>
      </c>
      <c r="I103" s="151" t="s">
        <v>1184</v>
      </c>
      <c r="J103" s="151" t="s">
        <v>648</v>
      </c>
      <c r="K103" s="151" t="s">
        <v>2571</v>
      </c>
      <c r="L103" s="341" t="s">
        <v>2572</v>
      </c>
      <c r="M103" s="151" t="s">
        <v>361</v>
      </c>
      <c r="N103" s="151"/>
      <c r="O103" s="151"/>
      <c r="P103" s="151"/>
      <c r="Q103" s="151"/>
      <c r="R103" s="151" t="s">
        <v>2177</v>
      </c>
      <c r="S103" s="151" t="s">
        <v>2178</v>
      </c>
      <c r="T103" s="151" t="s">
        <v>435</v>
      </c>
      <c r="U103" s="151" t="s">
        <v>2573</v>
      </c>
      <c r="V103" s="151" t="s">
        <v>49</v>
      </c>
      <c r="W103" s="151"/>
      <c r="X103" s="151" t="s">
        <v>431</v>
      </c>
      <c r="Y103" s="151" t="s">
        <v>2573</v>
      </c>
      <c r="Z103" s="151"/>
      <c r="AA103" s="151"/>
      <c r="AB103" s="151" t="s">
        <v>855</v>
      </c>
      <c r="AC103" s="342"/>
    </row>
    <row r="104" spans="1:29" ht="135">
      <c r="A104" s="151" t="s">
        <v>2168</v>
      </c>
      <c r="B104" s="151" t="s">
        <v>2574</v>
      </c>
      <c r="C104" s="151" t="s">
        <v>2531</v>
      </c>
      <c r="D104" s="151" t="s">
        <v>17</v>
      </c>
      <c r="E104" s="151" t="s">
        <v>2575</v>
      </c>
      <c r="F104" s="151" t="s">
        <v>544</v>
      </c>
      <c r="G104" s="151" t="s">
        <v>2546</v>
      </c>
      <c r="H104" s="151" t="s">
        <v>361</v>
      </c>
      <c r="I104" s="151" t="s">
        <v>1184</v>
      </c>
      <c r="J104" s="151" t="s">
        <v>2576</v>
      </c>
      <c r="K104" s="151" t="s">
        <v>2577</v>
      </c>
      <c r="L104" s="341" t="s">
        <v>2578</v>
      </c>
      <c r="M104" s="151" t="s">
        <v>361</v>
      </c>
      <c r="N104" s="151"/>
      <c r="O104" s="151"/>
      <c r="P104" s="151"/>
      <c r="Q104" s="151"/>
      <c r="R104" s="151" t="s">
        <v>2550</v>
      </c>
      <c r="S104" s="151" t="s">
        <v>2178</v>
      </c>
      <c r="T104" s="151"/>
      <c r="U104" s="151"/>
      <c r="V104" s="151"/>
      <c r="W104" s="151"/>
      <c r="X104" s="151"/>
      <c r="Y104" s="151"/>
      <c r="Z104" s="151"/>
      <c r="AA104" s="151"/>
      <c r="AB104" s="151"/>
      <c r="AC104" s="342"/>
    </row>
    <row r="105" spans="1:29">
      <c r="A105" s="151" t="s">
        <v>2168</v>
      </c>
      <c r="B105" s="151" t="s">
        <v>2579</v>
      </c>
      <c r="C105" s="151" t="s">
        <v>2580</v>
      </c>
      <c r="D105" s="151" t="s">
        <v>17</v>
      </c>
      <c r="E105" s="151" t="s">
        <v>2581</v>
      </c>
      <c r="F105" s="151" t="s">
        <v>544</v>
      </c>
      <c r="G105" s="151" t="s">
        <v>2173</v>
      </c>
      <c r="H105" s="151" t="s">
        <v>1274</v>
      </c>
      <c r="I105" s="151" t="s">
        <v>1184</v>
      </c>
      <c r="J105" s="151" t="s">
        <v>2412</v>
      </c>
      <c r="K105" s="151" t="s">
        <v>2582</v>
      </c>
      <c r="L105" s="151" t="s">
        <v>2218</v>
      </c>
      <c r="M105" s="151" t="s">
        <v>361</v>
      </c>
      <c r="N105" s="151"/>
      <c r="O105" s="151"/>
      <c r="P105" s="151"/>
      <c r="Q105" s="151"/>
      <c r="R105" s="151" t="s">
        <v>2177</v>
      </c>
      <c r="S105" s="151" t="s">
        <v>2178</v>
      </c>
      <c r="T105" s="151" t="s">
        <v>2279</v>
      </c>
      <c r="U105" s="151" t="s">
        <v>2400</v>
      </c>
      <c r="V105" s="151">
        <v>8</v>
      </c>
      <c r="W105" s="151" t="s">
        <v>2400</v>
      </c>
      <c r="X105" s="151" t="s">
        <v>2400</v>
      </c>
      <c r="Y105" s="151" t="s">
        <v>2400</v>
      </c>
      <c r="Z105" s="151"/>
      <c r="AA105" s="151"/>
      <c r="AB105" s="151" t="s">
        <v>855</v>
      </c>
      <c r="AC105" s="342"/>
    </row>
    <row r="106" spans="1:29">
      <c r="A106" s="151" t="s">
        <v>2168</v>
      </c>
      <c r="B106" s="151" t="s">
        <v>2583</v>
      </c>
      <c r="C106" s="151" t="s">
        <v>2580</v>
      </c>
      <c r="D106" s="151" t="s">
        <v>17</v>
      </c>
      <c r="E106" s="151" t="s">
        <v>2584</v>
      </c>
      <c r="F106" s="151" t="s">
        <v>544</v>
      </c>
      <c r="G106" s="151" t="s">
        <v>2173</v>
      </c>
      <c r="H106" s="151" t="s">
        <v>1274</v>
      </c>
      <c r="I106" s="151" t="s">
        <v>1184</v>
      </c>
      <c r="J106" s="151" t="s">
        <v>572</v>
      </c>
      <c r="K106" s="151" t="s">
        <v>2585</v>
      </c>
      <c r="L106" s="151" t="s">
        <v>2175</v>
      </c>
      <c r="M106" s="151" t="s">
        <v>2184</v>
      </c>
      <c r="N106" s="151"/>
      <c r="O106" s="151"/>
      <c r="P106" s="151"/>
      <c r="Q106" s="151"/>
      <c r="R106" s="151" t="s">
        <v>2177</v>
      </c>
      <c r="S106" s="151" t="s">
        <v>2178</v>
      </c>
      <c r="T106" s="151" t="s">
        <v>2279</v>
      </c>
      <c r="U106" s="151" t="s">
        <v>2400</v>
      </c>
      <c r="V106" s="151">
        <v>8</v>
      </c>
      <c r="W106" s="151" t="s">
        <v>2400</v>
      </c>
      <c r="X106" s="151" t="s">
        <v>2400</v>
      </c>
      <c r="Y106" s="151" t="s">
        <v>2400</v>
      </c>
      <c r="Z106" s="151"/>
      <c r="AA106" s="151"/>
      <c r="AB106" s="151" t="s">
        <v>855</v>
      </c>
      <c r="AC106" s="342"/>
    </row>
    <row r="107" spans="1:29">
      <c r="A107" s="151" t="s">
        <v>2168</v>
      </c>
      <c r="B107" s="151" t="s">
        <v>2586</v>
      </c>
      <c r="C107" s="151" t="s">
        <v>2580</v>
      </c>
      <c r="D107" s="151" t="s">
        <v>17</v>
      </c>
      <c r="E107" s="151" t="s">
        <v>2587</v>
      </c>
      <c r="F107" s="151" t="s">
        <v>544</v>
      </c>
      <c r="G107" s="151" t="s">
        <v>2173</v>
      </c>
      <c r="H107" s="151" t="s">
        <v>1274</v>
      </c>
      <c r="I107" s="151" t="s">
        <v>1184</v>
      </c>
      <c r="J107" s="151" t="s">
        <v>572</v>
      </c>
      <c r="K107" s="151" t="s">
        <v>2588</v>
      </c>
      <c r="L107" s="151" t="s">
        <v>2175</v>
      </c>
      <c r="M107" s="151" t="s">
        <v>2184</v>
      </c>
      <c r="N107" s="151"/>
      <c r="O107" s="151"/>
      <c r="P107" s="151"/>
      <c r="Q107" s="151"/>
      <c r="R107" s="151" t="s">
        <v>2177</v>
      </c>
      <c r="S107" s="151" t="s">
        <v>2178</v>
      </c>
      <c r="T107" s="151" t="s">
        <v>429</v>
      </c>
      <c r="U107" s="151" t="s">
        <v>2179</v>
      </c>
      <c r="V107" s="151">
        <v>5</v>
      </c>
      <c r="W107" s="151" t="s">
        <v>2503</v>
      </c>
      <c r="X107" s="151" t="s">
        <v>431</v>
      </c>
      <c r="Y107" s="151" t="s">
        <v>2179</v>
      </c>
      <c r="Z107" s="151" t="s">
        <v>2589</v>
      </c>
      <c r="AA107" s="151" t="s">
        <v>2590</v>
      </c>
      <c r="AB107" s="151" t="s">
        <v>855</v>
      </c>
      <c r="AC107" s="342"/>
    </row>
    <row r="108" spans="1:29">
      <c r="A108" s="151" t="s">
        <v>2168</v>
      </c>
      <c r="B108" s="151" t="s">
        <v>2591</v>
      </c>
      <c r="C108" s="151" t="s">
        <v>2580</v>
      </c>
      <c r="D108" s="151" t="s">
        <v>17</v>
      </c>
      <c r="E108" s="151" t="s">
        <v>2592</v>
      </c>
      <c r="F108" s="151" t="s">
        <v>544</v>
      </c>
      <c r="G108" s="151" t="s">
        <v>2173</v>
      </c>
      <c r="H108" s="151" t="s">
        <v>1274</v>
      </c>
      <c r="I108" s="151" t="s">
        <v>1184</v>
      </c>
      <c r="J108" s="151" t="s">
        <v>572</v>
      </c>
      <c r="K108" s="151" t="s">
        <v>2593</v>
      </c>
      <c r="L108" s="151" t="s">
        <v>2175</v>
      </c>
      <c r="M108" s="151" t="s">
        <v>2184</v>
      </c>
      <c r="N108" s="151"/>
      <c r="O108" s="151"/>
      <c r="P108" s="151"/>
      <c r="Q108" s="151"/>
      <c r="R108" s="151" t="s">
        <v>2177</v>
      </c>
      <c r="S108" s="151" t="s">
        <v>2178</v>
      </c>
      <c r="T108" s="151" t="s">
        <v>2220</v>
      </c>
      <c r="U108" s="151" t="s">
        <v>2179</v>
      </c>
      <c r="V108" s="151">
        <v>12</v>
      </c>
      <c r="W108" s="151" t="s">
        <v>2594</v>
      </c>
      <c r="X108" s="151" t="s">
        <v>431</v>
      </c>
      <c r="Y108" s="151" t="s">
        <v>2179</v>
      </c>
      <c r="Z108" s="151"/>
      <c r="AA108" s="151"/>
      <c r="AB108" s="151" t="s">
        <v>855</v>
      </c>
      <c r="AC108" s="342"/>
    </row>
    <row r="109" spans="1:29">
      <c r="A109" s="151" t="s">
        <v>2168</v>
      </c>
      <c r="B109" s="151" t="s">
        <v>2595</v>
      </c>
      <c r="C109" s="151" t="s">
        <v>2580</v>
      </c>
      <c r="D109" s="151" t="s">
        <v>17</v>
      </c>
      <c r="E109" s="151" t="s">
        <v>2596</v>
      </c>
      <c r="F109" s="151" t="s">
        <v>544</v>
      </c>
      <c r="G109" s="151" t="s">
        <v>2173</v>
      </c>
      <c r="H109" s="151" t="s">
        <v>1274</v>
      </c>
      <c r="I109" s="151" t="s">
        <v>1184</v>
      </c>
      <c r="J109" s="151" t="s">
        <v>572</v>
      </c>
      <c r="K109" s="151" t="s">
        <v>2597</v>
      </c>
      <c r="L109" s="151" t="s">
        <v>2175</v>
      </c>
      <c r="M109" s="151" t="s">
        <v>2184</v>
      </c>
      <c r="N109" s="151"/>
      <c r="O109" s="151"/>
      <c r="P109" s="151"/>
      <c r="Q109" s="151"/>
      <c r="R109" s="151" t="s">
        <v>2177</v>
      </c>
      <c r="S109" s="151" t="s">
        <v>2178</v>
      </c>
      <c r="T109" s="151" t="s">
        <v>2220</v>
      </c>
      <c r="U109" s="151" t="s">
        <v>2179</v>
      </c>
      <c r="V109" s="151">
        <v>50</v>
      </c>
      <c r="W109" s="151" t="s">
        <v>2598</v>
      </c>
      <c r="X109" s="151" t="s">
        <v>431</v>
      </c>
      <c r="Y109" s="151" t="s">
        <v>2179</v>
      </c>
      <c r="Z109" s="151"/>
      <c r="AA109" s="151"/>
      <c r="AB109" s="151" t="s">
        <v>855</v>
      </c>
      <c r="AC109" s="342"/>
    </row>
    <row r="110" spans="1:29">
      <c r="A110" s="151" t="s">
        <v>2168</v>
      </c>
      <c r="B110" s="151" t="s">
        <v>2599</v>
      </c>
      <c r="C110" s="151" t="s">
        <v>2580</v>
      </c>
      <c r="D110" s="151" t="s">
        <v>17</v>
      </c>
      <c r="E110" s="151" t="s">
        <v>2600</v>
      </c>
      <c r="F110" s="151" t="s">
        <v>544</v>
      </c>
      <c r="G110" s="151" t="s">
        <v>2173</v>
      </c>
      <c r="H110" s="151" t="s">
        <v>1274</v>
      </c>
      <c r="I110" s="151" t="s">
        <v>1184</v>
      </c>
      <c r="J110" s="151" t="s">
        <v>572</v>
      </c>
      <c r="K110" s="151" t="s">
        <v>2601</v>
      </c>
      <c r="L110" s="151" t="s">
        <v>2175</v>
      </c>
      <c r="M110" s="151" t="s">
        <v>2184</v>
      </c>
      <c r="N110" s="151"/>
      <c r="O110" s="151"/>
      <c r="P110" s="151"/>
      <c r="Q110" s="151"/>
      <c r="R110" s="151" t="s">
        <v>2177</v>
      </c>
      <c r="S110" s="151" t="s">
        <v>2178</v>
      </c>
      <c r="T110" s="151" t="s">
        <v>435</v>
      </c>
      <c r="U110" s="151" t="s">
        <v>2179</v>
      </c>
      <c r="V110" s="151">
        <v>100</v>
      </c>
      <c r="W110" s="151" t="s">
        <v>2185</v>
      </c>
      <c r="X110" s="151" t="s">
        <v>431</v>
      </c>
      <c r="Y110" s="151" t="s">
        <v>2179</v>
      </c>
      <c r="Z110" s="151"/>
      <c r="AA110" s="151"/>
      <c r="AB110" s="151" t="s">
        <v>855</v>
      </c>
      <c r="AC110" s="342"/>
    </row>
    <row r="111" spans="1:29">
      <c r="A111" s="151" t="s">
        <v>2168</v>
      </c>
      <c r="B111" s="151" t="s">
        <v>2602</v>
      </c>
      <c r="C111" s="151" t="s">
        <v>2580</v>
      </c>
      <c r="D111" s="151" t="s">
        <v>17</v>
      </c>
      <c r="E111" s="151" t="s">
        <v>2603</v>
      </c>
      <c r="F111" s="151" t="s">
        <v>544</v>
      </c>
      <c r="G111" s="151" t="s">
        <v>2173</v>
      </c>
      <c r="H111" s="151" t="s">
        <v>1274</v>
      </c>
      <c r="I111" s="151" t="s">
        <v>1184</v>
      </c>
      <c r="J111" s="151" t="s">
        <v>572</v>
      </c>
      <c r="K111" s="151" t="s">
        <v>2604</v>
      </c>
      <c r="L111" s="151" t="s">
        <v>2175</v>
      </c>
      <c r="M111" s="151" t="s">
        <v>2184</v>
      </c>
      <c r="N111" s="151"/>
      <c r="O111" s="151"/>
      <c r="P111" s="151"/>
      <c r="Q111" s="151"/>
      <c r="R111" s="151" t="s">
        <v>2177</v>
      </c>
      <c r="S111" s="151" t="s">
        <v>2178</v>
      </c>
      <c r="T111" s="151" t="s">
        <v>2279</v>
      </c>
      <c r="U111" s="151" t="s">
        <v>2400</v>
      </c>
      <c r="V111" s="151">
        <v>8</v>
      </c>
      <c r="W111" s="151" t="s">
        <v>2400</v>
      </c>
      <c r="X111" s="151" t="s">
        <v>2400</v>
      </c>
      <c r="Y111" s="151" t="s">
        <v>2400</v>
      </c>
      <c r="Z111" s="151"/>
      <c r="AA111" s="151"/>
      <c r="AB111" s="151" t="s">
        <v>855</v>
      </c>
      <c r="AC111" s="342"/>
    </row>
    <row r="112" spans="1:29">
      <c r="A112" s="151" t="s">
        <v>2168</v>
      </c>
      <c r="B112" s="151" t="s">
        <v>2605</v>
      </c>
      <c r="C112" s="151" t="s">
        <v>2580</v>
      </c>
      <c r="D112" s="151" t="s">
        <v>17</v>
      </c>
      <c r="E112" s="151" t="s">
        <v>2606</v>
      </c>
      <c r="F112" s="151" t="s">
        <v>544</v>
      </c>
      <c r="G112" s="151" t="s">
        <v>2173</v>
      </c>
      <c r="H112" s="151" t="s">
        <v>1274</v>
      </c>
      <c r="I112" s="151" t="s">
        <v>1184</v>
      </c>
      <c r="J112" s="151" t="s">
        <v>572</v>
      </c>
      <c r="K112" s="151" t="s">
        <v>2607</v>
      </c>
      <c r="L112" s="151" t="s">
        <v>2175</v>
      </c>
      <c r="M112" s="151" t="s">
        <v>2184</v>
      </c>
      <c r="N112" s="151"/>
      <c r="O112" s="151"/>
      <c r="P112" s="151"/>
      <c r="Q112" s="151"/>
      <c r="R112" s="151" t="s">
        <v>2177</v>
      </c>
      <c r="S112" s="151" t="s">
        <v>2178</v>
      </c>
      <c r="T112" s="151" t="s">
        <v>435</v>
      </c>
      <c r="U112" s="151" t="s">
        <v>2179</v>
      </c>
      <c r="V112" s="151">
        <v>200</v>
      </c>
      <c r="W112" s="151" t="s">
        <v>2503</v>
      </c>
      <c r="X112" s="151" t="s">
        <v>431</v>
      </c>
      <c r="Y112" s="151" t="s">
        <v>2179</v>
      </c>
      <c r="Z112" s="151"/>
      <c r="AA112" s="151"/>
      <c r="AB112" s="151" t="s">
        <v>855</v>
      </c>
      <c r="AC112" s="342"/>
    </row>
    <row r="113" spans="1:29">
      <c r="A113" s="151" t="s">
        <v>2168</v>
      </c>
      <c r="B113" s="151" t="s">
        <v>2608</v>
      </c>
      <c r="C113" s="151" t="s">
        <v>2580</v>
      </c>
      <c r="D113" s="151" t="s">
        <v>17</v>
      </c>
      <c r="E113" s="151" t="s">
        <v>2609</v>
      </c>
      <c r="F113" s="151" t="s">
        <v>544</v>
      </c>
      <c r="G113" s="151" t="s">
        <v>2173</v>
      </c>
      <c r="H113" s="151" t="s">
        <v>1274</v>
      </c>
      <c r="I113" s="151" t="s">
        <v>1184</v>
      </c>
      <c r="J113" s="151" t="s">
        <v>572</v>
      </c>
      <c r="K113" s="151" t="s">
        <v>2610</v>
      </c>
      <c r="L113" s="151" t="s">
        <v>2175</v>
      </c>
      <c r="M113" s="151" t="s">
        <v>2184</v>
      </c>
      <c r="N113" s="151"/>
      <c r="O113" s="151"/>
      <c r="P113" s="151"/>
      <c r="Q113" s="151"/>
      <c r="R113" s="151" t="s">
        <v>2177</v>
      </c>
      <c r="S113" s="151" t="s">
        <v>2178</v>
      </c>
      <c r="T113" s="151" t="s">
        <v>2279</v>
      </c>
      <c r="U113" s="151" t="s">
        <v>2400</v>
      </c>
      <c r="V113" s="151">
        <v>23</v>
      </c>
      <c r="W113" s="151" t="s">
        <v>2400</v>
      </c>
      <c r="X113" s="151" t="s">
        <v>2400</v>
      </c>
      <c r="Y113" s="151" t="s">
        <v>2400</v>
      </c>
      <c r="Z113" s="151"/>
      <c r="AA113" s="151"/>
      <c r="AB113" s="151" t="s">
        <v>855</v>
      </c>
      <c r="AC113" s="342"/>
    </row>
    <row r="114" spans="1:29">
      <c r="A114" s="151" t="s">
        <v>2168</v>
      </c>
      <c r="B114" s="151" t="s">
        <v>2611</v>
      </c>
      <c r="C114" s="151" t="s">
        <v>2612</v>
      </c>
      <c r="D114" s="151" t="s">
        <v>17</v>
      </c>
      <c r="E114" s="151" t="s">
        <v>2613</v>
      </c>
      <c r="F114" s="151" t="s">
        <v>544</v>
      </c>
      <c r="G114" s="151" t="s">
        <v>2173</v>
      </c>
      <c r="H114" s="151" t="s">
        <v>1274</v>
      </c>
      <c r="I114" s="151" t="s">
        <v>1184</v>
      </c>
      <c r="J114" s="151" t="s">
        <v>572</v>
      </c>
      <c r="K114" s="151" t="s">
        <v>2614</v>
      </c>
      <c r="L114" s="151" t="s">
        <v>2175</v>
      </c>
      <c r="M114" s="151" t="s">
        <v>2184</v>
      </c>
      <c r="N114" s="151"/>
      <c r="O114" s="151"/>
      <c r="P114" s="151"/>
      <c r="Q114" s="151"/>
      <c r="R114" s="151" t="s">
        <v>2177</v>
      </c>
      <c r="S114" s="151" t="s">
        <v>2178</v>
      </c>
      <c r="T114" s="151" t="s">
        <v>429</v>
      </c>
      <c r="U114" s="151" t="s">
        <v>2179</v>
      </c>
      <c r="V114" s="151">
        <v>5</v>
      </c>
      <c r="W114" s="151" t="s">
        <v>2615</v>
      </c>
      <c r="X114" s="151" t="s">
        <v>431</v>
      </c>
      <c r="Y114" s="151" t="s">
        <v>2179</v>
      </c>
      <c r="Z114" s="151" t="s">
        <v>2616</v>
      </c>
      <c r="AA114" s="151" t="s">
        <v>2617</v>
      </c>
      <c r="AB114" s="151" t="s">
        <v>855</v>
      </c>
      <c r="AC114" s="342"/>
    </row>
    <row r="115" spans="1:29">
      <c r="A115" s="151" t="s">
        <v>2168</v>
      </c>
      <c r="B115" s="151" t="s">
        <v>2618</v>
      </c>
      <c r="C115" s="151" t="s">
        <v>2612</v>
      </c>
      <c r="D115" s="151" t="s">
        <v>17</v>
      </c>
      <c r="E115" s="151" t="s">
        <v>2619</v>
      </c>
      <c r="F115" s="151" t="s">
        <v>544</v>
      </c>
      <c r="G115" s="151" t="s">
        <v>2173</v>
      </c>
      <c r="H115" s="151" t="s">
        <v>1274</v>
      </c>
      <c r="I115" s="151" t="s">
        <v>1184</v>
      </c>
      <c r="J115" s="151" t="s">
        <v>572</v>
      </c>
      <c r="K115" s="151" t="s">
        <v>2620</v>
      </c>
      <c r="L115" s="151" t="s">
        <v>2175</v>
      </c>
      <c r="M115" s="151" t="s">
        <v>2184</v>
      </c>
      <c r="N115" s="151"/>
      <c r="O115" s="151"/>
      <c r="P115" s="151"/>
      <c r="Q115" s="151"/>
      <c r="R115" s="151" t="s">
        <v>2177</v>
      </c>
      <c r="S115" s="151" t="s">
        <v>2178</v>
      </c>
      <c r="T115" s="151" t="s">
        <v>429</v>
      </c>
      <c r="U115" s="151" t="s">
        <v>2179</v>
      </c>
      <c r="V115" s="151">
        <v>100</v>
      </c>
      <c r="W115" s="151" t="s">
        <v>2185</v>
      </c>
      <c r="X115" s="151" t="s">
        <v>431</v>
      </c>
      <c r="Y115" s="151" t="s">
        <v>2179</v>
      </c>
      <c r="Z115" s="151" t="s">
        <v>2621</v>
      </c>
      <c r="AA115" s="151" t="s">
        <v>2622</v>
      </c>
      <c r="AB115" s="151" t="s">
        <v>855</v>
      </c>
      <c r="AC115" s="342"/>
    </row>
    <row r="116" spans="1:29">
      <c r="A116" s="151" t="s">
        <v>2168</v>
      </c>
      <c r="B116" s="151" t="s">
        <v>2623</v>
      </c>
      <c r="C116" s="151" t="s">
        <v>2580</v>
      </c>
      <c r="D116" s="151" t="s">
        <v>17</v>
      </c>
      <c r="E116" s="151" t="s">
        <v>2624</v>
      </c>
      <c r="F116" s="151" t="s">
        <v>544</v>
      </c>
      <c r="G116" s="151" t="s">
        <v>2173</v>
      </c>
      <c r="H116" s="151" t="s">
        <v>1274</v>
      </c>
      <c r="I116" s="151" t="s">
        <v>1184</v>
      </c>
      <c r="J116" s="151" t="s">
        <v>572</v>
      </c>
      <c r="K116" s="151" t="s">
        <v>2625</v>
      </c>
      <c r="L116" s="151" t="s">
        <v>2175</v>
      </c>
      <c r="M116" s="151" t="s">
        <v>2184</v>
      </c>
      <c r="N116" s="151"/>
      <c r="O116" s="151"/>
      <c r="P116" s="151"/>
      <c r="Q116" s="151"/>
      <c r="R116" s="151" t="s">
        <v>2177</v>
      </c>
      <c r="S116" s="151" t="s">
        <v>2178</v>
      </c>
      <c r="T116" s="151" t="s">
        <v>429</v>
      </c>
      <c r="U116" s="151" t="s">
        <v>2179</v>
      </c>
      <c r="V116" s="151">
        <v>5</v>
      </c>
      <c r="W116" s="151" t="s">
        <v>2250</v>
      </c>
      <c r="X116" s="151" t="s">
        <v>431</v>
      </c>
      <c r="Y116" s="151" t="s">
        <v>2179</v>
      </c>
      <c r="Z116" s="151" t="s">
        <v>2305</v>
      </c>
      <c r="AA116" s="151" t="s">
        <v>2305</v>
      </c>
      <c r="AB116" s="151" t="s">
        <v>855</v>
      </c>
      <c r="AC116" s="342"/>
    </row>
    <row r="117" spans="1:29">
      <c r="A117" s="151" t="s">
        <v>2168</v>
      </c>
      <c r="B117" s="151" t="s">
        <v>2626</v>
      </c>
      <c r="C117" s="151" t="s">
        <v>2580</v>
      </c>
      <c r="D117" s="151" t="s">
        <v>17</v>
      </c>
      <c r="E117" s="151" t="s">
        <v>2627</v>
      </c>
      <c r="F117" s="151" t="s">
        <v>544</v>
      </c>
      <c r="G117" s="151" t="s">
        <v>2173</v>
      </c>
      <c r="H117" s="151" t="s">
        <v>1274</v>
      </c>
      <c r="I117" s="151" t="s">
        <v>1184</v>
      </c>
      <c r="J117" s="151" t="s">
        <v>572</v>
      </c>
      <c r="K117" s="151" t="s">
        <v>2628</v>
      </c>
      <c r="L117" s="151" t="s">
        <v>2175</v>
      </c>
      <c r="M117" s="151" t="s">
        <v>2184</v>
      </c>
      <c r="N117" s="151"/>
      <c r="O117" s="151"/>
      <c r="P117" s="151"/>
      <c r="Q117" s="151"/>
      <c r="R117" s="151" t="s">
        <v>2177</v>
      </c>
      <c r="S117" s="151" t="s">
        <v>2178</v>
      </c>
      <c r="T117" s="151" t="s">
        <v>429</v>
      </c>
      <c r="U117" s="151" t="s">
        <v>2179</v>
      </c>
      <c r="V117" s="151">
        <v>50</v>
      </c>
      <c r="W117" s="151" t="s">
        <v>2180</v>
      </c>
      <c r="X117" s="151" t="s">
        <v>431</v>
      </c>
      <c r="Y117" s="151" t="s">
        <v>2179</v>
      </c>
      <c r="Z117" s="151" t="s">
        <v>2305</v>
      </c>
      <c r="AA117" s="151" t="s">
        <v>2305</v>
      </c>
      <c r="AB117" s="151" t="s">
        <v>855</v>
      </c>
      <c r="AC117" s="342"/>
    </row>
    <row r="118" spans="1:29">
      <c r="A118" s="151" t="s">
        <v>2168</v>
      </c>
      <c r="B118" s="151" t="s">
        <v>2629</v>
      </c>
      <c r="C118" s="151" t="s">
        <v>2580</v>
      </c>
      <c r="D118" s="151" t="s">
        <v>17</v>
      </c>
      <c r="E118" s="151" t="s">
        <v>2630</v>
      </c>
      <c r="F118" s="151" t="s">
        <v>544</v>
      </c>
      <c r="G118" s="151" t="s">
        <v>2173</v>
      </c>
      <c r="H118" s="151" t="s">
        <v>1274</v>
      </c>
      <c r="I118" s="151" t="s">
        <v>1184</v>
      </c>
      <c r="J118" s="151" t="s">
        <v>572</v>
      </c>
      <c r="K118" s="151" t="s">
        <v>2631</v>
      </c>
      <c r="L118" s="151" t="s">
        <v>2175</v>
      </c>
      <c r="M118" s="151" t="s">
        <v>2184</v>
      </c>
      <c r="N118" s="151"/>
      <c r="O118" s="151"/>
      <c r="P118" s="151"/>
      <c r="Q118" s="151"/>
      <c r="R118" s="151" t="s">
        <v>2177</v>
      </c>
      <c r="S118" s="151" t="s">
        <v>2178</v>
      </c>
      <c r="T118" s="151" t="s">
        <v>429</v>
      </c>
      <c r="U118" s="151" t="s">
        <v>2179</v>
      </c>
      <c r="V118" s="151">
        <v>1</v>
      </c>
      <c r="W118" s="151" t="s">
        <v>2373</v>
      </c>
      <c r="X118" s="151" t="s">
        <v>431</v>
      </c>
      <c r="Y118" s="151" t="s">
        <v>2179</v>
      </c>
      <c r="Z118" s="151" t="s">
        <v>2305</v>
      </c>
      <c r="AA118" s="151" t="s">
        <v>2305</v>
      </c>
      <c r="AB118" s="151" t="s">
        <v>855</v>
      </c>
      <c r="AC118" s="342"/>
    </row>
    <row r="119" spans="1:29">
      <c r="A119" s="151" t="s">
        <v>2168</v>
      </c>
      <c r="B119" s="151" t="s">
        <v>2632</v>
      </c>
      <c r="C119" s="151" t="s">
        <v>2580</v>
      </c>
      <c r="D119" s="151" t="s">
        <v>17</v>
      </c>
      <c r="E119" s="151" t="s">
        <v>2633</v>
      </c>
      <c r="F119" s="151" t="s">
        <v>544</v>
      </c>
      <c r="G119" s="151" t="s">
        <v>2173</v>
      </c>
      <c r="H119" s="151" t="s">
        <v>1274</v>
      </c>
      <c r="I119" s="151" t="s">
        <v>1184</v>
      </c>
      <c r="J119" s="151" t="s">
        <v>572</v>
      </c>
      <c r="K119" s="151" t="s">
        <v>2634</v>
      </c>
      <c r="L119" s="151" t="s">
        <v>2175</v>
      </c>
      <c r="M119" s="151" t="s">
        <v>2184</v>
      </c>
      <c r="N119" s="151"/>
      <c r="O119" s="151"/>
      <c r="P119" s="151"/>
      <c r="Q119" s="151"/>
      <c r="R119" s="151" t="s">
        <v>2177</v>
      </c>
      <c r="S119" s="151" t="s">
        <v>2178</v>
      </c>
      <c r="T119" s="151" t="s">
        <v>429</v>
      </c>
      <c r="U119" s="151" t="s">
        <v>2179</v>
      </c>
      <c r="V119" s="151">
        <v>15</v>
      </c>
      <c r="W119" s="151" t="s">
        <v>2635</v>
      </c>
      <c r="X119" s="151" t="s">
        <v>431</v>
      </c>
      <c r="Y119" s="151" t="s">
        <v>2179</v>
      </c>
      <c r="Z119" s="151" t="s">
        <v>2636</v>
      </c>
      <c r="AA119" s="151" t="s">
        <v>2636</v>
      </c>
      <c r="AB119" s="151" t="s">
        <v>855</v>
      </c>
      <c r="AC119" s="342"/>
    </row>
    <row r="120" spans="1:29">
      <c r="A120" s="151" t="s">
        <v>2168</v>
      </c>
      <c r="B120" s="151" t="s">
        <v>2637</v>
      </c>
      <c r="C120" s="151" t="s">
        <v>2580</v>
      </c>
      <c r="D120" s="151" t="s">
        <v>17</v>
      </c>
      <c r="E120" s="151" t="s">
        <v>2638</v>
      </c>
      <c r="F120" s="151" t="s">
        <v>544</v>
      </c>
      <c r="G120" s="151" t="s">
        <v>2173</v>
      </c>
      <c r="H120" s="151" t="s">
        <v>1274</v>
      </c>
      <c r="I120" s="151" t="s">
        <v>1184</v>
      </c>
      <c r="J120" s="151" t="s">
        <v>572</v>
      </c>
      <c r="K120" s="151" t="s">
        <v>2639</v>
      </c>
      <c r="L120" s="151" t="s">
        <v>2175</v>
      </c>
      <c r="M120" s="151" t="s">
        <v>2184</v>
      </c>
      <c r="N120" s="151"/>
      <c r="O120" s="151"/>
      <c r="P120" s="151"/>
      <c r="Q120" s="151"/>
      <c r="R120" s="151" t="s">
        <v>2177</v>
      </c>
      <c r="S120" s="151" t="s">
        <v>2178</v>
      </c>
      <c r="T120" s="151" t="s">
        <v>435</v>
      </c>
      <c r="U120" s="151" t="s">
        <v>2179</v>
      </c>
      <c r="V120" s="151">
        <v>200</v>
      </c>
      <c r="W120" s="151" t="s">
        <v>2640</v>
      </c>
      <c r="X120" s="151" t="s">
        <v>431</v>
      </c>
      <c r="Y120" s="151" t="s">
        <v>2179</v>
      </c>
      <c r="Z120" s="151"/>
      <c r="AA120" s="151"/>
      <c r="AB120" s="151" t="s">
        <v>855</v>
      </c>
      <c r="AC120" s="342"/>
    </row>
    <row r="121" spans="1:29">
      <c r="A121" s="151" t="s">
        <v>2168</v>
      </c>
      <c r="B121" s="151" t="s">
        <v>2641</v>
      </c>
      <c r="C121" s="151" t="s">
        <v>2580</v>
      </c>
      <c r="D121" s="151" t="s">
        <v>17</v>
      </c>
      <c r="E121" s="151" t="s">
        <v>2642</v>
      </c>
      <c r="F121" s="151" t="s">
        <v>544</v>
      </c>
      <c r="G121" s="151" t="s">
        <v>2173</v>
      </c>
      <c r="H121" s="151" t="s">
        <v>1274</v>
      </c>
      <c r="I121" s="151" t="s">
        <v>1184</v>
      </c>
      <c r="J121" s="151" t="s">
        <v>2643</v>
      </c>
      <c r="K121" s="151" t="s">
        <v>2644</v>
      </c>
      <c r="L121" s="151" t="s">
        <v>2334</v>
      </c>
      <c r="M121" s="151" t="s">
        <v>361</v>
      </c>
      <c r="N121" s="151"/>
      <c r="O121" s="151"/>
      <c r="P121" s="151"/>
      <c r="Q121" s="151"/>
      <c r="R121" s="151" t="s">
        <v>2177</v>
      </c>
      <c r="S121" s="151" t="s">
        <v>2178</v>
      </c>
      <c r="T121" s="151" t="s">
        <v>2645</v>
      </c>
      <c r="U121" s="151" t="s">
        <v>2646</v>
      </c>
      <c r="V121" s="151" t="s">
        <v>49</v>
      </c>
      <c r="W121" s="151" t="s">
        <v>2646</v>
      </c>
      <c r="X121" s="151" t="s">
        <v>2645</v>
      </c>
      <c r="Y121" s="151" t="s">
        <v>2646</v>
      </c>
      <c r="Z121" s="151"/>
      <c r="AA121" s="151"/>
      <c r="AB121" s="151" t="s">
        <v>855</v>
      </c>
      <c r="AC121" s="342"/>
    </row>
    <row r="122" spans="1:29">
      <c r="A122" s="151" t="s">
        <v>2168</v>
      </c>
      <c r="B122" s="151" t="s">
        <v>2647</v>
      </c>
      <c r="C122" s="151" t="s">
        <v>2580</v>
      </c>
      <c r="D122" s="151" t="s">
        <v>17</v>
      </c>
      <c r="E122" s="151" t="s">
        <v>2648</v>
      </c>
      <c r="F122" s="151" t="s">
        <v>544</v>
      </c>
      <c r="G122" s="151" t="s">
        <v>2173</v>
      </c>
      <c r="H122" s="151" t="s">
        <v>1274</v>
      </c>
      <c r="I122" s="151" t="s">
        <v>1184</v>
      </c>
      <c r="J122" s="151" t="s">
        <v>572</v>
      </c>
      <c r="K122" s="151" t="s">
        <v>2649</v>
      </c>
      <c r="L122" s="151" t="s">
        <v>2175</v>
      </c>
      <c r="M122" s="151" t="s">
        <v>2184</v>
      </c>
      <c r="N122" s="151"/>
      <c r="O122" s="151"/>
      <c r="P122" s="151"/>
      <c r="Q122" s="151"/>
      <c r="R122" s="151" t="s">
        <v>2177</v>
      </c>
      <c r="S122" s="151" t="s">
        <v>2178</v>
      </c>
      <c r="T122" s="151" t="s">
        <v>435</v>
      </c>
      <c r="U122" s="151" t="s">
        <v>2179</v>
      </c>
      <c r="V122" s="151">
        <v>100</v>
      </c>
      <c r="W122" s="151" t="s">
        <v>2185</v>
      </c>
      <c r="X122" s="151" t="s">
        <v>431</v>
      </c>
      <c r="Y122" s="151" t="s">
        <v>2179</v>
      </c>
      <c r="Z122" s="151"/>
      <c r="AA122" s="151"/>
      <c r="AB122" s="151" t="s">
        <v>855</v>
      </c>
      <c r="AC122" s="342"/>
    </row>
    <row r="123" spans="1:29" ht="255">
      <c r="A123" s="151" t="s">
        <v>2168</v>
      </c>
      <c r="B123" s="151" t="s">
        <v>2650</v>
      </c>
      <c r="C123" s="151" t="s">
        <v>2580</v>
      </c>
      <c r="D123" s="151" t="s">
        <v>17</v>
      </c>
      <c r="E123" s="151" t="s">
        <v>2651</v>
      </c>
      <c r="F123" s="151" t="s">
        <v>544</v>
      </c>
      <c r="G123" s="151" t="s">
        <v>2652</v>
      </c>
      <c r="H123" s="151" t="s">
        <v>361</v>
      </c>
      <c r="I123" s="151" t="s">
        <v>1184</v>
      </c>
      <c r="J123" s="151" t="s">
        <v>361</v>
      </c>
      <c r="K123" s="151" t="s">
        <v>361</v>
      </c>
      <c r="L123" s="151" t="s">
        <v>361</v>
      </c>
      <c r="M123" s="151" t="s">
        <v>361</v>
      </c>
      <c r="N123" s="151"/>
      <c r="O123" s="151"/>
      <c r="P123" s="151"/>
      <c r="Q123" s="151"/>
      <c r="R123" s="151" t="s">
        <v>2550</v>
      </c>
      <c r="S123" s="341" t="s">
        <v>2653</v>
      </c>
      <c r="T123" s="151" t="s">
        <v>49</v>
      </c>
      <c r="U123" s="151" t="s">
        <v>2654</v>
      </c>
      <c r="V123" s="151" t="s">
        <v>49</v>
      </c>
      <c r="W123" s="151" t="s">
        <v>2654</v>
      </c>
      <c r="X123" s="151" t="s">
        <v>49</v>
      </c>
      <c r="Y123" s="151" t="s">
        <v>2654</v>
      </c>
      <c r="Z123" s="151"/>
      <c r="AA123" s="151"/>
      <c r="AB123" s="151" t="s">
        <v>855</v>
      </c>
      <c r="AC123" s="342"/>
    </row>
    <row r="124" spans="1:29">
      <c r="A124" s="151" t="s">
        <v>2168</v>
      </c>
      <c r="B124" s="151" t="s">
        <v>2655</v>
      </c>
      <c r="C124" s="151" t="s">
        <v>2656</v>
      </c>
      <c r="D124" s="151" t="s">
        <v>17</v>
      </c>
      <c r="E124" s="151" t="s">
        <v>2657</v>
      </c>
      <c r="F124" s="151" t="s">
        <v>544</v>
      </c>
      <c r="G124" s="151" t="s">
        <v>2173</v>
      </c>
      <c r="H124" s="151" t="s">
        <v>1274</v>
      </c>
      <c r="I124" s="151" t="s">
        <v>1184</v>
      </c>
      <c r="J124" s="151" t="s">
        <v>2658</v>
      </c>
      <c r="K124" s="151" t="s">
        <v>2659</v>
      </c>
      <c r="L124" s="151" t="s">
        <v>2660</v>
      </c>
      <c r="M124" s="151" t="s">
        <v>361</v>
      </c>
      <c r="N124" s="151"/>
      <c r="O124" s="151"/>
      <c r="P124" s="151"/>
      <c r="Q124" s="151"/>
      <c r="R124" s="151" t="s">
        <v>2177</v>
      </c>
      <c r="S124" s="151" t="s">
        <v>2178</v>
      </c>
      <c r="T124" s="151" t="s">
        <v>435</v>
      </c>
      <c r="U124" s="151" t="s">
        <v>2179</v>
      </c>
      <c r="V124" s="151">
        <v>50</v>
      </c>
      <c r="W124" s="151" t="s">
        <v>2180</v>
      </c>
      <c r="X124" s="151" t="s">
        <v>431</v>
      </c>
      <c r="Y124" s="151" t="s">
        <v>2179</v>
      </c>
      <c r="Z124" s="151"/>
      <c r="AA124" s="151"/>
      <c r="AB124" s="151" t="s">
        <v>855</v>
      </c>
      <c r="AC124" s="342"/>
    </row>
    <row r="125" spans="1:29">
      <c r="A125" s="151" t="s">
        <v>2168</v>
      </c>
      <c r="B125" s="151" t="s">
        <v>2661</v>
      </c>
      <c r="C125" s="151" t="s">
        <v>2656</v>
      </c>
      <c r="D125" s="151" t="s">
        <v>17</v>
      </c>
      <c r="E125" s="151" t="s">
        <v>2662</v>
      </c>
      <c r="F125" s="151" t="s">
        <v>544</v>
      </c>
      <c r="G125" s="151" t="s">
        <v>2173</v>
      </c>
      <c r="H125" s="151" t="s">
        <v>1274</v>
      </c>
      <c r="I125" s="151" t="s">
        <v>1184</v>
      </c>
      <c r="J125" s="151" t="s">
        <v>2658</v>
      </c>
      <c r="K125" s="151" t="s">
        <v>2663</v>
      </c>
      <c r="L125" s="151" t="s">
        <v>2660</v>
      </c>
      <c r="M125" s="151" t="s">
        <v>361</v>
      </c>
      <c r="N125" s="151"/>
      <c r="O125" s="151"/>
      <c r="P125" s="151"/>
      <c r="Q125" s="151"/>
      <c r="R125" s="151" t="s">
        <v>2177</v>
      </c>
      <c r="S125" s="151" t="s">
        <v>2178</v>
      </c>
      <c r="T125" s="151" t="s">
        <v>435</v>
      </c>
      <c r="U125" s="151" t="s">
        <v>2179</v>
      </c>
      <c r="V125" s="151">
        <v>50</v>
      </c>
      <c r="W125" s="151" t="s">
        <v>2180</v>
      </c>
      <c r="X125" s="151" t="s">
        <v>431</v>
      </c>
      <c r="Y125" s="151" t="s">
        <v>2179</v>
      </c>
      <c r="Z125" s="151"/>
      <c r="AA125" s="151"/>
      <c r="AB125" s="151" t="s">
        <v>855</v>
      </c>
      <c r="AC125" s="342"/>
    </row>
    <row r="126" spans="1:29">
      <c r="A126" s="151" t="s">
        <v>2168</v>
      </c>
      <c r="B126" s="151" t="s">
        <v>2664</v>
      </c>
      <c r="C126" s="151" t="s">
        <v>2656</v>
      </c>
      <c r="D126" s="151" t="s">
        <v>17</v>
      </c>
      <c r="E126" s="151" t="s">
        <v>2665</v>
      </c>
      <c r="F126" s="151" t="s">
        <v>544</v>
      </c>
      <c r="G126" s="151" t="s">
        <v>2173</v>
      </c>
      <c r="H126" s="151" t="s">
        <v>1274</v>
      </c>
      <c r="I126" s="151" t="s">
        <v>1184</v>
      </c>
      <c r="J126" s="151" t="s">
        <v>2658</v>
      </c>
      <c r="K126" s="151" t="s">
        <v>16</v>
      </c>
      <c r="L126" s="151" t="s">
        <v>2660</v>
      </c>
      <c r="M126" s="151" t="s">
        <v>361</v>
      </c>
      <c r="N126" s="151"/>
      <c r="O126" s="151"/>
      <c r="P126" s="151"/>
      <c r="Q126" s="151"/>
      <c r="R126" s="151" t="s">
        <v>2177</v>
      </c>
      <c r="S126" s="151" t="s">
        <v>2178</v>
      </c>
      <c r="T126" s="151" t="s">
        <v>435</v>
      </c>
      <c r="U126" s="151" t="s">
        <v>2179</v>
      </c>
      <c r="V126" s="151">
        <v>50</v>
      </c>
      <c r="W126" s="151" t="s">
        <v>2180</v>
      </c>
      <c r="X126" s="151" t="s">
        <v>431</v>
      </c>
      <c r="Y126" s="151" t="s">
        <v>2179</v>
      </c>
      <c r="Z126" s="151"/>
      <c r="AA126" s="151"/>
      <c r="AB126" s="151" t="s">
        <v>855</v>
      </c>
      <c r="AC126" s="342"/>
    </row>
    <row r="127" spans="1:29">
      <c r="A127" s="151" t="s">
        <v>2168</v>
      </c>
      <c r="B127" s="151" t="s">
        <v>2666</v>
      </c>
      <c r="C127" s="151" t="s">
        <v>2656</v>
      </c>
      <c r="D127" s="151" t="s">
        <v>17</v>
      </c>
      <c r="E127" s="151" t="s">
        <v>2667</v>
      </c>
      <c r="F127" s="151" t="s">
        <v>544</v>
      </c>
      <c r="G127" s="151" t="s">
        <v>2173</v>
      </c>
      <c r="H127" s="151" t="s">
        <v>1274</v>
      </c>
      <c r="I127" s="151" t="s">
        <v>1184</v>
      </c>
      <c r="J127" s="151" t="s">
        <v>2658</v>
      </c>
      <c r="K127" s="151" t="s">
        <v>2668</v>
      </c>
      <c r="L127" s="151" t="s">
        <v>2660</v>
      </c>
      <c r="M127" s="151" t="s">
        <v>361</v>
      </c>
      <c r="N127" s="151"/>
      <c r="O127" s="151"/>
      <c r="P127" s="151"/>
      <c r="Q127" s="151"/>
      <c r="R127" s="151" t="s">
        <v>2177</v>
      </c>
      <c r="S127" s="151" t="s">
        <v>2178</v>
      </c>
      <c r="T127" s="151" t="s">
        <v>435</v>
      </c>
      <c r="U127" s="151" t="s">
        <v>2179</v>
      </c>
      <c r="V127" s="151">
        <v>50</v>
      </c>
      <c r="W127" s="151" t="s">
        <v>2180</v>
      </c>
      <c r="X127" s="151" t="s">
        <v>431</v>
      </c>
      <c r="Y127" s="151" t="s">
        <v>2179</v>
      </c>
      <c r="Z127" s="151"/>
      <c r="AA127" s="151"/>
      <c r="AB127" s="151" t="s">
        <v>855</v>
      </c>
      <c r="AC127" s="342"/>
    </row>
    <row r="128" spans="1:29">
      <c r="A128" s="151" t="s">
        <v>2168</v>
      </c>
      <c r="B128" s="151" t="s">
        <v>2669</v>
      </c>
      <c r="C128" s="151" t="s">
        <v>2670</v>
      </c>
      <c r="D128" s="151" t="s">
        <v>17</v>
      </c>
      <c r="E128" s="151" t="s">
        <v>2671</v>
      </c>
      <c r="F128" s="151" t="s">
        <v>544</v>
      </c>
      <c r="G128" s="151" t="s">
        <v>2173</v>
      </c>
      <c r="H128" s="151" t="s">
        <v>1274</v>
      </c>
      <c r="I128" s="151" t="s">
        <v>1184</v>
      </c>
      <c r="J128" s="151" t="s">
        <v>677</v>
      </c>
      <c r="K128" s="151" t="s">
        <v>2471</v>
      </c>
      <c r="L128" s="151" t="s">
        <v>2297</v>
      </c>
      <c r="M128" s="151" t="s">
        <v>2672</v>
      </c>
      <c r="N128" s="151"/>
      <c r="O128" s="151"/>
      <c r="P128" s="151"/>
      <c r="Q128" s="151"/>
      <c r="R128" s="151" t="s">
        <v>2177</v>
      </c>
      <c r="S128" s="151" t="s">
        <v>2178</v>
      </c>
      <c r="T128" s="151" t="s">
        <v>2191</v>
      </c>
      <c r="U128" s="151" t="s">
        <v>2179</v>
      </c>
      <c r="V128" s="151">
        <v>255</v>
      </c>
      <c r="W128" s="151" t="s">
        <v>2468</v>
      </c>
      <c r="X128" s="151" t="s">
        <v>431</v>
      </c>
      <c r="Y128" s="151" t="s">
        <v>2179</v>
      </c>
      <c r="Z128" s="151" t="s">
        <v>2673</v>
      </c>
      <c r="AA128" s="151" t="s">
        <v>2673</v>
      </c>
      <c r="AB128" s="151" t="s">
        <v>855</v>
      </c>
      <c r="AC128" s="342"/>
    </row>
    <row r="129" spans="1:29">
      <c r="A129" s="151" t="s">
        <v>2168</v>
      </c>
      <c r="B129" s="151" t="s">
        <v>2674</v>
      </c>
      <c r="C129" s="151" t="s">
        <v>2670</v>
      </c>
      <c r="D129" s="151" t="s">
        <v>17</v>
      </c>
      <c r="E129" s="151" t="s">
        <v>2675</v>
      </c>
      <c r="F129" s="151" t="s">
        <v>544</v>
      </c>
      <c r="G129" s="151" t="s">
        <v>2173</v>
      </c>
      <c r="H129" s="151" t="s">
        <v>1274</v>
      </c>
      <c r="I129" s="151" t="s">
        <v>1184</v>
      </c>
      <c r="J129" s="151" t="s">
        <v>677</v>
      </c>
      <c r="K129" s="151" t="s">
        <v>2676</v>
      </c>
      <c r="L129" s="151" t="s">
        <v>2297</v>
      </c>
      <c r="M129" s="151" t="s">
        <v>2672</v>
      </c>
      <c r="N129" s="151"/>
      <c r="O129" s="151"/>
      <c r="P129" s="151"/>
      <c r="Q129" s="151"/>
      <c r="R129" s="151" t="s">
        <v>2177</v>
      </c>
      <c r="S129" s="151" t="s">
        <v>2178</v>
      </c>
      <c r="T129" s="151" t="s">
        <v>435</v>
      </c>
      <c r="U129" s="151" t="s">
        <v>2677</v>
      </c>
      <c r="V129" s="151">
        <v>15</v>
      </c>
      <c r="W129" s="151"/>
      <c r="X129" s="151" t="s">
        <v>2508</v>
      </c>
      <c r="Y129" s="151" t="s">
        <v>2677</v>
      </c>
      <c r="Z129" s="151"/>
      <c r="AA129" s="151"/>
      <c r="AB129" s="151" t="s">
        <v>855</v>
      </c>
      <c r="AC129" s="342"/>
    </row>
    <row r="130" spans="1:29">
      <c r="A130" s="151" t="s">
        <v>2168</v>
      </c>
      <c r="B130" s="151" t="s">
        <v>2678</v>
      </c>
      <c r="C130" s="151" t="s">
        <v>2670</v>
      </c>
      <c r="D130" s="151" t="s">
        <v>17</v>
      </c>
      <c r="E130" s="151" t="s">
        <v>2679</v>
      </c>
      <c r="F130" s="151" t="s">
        <v>544</v>
      </c>
      <c r="G130" s="151" t="s">
        <v>2173</v>
      </c>
      <c r="H130" s="151" t="s">
        <v>1274</v>
      </c>
      <c r="I130" s="151" t="s">
        <v>1184</v>
      </c>
      <c r="J130" s="151" t="s">
        <v>677</v>
      </c>
      <c r="K130" s="151" t="s">
        <v>2680</v>
      </c>
      <c r="L130" s="151" t="s">
        <v>2297</v>
      </c>
      <c r="M130" s="151" t="s">
        <v>2672</v>
      </c>
      <c r="N130" s="151"/>
      <c r="O130" s="151"/>
      <c r="P130" s="151"/>
      <c r="Q130" s="151"/>
      <c r="R130" s="151" t="s">
        <v>2177</v>
      </c>
      <c r="S130" s="151" t="s">
        <v>2178</v>
      </c>
      <c r="T130" s="151" t="s">
        <v>435</v>
      </c>
      <c r="U130" s="151" t="s">
        <v>2677</v>
      </c>
      <c r="V130" s="151">
        <v>15</v>
      </c>
      <c r="W130" s="151"/>
      <c r="X130" s="151" t="s">
        <v>2508</v>
      </c>
      <c r="Y130" s="151" t="s">
        <v>2677</v>
      </c>
      <c r="Z130" s="151"/>
      <c r="AA130" s="151"/>
      <c r="AB130" s="151" t="s">
        <v>855</v>
      </c>
      <c r="AC130" s="342"/>
    </row>
    <row r="131" spans="1:29">
      <c r="A131" s="151" t="s">
        <v>2168</v>
      </c>
      <c r="B131" s="151" t="s">
        <v>2681</v>
      </c>
      <c r="C131" s="151" t="s">
        <v>2670</v>
      </c>
      <c r="D131" s="151" t="s">
        <v>17</v>
      </c>
      <c r="E131" s="151" t="s">
        <v>2682</v>
      </c>
      <c r="F131" s="151" t="s">
        <v>544</v>
      </c>
      <c r="G131" s="151" t="s">
        <v>2173</v>
      </c>
      <c r="H131" s="151" t="s">
        <v>1274</v>
      </c>
      <c r="I131" s="151" t="s">
        <v>1184</v>
      </c>
      <c r="J131" s="151" t="s">
        <v>677</v>
      </c>
      <c r="K131" s="151" t="s">
        <v>2482</v>
      </c>
      <c r="L131" s="151" t="s">
        <v>2297</v>
      </c>
      <c r="M131" s="151" t="s">
        <v>2672</v>
      </c>
      <c r="N131" s="151"/>
      <c r="O131" s="151"/>
      <c r="P131" s="151"/>
      <c r="Q131" s="151"/>
      <c r="R131" s="151" t="s">
        <v>2177</v>
      </c>
      <c r="S131" s="151" t="s">
        <v>2178</v>
      </c>
      <c r="T131" s="151" t="s">
        <v>2279</v>
      </c>
      <c r="U131" s="151" t="s">
        <v>2400</v>
      </c>
      <c r="V131" s="151">
        <v>8</v>
      </c>
      <c r="W131" s="151" t="s">
        <v>2400</v>
      </c>
      <c r="X131" s="151" t="s">
        <v>2400</v>
      </c>
      <c r="Y131" s="151" t="s">
        <v>2400</v>
      </c>
      <c r="Z131" s="151"/>
      <c r="AA131" s="151"/>
      <c r="AB131" s="151" t="s">
        <v>855</v>
      </c>
      <c r="AC131" s="342"/>
    </row>
    <row r="132" spans="1:29">
      <c r="A132" s="151" t="s">
        <v>2168</v>
      </c>
      <c r="B132" s="151" t="s">
        <v>2683</v>
      </c>
      <c r="C132" s="151" t="s">
        <v>2684</v>
      </c>
      <c r="D132" s="151" t="s">
        <v>17</v>
      </c>
      <c r="E132" s="151" t="s">
        <v>2685</v>
      </c>
      <c r="F132" s="151" t="s">
        <v>544</v>
      </c>
      <c r="G132" s="151" t="s">
        <v>2173</v>
      </c>
      <c r="H132" s="151" t="s">
        <v>1274</v>
      </c>
      <c r="I132" s="151" t="s">
        <v>1184</v>
      </c>
      <c r="J132" s="151" t="s">
        <v>572</v>
      </c>
      <c r="K132" s="151" t="s">
        <v>2686</v>
      </c>
      <c r="L132" s="151" t="s">
        <v>2175</v>
      </c>
      <c r="M132" s="151" t="s">
        <v>2687</v>
      </c>
      <c r="N132" s="151"/>
      <c r="O132" s="151"/>
      <c r="P132" s="151"/>
      <c r="Q132" s="151"/>
      <c r="R132" s="151" t="s">
        <v>2177</v>
      </c>
      <c r="S132" s="151" t="s">
        <v>2178</v>
      </c>
      <c r="T132" s="151" t="s">
        <v>2191</v>
      </c>
      <c r="U132" s="151" t="s">
        <v>2179</v>
      </c>
      <c r="V132" s="151">
        <v>100</v>
      </c>
      <c r="W132" s="151" t="s">
        <v>2185</v>
      </c>
      <c r="X132" s="151" t="s">
        <v>431</v>
      </c>
      <c r="Y132" s="151" t="s">
        <v>2179</v>
      </c>
      <c r="Z132" s="151" t="s">
        <v>2688</v>
      </c>
      <c r="AA132" s="151" t="s">
        <v>2305</v>
      </c>
      <c r="AB132" s="151" t="s">
        <v>855</v>
      </c>
      <c r="AC132" s="342"/>
    </row>
    <row r="133" spans="1:29">
      <c r="A133" s="151" t="s">
        <v>2168</v>
      </c>
      <c r="B133" s="151" t="s">
        <v>2689</v>
      </c>
      <c r="C133" s="151" t="s">
        <v>2684</v>
      </c>
      <c r="D133" s="151" t="s">
        <v>17</v>
      </c>
      <c r="E133" s="151" t="s">
        <v>2690</v>
      </c>
      <c r="F133" s="151" t="s">
        <v>544</v>
      </c>
      <c r="G133" s="151" t="s">
        <v>2173</v>
      </c>
      <c r="H133" s="151" t="s">
        <v>1274</v>
      </c>
      <c r="I133" s="151" t="s">
        <v>1184</v>
      </c>
      <c r="J133" s="151" t="s">
        <v>572</v>
      </c>
      <c r="K133" s="151" t="s">
        <v>2691</v>
      </c>
      <c r="L133" s="151" t="s">
        <v>2175</v>
      </c>
      <c r="M133" s="151" t="s">
        <v>2692</v>
      </c>
      <c r="N133" s="151"/>
      <c r="O133" s="151"/>
      <c r="P133" s="151"/>
      <c r="Q133" s="151"/>
      <c r="R133" s="151" t="s">
        <v>2177</v>
      </c>
      <c r="S133" s="151" t="s">
        <v>2178</v>
      </c>
      <c r="T133" s="151" t="s">
        <v>2191</v>
      </c>
      <c r="U133" s="151" t="s">
        <v>2179</v>
      </c>
      <c r="V133" s="151">
        <v>100</v>
      </c>
      <c r="W133" s="151" t="s">
        <v>2185</v>
      </c>
      <c r="X133" s="151" t="s">
        <v>431</v>
      </c>
      <c r="Y133" s="151" t="s">
        <v>2179</v>
      </c>
      <c r="Z133" s="151" t="s">
        <v>2693</v>
      </c>
      <c r="AA133" s="151" t="s">
        <v>2693</v>
      </c>
      <c r="AB133" s="151" t="s">
        <v>855</v>
      </c>
      <c r="AC133" s="342"/>
    </row>
    <row r="134" spans="1:29">
      <c r="A134" s="151" t="s">
        <v>2168</v>
      </c>
      <c r="B134" s="151" t="s">
        <v>2694</v>
      </c>
      <c r="C134" s="151" t="s">
        <v>2684</v>
      </c>
      <c r="D134" s="151" t="s">
        <v>17</v>
      </c>
      <c r="E134" s="151" t="s">
        <v>2695</v>
      </c>
      <c r="F134" s="151" t="s">
        <v>544</v>
      </c>
      <c r="G134" s="151" t="s">
        <v>2173</v>
      </c>
      <c r="H134" s="151" t="s">
        <v>1274</v>
      </c>
      <c r="I134" s="151" t="s">
        <v>1184</v>
      </c>
      <c r="J134" s="151" t="s">
        <v>572</v>
      </c>
      <c r="K134" s="151" t="s">
        <v>2696</v>
      </c>
      <c r="L134" s="151" t="s">
        <v>2175</v>
      </c>
      <c r="M134" s="151" t="s">
        <v>2687</v>
      </c>
      <c r="N134" s="151"/>
      <c r="O134" s="151"/>
      <c r="P134" s="151"/>
      <c r="Q134" s="151"/>
      <c r="R134" s="151" t="s">
        <v>2177</v>
      </c>
      <c r="S134" s="151" t="s">
        <v>2178</v>
      </c>
      <c r="T134" s="151" t="s">
        <v>2279</v>
      </c>
      <c r="U134" s="151" t="s">
        <v>2400</v>
      </c>
      <c r="V134" s="151">
        <v>10</v>
      </c>
      <c r="W134" s="151" t="s">
        <v>2400</v>
      </c>
      <c r="X134" s="151" t="s">
        <v>2400</v>
      </c>
      <c r="Y134" s="151" t="s">
        <v>2400</v>
      </c>
      <c r="Z134" s="151"/>
      <c r="AA134" s="151"/>
      <c r="AB134" s="151" t="s">
        <v>855</v>
      </c>
      <c r="AC134" s="342"/>
    </row>
    <row r="135" spans="1:29">
      <c r="A135" s="151" t="s">
        <v>2168</v>
      </c>
      <c r="B135" s="151" t="s">
        <v>2697</v>
      </c>
      <c r="C135" s="151" t="s">
        <v>2684</v>
      </c>
      <c r="D135" s="151" t="s">
        <v>17</v>
      </c>
      <c r="E135" s="151" t="s">
        <v>2698</v>
      </c>
      <c r="F135" s="151" t="s">
        <v>544</v>
      </c>
      <c r="G135" s="151" t="s">
        <v>2173</v>
      </c>
      <c r="H135" s="151" t="s">
        <v>1274</v>
      </c>
      <c r="I135" s="151" t="s">
        <v>1184</v>
      </c>
      <c r="J135" s="151" t="s">
        <v>2699</v>
      </c>
      <c r="K135" s="151" t="s">
        <v>2700</v>
      </c>
      <c r="L135" s="151" t="s">
        <v>2218</v>
      </c>
      <c r="M135" s="151" t="s">
        <v>361</v>
      </c>
      <c r="N135" s="151"/>
      <c r="O135" s="151"/>
      <c r="P135" s="151"/>
      <c r="Q135" s="151"/>
      <c r="R135" s="151" t="s">
        <v>2177</v>
      </c>
      <c r="S135" s="151" t="s">
        <v>2178</v>
      </c>
      <c r="T135" s="151" t="s">
        <v>2191</v>
      </c>
      <c r="U135" s="151" t="s">
        <v>2179</v>
      </c>
      <c r="V135" s="151">
        <v>1</v>
      </c>
      <c r="W135" s="151" t="s">
        <v>2373</v>
      </c>
      <c r="X135" s="151" t="s">
        <v>431</v>
      </c>
      <c r="Y135" s="151" t="s">
        <v>2179</v>
      </c>
      <c r="Z135" s="151" t="s">
        <v>2701</v>
      </c>
      <c r="AA135" s="151" t="s">
        <v>2702</v>
      </c>
      <c r="AB135" s="151" t="s">
        <v>855</v>
      </c>
      <c r="AC135" s="342"/>
    </row>
    <row r="136" spans="1:29">
      <c r="A136" s="151" t="s">
        <v>2168</v>
      </c>
      <c r="B136" s="151" t="s">
        <v>2703</v>
      </c>
      <c r="C136" s="151" t="s">
        <v>2684</v>
      </c>
      <c r="D136" s="151" t="s">
        <v>17</v>
      </c>
      <c r="E136" s="151" t="s">
        <v>2704</v>
      </c>
      <c r="F136" s="151" t="s">
        <v>544</v>
      </c>
      <c r="G136" s="151" t="s">
        <v>2173</v>
      </c>
      <c r="H136" s="151" t="s">
        <v>1274</v>
      </c>
      <c r="I136" s="151" t="s">
        <v>1184</v>
      </c>
      <c r="J136" s="151" t="s">
        <v>2699</v>
      </c>
      <c r="K136" s="151" t="s">
        <v>2705</v>
      </c>
      <c r="L136" s="151" t="s">
        <v>2218</v>
      </c>
      <c r="M136" s="151" t="s">
        <v>361</v>
      </c>
      <c r="N136" s="151"/>
      <c r="O136" s="151"/>
      <c r="P136" s="151"/>
      <c r="Q136" s="151"/>
      <c r="R136" s="151" t="s">
        <v>2177</v>
      </c>
      <c r="S136" s="151" t="s">
        <v>2178</v>
      </c>
      <c r="T136" s="151" t="s">
        <v>435</v>
      </c>
      <c r="U136" s="151" t="s">
        <v>2179</v>
      </c>
      <c r="V136" s="151">
        <v>50</v>
      </c>
      <c r="W136" s="151" t="s">
        <v>2180</v>
      </c>
      <c r="X136" s="151" t="s">
        <v>431</v>
      </c>
      <c r="Y136" s="151" t="s">
        <v>2179</v>
      </c>
      <c r="Z136" s="151"/>
      <c r="AA136" s="151"/>
      <c r="AB136" s="151" t="s">
        <v>855</v>
      </c>
      <c r="AC136" s="342"/>
    </row>
    <row r="137" spans="1:29">
      <c r="A137" s="151" t="s">
        <v>2168</v>
      </c>
      <c r="B137" s="151" t="s">
        <v>2706</v>
      </c>
      <c r="C137" s="151" t="s">
        <v>2684</v>
      </c>
      <c r="D137" s="151" t="s">
        <v>17</v>
      </c>
      <c r="E137" s="151" t="s">
        <v>2707</v>
      </c>
      <c r="F137" s="151" t="s">
        <v>544</v>
      </c>
      <c r="G137" s="151" t="s">
        <v>2173</v>
      </c>
      <c r="H137" s="151" t="s">
        <v>1274</v>
      </c>
      <c r="I137" s="151" t="s">
        <v>1184</v>
      </c>
      <c r="J137" s="151" t="s">
        <v>2412</v>
      </c>
      <c r="K137" s="151" t="s">
        <v>2708</v>
      </c>
      <c r="L137" s="151" t="s">
        <v>2218</v>
      </c>
      <c r="M137" s="151" t="s">
        <v>2709</v>
      </c>
      <c r="N137" s="151"/>
      <c r="O137" s="151"/>
      <c r="P137" s="151"/>
      <c r="Q137" s="151"/>
      <c r="R137" s="151" t="s">
        <v>2177</v>
      </c>
      <c r="S137" s="151" t="s">
        <v>2178</v>
      </c>
      <c r="T137" s="151" t="s">
        <v>2710</v>
      </c>
      <c r="U137" s="151" t="s">
        <v>2179</v>
      </c>
      <c r="V137" s="151" t="s">
        <v>361</v>
      </c>
      <c r="W137" s="151">
        <v>300</v>
      </c>
      <c r="X137" s="151" t="s">
        <v>431</v>
      </c>
      <c r="Y137" s="151" t="s">
        <v>2179</v>
      </c>
      <c r="Z137" s="151" t="s">
        <v>2711</v>
      </c>
      <c r="AA137" s="151" t="s">
        <v>2712</v>
      </c>
      <c r="AB137" s="151" t="s">
        <v>855</v>
      </c>
      <c r="AC137" s="342"/>
    </row>
    <row r="138" spans="1:29">
      <c r="A138" s="151" t="s">
        <v>2168</v>
      </c>
      <c r="B138" s="151" t="s">
        <v>2713</v>
      </c>
      <c r="C138" s="151" t="s">
        <v>2684</v>
      </c>
      <c r="D138" s="151" t="s">
        <v>17</v>
      </c>
      <c r="E138" s="151" t="s">
        <v>2714</v>
      </c>
      <c r="F138" s="151" t="s">
        <v>544</v>
      </c>
      <c r="G138" s="151" t="s">
        <v>2173</v>
      </c>
      <c r="H138" s="151" t="s">
        <v>1274</v>
      </c>
      <c r="I138" s="151" t="s">
        <v>1184</v>
      </c>
      <c r="J138" s="151" t="s">
        <v>2412</v>
      </c>
      <c r="K138" s="151" t="s">
        <v>2357</v>
      </c>
      <c r="L138" s="151" t="s">
        <v>2218</v>
      </c>
      <c r="M138" s="151" t="s">
        <v>361</v>
      </c>
      <c r="N138" s="151"/>
      <c r="O138" s="151"/>
      <c r="P138" s="151"/>
      <c r="Q138" s="151"/>
      <c r="R138" s="151" t="s">
        <v>2177</v>
      </c>
      <c r="S138" s="151" t="s">
        <v>2178</v>
      </c>
      <c r="T138" s="151" t="s">
        <v>2213</v>
      </c>
      <c r="U138" s="151" t="s">
        <v>2179</v>
      </c>
      <c r="V138" s="151">
        <v>50</v>
      </c>
      <c r="W138" s="151" t="s">
        <v>2180</v>
      </c>
      <c r="X138" s="151" t="s">
        <v>2445</v>
      </c>
      <c r="Y138" s="151" t="s">
        <v>2179</v>
      </c>
      <c r="Z138" s="151"/>
      <c r="AA138" s="151"/>
      <c r="AB138" s="151" t="s">
        <v>855</v>
      </c>
      <c r="AC138" s="342"/>
    </row>
    <row r="139" spans="1:29">
      <c r="A139" s="151" t="s">
        <v>2168</v>
      </c>
      <c r="B139" s="151" t="s">
        <v>2715</v>
      </c>
      <c r="C139" s="151" t="s">
        <v>2684</v>
      </c>
      <c r="D139" s="151" t="s">
        <v>17</v>
      </c>
      <c r="E139" s="151" t="s">
        <v>2716</v>
      </c>
      <c r="F139" s="151" t="s">
        <v>544</v>
      </c>
      <c r="G139" s="151" t="s">
        <v>2173</v>
      </c>
      <c r="H139" s="151" t="s">
        <v>1274</v>
      </c>
      <c r="I139" s="151" t="s">
        <v>1184</v>
      </c>
      <c r="J139" s="151" t="s">
        <v>2699</v>
      </c>
      <c r="K139" s="151" t="s">
        <v>2717</v>
      </c>
      <c r="L139" s="151" t="s">
        <v>2218</v>
      </c>
      <c r="M139" s="151" t="s">
        <v>361</v>
      </c>
      <c r="N139" s="151"/>
      <c r="O139" s="151"/>
      <c r="P139" s="151"/>
      <c r="Q139" s="151"/>
      <c r="R139" s="151" t="s">
        <v>2177</v>
      </c>
      <c r="S139" s="151" t="s">
        <v>2178</v>
      </c>
      <c r="T139" s="151" t="s">
        <v>2279</v>
      </c>
      <c r="U139" s="151" t="s">
        <v>2400</v>
      </c>
      <c r="V139" s="151">
        <v>8</v>
      </c>
      <c r="W139" s="151" t="s">
        <v>2400</v>
      </c>
      <c r="X139" s="151" t="s">
        <v>2400</v>
      </c>
      <c r="Y139" s="151" t="s">
        <v>2400</v>
      </c>
      <c r="Z139" s="151"/>
      <c r="AA139" s="151"/>
      <c r="AB139" s="151" t="s">
        <v>855</v>
      </c>
      <c r="AC139" s="342"/>
    </row>
    <row r="140" spans="1:29">
      <c r="A140" s="151" t="s">
        <v>2168</v>
      </c>
      <c r="B140" s="151" t="s">
        <v>2350</v>
      </c>
      <c r="C140" s="151" t="s">
        <v>2684</v>
      </c>
      <c r="D140" s="151" t="s">
        <v>17</v>
      </c>
      <c r="E140" s="151" t="s">
        <v>2718</v>
      </c>
      <c r="F140" s="151" t="s">
        <v>544</v>
      </c>
      <c r="G140" s="151" t="s">
        <v>2173</v>
      </c>
      <c r="H140" s="151" t="s">
        <v>1274</v>
      </c>
      <c r="I140" s="151" t="s">
        <v>1184</v>
      </c>
      <c r="J140" s="151" t="s">
        <v>2699</v>
      </c>
      <c r="K140" s="151" t="s">
        <v>2719</v>
      </c>
      <c r="L140" s="151" t="s">
        <v>2218</v>
      </c>
      <c r="M140" s="151" t="s">
        <v>361</v>
      </c>
      <c r="N140" s="151"/>
      <c r="O140" s="151"/>
      <c r="P140" s="151"/>
      <c r="Q140" s="151"/>
      <c r="R140" s="151" t="s">
        <v>2177</v>
      </c>
      <c r="S140" s="151" t="s">
        <v>2178</v>
      </c>
      <c r="T140" s="151" t="s">
        <v>2279</v>
      </c>
      <c r="U140" s="151" t="s">
        <v>2400</v>
      </c>
      <c r="V140" s="151">
        <v>8</v>
      </c>
      <c r="W140" s="151" t="s">
        <v>2400</v>
      </c>
      <c r="X140" s="151" t="s">
        <v>2400</v>
      </c>
      <c r="Y140" s="151" t="s">
        <v>2400</v>
      </c>
      <c r="Z140" s="151"/>
      <c r="AA140" s="151"/>
      <c r="AB140" s="151" t="s">
        <v>855</v>
      </c>
      <c r="AC140" s="342"/>
    </row>
    <row r="141" spans="1:29">
      <c r="A141" s="151" t="s">
        <v>2168</v>
      </c>
      <c r="B141" s="151" t="s">
        <v>2720</v>
      </c>
      <c r="C141" s="151" t="s">
        <v>2684</v>
      </c>
      <c r="D141" s="151" t="s">
        <v>17</v>
      </c>
      <c r="E141" s="151" t="s">
        <v>2721</v>
      </c>
      <c r="F141" s="151" t="s">
        <v>544</v>
      </c>
      <c r="G141" s="151" t="s">
        <v>2173</v>
      </c>
      <c r="H141" s="151" t="s">
        <v>1274</v>
      </c>
      <c r="I141" s="151" t="s">
        <v>1184</v>
      </c>
      <c r="J141" s="151" t="s">
        <v>2699</v>
      </c>
      <c r="K141" s="151" t="s">
        <v>2722</v>
      </c>
      <c r="L141" s="151" t="s">
        <v>2218</v>
      </c>
      <c r="M141" s="151" t="s">
        <v>361</v>
      </c>
      <c r="N141" s="151"/>
      <c r="O141" s="151"/>
      <c r="P141" s="151"/>
      <c r="Q141" s="151"/>
      <c r="R141" s="151" t="s">
        <v>2177</v>
      </c>
      <c r="S141" s="151" t="s">
        <v>2178</v>
      </c>
      <c r="T141" s="151" t="s">
        <v>2191</v>
      </c>
      <c r="U141" s="151" t="s">
        <v>2179</v>
      </c>
      <c r="V141" s="151">
        <v>50</v>
      </c>
      <c r="W141" s="151" t="s">
        <v>2180</v>
      </c>
      <c r="X141" s="151" t="s">
        <v>431</v>
      </c>
      <c r="Y141" s="151" t="s">
        <v>2179</v>
      </c>
      <c r="Z141" s="151" t="s">
        <v>2305</v>
      </c>
      <c r="AA141" s="151" t="s">
        <v>2305</v>
      </c>
      <c r="AB141" s="151" t="s">
        <v>855</v>
      </c>
      <c r="AC141" s="342"/>
    </row>
    <row r="142" spans="1:29">
      <c r="A142" s="151" t="s">
        <v>2168</v>
      </c>
      <c r="B142" s="151" t="s">
        <v>2723</v>
      </c>
      <c r="C142" s="151" t="s">
        <v>2684</v>
      </c>
      <c r="D142" s="151" t="s">
        <v>17</v>
      </c>
      <c r="E142" s="151" t="s">
        <v>2724</v>
      </c>
      <c r="F142" s="151" t="s">
        <v>544</v>
      </c>
      <c r="G142" s="151" t="s">
        <v>2173</v>
      </c>
      <c r="H142" s="151" t="s">
        <v>1274</v>
      </c>
      <c r="I142" s="151" t="s">
        <v>1184</v>
      </c>
      <c r="J142" s="151" t="s">
        <v>2699</v>
      </c>
      <c r="K142" s="151" t="s">
        <v>2725</v>
      </c>
      <c r="L142" s="151" t="s">
        <v>2218</v>
      </c>
      <c r="M142" s="151" t="s">
        <v>361</v>
      </c>
      <c r="N142" s="151"/>
      <c r="O142" s="151"/>
      <c r="P142" s="151"/>
      <c r="Q142" s="151"/>
      <c r="R142" s="151" t="s">
        <v>2177</v>
      </c>
      <c r="S142" s="151" t="s">
        <v>2178</v>
      </c>
      <c r="T142" s="151" t="s">
        <v>2191</v>
      </c>
      <c r="U142" s="151" t="s">
        <v>2179</v>
      </c>
      <c r="V142" s="151">
        <v>50</v>
      </c>
      <c r="W142" s="151" t="s">
        <v>2180</v>
      </c>
      <c r="X142" s="151" t="s">
        <v>431</v>
      </c>
      <c r="Y142" s="151" t="s">
        <v>2179</v>
      </c>
      <c r="Z142" s="151" t="s">
        <v>2726</v>
      </c>
      <c r="AA142" s="151" t="s">
        <v>2726</v>
      </c>
      <c r="AB142" s="151" t="s">
        <v>855</v>
      </c>
      <c r="AC142" s="342"/>
    </row>
    <row r="143" spans="1:29">
      <c r="A143" s="151" t="s">
        <v>2168</v>
      </c>
      <c r="B143" s="151" t="s">
        <v>2727</v>
      </c>
      <c r="C143" s="151" t="s">
        <v>2684</v>
      </c>
      <c r="D143" s="151" t="s">
        <v>17</v>
      </c>
      <c r="E143" s="151" t="s">
        <v>2728</v>
      </c>
      <c r="F143" s="151" t="s">
        <v>544</v>
      </c>
      <c r="G143" s="151" t="s">
        <v>2173</v>
      </c>
      <c r="H143" s="151" t="s">
        <v>1274</v>
      </c>
      <c r="I143" s="151" t="s">
        <v>1184</v>
      </c>
      <c r="J143" s="151" t="s">
        <v>2699</v>
      </c>
      <c r="K143" s="151" t="s">
        <v>2729</v>
      </c>
      <c r="L143" s="151" t="s">
        <v>2218</v>
      </c>
      <c r="M143" s="151" t="s">
        <v>361</v>
      </c>
      <c r="N143" s="151"/>
      <c r="O143" s="151"/>
      <c r="P143" s="151"/>
      <c r="Q143" s="151"/>
      <c r="R143" s="151" t="s">
        <v>2177</v>
      </c>
      <c r="S143" s="151" t="s">
        <v>2178</v>
      </c>
      <c r="T143" s="151" t="s">
        <v>435</v>
      </c>
      <c r="U143" s="151" t="s">
        <v>2179</v>
      </c>
      <c r="V143" s="151">
        <v>150</v>
      </c>
      <c r="W143" s="151" t="s">
        <v>2503</v>
      </c>
      <c r="X143" s="151" t="s">
        <v>431</v>
      </c>
      <c r="Y143" s="151" t="s">
        <v>2179</v>
      </c>
      <c r="Z143" s="151"/>
      <c r="AA143" s="151"/>
      <c r="AB143" s="151" t="s">
        <v>855</v>
      </c>
      <c r="AC143" s="342"/>
    </row>
    <row r="144" spans="1:29">
      <c r="A144" s="151" t="s">
        <v>2168</v>
      </c>
      <c r="B144" s="151" t="s">
        <v>2730</v>
      </c>
      <c r="C144" s="151" t="s">
        <v>2684</v>
      </c>
      <c r="D144" s="151" t="s">
        <v>17</v>
      </c>
      <c r="E144" s="151" t="s">
        <v>2731</v>
      </c>
      <c r="F144" s="151" t="s">
        <v>544</v>
      </c>
      <c r="G144" s="151" t="s">
        <v>2173</v>
      </c>
      <c r="H144" s="151" t="s">
        <v>1274</v>
      </c>
      <c r="I144" s="151" t="s">
        <v>1184</v>
      </c>
      <c r="J144" s="151" t="s">
        <v>2699</v>
      </c>
      <c r="K144" s="151" t="s">
        <v>2732</v>
      </c>
      <c r="L144" s="151" t="s">
        <v>2218</v>
      </c>
      <c r="M144" s="151" t="s">
        <v>361</v>
      </c>
      <c r="N144" s="151"/>
      <c r="O144" s="151"/>
      <c r="P144" s="151"/>
      <c r="Q144" s="151"/>
      <c r="R144" s="151" t="s">
        <v>2177</v>
      </c>
      <c r="S144" s="151" t="s">
        <v>2178</v>
      </c>
      <c r="T144" s="151" t="s">
        <v>435</v>
      </c>
      <c r="U144" s="151" t="s">
        <v>2179</v>
      </c>
      <c r="V144" s="151">
        <v>150</v>
      </c>
      <c r="W144" s="151" t="s">
        <v>2503</v>
      </c>
      <c r="X144" s="151" t="s">
        <v>431</v>
      </c>
      <c r="Y144" s="151" t="s">
        <v>2179</v>
      </c>
      <c r="Z144" s="151"/>
      <c r="AA144" s="151"/>
      <c r="AB144" s="151" t="s">
        <v>855</v>
      </c>
      <c r="AC144" s="342"/>
    </row>
    <row r="145" spans="1:29">
      <c r="A145" s="151" t="s">
        <v>2168</v>
      </c>
      <c r="B145" s="151" t="s">
        <v>2733</v>
      </c>
      <c r="C145" s="151" t="s">
        <v>2684</v>
      </c>
      <c r="D145" s="151" t="s">
        <v>17</v>
      </c>
      <c r="E145" s="151" t="s">
        <v>2734</v>
      </c>
      <c r="F145" s="151" t="s">
        <v>544</v>
      </c>
      <c r="G145" s="151" t="s">
        <v>2173</v>
      </c>
      <c r="H145" s="151" t="s">
        <v>1274</v>
      </c>
      <c r="I145" s="151" t="s">
        <v>1184</v>
      </c>
      <c r="J145" s="151" t="s">
        <v>2735</v>
      </c>
      <c r="K145" s="151" t="s">
        <v>2736</v>
      </c>
      <c r="L145" s="151" t="s">
        <v>2297</v>
      </c>
      <c r="M145" s="151" t="s">
        <v>2737</v>
      </c>
      <c r="N145" s="151"/>
      <c r="O145" s="151"/>
      <c r="P145" s="151"/>
      <c r="Q145" s="151"/>
      <c r="R145" s="151" t="s">
        <v>2177</v>
      </c>
      <c r="S145" s="151" t="s">
        <v>2178</v>
      </c>
      <c r="T145" s="151" t="s">
        <v>435</v>
      </c>
      <c r="U145" s="151" t="s">
        <v>2179</v>
      </c>
      <c r="V145" s="151">
        <v>50</v>
      </c>
      <c r="W145" s="151" t="s">
        <v>2180</v>
      </c>
      <c r="X145" s="151" t="s">
        <v>431</v>
      </c>
      <c r="Y145" s="151" t="s">
        <v>2179</v>
      </c>
      <c r="Z145" s="151"/>
      <c r="AA145" s="151"/>
      <c r="AB145" s="151" t="s">
        <v>855</v>
      </c>
      <c r="AC145" s="342"/>
    </row>
    <row r="146" spans="1:29">
      <c r="A146" s="151" t="s">
        <v>2168</v>
      </c>
      <c r="B146" s="151" t="s">
        <v>2703</v>
      </c>
      <c r="C146" s="151" t="s">
        <v>2684</v>
      </c>
      <c r="D146" s="151" t="s">
        <v>17</v>
      </c>
      <c r="E146" s="151" t="s">
        <v>2738</v>
      </c>
      <c r="F146" s="151" t="s">
        <v>544</v>
      </c>
      <c r="G146" s="151" t="s">
        <v>2173</v>
      </c>
      <c r="H146" s="151" t="s">
        <v>1274</v>
      </c>
      <c r="I146" s="151" t="s">
        <v>1184</v>
      </c>
      <c r="J146" s="151" t="s">
        <v>2735</v>
      </c>
      <c r="K146" s="151" t="s">
        <v>2739</v>
      </c>
      <c r="L146" s="151" t="s">
        <v>2297</v>
      </c>
      <c r="M146" s="151" t="s">
        <v>2737</v>
      </c>
      <c r="N146" s="151"/>
      <c r="O146" s="151"/>
      <c r="P146" s="151"/>
      <c r="Q146" s="151"/>
      <c r="R146" s="151" t="s">
        <v>2177</v>
      </c>
      <c r="S146" s="151" t="s">
        <v>2178</v>
      </c>
      <c r="T146" s="151" t="s">
        <v>435</v>
      </c>
      <c r="U146" s="151" t="s">
        <v>2179</v>
      </c>
      <c r="V146" s="151">
        <v>20</v>
      </c>
      <c r="W146" s="151" t="s">
        <v>2180</v>
      </c>
      <c r="X146" s="151" t="s">
        <v>431</v>
      </c>
      <c r="Y146" s="151" t="s">
        <v>2179</v>
      </c>
      <c r="Z146" s="151"/>
      <c r="AA146" s="151"/>
      <c r="AB146" s="151" t="s">
        <v>855</v>
      </c>
      <c r="AC146" s="342"/>
    </row>
    <row r="147" spans="1:29">
      <c r="A147" s="151" t="s">
        <v>2168</v>
      </c>
      <c r="B147" s="151" t="s">
        <v>2740</v>
      </c>
      <c r="C147" s="151" t="s">
        <v>2684</v>
      </c>
      <c r="D147" s="151" t="s">
        <v>17</v>
      </c>
      <c r="E147" s="151" t="s">
        <v>2741</v>
      </c>
      <c r="F147" s="151" t="s">
        <v>544</v>
      </c>
      <c r="G147" s="151" t="s">
        <v>2173</v>
      </c>
      <c r="H147" s="151" t="s">
        <v>1274</v>
      </c>
      <c r="I147" s="151" t="s">
        <v>1184</v>
      </c>
      <c r="J147" s="151" t="s">
        <v>2735</v>
      </c>
      <c r="K147" s="151" t="s">
        <v>2742</v>
      </c>
      <c r="L147" s="151" t="s">
        <v>2297</v>
      </c>
      <c r="M147" s="151" t="s">
        <v>2737</v>
      </c>
      <c r="N147" s="151"/>
      <c r="O147" s="151"/>
      <c r="P147" s="151"/>
      <c r="Q147" s="151"/>
      <c r="R147" s="151" t="s">
        <v>2177</v>
      </c>
      <c r="S147" s="151" t="s">
        <v>2178</v>
      </c>
      <c r="T147" s="151" t="s">
        <v>2191</v>
      </c>
      <c r="U147" s="151" t="s">
        <v>2179</v>
      </c>
      <c r="V147" s="151">
        <v>20</v>
      </c>
      <c r="W147" s="151" t="s">
        <v>2180</v>
      </c>
      <c r="X147" s="151" t="s">
        <v>431</v>
      </c>
      <c r="Y147" s="151" t="s">
        <v>2179</v>
      </c>
      <c r="Z147" s="151" t="s">
        <v>2743</v>
      </c>
      <c r="AA147" s="151" t="s">
        <v>2744</v>
      </c>
      <c r="AB147" s="151" t="s">
        <v>855</v>
      </c>
      <c r="AC147" s="342"/>
    </row>
    <row r="148" spans="1:29">
      <c r="A148" s="151" t="s">
        <v>2168</v>
      </c>
      <c r="B148" s="151" t="s">
        <v>2745</v>
      </c>
      <c r="C148" s="151" t="s">
        <v>2684</v>
      </c>
      <c r="D148" s="151" t="s">
        <v>17</v>
      </c>
      <c r="E148" s="151" t="s">
        <v>2746</v>
      </c>
      <c r="F148" s="151" t="s">
        <v>544</v>
      </c>
      <c r="G148" s="151" t="s">
        <v>2173</v>
      </c>
      <c r="H148" s="151" t="s">
        <v>1274</v>
      </c>
      <c r="I148" s="151" t="s">
        <v>1184</v>
      </c>
      <c r="J148" s="151" t="s">
        <v>2735</v>
      </c>
      <c r="K148" s="151" t="s">
        <v>2747</v>
      </c>
      <c r="L148" s="151" t="s">
        <v>2297</v>
      </c>
      <c r="M148" s="151" t="s">
        <v>2737</v>
      </c>
      <c r="N148" s="151"/>
      <c r="O148" s="151"/>
      <c r="P148" s="151"/>
      <c r="Q148" s="151"/>
      <c r="R148" s="151" t="s">
        <v>2177</v>
      </c>
      <c r="S148" s="151" t="s">
        <v>2178</v>
      </c>
      <c r="T148" s="151" t="s">
        <v>435</v>
      </c>
      <c r="U148" s="151" t="s">
        <v>2179</v>
      </c>
      <c r="V148" s="151">
        <v>225</v>
      </c>
      <c r="W148" s="151" t="s">
        <v>2748</v>
      </c>
      <c r="X148" s="151" t="s">
        <v>431</v>
      </c>
      <c r="Y148" s="151" t="s">
        <v>2179</v>
      </c>
      <c r="Z148" s="151"/>
      <c r="AA148" s="151"/>
      <c r="AB148" s="151" t="s">
        <v>855</v>
      </c>
      <c r="AC148" s="342"/>
    </row>
    <row r="149" spans="1:29">
      <c r="A149" s="151" t="s">
        <v>2168</v>
      </c>
      <c r="B149" s="151" t="s">
        <v>2749</v>
      </c>
      <c r="C149" s="151" t="s">
        <v>2750</v>
      </c>
      <c r="D149" s="151" t="s">
        <v>17</v>
      </c>
      <c r="E149" s="151" t="s">
        <v>2751</v>
      </c>
      <c r="F149" s="151" t="s">
        <v>544</v>
      </c>
      <c r="G149" s="151" t="s">
        <v>2173</v>
      </c>
      <c r="H149" s="151" t="s">
        <v>1274</v>
      </c>
      <c r="I149" s="151" t="s">
        <v>1184</v>
      </c>
      <c r="J149" s="151" t="s">
        <v>618</v>
      </c>
      <c r="K149" s="151" t="s">
        <v>2752</v>
      </c>
      <c r="L149" s="151" t="s">
        <v>2211</v>
      </c>
      <c r="M149" s="151" t="s">
        <v>2753</v>
      </c>
      <c r="N149" s="151"/>
      <c r="O149" s="151"/>
      <c r="P149" s="151"/>
      <c r="Q149" s="151"/>
      <c r="R149" s="151" t="s">
        <v>2177</v>
      </c>
      <c r="S149" s="151" t="s">
        <v>2178</v>
      </c>
      <c r="T149" s="151" t="s">
        <v>2191</v>
      </c>
      <c r="U149" s="151" t="s">
        <v>2179</v>
      </c>
      <c r="V149" s="151" t="s">
        <v>49</v>
      </c>
      <c r="W149" s="151" t="s">
        <v>2503</v>
      </c>
      <c r="X149" s="151" t="s">
        <v>431</v>
      </c>
      <c r="Y149" s="151" t="s">
        <v>2179</v>
      </c>
      <c r="Z149" s="151" t="s">
        <v>2754</v>
      </c>
      <c r="AA149" s="151" t="s">
        <v>2755</v>
      </c>
      <c r="AB149" s="151" t="s">
        <v>855</v>
      </c>
      <c r="AC149" s="342"/>
    </row>
    <row r="150" spans="1:29">
      <c r="A150" s="151" t="s">
        <v>2168</v>
      </c>
      <c r="B150" s="151" t="s">
        <v>2756</v>
      </c>
      <c r="C150" s="151" t="s">
        <v>2750</v>
      </c>
      <c r="D150" s="151" t="s">
        <v>17</v>
      </c>
      <c r="E150" s="151" t="s">
        <v>2757</v>
      </c>
      <c r="F150" s="151" t="s">
        <v>544</v>
      </c>
      <c r="G150" s="151" t="s">
        <v>2173</v>
      </c>
      <c r="H150" s="151" t="s">
        <v>1274</v>
      </c>
      <c r="I150" s="151" t="s">
        <v>1184</v>
      </c>
      <c r="J150" s="151" t="s">
        <v>618</v>
      </c>
      <c r="K150" s="151" t="s">
        <v>2210</v>
      </c>
      <c r="L150" s="151" t="s">
        <v>2211</v>
      </c>
      <c r="M150" s="151" t="s">
        <v>2758</v>
      </c>
      <c r="N150" s="151"/>
      <c r="O150" s="151"/>
      <c r="P150" s="151"/>
      <c r="Q150" s="151"/>
      <c r="R150" s="151" t="s">
        <v>2177</v>
      </c>
      <c r="S150" s="151" t="s">
        <v>2178</v>
      </c>
      <c r="T150" s="151" t="s">
        <v>435</v>
      </c>
      <c r="U150" s="151" t="s">
        <v>2179</v>
      </c>
      <c r="V150" s="151">
        <v>25</v>
      </c>
      <c r="W150" s="151" t="s">
        <v>2417</v>
      </c>
      <c r="X150" s="151" t="s">
        <v>431</v>
      </c>
      <c r="Y150" s="151" t="s">
        <v>2179</v>
      </c>
      <c r="Z150" s="151"/>
      <c r="AA150" s="151"/>
      <c r="AB150" s="151" t="s">
        <v>855</v>
      </c>
      <c r="AC150" s="342"/>
    </row>
    <row r="151" spans="1:29">
      <c r="A151" s="151" t="s">
        <v>2168</v>
      </c>
      <c r="B151" s="151" t="s">
        <v>2759</v>
      </c>
      <c r="C151" s="151" t="s">
        <v>2750</v>
      </c>
      <c r="D151" s="151" t="s">
        <v>17</v>
      </c>
      <c r="E151" s="151" t="s">
        <v>2760</v>
      </c>
      <c r="F151" s="151" t="s">
        <v>544</v>
      </c>
      <c r="G151" s="151" t="s">
        <v>2173</v>
      </c>
      <c r="H151" s="151" t="s">
        <v>1274</v>
      </c>
      <c r="I151" s="151" t="s">
        <v>1184</v>
      </c>
      <c r="J151" s="151" t="s">
        <v>618</v>
      </c>
      <c r="K151" s="151" t="s">
        <v>2752</v>
      </c>
      <c r="L151" s="151" t="s">
        <v>2211</v>
      </c>
      <c r="M151" s="151" t="s">
        <v>2753</v>
      </c>
      <c r="N151" s="151"/>
      <c r="O151" s="151"/>
      <c r="P151" s="151"/>
      <c r="Q151" s="151"/>
      <c r="R151" s="151" t="s">
        <v>2177</v>
      </c>
      <c r="S151" s="151" t="s">
        <v>2178</v>
      </c>
      <c r="T151" s="151" t="s">
        <v>2191</v>
      </c>
      <c r="U151" s="151" t="s">
        <v>2179</v>
      </c>
      <c r="V151" s="151">
        <v>200</v>
      </c>
      <c r="W151" s="151" t="s">
        <v>2503</v>
      </c>
      <c r="X151" s="151" t="s">
        <v>431</v>
      </c>
      <c r="Y151" s="151" t="s">
        <v>2179</v>
      </c>
      <c r="Z151" s="151" t="s">
        <v>2761</v>
      </c>
      <c r="AA151" s="151" t="s">
        <v>2762</v>
      </c>
      <c r="AB151" s="151" t="s">
        <v>855</v>
      </c>
      <c r="AC151" s="342"/>
    </row>
    <row r="152" spans="1:29">
      <c r="A152" s="151" t="s">
        <v>2168</v>
      </c>
      <c r="B152" s="151" t="s">
        <v>2763</v>
      </c>
      <c r="C152" s="151" t="s">
        <v>2750</v>
      </c>
      <c r="D152" s="151" t="s">
        <v>17</v>
      </c>
      <c r="E152" s="151" t="s">
        <v>2764</v>
      </c>
      <c r="F152" s="151" t="s">
        <v>544</v>
      </c>
      <c r="G152" s="151" t="s">
        <v>2173</v>
      </c>
      <c r="H152" s="151" t="s">
        <v>1274</v>
      </c>
      <c r="I152" s="151" t="s">
        <v>1184</v>
      </c>
      <c r="J152" s="151" t="s">
        <v>618</v>
      </c>
      <c r="K152" s="151" t="s">
        <v>2765</v>
      </c>
      <c r="L152" s="151" t="s">
        <v>2211</v>
      </c>
      <c r="M152" s="151" t="s">
        <v>2753</v>
      </c>
      <c r="N152" s="151"/>
      <c r="O152" s="151"/>
      <c r="P152" s="151"/>
      <c r="Q152" s="151"/>
      <c r="R152" s="151" t="s">
        <v>2177</v>
      </c>
      <c r="S152" s="151" t="s">
        <v>2178</v>
      </c>
      <c r="T152" s="151" t="s">
        <v>435</v>
      </c>
      <c r="U152" s="151" t="s">
        <v>2179</v>
      </c>
      <c r="V152" s="151">
        <v>10</v>
      </c>
      <c r="W152" s="151" t="s">
        <v>2615</v>
      </c>
      <c r="X152" s="151" t="s">
        <v>431</v>
      </c>
      <c r="Y152" s="151" t="s">
        <v>2179</v>
      </c>
      <c r="Z152" s="151"/>
      <c r="AA152" s="151"/>
      <c r="AB152" s="151" t="s">
        <v>855</v>
      </c>
      <c r="AC152" s="342"/>
    </row>
    <row r="153" spans="1:29">
      <c r="A153" s="151" t="s">
        <v>2168</v>
      </c>
      <c r="B153" s="151" t="s">
        <v>2766</v>
      </c>
      <c r="C153" s="151" t="s">
        <v>2750</v>
      </c>
      <c r="D153" s="151" t="s">
        <v>17</v>
      </c>
      <c r="E153" s="151" t="s">
        <v>2767</v>
      </c>
      <c r="F153" s="151" t="s">
        <v>544</v>
      </c>
      <c r="G153" s="151" t="s">
        <v>2173</v>
      </c>
      <c r="H153" s="151" t="s">
        <v>1274</v>
      </c>
      <c r="I153" s="151" t="s">
        <v>1184</v>
      </c>
      <c r="J153" s="151" t="s">
        <v>618</v>
      </c>
      <c r="K153" s="151" t="s">
        <v>2768</v>
      </c>
      <c r="L153" s="151" t="s">
        <v>2211</v>
      </c>
      <c r="M153" s="151" t="s">
        <v>2753</v>
      </c>
      <c r="N153" s="151"/>
      <c r="O153" s="151"/>
      <c r="P153" s="151"/>
      <c r="Q153" s="151"/>
      <c r="R153" s="151" t="s">
        <v>2177</v>
      </c>
      <c r="S153" s="151" t="s">
        <v>2178</v>
      </c>
      <c r="T153" s="151" t="s">
        <v>435</v>
      </c>
      <c r="U153" s="151" t="s">
        <v>2179</v>
      </c>
      <c r="V153" s="151">
        <v>10</v>
      </c>
      <c r="W153" s="151" t="s">
        <v>2615</v>
      </c>
      <c r="X153" s="151" t="s">
        <v>431</v>
      </c>
      <c r="Y153" s="151" t="s">
        <v>2179</v>
      </c>
      <c r="Z153" s="151"/>
      <c r="AA153" s="151"/>
      <c r="AB153" s="151" t="s">
        <v>855</v>
      </c>
      <c r="AC153" s="342"/>
    </row>
    <row r="154" spans="1:29">
      <c r="A154" s="151" t="s">
        <v>2168</v>
      </c>
      <c r="B154" s="151" t="s">
        <v>2769</v>
      </c>
      <c r="C154" s="151" t="s">
        <v>2750</v>
      </c>
      <c r="D154" s="151" t="s">
        <v>17</v>
      </c>
      <c r="E154" s="151" t="s">
        <v>2770</v>
      </c>
      <c r="F154" s="151" t="s">
        <v>544</v>
      </c>
      <c r="G154" s="151" t="s">
        <v>2173</v>
      </c>
      <c r="H154" s="151" t="s">
        <v>1274</v>
      </c>
      <c r="I154" s="151" t="s">
        <v>1184</v>
      </c>
      <c r="J154" s="151" t="s">
        <v>618</v>
      </c>
      <c r="K154" s="151" t="s">
        <v>2210</v>
      </c>
      <c r="L154" s="151" t="s">
        <v>2211</v>
      </c>
      <c r="M154" s="151" t="s">
        <v>2753</v>
      </c>
      <c r="N154" s="151"/>
      <c r="O154" s="151"/>
      <c r="P154" s="151"/>
      <c r="Q154" s="151"/>
      <c r="R154" s="151" t="s">
        <v>2177</v>
      </c>
      <c r="S154" s="151" t="s">
        <v>2178</v>
      </c>
      <c r="T154" s="151" t="s">
        <v>435</v>
      </c>
      <c r="U154" s="151" t="s">
        <v>2179</v>
      </c>
      <c r="V154" s="151">
        <v>25</v>
      </c>
      <c r="W154" s="151" t="s">
        <v>2417</v>
      </c>
      <c r="X154" s="151" t="s">
        <v>431</v>
      </c>
      <c r="Y154" s="151" t="s">
        <v>2179</v>
      </c>
      <c r="Z154" s="151"/>
      <c r="AA154" s="151"/>
      <c r="AB154" s="151" t="s">
        <v>855</v>
      </c>
      <c r="AC154" s="342"/>
    </row>
    <row r="155" spans="1:29">
      <c r="A155" s="151" t="s">
        <v>2168</v>
      </c>
      <c r="B155" s="151" t="s">
        <v>2771</v>
      </c>
      <c r="C155" s="151" t="s">
        <v>2750</v>
      </c>
      <c r="D155" s="151" t="s">
        <v>17</v>
      </c>
      <c r="E155" s="151" t="s">
        <v>2772</v>
      </c>
      <c r="F155" s="151" t="s">
        <v>544</v>
      </c>
      <c r="G155" s="151" t="s">
        <v>2173</v>
      </c>
      <c r="H155" s="151" t="s">
        <v>1274</v>
      </c>
      <c r="I155" s="151" t="s">
        <v>1184</v>
      </c>
      <c r="J155" s="151" t="s">
        <v>618</v>
      </c>
      <c r="K155" s="151" t="s">
        <v>2773</v>
      </c>
      <c r="L155" s="151" t="s">
        <v>2211</v>
      </c>
      <c r="M155" s="151" t="s">
        <v>2753</v>
      </c>
      <c r="N155" s="151"/>
      <c r="O155" s="151"/>
      <c r="P155" s="151"/>
      <c r="Q155" s="151"/>
      <c r="R155" s="151" t="s">
        <v>2177</v>
      </c>
      <c r="S155" s="151" t="s">
        <v>2178</v>
      </c>
      <c r="T155" s="151" t="s">
        <v>435</v>
      </c>
      <c r="U155" s="151" t="s">
        <v>2179</v>
      </c>
      <c r="V155" s="151">
        <v>30</v>
      </c>
      <c r="W155" s="151" t="s">
        <v>2774</v>
      </c>
      <c r="X155" s="151" t="s">
        <v>431</v>
      </c>
      <c r="Y155" s="151" t="s">
        <v>2179</v>
      </c>
      <c r="Z155" s="151"/>
      <c r="AA155" s="151"/>
      <c r="AB155" s="151" t="s">
        <v>855</v>
      </c>
      <c r="AC155" s="342"/>
    </row>
    <row r="156" spans="1:29">
      <c r="A156" s="151" t="s">
        <v>2168</v>
      </c>
      <c r="B156" s="151" t="s">
        <v>2749</v>
      </c>
      <c r="C156" s="151" t="s">
        <v>2750</v>
      </c>
      <c r="D156" s="151" t="s">
        <v>17</v>
      </c>
      <c r="E156" s="151" t="s">
        <v>2775</v>
      </c>
      <c r="F156" s="151" t="s">
        <v>544</v>
      </c>
      <c r="G156" s="151" t="s">
        <v>2173</v>
      </c>
      <c r="H156" s="151" t="s">
        <v>1274</v>
      </c>
      <c r="I156" s="151" t="s">
        <v>1184</v>
      </c>
      <c r="J156" s="151" t="s">
        <v>618</v>
      </c>
      <c r="K156" s="151" t="s">
        <v>2776</v>
      </c>
      <c r="L156" s="151" t="s">
        <v>2211</v>
      </c>
      <c r="M156" s="151" t="s">
        <v>2777</v>
      </c>
      <c r="N156" s="151"/>
      <c r="O156" s="151"/>
      <c r="P156" s="151"/>
      <c r="Q156" s="151"/>
      <c r="R156" s="151" t="s">
        <v>2177</v>
      </c>
      <c r="S156" s="151" t="s">
        <v>2178</v>
      </c>
      <c r="T156" s="151" t="s">
        <v>2191</v>
      </c>
      <c r="U156" s="151" t="s">
        <v>2179</v>
      </c>
      <c r="V156" s="151" t="s">
        <v>49</v>
      </c>
      <c r="W156" s="151" t="s">
        <v>2503</v>
      </c>
      <c r="X156" s="151" t="s">
        <v>431</v>
      </c>
      <c r="Y156" s="151" t="s">
        <v>2179</v>
      </c>
      <c r="Z156" s="151" t="s">
        <v>2778</v>
      </c>
      <c r="AA156" s="151" t="s">
        <v>2779</v>
      </c>
      <c r="AB156" s="151" t="s">
        <v>855</v>
      </c>
      <c r="AC156" s="342"/>
    </row>
    <row r="157" spans="1:29">
      <c r="A157" s="151" t="s">
        <v>2168</v>
      </c>
      <c r="B157" s="151" t="s">
        <v>2780</v>
      </c>
      <c r="C157" s="151" t="s">
        <v>2750</v>
      </c>
      <c r="D157" s="151" t="s">
        <v>17</v>
      </c>
      <c r="E157" s="151" t="s">
        <v>2760</v>
      </c>
      <c r="F157" s="151" t="s">
        <v>544</v>
      </c>
      <c r="G157" s="151" t="s">
        <v>2173</v>
      </c>
      <c r="H157" s="151" t="s">
        <v>1274</v>
      </c>
      <c r="I157" s="151" t="s">
        <v>1184</v>
      </c>
      <c r="J157" s="151" t="s">
        <v>618</v>
      </c>
      <c r="K157" s="151" t="s">
        <v>2752</v>
      </c>
      <c r="L157" s="151" t="s">
        <v>2211</v>
      </c>
      <c r="M157" s="151" t="s">
        <v>2781</v>
      </c>
      <c r="N157" s="151"/>
      <c r="O157" s="151"/>
      <c r="P157" s="151"/>
      <c r="Q157" s="151"/>
      <c r="R157" s="151" t="s">
        <v>2177</v>
      </c>
      <c r="S157" s="151" t="s">
        <v>2178</v>
      </c>
      <c r="T157" s="151" t="s">
        <v>2191</v>
      </c>
      <c r="U157" s="151" t="s">
        <v>2179</v>
      </c>
      <c r="V157" s="151">
        <v>200</v>
      </c>
      <c r="W157" s="151" t="s">
        <v>2503</v>
      </c>
      <c r="X157" s="151" t="s">
        <v>431</v>
      </c>
      <c r="Y157" s="151" t="s">
        <v>2179</v>
      </c>
      <c r="Z157" s="151" t="s">
        <v>2761</v>
      </c>
      <c r="AA157" s="151" t="s">
        <v>2762</v>
      </c>
      <c r="AB157" s="151" t="s">
        <v>855</v>
      </c>
      <c r="AC157" s="342"/>
    </row>
    <row r="158" spans="1:29">
      <c r="A158" s="151" t="s">
        <v>2168</v>
      </c>
      <c r="B158" s="151" t="s">
        <v>2782</v>
      </c>
      <c r="C158" s="151" t="s">
        <v>2750</v>
      </c>
      <c r="D158" s="151" t="s">
        <v>17</v>
      </c>
      <c r="E158" s="151" t="s">
        <v>2783</v>
      </c>
      <c r="F158" s="151" t="s">
        <v>544</v>
      </c>
      <c r="G158" s="151" t="s">
        <v>2173</v>
      </c>
      <c r="H158" s="151" t="s">
        <v>1274</v>
      </c>
      <c r="I158" s="151" t="s">
        <v>1184</v>
      </c>
      <c r="J158" s="151" t="s">
        <v>618</v>
      </c>
      <c r="K158" s="151" t="s">
        <v>1218</v>
      </c>
      <c r="L158" s="151" t="s">
        <v>2211</v>
      </c>
      <c r="M158" s="151" t="s">
        <v>2781</v>
      </c>
      <c r="N158" s="151"/>
      <c r="O158" s="151"/>
      <c r="P158" s="151"/>
      <c r="Q158" s="151"/>
      <c r="R158" s="151" t="s">
        <v>2177</v>
      </c>
      <c r="S158" s="151" t="s">
        <v>2178</v>
      </c>
      <c r="T158" s="151" t="s">
        <v>435</v>
      </c>
      <c r="U158" s="151" t="s">
        <v>2179</v>
      </c>
      <c r="V158" s="151">
        <v>50</v>
      </c>
      <c r="W158" s="151" t="s">
        <v>2180</v>
      </c>
      <c r="X158" s="151" t="s">
        <v>431</v>
      </c>
      <c r="Y158" s="151" t="s">
        <v>2179</v>
      </c>
      <c r="Z158" s="151"/>
      <c r="AA158" s="151"/>
      <c r="AB158" s="151" t="s">
        <v>855</v>
      </c>
      <c r="AC158" s="342"/>
    </row>
    <row r="159" spans="1:29">
      <c r="A159" s="151" t="s">
        <v>2168</v>
      </c>
      <c r="B159" s="151" t="s">
        <v>2749</v>
      </c>
      <c r="C159" s="151" t="s">
        <v>2750</v>
      </c>
      <c r="D159" s="151" t="s">
        <v>17</v>
      </c>
      <c r="E159" s="151" t="s">
        <v>2784</v>
      </c>
      <c r="F159" s="151" t="s">
        <v>544</v>
      </c>
      <c r="G159" s="151" t="s">
        <v>2173</v>
      </c>
      <c r="H159" s="151" t="s">
        <v>1274</v>
      </c>
      <c r="I159" s="151" t="s">
        <v>1184</v>
      </c>
      <c r="J159" s="151" t="s">
        <v>702</v>
      </c>
      <c r="K159" s="151" t="s">
        <v>2785</v>
      </c>
      <c r="L159" s="151" t="s">
        <v>2786</v>
      </c>
      <c r="M159" s="151" t="s">
        <v>361</v>
      </c>
      <c r="N159" s="151"/>
      <c r="O159" s="151"/>
      <c r="P159" s="151"/>
      <c r="Q159" s="151"/>
      <c r="R159" s="151" t="s">
        <v>2177</v>
      </c>
      <c r="S159" s="151" t="s">
        <v>2178</v>
      </c>
      <c r="T159" s="151" t="s">
        <v>2191</v>
      </c>
      <c r="U159" s="151" t="s">
        <v>2179</v>
      </c>
      <c r="V159" s="151">
        <v>50</v>
      </c>
      <c r="W159" s="151" t="s">
        <v>2180</v>
      </c>
      <c r="X159" s="151" t="s">
        <v>431</v>
      </c>
      <c r="Y159" s="151" t="s">
        <v>2179</v>
      </c>
      <c r="Z159" s="151" t="s">
        <v>2787</v>
      </c>
      <c r="AA159" s="151" t="s">
        <v>2788</v>
      </c>
      <c r="AB159" s="151" t="s">
        <v>855</v>
      </c>
      <c r="AC159" s="342"/>
    </row>
    <row r="160" spans="1:29">
      <c r="A160" s="151" t="s">
        <v>2168</v>
      </c>
      <c r="B160" s="151" t="s">
        <v>2789</v>
      </c>
      <c r="C160" s="151" t="s">
        <v>2750</v>
      </c>
      <c r="D160" s="151" t="s">
        <v>17</v>
      </c>
      <c r="E160" s="151" t="s">
        <v>2790</v>
      </c>
      <c r="F160" s="151" t="s">
        <v>544</v>
      </c>
      <c r="G160" s="151" t="s">
        <v>2173</v>
      </c>
      <c r="H160" s="151" t="s">
        <v>1274</v>
      </c>
      <c r="I160" s="151" t="s">
        <v>1184</v>
      </c>
      <c r="J160" s="151" t="s">
        <v>702</v>
      </c>
      <c r="K160" s="151" t="s">
        <v>2791</v>
      </c>
      <c r="L160" s="151" t="s">
        <v>2786</v>
      </c>
      <c r="M160" s="151" t="s">
        <v>361</v>
      </c>
      <c r="N160" s="151"/>
      <c r="O160" s="151"/>
      <c r="P160" s="151"/>
      <c r="Q160" s="151"/>
      <c r="R160" s="151" t="s">
        <v>2177</v>
      </c>
      <c r="S160" s="151" t="s">
        <v>2178</v>
      </c>
      <c r="T160" s="151" t="s">
        <v>2191</v>
      </c>
      <c r="U160" s="151" t="s">
        <v>2179</v>
      </c>
      <c r="V160" s="151">
        <v>100</v>
      </c>
      <c r="W160" s="151" t="s">
        <v>2185</v>
      </c>
      <c r="X160" s="151" t="s">
        <v>431</v>
      </c>
      <c r="Y160" s="151" t="s">
        <v>2179</v>
      </c>
      <c r="Z160" s="151" t="s">
        <v>2787</v>
      </c>
      <c r="AA160" s="151" t="s">
        <v>2788</v>
      </c>
      <c r="AB160" s="151" t="s">
        <v>855</v>
      </c>
      <c r="AC160" s="342"/>
    </row>
    <row r="161" spans="1:29">
      <c r="A161" s="151" t="s">
        <v>2168</v>
      </c>
      <c r="B161" s="151" t="s">
        <v>2792</v>
      </c>
      <c r="C161" s="151" t="s">
        <v>2750</v>
      </c>
      <c r="D161" s="151" t="s">
        <v>17</v>
      </c>
      <c r="E161" s="151" t="s">
        <v>2793</v>
      </c>
      <c r="F161" s="151" t="s">
        <v>544</v>
      </c>
      <c r="G161" s="151" t="s">
        <v>2173</v>
      </c>
      <c r="H161" s="151" t="s">
        <v>1274</v>
      </c>
      <c r="I161" s="151" t="s">
        <v>1184</v>
      </c>
      <c r="J161" s="151" t="s">
        <v>702</v>
      </c>
      <c r="K161" s="151" t="s">
        <v>2794</v>
      </c>
      <c r="L161" s="151" t="s">
        <v>2786</v>
      </c>
      <c r="M161" s="151" t="s">
        <v>361</v>
      </c>
      <c r="N161" s="151"/>
      <c r="O161" s="151"/>
      <c r="P161" s="151"/>
      <c r="Q161" s="151"/>
      <c r="R161" s="151" t="s">
        <v>2177</v>
      </c>
      <c r="S161" s="151" t="s">
        <v>2178</v>
      </c>
      <c r="T161" s="151" t="s">
        <v>435</v>
      </c>
      <c r="U161" s="151" t="s">
        <v>2179</v>
      </c>
      <c r="V161" s="151">
        <v>50</v>
      </c>
      <c r="W161" s="151" t="s">
        <v>2180</v>
      </c>
      <c r="X161" s="151" t="s">
        <v>431</v>
      </c>
      <c r="Y161" s="151" t="s">
        <v>2179</v>
      </c>
      <c r="Z161" s="151"/>
      <c r="AA161" s="151"/>
      <c r="AB161" s="151" t="s">
        <v>855</v>
      </c>
      <c r="AC161" s="342"/>
    </row>
    <row r="162" spans="1:29">
      <c r="A162" s="151" t="s">
        <v>2168</v>
      </c>
      <c r="B162" s="151" t="s">
        <v>2795</v>
      </c>
      <c r="C162" s="151" t="s">
        <v>2750</v>
      </c>
      <c r="D162" s="151" t="s">
        <v>17</v>
      </c>
      <c r="E162" s="151" t="s">
        <v>2796</v>
      </c>
      <c r="F162" s="151" t="s">
        <v>544</v>
      </c>
      <c r="G162" s="151" t="s">
        <v>2173</v>
      </c>
      <c r="H162" s="151" t="s">
        <v>1274</v>
      </c>
      <c r="I162" s="151" t="s">
        <v>1184</v>
      </c>
      <c r="J162" s="151" t="s">
        <v>702</v>
      </c>
      <c r="K162" s="151" t="s">
        <v>2797</v>
      </c>
      <c r="L162" s="151" t="s">
        <v>2786</v>
      </c>
      <c r="M162" s="151" t="s">
        <v>361</v>
      </c>
      <c r="N162" s="151"/>
      <c r="O162" s="151"/>
      <c r="P162" s="151"/>
      <c r="Q162" s="151"/>
      <c r="R162" s="151" t="s">
        <v>2177</v>
      </c>
      <c r="S162" s="151" t="s">
        <v>2178</v>
      </c>
      <c r="T162" s="151" t="s">
        <v>435</v>
      </c>
      <c r="U162" s="151" t="s">
        <v>2179</v>
      </c>
      <c r="V162" s="151">
        <v>50</v>
      </c>
      <c r="W162" s="151" t="s">
        <v>2180</v>
      </c>
      <c r="X162" s="151" t="s">
        <v>431</v>
      </c>
      <c r="Y162" s="151" t="s">
        <v>2179</v>
      </c>
      <c r="Z162" s="151"/>
      <c r="AA162" s="151"/>
      <c r="AB162" s="151" t="s">
        <v>855</v>
      </c>
      <c r="AC162" s="342"/>
    </row>
    <row r="163" spans="1:29">
      <c r="A163" s="151" t="s">
        <v>2168</v>
      </c>
      <c r="B163" s="151" t="s">
        <v>2798</v>
      </c>
      <c r="C163" s="151" t="s">
        <v>2750</v>
      </c>
      <c r="D163" s="151" t="s">
        <v>17</v>
      </c>
      <c r="E163" s="151" t="s">
        <v>2799</v>
      </c>
      <c r="F163" s="151" t="s">
        <v>544</v>
      </c>
      <c r="G163" s="151" t="s">
        <v>2173</v>
      </c>
      <c r="H163" s="151" t="s">
        <v>1274</v>
      </c>
      <c r="I163" s="151" t="s">
        <v>1184</v>
      </c>
      <c r="J163" s="151" t="s">
        <v>702</v>
      </c>
      <c r="K163" s="151" t="s">
        <v>2800</v>
      </c>
      <c r="L163" s="151" t="s">
        <v>2786</v>
      </c>
      <c r="M163" s="151" t="s">
        <v>361</v>
      </c>
      <c r="N163" s="151"/>
      <c r="O163" s="151"/>
      <c r="P163" s="151"/>
      <c r="Q163" s="151"/>
      <c r="R163" s="151" t="s">
        <v>2177</v>
      </c>
      <c r="S163" s="151" t="s">
        <v>2178</v>
      </c>
      <c r="T163" s="151" t="s">
        <v>435</v>
      </c>
      <c r="U163" s="151" t="s">
        <v>2179</v>
      </c>
      <c r="V163" s="151">
        <v>50</v>
      </c>
      <c r="W163" s="151" t="s">
        <v>2180</v>
      </c>
      <c r="X163" s="151" t="s">
        <v>431</v>
      </c>
      <c r="Y163" s="151" t="s">
        <v>2179</v>
      </c>
      <c r="Z163" s="151"/>
      <c r="AA163" s="151"/>
      <c r="AB163" s="151" t="s">
        <v>855</v>
      </c>
      <c r="AC163" s="342"/>
    </row>
    <row r="164" spans="1:29">
      <c r="A164" s="151" t="s">
        <v>2168</v>
      </c>
      <c r="B164" s="151" t="s">
        <v>2801</v>
      </c>
      <c r="C164" s="151" t="s">
        <v>2750</v>
      </c>
      <c r="D164" s="151" t="s">
        <v>17</v>
      </c>
      <c r="E164" s="151" t="s">
        <v>2802</v>
      </c>
      <c r="F164" s="151" t="s">
        <v>544</v>
      </c>
      <c r="G164" s="151" t="s">
        <v>2173</v>
      </c>
      <c r="H164" s="151" t="s">
        <v>1274</v>
      </c>
      <c r="I164" s="151" t="s">
        <v>1184</v>
      </c>
      <c r="J164" s="151" t="s">
        <v>702</v>
      </c>
      <c r="K164" s="151" t="s">
        <v>2803</v>
      </c>
      <c r="L164" s="151" t="s">
        <v>2786</v>
      </c>
      <c r="M164" s="151" t="s">
        <v>361</v>
      </c>
      <c r="N164" s="151"/>
      <c r="O164" s="151"/>
      <c r="P164" s="151"/>
      <c r="Q164" s="151"/>
      <c r="R164" s="151" t="s">
        <v>2177</v>
      </c>
      <c r="S164" s="151" t="s">
        <v>2178</v>
      </c>
      <c r="T164" s="151" t="s">
        <v>2191</v>
      </c>
      <c r="U164" s="151" t="s">
        <v>2179</v>
      </c>
      <c r="V164" s="151">
        <v>50</v>
      </c>
      <c r="W164" s="151" t="s">
        <v>2180</v>
      </c>
      <c r="X164" s="151" t="s">
        <v>431</v>
      </c>
      <c r="Y164" s="151" t="s">
        <v>2179</v>
      </c>
      <c r="Z164" s="151" t="s">
        <v>2804</v>
      </c>
      <c r="AA164" s="151" t="s">
        <v>2805</v>
      </c>
      <c r="AB164" s="151" t="s">
        <v>855</v>
      </c>
      <c r="AC164" s="342"/>
    </row>
    <row r="165" spans="1:29">
      <c r="A165" s="151" t="s">
        <v>2168</v>
      </c>
      <c r="B165" s="151" t="s">
        <v>2806</v>
      </c>
      <c r="C165" s="151" t="s">
        <v>2750</v>
      </c>
      <c r="D165" s="151" t="s">
        <v>17</v>
      </c>
      <c r="E165" s="151" t="s">
        <v>2807</v>
      </c>
      <c r="F165" s="151" t="s">
        <v>544</v>
      </c>
      <c r="G165" s="151" t="s">
        <v>2173</v>
      </c>
      <c r="H165" s="151" t="s">
        <v>1274</v>
      </c>
      <c r="I165" s="151" t="s">
        <v>1184</v>
      </c>
      <c r="J165" s="151" t="s">
        <v>702</v>
      </c>
      <c r="K165" s="151" t="s">
        <v>2808</v>
      </c>
      <c r="L165" s="151" t="s">
        <v>2786</v>
      </c>
      <c r="M165" s="151" t="s">
        <v>361</v>
      </c>
      <c r="N165" s="151"/>
      <c r="O165" s="151"/>
      <c r="P165" s="151"/>
      <c r="Q165" s="151"/>
      <c r="R165" s="151" t="s">
        <v>2177</v>
      </c>
      <c r="S165" s="151" t="s">
        <v>2178</v>
      </c>
      <c r="T165" s="151" t="s">
        <v>435</v>
      </c>
      <c r="U165" s="151" t="s">
        <v>2179</v>
      </c>
      <c r="V165" s="151">
        <v>50</v>
      </c>
      <c r="W165" s="151" t="s">
        <v>2180</v>
      </c>
      <c r="X165" s="151" t="s">
        <v>431</v>
      </c>
      <c r="Y165" s="151" t="s">
        <v>2179</v>
      </c>
      <c r="Z165" s="151"/>
      <c r="AA165" s="151"/>
      <c r="AB165" s="151" t="s">
        <v>855</v>
      </c>
      <c r="AC165" s="342"/>
    </row>
    <row r="166" spans="1:29">
      <c r="A166" s="151" t="s">
        <v>2168</v>
      </c>
      <c r="B166" s="151" t="s">
        <v>2809</v>
      </c>
      <c r="C166" s="151" t="s">
        <v>2750</v>
      </c>
      <c r="D166" s="151" t="s">
        <v>17</v>
      </c>
      <c r="E166" s="151" t="s">
        <v>2810</v>
      </c>
      <c r="F166" s="151" t="s">
        <v>544</v>
      </c>
      <c r="G166" s="151" t="s">
        <v>2173</v>
      </c>
      <c r="H166" s="151" t="s">
        <v>1274</v>
      </c>
      <c r="I166" s="151" t="s">
        <v>1184</v>
      </c>
      <c r="J166" s="151" t="s">
        <v>702</v>
      </c>
      <c r="K166" s="151" t="s">
        <v>2811</v>
      </c>
      <c r="L166" s="151" t="s">
        <v>2786</v>
      </c>
      <c r="M166" s="151" t="s">
        <v>361</v>
      </c>
      <c r="N166" s="151"/>
      <c r="O166" s="151"/>
      <c r="P166" s="151"/>
      <c r="Q166" s="151"/>
      <c r="R166" s="151" t="s">
        <v>2177</v>
      </c>
      <c r="S166" s="151" t="s">
        <v>2178</v>
      </c>
      <c r="T166" s="151" t="s">
        <v>435</v>
      </c>
      <c r="U166" s="151" t="s">
        <v>2179</v>
      </c>
      <c r="V166" s="151">
        <v>200</v>
      </c>
      <c r="W166" s="151" t="s">
        <v>2503</v>
      </c>
      <c r="X166" s="151" t="s">
        <v>431</v>
      </c>
      <c r="Y166" s="151" t="s">
        <v>2179</v>
      </c>
      <c r="Z166" s="151"/>
      <c r="AA166" s="151"/>
      <c r="AB166" s="151" t="s">
        <v>855</v>
      </c>
      <c r="AC166" s="342"/>
    </row>
    <row r="167" spans="1:29">
      <c r="A167" s="151" t="s">
        <v>2168</v>
      </c>
      <c r="B167" s="151" t="s">
        <v>2812</v>
      </c>
      <c r="C167" s="151" t="s">
        <v>2750</v>
      </c>
      <c r="D167" s="151" t="s">
        <v>17</v>
      </c>
      <c r="E167" s="151" t="s">
        <v>2813</v>
      </c>
      <c r="F167" s="151" t="s">
        <v>544</v>
      </c>
      <c r="G167" s="151" t="s">
        <v>2173</v>
      </c>
      <c r="H167" s="151" t="s">
        <v>1274</v>
      </c>
      <c r="I167" s="151" t="s">
        <v>1184</v>
      </c>
      <c r="J167" s="151" t="s">
        <v>702</v>
      </c>
      <c r="K167" s="151" t="s">
        <v>2814</v>
      </c>
      <c r="L167" s="151" t="s">
        <v>2786</v>
      </c>
      <c r="M167" s="151" t="s">
        <v>361</v>
      </c>
      <c r="N167" s="151"/>
      <c r="O167" s="151"/>
      <c r="P167" s="151"/>
      <c r="Q167" s="151"/>
      <c r="R167" s="151" t="s">
        <v>2177</v>
      </c>
      <c r="S167" s="151" t="s">
        <v>2178</v>
      </c>
      <c r="T167" s="151" t="s">
        <v>435</v>
      </c>
      <c r="U167" s="151" t="s">
        <v>2179</v>
      </c>
      <c r="V167" s="151">
        <v>100</v>
      </c>
      <c r="W167" s="151" t="s">
        <v>2185</v>
      </c>
      <c r="X167" s="151" t="s">
        <v>431</v>
      </c>
      <c r="Y167" s="151" t="s">
        <v>2179</v>
      </c>
      <c r="Z167" s="151"/>
      <c r="AA167" s="151"/>
      <c r="AB167" s="151" t="s">
        <v>855</v>
      </c>
      <c r="AC167" s="342"/>
    </row>
    <row r="168" spans="1:29">
      <c r="A168" s="151" t="s">
        <v>2168</v>
      </c>
      <c r="B168" s="151" t="s">
        <v>2815</v>
      </c>
      <c r="C168" s="151" t="s">
        <v>2750</v>
      </c>
      <c r="D168" s="151" t="s">
        <v>17</v>
      </c>
      <c r="E168" s="151" t="s">
        <v>2816</v>
      </c>
      <c r="F168" s="151" t="s">
        <v>544</v>
      </c>
      <c r="G168" s="151" t="s">
        <v>2173</v>
      </c>
      <c r="H168" s="151" t="s">
        <v>1274</v>
      </c>
      <c r="I168" s="151" t="s">
        <v>1184</v>
      </c>
      <c r="J168" s="151" t="s">
        <v>702</v>
      </c>
      <c r="K168" s="151" t="s">
        <v>2817</v>
      </c>
      <c r="L168" s="151" t="s">
        <v>2786</v>
      </c>
      <c r="M168" s="151" t="s">
        <v>361</v>
      </c>
      <c r="N168" s="151"/>
      <c r="O168" s="151"/>
      <c r="P168" s="151"/>
      <c r="Q168" s="151"/>
      <c r="R168" s="151" t="s">
        <v>2177</v>
      </c>
      <c r="S168" s="151" t="s">
        <v>2178</v>
      </c>
      <c r="T168" s="151" t="s">
        <v>435</v>
      </c>
      <c r="U168" s="151" t="s">
        <v>2179</v>
      </c>
      <c r="V168" s="151">
        <v>200</v>
      </c>
      <c r="W168" s="151" t="s">
        <v>2503</v>
      </c>
      <c r="X168" s="151" t="s">
        <v>431</v>
      </c>
      <c r="Y168" s="151" t="s">
        <v>2179</v>
      </c>
      <c r="Z168" s="151"/>
      <c r="AA168" s="151"/>
      <c r="AB168" s="151" t="s">
        <v>855</v>
      </c>
      <c r="AC168" s="342"/>
    </row>
    <row r="169" spans="1:29">
      <c r="A169" s="151" t="s">
        <v>2168</v>
      </c>
      <c r="B169" s="151" t="s">
        <v>2818</v>
      </c>
      <c r="C169" s="151" t="s">
        <v>2750</v>
      </c>
      <c r="D169" s="151" t="s">
        <v>17</v>
      </c>
      <c r="E169" s="151" t="s">
        <v>2819</v>
      </c>
      <c r="F169" s="151" t="s">
        <v>544</v>
      </c>
      <c r="G169" s="151" t="s">
        <v>2173</v>
      </c>
      <c r="H169" s="151" t="s">
        <v>1274</v>
      </c>
      <c r="I169" s="151" t="s">
        <v>1184</v>
      </c>
      <c r="J169" s="151" t="s">
        <v>702</v>
      </c>
      <c r="K169" s="151" t="s">
        <v>2820</v>
      </c>
      <c r="L169" s="151" t="s">
        <v>2786</v>
      </c>
      <c r="M169" s="151" t="s">
        <v>361</v>
      </c>
      <c r="N169" s="151"/>
      <c r="O169" s="151"/>
      <c r="P169" s="151"/>
      <c r="Q169" s="151"/>
      <c r="R169" s="151" t="s">
        <v>2177</v>
      </c>
      <c r="S169" s="151" t="s">
        <v>2178</v>
      </c>
      <c r="T169" s="151" t="s">
        <v>435</v>
      </c>
      <c r="U169" s="151" t="s">
        <v>2179</v>
      </c>
      <c r="V169" s="151">
        <v>200</v>
      </c>
      <c r="W169" s="151" t="s">
        <v>2503</v>
      </c>
      <c r="X169" s="151" t="s">
        <v>431</v>
      </c>
      <c r="Y169" s="151" t="s">
        <v>2179</v>
      </c>
      <c r="Z169" s="151"/>
      <c r="AA169" s="151"/>
      <c r="AB169" s="151" t="s">
        <v>855</v>
      </c>
      <c r="AC169" s="342"/>
    </row>
    <row r="170" spans="1:29">
      <c r="A170" s="151" t="s">
        <v>2168</v>
      </c>
      <c r="B170" s="151" t="s">
        <v>2821</v>
      </c>
      <c r="C170" s="151" t="s">
        <v>2750</v>
      </c>
      <c r="D170" s="151" t="s">
        <v>17</v>
      </c>
      <c r="E170" s="151" t="s">
        <v>2822</v>
      </c>
      <c r="F170" s="151" t="s">
        <v>544</v>
      </c>
      <c r="G170" s="151" t="s">
        <v>2173</v>
      </c>
      <c r="H170" s="151" t="s">
        <v>1274</v>
      </c>
      <c r="I170" s="151" t="s">
        <v>1184</v>
      </c>
      <c r="J170" s="151" t="s">
        <v>702</v>
      </c>
      <c r="K170" s="151" t="s">
        <v>2823</v>
      </c>
      <c r="L170" s="151" t="s">
        <v>2786</v>
      </c>
      <c r="M170" s="151" t="s">
        <v>361</v>
      </c>
      <c r="N170" s="151"/>
      <c r="O170" s="151"/>
      <c r="P170" s="151"/>
      <c r="Q170" s="151"/>
      <c r="R170" s="151" t="s">
        <v>2177</v>
      </c>
      <c r="S170" s="151" t="s">
        <v>2178</v>
      </c>
      <c r="T170" s="151" t="s">
        <v>435</v>
      </c>
      <c r="U170" s="151" t="s">
        <v>2179</v>
      </c>
      <c r="V170" s="151">
        <v>100</v>
      </c>
      <c r="W170" s="151" t="s">
        <v>2503</v>
      </c>
      <c r="X170" s="151" t="s">
        <v>431</v>
      </c>
      <c r="Y170" s="151" t="s">
        <v>2179</v>
      </c>
      <c r="Z170" s="151"/>
      <c r="AA170" s="151"/>
      <c r="AB170" s="151" t="s">
        <v>855</v>
      </c>
      <c r="AC170" s="342"/>
    </row>
    <row r="171" spans="1:29">
      <c r="A171" s="151" t="s">
        <v>2168</v>
      </c>
      <c r="B171" s="151" t="s">
        <v>2824</v>
      </c>
      <c r="C171" s="151" t="s">
        <v>2750</v>
      </c>
      <c r="D171" s="151" t="s">
        <v>17</v>
      </c>
      <c r="E171" s="151" t="s">
        <v>2825</v>
      </c>
      <c r="F171" s="151" t="s">
        <v>544</v>
      </c>
      <c r="G171" s="151" t="s">
        <v>2173</v>
      </c>
      <c r="H171" s="151" t="s">
        <v>1274</v>
      </c>
      <c r="I171" s="151" t="s">
        <v>1184</v>
      </c>
      <c r="J171" s="151" t="s">
        <v>702</v>
      </c>
      <c r="K171" s="151" t="s">
        <v>2826</v>
      </c>
      <c r="L171" s="151" t="s">
        <v>2786</v>
      </c>
      <c r="M171" s="151" t="s">
        <v>361</v>
      </c>
      <c r="N171" s="151"/>
      <c r="O171" s="151"/>
      <c r="P171" s="151"/>
      <c r="Q171" s="151"/>
      <c r="R171" s="151" t="s">
        <v>2177</v>
      </c>
      <c r="S171" s="151" t="s">
        <v>2178</v>
      </c>
      <c r="T171" s="151" t="s">
        <v>2279</v>
      </c>
      <c r="U171" s="151" t="s">
        <v>2400</v>
      </c>
      <c r="V171" s="151">
        <v>8</v>
      </c>
      <c r="W171" s="151" t="s">
        <v>2400</v>
      </c>
      <c r="X171" s="151" t="s">
        <v>2400</v>
      </c>
      <c r="Y171" s="151" t="s">
        <v>2400</v>
      </c>
      <c r="Z171" s="151"/>
      <c r="AA171" s="151"/>
      <c r="AB171" s="151" t="s">
        <v>855</v>
      </c>
      <c r="AC171" s="342"/>
    </row>
    <row r="172" spans="1:29">
      <c r="A172" s="151" t="s">
        <v>2168</v>
      </c>
      <c r="B172" s="151" t="s">
        <v>2827</v>
      </c>
      <c r="C172" s="151" t="s">
        <v>2750</v>
      </c>
      <c r="D172" s="151" t="s">
        <v>17</v>
      </c>
      <c r="E172" s="151" t="s">
        <v>2828</v>
      </c>
      <c r="F172" s="151" t="s">
        <v>544</v>
      </c>
      <c r="G172" s="151" t="s">
        <v>2173</v>
      </c>
      <c r="H172" s="151" t="s">
        <v>1274</v>
      </c>
      <c r="I172" s="151" t="s">
        <v>1184</v>
      </c>
      <c r="J172" s="151" t="s">
        <v>702</v>
      </c>
      <c r="K172" s="151" t="s">
        <v>2829</v>
      </c>
      <c r="L172" s="151" t="s">
        <v>2786</v>
      </c>
      <c r="M172" s="151" t="s">
        <v>361</v>
      </c>
      <c r="N172" s="151"/>
      <c r="O172" s="151"/>
      <c r="P172" s="151"/>
      <c r="Q172" s="151"/>
      <c r="R172" s="151" t="s">
        <v>2177</v>
      </c>
      <c r="S172" s="151" t="s">
        <v>2178</v>
      </c>
      <c r="T172" s="151" t="s">
        <v>2191</v>
      </c>
      <c r="U172" s="151" t="s">
        <v>2179</v>
      </c>
      <c r="V172" s="151">
        <v>50</v>
      </c>
      <c r="W172" s="151" t="s">
        <v>2180</v>
      </c>
      <c r="X172" s="151" t="s">
        <v>431</v>
      </c>
      <c r="Y172" s="151" t="s">
        <v>2179</v>
      </c>
      <c r="Z172" s="151" t="s">
        <v>2305</v>
      </c>
      <c r="AA172" s="151" t="s">
        <v>2305</v>
      </c>
      <c r="AB172" s="151" t="s">
        <v>855</v>
      </c>
      <c r="AC172" s="342"/>
    </row>
    <row r="173" spans="1:29">
      <c r="A173" s="151" t="s">
        <v>2168</v>
      </c>
      <c r="B173" s="151" t="s">
        <v>2830</v>
      </c>
      <c r="C173" s="151" t="s">
        <v>2750</v>
      </c>
      <c r="D173" s="151" t="s">
        <v>17</v>
      </c>
      <c r="E173" s="151" t="s">
        <v>2831</v>
      </c>
      <c r="F173" s="151" t="s">
        <v>544</v>
      </c>
      <c r="G173" s="151" t="s">
        <v>2173</v>
      </c>
      <c r="H173" s="151" t="s">
        <v>1274</v>
      </c>
      <c r="I173" s="151" t="s">
        <v>1184</v>
      </c>
      <c r="J173" s="151" t="s">
        <v>702</v>
      </c>
      <c r="K173" s="151" t="s">
        <v>2832</v>
      </c>
      <c r="L173" s="151" t="s">
        <v>2786</v>
      </c>
      <c r="M173" s="151" t="s">
        <v>361</v>
      </c>
      <c r="N173" s="151"/>
      <c r="O173" s="151"/>
      <c r="P173" s="151"/>
      <c r="Q173" s="151"/>
      <c r="R173" s="151" t="s">
        <v>2177</v>
      </c>
      <c r="S173" s="151" t="s">
        <v>2178</v>
      </c>
      <c r="T173" s="151" t="s">
        <v>2191</v>
      </c>
      <c r="U173" s="151" t="s">
        <v>2179</v>
      </c>
      <c r="V173" s="151">
        <v>200</v>
      </c>
      <c r="W173" s="151" t="s">
        <v>2503</v>
      </c>
      <c r="X173" s="151" t="s">
        <v>431</v>
      </c>
      <c r="Y173" s="151" t="s">
        <v>2179</v>
      </c>
      <c r="Z173" s="151" t="s">
        <v>2833</v>
      </c>
      <c r="AA173" s="151" t="s">
        <v>2834</v>
      </c>
      <c r="AB173" s="151" t="s">
        <v>855</v>
      </c>
      <c r="AC173" s="342"/>
    </row>
    <row r="174" spans="1:29">
      <c r="A174" s="151" t="s">
        <v>2168</v>
      </c>
      <c r="B174" s="151" t="s">
        <v>2835</v>
      </c>
      <c r="C174" s="151" t="s">
        <v>2750</v>
      </c>
      <c r="D174" s="151" t="s">
        <v>17</v>
      </c>
      <c r="E174" s="151" t="s">
        <v>2836</v>
      </c>
      <c r="F174" s="151" t="s">
        <v>544</v>
      </c>
      <c r="G174" s="151" t="s">
        <v>2173</v>
      </c>
      <c r="H174" s="151" t="s">
        <v>1274</v>
      </c>
      <c r="I174" s="151" t="s">
        <v>1184</v>
      </c>
      <c r="J174" s="151" t="s">
        <v>702</v>
      </c>
      <c r="K174" s="151" t="s">
        <v>2837</v>
      </c>
      <c r="L174" s="151" t="s">
        <v>2786</v>
      </c>
      <c r="M174" s="151" t="s">
        <v>361</v>
      </c>
      <c r="N174" s="151"/>
      <c r="O174" s="151"/>
      <c r="P174" s="151"/>
      <c r="Q174" s="151"/>
      <c r="R174" s="151" t="s">
        <v>2177</v>
      </c>
      <c r="S174" s="151" t="s">
        <v>2178</v>
      </c>
      <c r="T174" s="151" t="s">
        <v>2191</v>
      </c>
      <c r="U174" s="151" t="s">
        <v>2179</v>
      </c>
      <c r="V174" s="151">
        <v>50</v>
      </c>
      <c r="W174" s="151" t="s">
        <v>2180</v>
      </c>
      <c r="X174" s="151" t="s">
        <v>431</v>
      </c>
      <c r="Y174" s="151" t="s">
        <v>2179</v>
      </c>
      <c r="Z174" s="151" t="s">
        <v>2305</v>
      </c>
      <c r="AA174" s="151" t="s">
        <v>2305</v>
      </c>
      <c r="AB174" s="151" t="s">
        <v>855</v>
      </c>
      <c r="AC174" s="342"/>
    </row>
    <row r="175" spans="1:29">
      <c r="A175" s="151" t="s">
        <v>2168</v>
      </c>
      <c r="B175" s="151" t="s">
        <v>2838</v>
      </c>
      <c r="C175" s="151" t="s">
        <v>2750</v>
      </c>
      <c r="D175" s="151" t="s">
        <v>17</v>
      </c>
      <c r="E175" s="151" t="s">
        <v>2839</v>
      </c>
      <c r="F175" s="151" t="s">
        <v>544</v>
      </c>
      <c r="G175" s="151" t="s">
        <v>2173</v>
      </c>
      <c r="H175" s="151" t="s">
        <v>1274</v>
      </c>
      <c r="I175" s="151" t="s">
        <v>1184</v>
      </c>
      <c r="J175" s="151" t="s">
        <v>702</v>
      </c>
      <c r="K175" s="151" t="s">
        <v>2840</v>
      </c>
      <c r="L175" s="151" t="s">
        <v>2786</v>
      </c>
      <c r="M175" s="151" t="s">
        <v>361</v>
      </c>
      <c r="N175" s="151"/>
      <c r="O175" s="151"/>
      <c r="P175" s="151"/>
      <c r="Q175" s="151"/>
      <c r="R175" s="151" t="s">
        <v>2177</v>
      </c>
      <c r="S175" s="151" t="s">
        <v>2178</v>
      </c>
      <c r="T175" s="151" t="s">
        <v>2191</v>
      </c>
      <c r="U175" s="151" t="s">
        <v>2179</v>
      </c>
      <c r="V175" s="151">
        <v>200</v>
      </c>
      <c r="W175" s="151" t="s">
        <v>2503</v>
      </c>
      <c r="X175" s="151" t="s">
        <v>431</v>
      </c>
      <c r="Y175" s="151" t="s">
        <v>2179</v>
      </c>
      <c r="Z175" s="151" t="s">
        <v>2841</v>
      </c>
      <c r="AA175" s="151" t="s">
        <v>2842</v>
      </c>
      <c r="AB175" s="151" t="s">
        <v>855</v>
      </c>
      <c r="AC175" s="342"/>
    </row>
    <row r="176" spans="1:29">
      <c r="A176" s="151" t="s">
        <v>2168</v>
      </c>
      <c r="B176" s="151" t="s">
        <v>2843</v>
      </c>
      <c r="C176" s="151" t="s">
        <v>2750</v>
      </c>
      <c r="D176" s="151" t="s">
        <v>17</v>
      </c>
      <c r="E176" s="151" t="s">
        <v>2844</v>
      </c>
      <c r="F176" s="151" t="s">
        <v>544</v>
      </c>
      <c r="G176" s="151" t="s">
        <v>2173</v>
      </c>
      <c r="H176" s="151" t="s">
        <v>1274</v>
      </c>
      <c r="I176" s="151" t="s">
        <v>1184</v>
      </c>
      <c r="J176" s="151" t="s">
        <v>702</v>
      </c>
      <c r="K176" s="151" t="s">
        <v>2845</v>
      </c>
      <c r="L176" s="151" t="s">
        <v>2786</v>
      </c>
      <c r="M176" s="151" t="s">
        <v>361</v>
      </c>
      <c r="N176" s="151"/>
      <c r="O176" s="151"/>
      <c r="P176" s="151"/>
      <c r="Q176" s="151"/>
      <c r="R176" s="151" t="s">
        <v>2177</v>
      </c>
      <c r="S176" s="151" t="s">
        <v>2178</v>
      </c>
      <c r="T176" s="151" t="s">
        <v>2200</v>
      </c>
      <c r="U176" s="151" t="s">
        <v>2179</v>
      </c>
      <c r="V176" s="151">
        <v>50</v>
      </c>
      <c r="W176" s="151" t="s">
        <v>2180</v>
      </c>
      <c r="X176" s="151" t="s">
        <v>431</v>
      </c>
      <c r="Y176" s="151" t="s">
        <v>2179</v>
      </c>
      <c r="Z176" s="151"/>
      <c r="AA176" s="151"/>
      <c r="AB176" s="151" t="s">
        <v>855</v>
      </c>
      <c r="AC176" s="342"/>
    </row>
    <row r="177" spans="1:29">
      <c r="A177" s="151" t="s">
        <v>2168</v>
      </c>
      <c r="B177" s="151" t="s">
        <v>2749</v>
      </c>
      <c r="C177" s="151" t="s">
        <v>2846</v>
      </c>
      <c r="D177" s="151" t="s">
        <v>17</v>
      </c>
      <c r="E177" s="151" t="s">
        <v>2847</v>
      </c>
      <c r="F177" s="151" t="s">
        <v>544</v>
      </c>
      <c r="G177" s="151" t="s">
        <v>2173</v>
      </c>
      <c r="H177" s="151" t="s">
        <v>1274</v>
      </c>
      <c r="I177" s="151" t="s">
        <v>1184</v>
      </c>
      <c r="J177" s="151" t="s">
        <v>603</v>
      </c>
      <c r="K177" s="151" t="s">
        <v>2848</v>
      </c>
      <c r="L177" s="151" t="s">
        <v>2198</v>
      </c>
      <c r="M177" s="151" t="s">
        <v>361</v>
      </c>
      <c r="N177" s="151"/>
      <c r="O177" s="151"/>
      <c r="P177" s="151"/>
      <c r="Q177" s="151"/>
      <c r="R177" s="151" t="s">
        <v>2177</v>
      </c>
      <c r="S177" s="151" t="s">
        <v>2178</v>
      </c>
      <c r="T177" s="151" t="s">
        <v>435</v>
      </c>
      <c r="U177" s="151" t="s">
        <v>2179</v>
      </c>
      <c r="V177" s="151" t="s">
        <v>49</v>
      </c>
      <c r="W177" s="151" t="s">
        <v>2363</v>
      </c>
      <c r="X177" s="151" t="s">
        <v>431</v>
      </c>
      <c r="Y177" s="151" t="s">
        <v>2179</v>
      </c>
      <c r="Z177" s="151"/>
      <c r="AA177" s="151"/>
      <c r="AB177" s="151" t="s">
        <v>855</v>
      </c>
      <c r="AC177" s="342"/>
    </row>
    <row r="178" spans="1:29">
      <c r="A178" s="151" t="s">
        <v>2168</v>
      </c>
      <c r="B178" s="151" t="s">
        <v>2849</v>
      </c>
      <c r="C178" s="151" t="s">
        <v>2846</v>
      </c>
      <c r="D178" s="151" t="s">
        <v>17</v>
      </c>
      <c r="E178" s="151" t="s">
        <v>2850</v>
      </c>
      <c r="F178" s="151" t="s">
        <v>544</v>
      </c>
      <c r="G178" s="151" t="s">
        <v>2173</v>
      </c>
      <c r="H178" s="151" t="s">
        <v>1274</v>
      </c>
      <c r="I178" s="151" t="s">
        <v>1184</v>
      </c>
      <c r="J178" s="151" t="s">
        <v>603</v>
      </c>
      <c r="K178" s="151" t="s">
        <v>2851</v>
      </c>
      <c r="L178" s="151" t="s">
        <v>2198</v>
      </c>
      <c r="M178" s="151" t="s">
        <v>361</v>
      </c>
      <c r="N178" s="151"/>
      <c r="O178" s="151"/>
      <c r="P178" s="151"/>
      <c r="Q178" s="151"/>
      <c r="R178" s="151" t="s">
        <v>2177</v>
      </c>
      <c r="S178" s="151" t="s">
        <v>2178</v>
      </c>
      <c r="T178" s="151" t="s">
        <v>435</v>
      </c>
      <c r="U178" s="151" t="s">
        <v>2179</v>
      </c>
      <c r="V178" s="151" t="s">
        <v>49</v>
      </c>
      <c r="W178" s="151" t="s">
        <v>2774</v>
      </c>
      <c r="X178" s="151" t="s">
        <v>431</v>
      </c>
      <c r="Y178" s="151" t="s">
        <v>2179</v>
      </c>
      <c r="Z178" s="151"/>
      <c r="AA178" s="151"/>
      <c r="AB178" s="151" t="s">
        <v>855</v>
      </c>
      <c r="AC178" s="342"/>
    </row>
    <row r="179" spans="1:29">
      <c r="A179" s="151" t="s">
        <v>2168</v>
      </c>
      <c r="B179" s="151" t="s">
        <v>2852</v>
      </c>
      <c r="C179" s="151" t="s">
        <v>2846</v>
      </c>
      <c r="D179" s="151" t="s">
        <v>17</v>
      </c>
      <c r="E179" s="151" t="s">
        <v>2853</v>
      </c>
      <c r="F179" s="151" t="s">
        <v>544</v>
      </c>
      <c r="G179" s="151" t="s">
        <v>2173</v>
      </c>
      <c r="H179" s="151" t="s">
        <v>1274</v>
      </c>
      <c r="I179" s="151" t="s">
        <v>1184</v>
      </c>
      <c r="J179" s="151" t="s">
        <v>603</v>
      </c>
      <c r="K179" s="151" t="s">
        <v>2854</v>
      </c>
      <c r="L179" s="151" t="s">
        <v>2198</v>
      </c>
      <c r="M179" s="151" t="s">
        <v>361</v>
      </c>
      <c r="N179" s="151"/>
      <c r="O179" s="151"/>
      <c r="P179" s="151"/>
      <c r="Q179" s="151"/>
      <c r="R179" s="151" t="s">
        <v>2177</v>
      </c>
      <c r="S179" s="151" t="s">
        <v>2178</v>
      </c>
      <c r="T179" s="151" t="s">
        <v>2200</v>
      </c>
      <c r="U179" s="151" t="s">
        <v>2179</v>
      </c>
      <c r="V179" s="151">
        <v>255</v>
      </c>
      <c r="W179" s="151" t="s">
        <v>2468</v>
      </c>
      <c r="X179" s="151" t="s">
        <v>431</v>
      </c>
      <c r="Y179" s="151" t="s">
        <v>2179</v>
      </c>
      <c r="Z179" s="151"/>
      <c r="AA179" s="151"/>
      <c r="AB179" s="151" t="s">
        <v>855</v>
      </c>
      <c r="AC179" s="342"/>
    </row>
    <row r="180" spans="1:29">
      <c r="A180" s="151" t="s">
        <v>2168</v>
      </c>
      <c r="B180" s="151" t="s">
        <v>2855</v>
      </c>
      <c r="C180" s="151" t="s">
        <v>2846</v>
      </c>
      <c r="D180" s="151" t="s">
        <v>17</v>
      </c>
      <c r="E180" s="151" t="s">
        <v>2856</v>
      </c>
      <c r="F180" s="151" t="s">
        <v>2857</v>
      </c>
      <c r="G180" s="151" t="s">
        <v>2173</v>
      </c>
      <c r="H180" s="151" t="s">
        <v>1274</v>
      </c>
      <c r="I180" s="151" t="s">
        <v>1184</v>
      </c>
      <c r="J180" s="151" t="s">
        <v>603</v>
      </c>
      <c r="K180" s="151" t="s">
        <v>2197</v>
      </c>
      <c r="L180" s="151" t="s">
        <v>2198</v>
      </c>
      <c r="M180" s="151" t="s">
        <v>361</v>
      </c>
      <c r="N180" s="151"/>
      <c r="O180" s="151"/>
      <c r="P180" s="151"/>
      <c r="Q180" s="151"/>
      <c r="R180" s="151" t="s">
        <v>2177</v>
      </c>
      <c r="S180" s="151" t="s">
        <v>2178</v>
      </c>
      <c r="T180" s="151" t="s">
        <v>2200</v>
      </c>
      <c r="U180" s="151" t="s">
        <v>2179</v>
      </c>
      <c r="V180" s="151">
        <v>100</v>
      </c>
      <c r="W180" s="151" t="s">
        <v>2185</v>
      </c>
      <c r="X180" s="151" t="s">
        <v>431</v>
      </c>
      <c r="Y180" s="151" t="s">
        <v>2179</v>
      </c>
      <c r="Z180" s="151"/>
      <c r="AA180" s="151"/>
      <c r="AB180" s="151" t="s">
        <v>855</v>
      </c>
      <c r="AC180" t="s">
        <v>2858</v>
      </c>
    </row>
    <row r="181" spans="1:29">
      <c r="A181" s="151" t="s">
        <v>2168</v>
      </c>
      <c r="B181" s="151" t="s">
        <v>2859</v>
      </c>
      <c r="C181" s="151" t="s">
        <v>2846</v>
      </c>
      <c r="D181" s="151" t="s">
        <v>17</v>
      </c>
      <c r="E181" s="151" t="s">
        <v>2860</v>
      </c>
      <c r="F181" s="151" t="s">
        <v>544</v>
      </c>
      <c r="G181" s="151" t="s">
        <v>2173</v>
      </c>
      <c r="H181" s="151" t="s">
        <v>1274</v>
      </c>
      <c r="I181" s="151" t="s">
        <v>1184</v>
      </c>
      <c r="J181" s="151" t="s">
        <v>603</v>
      </c>
      <c r="K181" s="151" t="s">
        <v>2861</v>
      </c>
      <c r="L181" s="151" t="s">
        <v>2198</v>
      </c>
      <c r="M181" s="151" t="s">
        <v>361</v>
      </c>
      <c r="N181" s="151"/>
      <c r="O181" s="151"/>
      <c r="P181" s="151"/>
      <c r="Q181" s="151"/>
      <c r="R181" s="151" t="s">
        <v>2177</v>
      </c>
      <c r="S181" s="151" t="s">
        <v>2178</v>
      </c>
      <c r="T181" s="151" t="s">
        <v>2279</v>
      </c>
      <c r="U181" s="151" t="s">
        <v>2400</v>
      </c>
      <c r="V181" s="151">
        <v>8</v>
      </c>
      <c r="W181" s="151" t="s">
        <v>2400</v>
      </c>
      <c r="X181" s="151" t="s">
        <v>2400</v>
      </c>
      <c r="Y181" s="151" t="s">
        <v>2400</v>
      </c>
      <c r="Z181" s="151"/>
      <c r="AA181" s="151"/>
      <c r="AB181" s="151" t="s">
        <v>855</v>
      </c>
      <c r="AC181" s="342"/>
    </row>
    <row r="182" spans="1:29">
      <c r="A182" s="151" t="s">
        <v>2168</v>
      </c>
      <c r="B182" s="151" t="s">
        <v>2350</v>
      </c>
      <c r="C182" s="151" t="s">
        <v>2846</v>
      </c>
      <c r="D182" s="151" t="s">
        <v>17</v>
      </c>
      <c r="E182" s="151" t="s">
        <v>2862</v>
      </c>
      <c r="F182" s="151" t="s">
        <v>2857</v>
      </c>
      <c r="G182" s="151" t="s">
        <v>2173</v>
      </c>
      <c r="H182" s="151" t="s">
        <v>1274</v>
      </c>
      <c r="I182" s="151" t="s">
        <v>1184</v>
      </c>
      <c r="J182" s="151" t="s">
        <v>603</v>
      </c>
      <c r="K182" s="151" t="s">
        <v>2863</v>
      </c>
      <c r="L182" s="151" t="s">
        <v>2198</v>
      </c>
      <c r="M182" s="151" t="s">
        <v>361</v>
      </c>
      <c r="N182" s="151"/>
      <c r="O182" s="151"/>
      <c r="P182" s="151"/>
      <c r="Q182" s="151"/>
      <c r="R182" s="151" t="s">
        <v>2177</v>
      </c>
      <c r="S182" s="151" t="s">
        <v>2178</v>
      </c>
      <c r="T182" s="151" t="s">
        <v>2279</v>
      </c>
      <c r="U182" s="151" t="s">
        <v>2400</v>
      </c>
      <c r="V182" s="151">
        <v>8</v>
      </c>
      <c r="W182" s="151" t="s">
        <v>2400</v>
      </c>
      <c r="X182" s="151" t="s">
        <v>2400</v>
      </c>
      <c r="Y182" s="151" t="s">
        <v>2400</v>
      </c>
      <c r="Z182" s="151"/>
      <c r="AA182" s="151"/>
      <c r="AB182" s="151" t="s">
        <v>855</v>
      </c>
      <c r="AC182" s="342"/>
    </row>
    <row r="183" spans="1:29">
      <c r="A183" s="151" t="s">
        <v>2168</v>
      </c>
      <c r="B183" s="151" t="s">
        <v>2864</v>
      </c>
      <c r="C183" s="151" t="s">
        <v>2846</v>
      </c>
      <c r="D183" s="151" t="s">
        <v>17</v>
      </c>
      <c r="E183" s="151" t="s">
        <v>2865</v>
      </c>
      <c r="F183" s="151" t="s">
        <v>544</v>
      </c>
      <c r="G183" s="151" t="s">
        <v>2173</v>
      </c>
      <c r="H183" s="151" t="s">
        <v>1274</v>
      </c>
      <c r="I183" s="151" t="s">
        <v>1184</v>
      </c>
      <c r="J183" s="151" t="s">
        <v>603</v>
      </c>
      <c r="K183" s="151" t="s">
        <v>2866</v>
      </c>
      <c r="L183" s="151" t="s">
        <v>2198</v>
      </c>
      <c r="M183" s="151" t="s">
        <v>361</v>
      </c>
      <c r="N183" s="151"/>
      <c r="O183" s="151"/>
      <c r="P183" s="151"/>
      <c r="Q183" s="151"/>
      <c r="R183" s="151" t="s">
        <v>2177</v>
      </c>
      <c r="S183" s="151" t="s">
        <v>2178</v>
      </c>
      <c r="T183" s="151" t="s">
        <v>2191</v>
      </c>
      <c r="U183" s="151" t="s">
        <v>2179</v>
      </c>
      <c r="V183" s="151">
        <v>1</v>
      </c>
      <c r="W183" s="151" t="s">
        <v>2373</v>
      </c>
      <c r="X183" s="151" t="s">
        <v>431</v>
      </c>
      <c r="Y183" s="151" t="s">
        <v>2179</v>
      </c>
      <c r="Z183" s="151" t="s">
        <v>2305</v>
      </c>
      <c r="AA183" s="151" t="s">
        <v>2305</v>
      </c>
      <c r="AB183" s="151" t="s">
        <v>855</v>
      </c>
      <c r="AC183" s="342"/>
    </row>
    <row r="184" spans="1:29">
      <c r="A184" s="151" t="s">
        <v>2168</v>
      </c>
      <c r="B184" s="151" t="s">
        <v>2867</v>
      </c>
      <c r="C184" s="151" t="s">
        <v>2846</v>
      </c>
      <c r="D184" s="151" t="s">
        <v>17</v>
      </c>
      <c r="E184" s="151" t="s">
        <v>2868</v>
      </c>
      <c r="F184" s="151" t="s">
        <v>544</v>
      </c>
      <c r="G184" s="151" t="s">
        <v>2173</v>
      </c>
      <c r="H184" s="151" t="s">
        <v>1274</v>
      </c>
      <c r="I184" s="151" t="s">
        <v>1184</v>
      </c>
      <c r="J184" s="151" t="s">
        <v>603</v>
      </c>
      <c r="K184" s="151" t="s">
        <v>2869</v>
      </c>
      <c r="L184" s="151" t="s">
        <v>2198</v>
      </c>
      <c r="M184" s="151" t="s">
        <v>361</v>
      </c>
      <c r="N184" s="151"/>
      <c r="O184" s="151"/>
      <c r="P184" s="151"/>
      <c r="Q184" s="151"/>
      <c r="R184" s="151" t="s">
        <v>2177</v>
      </c>
      <c r="S184" s="151" t="s">
        <v>2178</v>
      </c>
      <c r="T184" s="151" t="s">
        <v>2191</v>
      </c>
      <c r="U184" s="151" t="s">
        <v>2179</v>
      </c>
      <c r="V184" s="151">
        <v>50</v>
      </c>
      <c r="W184" s="151" t="s">
        <v>2180</v>
      </c>
      <c r="X184" s="151" t="s">
        <v>431</v>
      </c>
      <c r="Y184" s="151" t="s">
        <v>2179</v>
      </c>
      <c r="Z184" s="151" t="s">
        <v>2870</v>
      </c>
      <c r="AA184" s="151" t="s">
        <v>2871</v>
      </c>
      <c r="AB184" s="151" t="s">
        <v>855</v>
      </c>
      <c r="AC184" s="342"/>
    </row>
    <row r="185" spans="1:29">
      <c r="A185" s="151" t="s">
        <v>2168</v>
      </c>
      <c r="B185" s="151" t="s">
        <v>2872</v>
      </c>
      <c r="C185" s="151" t="s">
        <v>2873</v>
      </c>
      <c r="D185" s="151" t="s">
        <v>17</v>
      </c>
      <c r="E185" s="151" t="s">
        <v>2874</v>
      </c>
      <c r="F185" s="151" t="s">
        <v>544</v>
      </c>
      <c r="G185" s="151" t="s">
        <v>2173</v>
      </c>
      <c r="H185" s="151" t="s">
        <v>1274</v>
      </c>
      <c r="I185" s="151" t="s">
        <v>1184</v>
      </c>
      <c r="J185" s="151" t="s">
        <v>2643</v>
      </c>
      <c r="K185" s="151" t="s">
        <v>2875</v>
      </c>
      <c r="L185" s="151" t="s">
        <v>2334</v>
      </c>
      <c r="M185" s="151" t="s">
        <v>361</v>
      </c>
      <c r="N185" s="151"/>
      <c r="O185" s="151"/>
      <c r="P185" s="151"/>
      <c r="Q185" s="151"/>
      <c r="R185" s="151" t="s">
        <v>2177</v>
      </c>
      <c r="S185" s="151" t="s">
        <v>2178</v>
      </c>
      <c r="T185" s="151" t="s">
        <v>2191</v>
      </c>
      <c r="U185" s="151" t="s">
        <v>2179</v>
      </c>
      <c r="V185" s="151">
        <v>1</v>
      </c>
      <c r="W185" s="151" t="s">
        <v>2373</v>
      </c>
      <c r="X185" s="151" t="s">
        <v>431</v>
      </c>
      <c r="Y185" s="151" t="s">
        <v>2179</v>
      </c>
      <c r="Z185" s="151"/>
      <c r="AA185" s="151"/>
      <c r="AB185" s="151" t="s">
        <v>855</v>
      </c>
      <c r="AC185" s="342"/>
    </row>
    <row r="186" spans="1:29">
      <c r="A186" s="151" t="s">
        <v>2168</v>
      </c>
      <c r="B186" s="151" t="s">
        <v>2876</v>
      </c>
      <c r="C186" s="151" t="s">
        <v>2873</v>
      </c>
      <c r="D186" s="151" t="s">
        <v>17</v>
      </c>
      <c r="E186" s="151" t="s">
        <v>2877</v>
      </c>
      <c r="F186" s="151" t="s">
        <v>544</v>
      </c>
      <c r="G186" s="151" t="s">
        <v>2173</v>
      </c>
      <c r="H186" s="151" t="s">
        <v>1274</v>
      </c>
      <c r="I186" s="151" t="s">
        <v>1184</v>
      </c>
      <c r="J186" s="151" t="s">
        <v>2643</v>
      </c>
      <c r="K186" s="151" t="s">
        <v>2878</v>
      </c>
      <c r="L186" s="151" t="s">
        <v>2334</v>
      </c>
      <c r="M186" s="151" t="s">
        <v>361</v>
      </c>
      <c r="N186" s="151"/>
      <c r="O186" s="151"/>
      <c r="P186" s="151"/>
      <c r="Q186" s="151"/>
      <c r="R186" s="151" t="s">
        <v>2177</v>
      </c>
      <c r="S186" s="151" t="s">
        <v>2178</v>
      </c>
      <c r="T186" s="151" t="s">
        <v>2279</v>
      </c>
      <c r="U186" s="151" t="s">
        <v>2400</v>
      </c>
      <c r="V186" s="151">
        <v>8</v>
      </c>
      <c r="W186" s="151" t="s">
        <v>2400</v>
      </c>
      <c r="X186" s="151" t="s">
        <v>2400</v>
      </c>
      <c r="Y186" s="151" t="s">
        <v>2400</v>
      </c>
      <c r="Z186" s="151"/>
      <c r="AA186" s="151"/>
      <c r="AB186" s="151" t="s">
        <v>855</v>
      </c>
      <c r="AC186" s="342"/>
    </row>
    <row r="187" spans="1:29">
      <c r="A187" s="151" t="s">
        <v>2168</v>
      </c>
      <c r="B187" s="151" t="s">
        <v>2879</v>
      </c>
      <c r="C187" s="151" t="s">
        <v>2873</v>
      </c>
      <c r="D187" s="151" t="s">
        <v>17</v>
      </c>
      <c r="E187" s="151" t="s">
        <v>2880</v>
      </c>
      <c r="F187" s="151" t="s">
        <v>544</v>
      </c>
      <c r="G187" s="151" t="s">
        <v>2173</v>
      </c>
      <c r="H187" s="151" t="s">
        <v>1274</v>
      </c>
      <c r="I187" s="151" t="s">
        <v>1184</v>
      </c>
      <c r="J187" s="151" t="s">
        <v>2643</v>
      </c>
      <c r="K187" s="151" t="s">
        <v>2881</v>
      </c>
      <c r="L187" s="151" t="s">
        <v>2334</v>
      </c>
      <c r="M187" s="151" t="s">
        <v>361</v>
      </c>
      <c r="N187" s="151"/>
      <c r="O187" s="151"/>
      <c r="P187" s="151"/>
      <c r="Q187" s="151"/>
      <c r="R187" s="151" t="s">
        <v>2177</v>
      </c>
      <c r="S187" s="151" t="s">
        <v>2178</v>
      </c>
      <c r="T187" s="151" t="s">
        <v>435</v>
      </c>
      <c r="U187" s="151" t="s">
        <v>2507</v>
      </c>
      <c r="V187" s="151">
        <v>13</v>
      </c>
      <c r="W187" s="151" t="s">
        <v>49</v>
      </c>
      <c r="X187" s="151" t="s">
        <v>2508</v>
      </c>
      <c r="Y187" s="151" t="s">
        <v>2507</v>
      </c>
      <c r="Z187" s="151"/>
      <c r="AA187" s="151"/>
      <c r="AB187" s="151" t="s">
        <v>855</v>
      </c>
      <c r="AC187" s="342"/>
    </row>
    <row r="188" spans="1:29">
      <c r="A188" s="151" t="s">
        <v>2168</v>
      </c>
      <c r="B188" s="151" t="s">
        <v>2882</v>
      </c>
      <c r="C188" s="151" t="s">
        <v>2873</v>
      </c>
      <c r="D188" s="151" t="s">
        <v>17</v>
      </c>
      <c r="E188" s="151" t="s">
        <v>2883</v>
      </c>
      <c r="F188" s="151" t="s">
        <v>544</v>
      </c>
      <c r="G188" s="151" t="s">
        <v>2173</v>
      </c>
      <c r="H188" s="151" t="s">
        <v>1274</v>
      </c>
      <c r="I188" s="151" t="s">
        <v>1184</v>
      </c>
      <c r="J188" s="151" t="s">
        <v>2643</v>
      </c>
      <c r="K188" s="151" t="s">
        <v>2884</v>
      </c>
      <c r="L188" s="151" t="s">
        <v>2334</v>
      </c>
      <c r="M188" s="151" t="s">
        <v>361</v>
      </c>
      <c r="N188" s="151"/>
      <c r="O188" s="151"/>
      <c r="P188" s="151"/>
      <c r="Q188" s="151"/>
      <c r="R188" s="151" t="s">
        <v>2177</v>
      </c>
      <c r="S188" s="151" t="s">
        <v>2178</v>
      </c>
      <c r="T188" s="151" t="s">
        <v>435</v>
      </c>
      <c r="U188" s="151" t="s">
        <v>2885</v>
      </c>
      <c r="V188" s="151">
        <v>5</v>
      </c>
      <c r="W188" s="151" t="s">
        <v>49</v>
      </c>
      <c r="X188" s="151" t="s">
        <v>2508</v>
      </c>
      <c r="Y188" s="151" t="s">
        <v>2885</v>
      </c>
      <c r="Z188" s="151"/>
      <c r="AA188" s="151"/>
      <c r="AB188" s="151" t="s">
        <v>855</v>
      </c>
      <c r="AC188" s="342"/>
    </row>
    <row r="189" spans="1:29">
      <c r="A189" s="151" t="s">
        <v>2168</v>
      </c>
      <c r="B189" s="151" t="s">
        <v>2886</v>
      </c>
      <c r="C189" s="151" t="s">
        <v>2873</v>
      </c>
      <c r="D189" s="151" t="s">
        <v>17</v>
      </c>
      <c r="E189" s="151" t="s">
        <v>2887</v>
      </c>
      <c r="F189" s="151" t="s">
        <v>544</v>
      </c>
      <c r="G189" s="151" t="s">
        <v>2173</v>
      </c>
      <c r="H189" s="151" t="s">
        <v>1274</v>
      </c>
      <c r="I189" s="151" t="s">
        <v>1184</v>
      </c>
      <c r="J189" s="151" t="s">
        <v>2643</v>
      </c>
      <c r="K189" s="151" t="s">
        <v>2888</v>
      </c>
      <c r="L189" s="151" t="s">
        <v>2334</v>
      </c>
      <c r="M189" s="151" t="s">
        <v>361</v>
      </c>
      <c r="N189" s="151"/>
      <c r="O189" s="151"/>
      <c r="P189" s="151"/>
      <c r="Q189" s="151"/>
      <c r="R189" s="151" t="s">
        <v>2177</v>
      </c>
      <c r="S189" s="151" t="s">
        <v>2178</v>
      </c>
      <c r="T189" s="151" t="s">
        <v>435</v>
      </c>
      <c r="U189" s="151" t="s">
        <v>2885</v>
      </c>
      <c r="V189" s="151">
        <v>5</v>
      </c>
      <c r="W189" s="151" t="s">
        <v>49</v>
      </c>
      <c r="X189" s="151" t="s">
        <v>2508</v>
      </c>
      <c r="Y189" s="151" t="s">
        <v>2885</v>
      </c>
      <c r="Z189" s="151"/>
      <c r="AA189" s="151"/>
      <c r="AB189" s="151" t="s">
        <v>855</v>
      </c>
      <c r="AC189" s="342"/>
    </row>
    <row r="190" spans="1:29">
      <c r="A190" s="151" t="s">
        <v>2168</v>
      </c>
      <c r="B190" s="151" t="s">
        <v>2889</v>
      </c>
      <c r="C190" s="151" t="s">
        <v>2873</v>
      </c>
      <c r="D190" s="151" t="s">
        <v>17</v>
      </c>
      <c r="E190" s="151" t="s">
        <v>2890</v>
      </c>
      <c r="F190" s="151" t="s">
        <v>544</v>
      </c>
      <c r="G190" s="151" t="s">
        <v>2173</v>
      </c>
      <c r="H190" s="151" t="s">
        <v>1274</v>
      </c>
      <c r="I190" s="151" t="s">
        <v>1184</v>
      </c>
      <c r="J190" s="151" t="s">
        <v>2643</v>
      </c>
      <c r="K190" s="151" t="s">
        <v>2891</v>
      </c>
      <c r="L190" s="151" t="s">
        <v>2334</v>
      </c>
      <c r="M190" s="151" t="s">
        <v>361</v>
      </c>
      <c r="N190" s="151"/>
      <c r="O190" s="151"/>
      <c r="P190" s="151"/>
      <c r="Q190" s="151"/>
      <c r="R190" s="151" t="s">
        <v>2177</v>
      </c>
      <c r="S190" s="151" t="s">
        <v>2178</v>
      </c>
      <c r="T190" s="151" t="s">
        <v>435</v>
      </c>
      <c r="U190" s="151" t="s">
        <v>2507</v>
      </c>
      <c r="V190" s="151">
        <v>2</v>
      </c>
      <c r="W190" s="151" t="s">
        <v>49</v>
      </c>
      <c r="X190" s="151" t="s">
        <v>2508</v>
      </c>
      <c r="Y190" s="151" t="s">
        <v>2507</v>
      </c>
      <c r="Z190" s="151"/>
      <c r="AA190" s="151"/>
      <c r="AB190" s="151" t="s">
        <v>855</v>
      </c>
      <c r="AC190" s="342"/>
    </row>
    <row r="191" spans="1:29">
      <c r="A191" s="151" t="s">
        <v>2168</v>
      </c>
      <c r="B191" s="151" t="s">
        <v>2892</v>
      </c>
      <c r="C191" s="151" t="s">
        <v>2873</v>
      </c>
      <c r="D191" s="151" t="s">
        <v>17</v>
      </c>
      <c r="E191" s="151" t="s">
        <v>2893</v>
      </c>
      <c r="F191" s="151" t="s">
        <v>544</v>
      </c>
      <c r="G191" s="151" t="s">
        <v>2173</v>
      </c>
      <c r="H191" s="151" t="s">
        <v>1274</v>
      </c>
      <c r="I191" s="151" t="s">
        <v>1184</v>
      </c>
      <c r="J191" s="151" t="s">
        <v>2643</v>
      </c>
      <c r="K191" s="151" t="s">
        <v>2894</v>
      </c>
      <c r="L191" s="151" t="s">
        <v>2334</v>
      </c>
      <c r="M191" s="151" t="s">
        <v>361</v>
      </c>
      <c r="N191" s="151"/>
      <c r="O191" s="151"/>
      <c r="P191" s="151"/>
      <c r="Q191" s="151"/>
      <c r="R191" s="151" t="s">
        <v>2177</v>
      </c>
      <c r="S191" s="151" t="s">
        <v>2178</v>
      </c>
      <c r="T191" s="151" t="s">
        <v>435</v>
      </c>
      <c r="U191" s="151" t="s">
        <v>2507</v>
      </c>
      <c r="V191" s="151">
        <v>13</v>
      </c>
      <c r="W191" s="151" t="s">
        <v>49</v>
      </c>
      <c r="X191" s="151" t="s">
        <v>2508</v>
      </c>
      <c r="Y191" s="151" t="s">
        <v>2507</v>
      </c>
      <c r="Z191" s="151"/>
      <c r="AA191" s="151"/>
      <c r="AB191" s="151" t="s">
        <v>855</v>
      </c>
      <c r="AC191" s="342"/>
    </row>
    <row r="192" spans="1:29">
      <c r="A192" s="151" t="s">
        <v>2895</v>
      </c>
      <c r="B192" s="151" t="s">
        <v>2169</v>
      </c>
      <c r="C192" s="151" t="s">
        <v>2170</v>
      </c>
      <c r="D192" s="151" t="s">
        <v>17</v>
      </c>
      <c r="E192" s="151" t="s">
        <v>2171</v>
      </c>
      <c r="F192" s="151" t="s">
        <v>2231</v>
      </c>
      <c r="G192" s="151" t="s">
        <v>2173</v>
      </c>
      <c r="H192" s="151" t="s">
        <v>1274</v>
      </c>
      <c r="I192" s="151" t="s">
        <v>1184</v>
      </c>
      <c r="J192" s="151" t="s">
        <v>2896</v>
      </c>
      <c r="K192" s="151" t="s">
        <v>2897</v>
      </c>
      <c r="L192" s="151" t="s">
        <v>2898</v>
      </c>
      <c r="M192" s="151" t="s">
        <v>2899</v>
      </c>
      <c r="N192" s="151"/>
      <c r="O192" s="151"/>
      <c r="P192" s="151"/>
      <c r="Q192" s="151"/>
      <c r="R192" s="151" t="s">
        <v>2177</v>
      </c>
      <c r="S192" s="151" t="s">
        <v>361</v>
      </c>
      <c r="T192" s="151" t="s">
        <v>435</v>
      </c>
      <c r="U192" s="151" t="s">
        <v>2179</v>
      </c>
      <c r="V192" s="151">
        <v>38</v>
      </c>
      <c r="W192" s="151" t="s">
        <v>2180</v>
      </c>
      <c r="X192" s="151" t="s">
        <v>431</v>
      </c>
      <c r="Y192" s="151" t="s">
        <v>2179</v>
      </c>
      <c r="Z192" s="151"/>
      <c r="AA192" s="151"/>
      <c r="AB192" s="151" t="s">
        <v>855</v>
      </c>
      <c r="AC192" s="342"/>
    </row>
    <row r="193" spans="1:29">
      <c r="A193" s="151" t="s">
        <v>2895</v>
      </c>
      <c r="B193" s="151" t="s">
        <v>2900</v>
      </c>
      <c r="C193" s="151" t="s">
        <v>2170</v>
      </c>
      <c r="D193" s="151" t="s">
        <v>17</v>
      </c>
      <c r="E193" s="151" t="s">
        <v>2901</v>
      </c>
      <c r="F193" s="151" t="s">
        <v>2857</v>
      </c>
      <c r="G193" s="151" t="s">
        <v>2173</v>
      </c>
      <c r="H193" s="151" t="s">
        <v>1274</v>
      </c>
      <c r="I193" s="151" t="s">
        <v>1184</v>
      </c>
      <c r="J193" s="151" t="s">
        <v>2896</v>
      </c>
      <c r="K193" s="151" t="s">
        <v>2902</v>
      </c>
      <c r="L193" s="151" t="s">
        <v>2898</v>
      </c>
      <c r="M193" s="151" t="s">
        <v>2899</v>
      </c>
      <c r="N193" s="151"/>
      <c r="O193" s="151"/>
      <c r="P193" s="151"/>
      <c r="Q193" s="151"/>
      <c r="R193" s="151" t="s">
        <v>2177</v>
      </c>
      <c r="S193" s="151" t="s">
        <v>361</v>
      </c>
      <c r="T193" s="151" t="s">
        <v>435</v>
      </c>
      <c r="U193" s="151" t="s">
        <v>2179</v>
      </c>
      <c r="V193" s="151">
        <v>100</v>
      </c>
      <c r="W193" s="151" t="s">
        <v>2185</v>
      </c>
      <c r="X193" s="151" t="s">
        <v>431</v>
      </c>
      <c r="Y193" s="151" t="s">
        <v>2179</v>
      </c>
      <c r="Z193" s="151"/>
      <c r="AA193" s="151"/>
      <c r="AB193" s="151" t="s">
        <v>855</v>
      </c>
      <c r="AC193" s="342"/>
    </row>
    <row r="194" spans="1:29">
      <c r="A194" s="151" t="s">
        <v>2895</v>
      </c>
      <c r="B194" s="151" t="s">
        <v>2187</v>
      </c>
      <c r="C194" s="151" t="s">
        <v>2170</v>
      </c>
      <c r="D194" s="151" t="s">
        <v>17</v>
      </c>
      <c r="E194" s="151" t="s">
        <v>2188</v>
      </c>
      <c r="F194" s="151" t="s">
        <v>2231</v>
      </c>
      <c r="G194" s="151" t="s">
        <v>2173</v>
      </c>
      <c r="H194" s="151" t="s">
        <v>1274</v>
      </c>
      <c r="I194" s="151" t="s">
        <v>1184</v>
      </c>
      <c r="J194" s="151" t="s">
        <v>2896</v>
      </c>
      <c r="K194" s="151" t="s">
        <v>2903</v>
      </c>
      <c r="L194" s="151" t="s">
        <v>2898</v>
      </c>
      <c r="M194" s="151" t="s">
        <v>2899</v>
      </c>
      <c r="N194" s="151"/>
      <c r="O194" s="151"/>
      <c r="P194" s="151"/>
      <c r="Q194" s="151"/>
      <c r="R194" s="151" t="s">
        <v>2177</v>
      </c>
      <c r="S194" s="151" t="s">
        <v>361</v>
      </c>
      <c r="T194" s="151" t="s">
        <v>2191</v>
      </c>
      <c r="U194" s="151" t="s">
        <v>2179</v>
      </c>
      <c r="V194" s="151">
        <v>50</v>
      </c>
      <c r="W194" s="151" t="s">
        <v>2180</v>
      </c>
      <c r="X194" s="151" t="s">
        <v>431</v>
      </c>
      <c r="Y194" s="151" t="s">
        <v>2179</v>
      </c>
      <c r="Z194" s="151" t="s">
        <v>2904</v>
      </c>
      <c r="AA194" s="151" t="s">
        <v>2905</v>
      </c>
      <c r="AB194" s="151" t="s">
        <v>855</v>
      </c>
      <c r="AC194" s="342"/>
    </row>
    <row r="195" spans="1:29">
      <c r="A195" s="151" t="s">
        <v>2895</v>
      </c>
      <c r="B195" s="151" t="s">
        <v>2906</v>
      </c>
      <c r="C195" s="151" t="s">
        <v>2170</v>
      </c>
      <c r="D195" s="151" t="s">
        <v>17</v>
      </c>
      <c r="E195" s="151" t="s">
        <v>2907</v>
      </c>
      <c r="F195" s="151" t="s">
        <v>2231</v>
      </c>
      <c r="G195" s="151" t="s">
        <v>2173</v>
      </c>
      <c r="H195" s="151" t="s">
        <v>1274</v>
      </c>
      <c r="I195" s="151" t="s">
        <v>1184</v>
      </c>
      <c r="J195" s="151" t="s">
        <v>603</v>
      </c>
      <c r="K195" s="151" t="s">
        <v>2197</v>
      </c>
      <c r="L195" s="151" t="s">
        <v>2908</v>
      </c>
      <c r="M195" s="151" t="s">
        <v>2187</v>
      </c>
      <c r="N195" s="151"/>
      <c r="O195" s="151"/>
      <c r="P195" s="151"/>
      <c r="Q195" s="151"/>
      <c r="R195" s="151" t="s">
        <v>2177</v>
      </c>
      <c r="S195" s="151" t="s">
        <v>361</v>
      </c>
      <c r="T195" s="151" t="s">
        <v>2200</v>
      </c>
      <c r="U195" s="151" t="s">
        <v>2179</v>
      </c>
      <c r="V195" s="151">
        <v>100</v>
      </c>
      <c r="W195" s="151" t="s">
        <v>2185</v>
      </c>
      <c r="X195" s="151" t="s">
        <v>431</v>
      </c>
      <c r="Y195" s="151" t="s">
        <v>2179</v>
      </c>
      <c r="Z195" s="151"/>
      <c r="AA195" s="151"/>
      <c r="AB195" s="151" t="s">
        <v>855</v>
      </c>
      <c r="AC195" s="342"/>
    </row>
    <row r="196" spans="1:29">
      <c r="A196" s="151" t="s">
        <v>2895</v>
      </c>
      <c r="B196" s="151" t="s">
        <v>2909</v>
      </c>
      <c r="C196" s="151" t="s">
        <v>2170</v>
      </c>
      <c r="D196" s="151" t="s">
        <v>17</v>
      </c>
      <c r="E196" s="151" t="s">
        <v>2910</v>
      </c>
      <c r="F196" s="151" t="s">
        <v>2231</v>
      </c>
      <c r="G196" s="151" t="s">
        <v>2173</v>
      </c>
      <c r="H196" s="151" t="s">
        <v>1274</v>
      </c>
      <c r="I196" s="151" t="s">
        <v>1184</v>
      </c>
      <c r="J196" s="151" t="s">
        <v>2896</v>
      </c>
      <c r="K196" s="151" t="s">
        <v>2911</v>
      </c>
      <c r="L196" s="151" t="s">
        <v>2898</v>
      </c>
      <c r="M196" s="151" t="s">
        <v>2899</v>
      </c>
      <c r="N196" s="151"/>
      <c r="O196" s="151"/>
      <c r="P196" s="151"/>
      <c r="Q196" s="151"/>
      <c r="R196" s="151" t="s">
        <v>2177</v>
      </c>
      <c r="S196" s="151" t="s">
        <v>361</v>
      </c>
      <c r="T196" s="151" t="s">
        <v>2279</v>
      </c>
      <c r="U196" s="151" t="s">
        <v>2400</v>
      </c>
      <c r="V196" s="151">
        <v>8</v>
      </c>
      <c r="W196" s="151" t="s">
        <v>2400</v>
      </c>
      <c r="X196" s="151" t="s">
        <v>2400</v>
      </c>
      <c r="Y196" s="151" t="s">
        <v>2400</v>
      </c>
      <c r="Z196" s="151"/>
      <c r="AA196" s="151"/>
      <c r="AB196" s="151" t="s">
        <v>855</v>
      </c>
      <c r="AC196" s="342"/>
    </row>
    <row r="197" spans="1:29">
      <c r="A197" s="151" t="s">
        <v>2895</v>
      </c>
      <c r="B197" s="151" t="s">
        <v>2208</v>
      </c>
      <c r="C197" s="151" t="s">
        <v>2170</v>
      </c>
      <c r="D197" s="151" t="s">
        <v>17</v>
      </c>
      <c r="E197" s="151" t="s">
        <v>2209</v>
      </c>
      <c r="F197" s="151" t="s">
        <v>2231</v>
      </c>
      <c r="G197" s="151" t="s">
        <v>2173</v>
      </c>
      <c r="H197" s="151" t="s">
        <v>1274</v>
      </c>
      <c r="I197" s="151" t="s">
        <v>1184</v>
      </c>
      <c r="J197" s="151" t="s">
        <v>2896</v>
      </c>
      <c r="K197" s="151" t="s">
        <v>2912</v>
      </c>
      <c r="L197" s="151" t="s">
        <v>2898</v>
      </c>
      <c r="M197" s="151" t="s">
        <v>2899</v>
      </c>
      <c r="N197" s="151"/>
      <c r="O197" s="151"/>
      <c r="P197" s="151"/>
      <c r="Q197" s="151"/>
      <c r="R197" s="151" t="s">
        <v>2177</v>
      </c>
      <c r="S197" s="151" t="s">
        <v>361</v>
      </c>
      <c r="T197" s="151" t="s">
        <v>2191</v>
      </c>
      <c r="U197" s="151" t="s">
        <v>2179</v>
      </c>
      <c r="V197" s="151"/>
      <c r="W197" s="151" t="s">
        <v>2228</v>
      </c>
      <c r="X197" s="151" t="s">
        <v>431</v>
      </c>
      <c r="Y197" s="151" t="s">
        <v>2179</v>
      </c>
      <c r="Z197" s="151" t="s">
        <v>2761</v>
      </c>
      <c r="AA197" s="151" t="s">
        <v>2762</v>
      </c>
      <c r="AB197" s="151" t="s">
        <v>855</v>
      </c>
      <c r="AC197" s="342"/>
    </row>
    <row r="198" spans="1:29" ht="105">
      <c r="A198" s="151" t="s">
        <v>2895</v>
      </c>
      <c r="B198" s="151" t="s">
        <v>2221</v>
      </c>
      <c r="C198" s="151" t="s">
        <v>2170</v>
      </c>
      <c r="D198" s="151" t="s">
        <v>17</v>
      </c>
      <c r="E198" s="151" t="s">
        <v>2222</v>
      </c>
      <c r="F198" s="151" t="s">
        <v>2527</v>
      </c>
      <c r="G198" s="151" t="s">
        <v>2173</v>
      </c>
      <c r="H198" s="151" t="s">
        <v>1274</v>
      </c>
      <c r="I198" s="151" t="s">
        <v>1184</v>
      </c>
      <c r="J198" s="151" t="s">
        <v>2896</v>
      </c>
      <c r="K198" s="151" t="s">
        <v>2913</v>
      </c>
      <c r="L198" s="151" t="s">
        <v>2898</v>
      </c>
      <c r="M198" s="151" t="s">
        <v>2899</v>
      </c>
      <c r="N198" s="341" t="s">
        <v>2914</v>
      </c>
      <c r="O198" s="151">
        <v>225776</v>
      </c>
      <c r="P198" s="151"/>
      <c r="Q198" s="151"/>
      <c r="R198" s="151" t="s">
        <v>2177</v>
      </c>
      <c r="S198" s="151" t="s">
        <v>361</v>
      </c>
      <c r="T198" s="151" t="s">
        <v>2279</v>
      </c>
      <c r="U198" s="151" t="s">
        <v>2400</v>
      </c>
      <c r="V198" s="151">
        <v>23</v>
      </c>
      <c r="W198" s="151" t="s">
        <v>2400</v>
      </c>
      <c r="X198" s="151" t="s">
        <v>2400</v>
      </c>
      <c r="Y198" s="151" t="s">
        <v>2400</v>
      </c>
      <c r="Z198" s="151"/>
      <c r="AA198" s="151"/>
      <c r="AB198" s="151" t="s">
        <v>855</v>
      </c>
      <c r="AC198" s="342"/>
    </row>
    <row r="199" spans="1:29">
      <c r="A199" s="151" t="s">
        <v>2895</v>
      </c>
      <c r="B199" s="151" t="s">
        <v>2224</v>
      </c>
      <c r="C199" s="151" t="s">
        <v>2170</v>
      </c>
      <c r="D199" s="151" t="s">
        <v>17</v>
      </c>
      <c r="E199" s="151" t="s">
        <v>2225</v>
      </c>
      <c r="F199" s="151" t="s">
        <v>2231</v>
      </c>
      <c r="G199" s="151" t="s">
        <v>2173</v>
      </c>
      <c r="H199" s="151" t="s">
        <v>1274</v>
      </c>
      <c r="I199" s="151" t="s">
        <v>1184</v>
      </c>
      <c r="J199" s="151" t="s">
        <v>2896</v>
      </c>
      <c r="K199" s="151" t="s">
        <v>2915</v>
      </c>
      <c r="L199" s="151" t="s">
        <v>2898</v>
      </c>
      <c r="M199" s="151" t="s">
        <v>2899</v>
      </c>
      <c r="N199" s="151"/>
      <c r="O199" s="151"/>
      <c r="P199" s="151"/>
      <c r="Q199" s="151"/>
      <c r="R199" s="151" t="s">
        <v>2177</v>
      </c>
      <c r="S199" s="151" t="s">
        <v>361</v>
      </c>
      <c r="T199" s="151" t="s">
        <v>2191</v>
      </c>
      <c r="U199" s="151" t="s">
        <v>2179</v>
      </c>
      <c r="V199" s="151" t="s">
        <v>49</v>
      </c>
      <c r="W199" s="151" t="s">
        <v>2228</v>
      </c>
      <c r="X199" s="151" t="s">
        <v>431</v>
      </c>
      <c r="Y199" s="151" t="s">
        <v>2179</v>
      </c>
      <c r="Z199" s="151" t="s">
        <v>2778</v>
      </c>
      <c r="AA199" s="151" t="s">
        <v>2916</v>
      </c>
      <c r="AB199" s="151" t="s">
        <v>855</v>
      </c>
      <c r="AC199" s="342"/>
    </row>
    <row r="200" spans="1:29">
      <c r="A200" s="151" t="s">
        <v>2895</v>
      </c>
      <c r="B200" s="151" t="s">
        <v>2229</v>
      </c>
      <c r="C200" s="151" t="s">
        <v>2170</v>
      </c>
      <c r="D200" s="151" t="s">
        <v>17</v>
      </c>
      <c r="E200" s="151" t="s">
        <v>2230</v>
      </c>
      <c r="F200" s="151" t="s">
        <v>2231</v>
      </c>
      <c r="G200" s="151" t="s">
        <v>2173</v>
      </c>
      <c r="H200" s="151" t="s">
        <v>1274</v>
      </c>
      <c r="I200" s="151" t="s">
        <v>1184</v>
      </c>
      <c r="J200" s="151" t="s">
        <v>2896</v>
      </c>
      <c r="K200" s="151" t="s">
        <v>2917</v>
      </c>
      <c r="L200" s="151" t="s">
        <v>2898</v>
      </c>
      <c r="M200" s="151" t="s">
        <v>2899</v>
      </c>
      <c r="N200" s="151"/>
      <c r="O200" s="151"/>
      <c r="P200" s="151"/>
      <c r="Q200" s="151"/>
      <c r="R200" s="151" t="s">
        <v>2177</v>
      </c>
      <c r="S200" s="151" t="s">
        <v>2918</v>
      </c>
      <c r="T200" s="151" t="s">
        <v>2191</v>
      </c>
      <c r="U200" s="151" t="s">
        <v>2179</v>
      </c>
      <c r="V200" s="151">
        <v>255</v>
      </c>
      <c r="W200" s="151" t="s">
        <v>2363</v>
      </c>
      <c r="X200" s="151" t="s">
        <v>431</v>
      </c>
      <c r="Y200" s="151" t="s">
        <v>2179</v>
      </c>
      <c r="Z200" s="151" t="s">
        <v>2234</v>
      </c>
      <c r="AA200" s="151" t="s">
        <v>2235</v>
      </c>
      <c r="AB200" s="151" t="s">
        <v>855</v>
      </c>
      <c r="AC200" t="s">
        <v>2919</v>
      </c>
    </row>
    <row r="201" spans="1:29">
      <c r="A201" s="151" t="s">
        <v>2895</v>
      </c>
      <c r="B201" s="151" t="s">
        <v>2236</v>
      </c>
      <c r="C201" s="151" t="s">
        <v>2170</v>
      </c>
      <c r="D201" s="151" t="s">
        <v>17</v>
      </c>
      <c r="E201" s="151" t="s">
        <v>2237</v>
      </c>
      <c r="F201" s="151" t="s">
        <v>2231</v>
      </c>
      <c r="G201" s="151" t="s">
        <v>2173</v>
      </c>
      <c r="H201" s="151" t="s">
        <v>1274</v>
      </c>
      <c r="I201" s="151" t="s">
        <v>1184</v>
      </c>
      <c r="J201" s="151" t="s">
        <v>2896</v>
      </c>
      <c r="K201" s="151" t="s">
        <v>2920</v>
      </c>
      <c r="L201" s="151" t="s">
        <v>2898</v>
      </c>
      <c r="M201" s="151" t="s">
        <v>2899</v>
      </c>
      <c r="N201" s="151"/>
      <c r="O201" s="151"/>
      <c r="P201" s="151"/>
      <c r="Q201" s="151"/>
      <c r="R201" s="151" t="s">
        <v>2177</v>
      </c>
      <c r="S201" s="151" t="s">
        <v>2918</v>
      </c>
      <c r="T201" s="151" t="s">
        <v>2191</v>
      </c>
      <c r="U201" s="151" t="s">
        <v>2179</v>
      </c>
      <c r="V201" s="151">
        <v>255</v>
      </c>
      <c r="W201" s="151" t="s">
        <v>2363</v>
      </c>
      <c r="X201" s="151" t="s">
        <v>431</v>
      </c>
      <c r="Y201" s="151" t="s">
        <v>2179</v>
      </c>
      <c r="Z201" s="151" t="s">
        <v>2239</v>
      </c>
      <c r="AA201" s="151" t="s">
        <v>2516</v>
      </c>
      <c r="AB201" s="151" t="s">
        <v>855</v>
      </c>
      <c r="AC201" s="342"/>
    </row>
    <row r="202" spans="1:29" ht="210">
      <c r="A202" s="151" t="s">
        <v>2895</v>
      </c>
      <c r="B202" s="151" t="s">
        <v>2241</v>
      </c>
      <c r="C202" s="151" t="s">
        <v>2170</v>
      </c>
      <c r="D202" s="151" t="s">
        <v>17</v>
      </c>
      <c r="E202" s="151" t="s">
        <v>2921</v>
      </c>
      <c r="F202" s="151" t="s">
        <v>2527</v>
      </c>
      <c r="G202" s="151" t="s">
        <v>2173</v>
      </c>
      <c r="H202" s="151" t="s">
        <v>1274</v>
      </c>
      <c r="I202" s="151" t="s">
        <v>1184</v>
      </c>
      <c r="J202" s="151" t="s">
        <v>1402</v>
      </c>
      <c r="K202" s="151" t="s">
        <v>2922</v>
      </c>
      <c r="L202" s="151" t="s">
        <v>2923</v>
      </c>
      <c r="M202" s="151" t="s">
        <v>361</v>
      </c>
      <c r="N202" s="341" t="s">
        <v>2924</v>
      </c>
      <c r="O202" s="151">
        <v>213922</v>
      </c>
      <c r="P202" s="151"/>
      <c r="Q202" s="151"/>
      <c r="R202" s="151" t="s">
        <v>2177</v>
      </c>
      <c r="S202" s="341" t="s">
        <v>2925</v>
      </c>
      <c r="T202" s="151" t="s">
        <v>2191</v>
      </c>
      <c r="U202" s="151" t="s">
        <v>2179</v>
      </c>
      <c r="V202" s="151">
        <v>255</v>
      </c>
      <c r="W202" s="151" t="s">
        <v>2468</v>
      </c>
      <c r="X202" s="151" t="s">
        <v>431</v>
      </c>
      <c r="Y202" s="151" t="s">
        <v>2179</v>
      </c>
      <c r="Z202" s="151" t="s">
        <v>2244</v>
      </c>
      <c r="AA202" s="151" t="s">
        <v>2245</v>
      </c>
      <c r="AB202" s="151" t="s">
        <v>855</v>
      </c>
      <c r="AC202" s="342"/>
    </row>
    <row r="203" spans="1:29" ht="90">
      <c r="A203" s="151" t="s">
        <v>2895</v>
      </c>
      <c r="B203" s="151" t="s">
        <v>2269</v>
      </c>
      <c r="C203" s="151" t="s">
        <v>2926</v>
      </c>
      <c r="D203" s="151" t="s">
        <v>17</v>
      </c>
      <c r="E203" s="151" t="s">
        <v>2927</v>
      </c>
      <c r="F203" s="151" t="s">
        <v>2527</v>
      </c>
      <c r="G203" s="151" t="s">
        <v>2173</v>
      </c>
      <c r="H203" s="151" t="s">
        <v>1274</v>
      </c>
      <c r="I203" s="151" t="s">
        <v>1184</v>
      </c>
      <c r="J203" s="151" t="s">
        <v>2896</v>
      </c>
      <c r="K203" s="151" t="s">
        <v>2928</v>
      </c>
      <c r="L203" s="151" t="s">
        <v>2898</v>
      </c>
      <c r="M203" s="151" t="s">
        <v>2899</v>
      </c>
      <c r="N203" s="341" t="s">
        <v>2929</v>
      </c>
      <c r="O203" s="151">
        <v>225766</v>
      </c>
      <c r="P203" s="151"/>
      <c r="Q203" s="151"/>
      <c r="R203" s="151" t="s">
        <v>2177</v>
      </c>
      <c r="S203" s="151" t="s">
        <v>361</v>
      </c>
      <c r="T203" s="151" t="s">
        <v>2200</v>
      </c>
      <c r="U203" s="151" t="s">
        <v>2179</v>
      </c>
      <c r="V203" s="151">
        <v>50</v>
      </c>
      <c r="W203" s="151" t="s">
        <v>2396</v>
      </c>
      <c r="X203" s="151" t="s">
        <v>431</v>
      </c>
      <c r="Y203" s="151" t="s">
        <v>2179</v>
      </c>
      <c r="Z203" s="151"/>
      <c r="AA203" s="151"/>
      <c r="AB203" s="151" t="s">
        <v>855</v>
      </c>
      <c r="AC203" s="342"/>
    </row>
    <row r="204" spans="1:29" ht="225">
      <c r="A204" s="151" t="s">
        <v>2895</v>
      </c>
      <c r="B204" s="151" t="s">
        <v>2930</v>
      </c>
      <c r="C204" s="151" t="s">
        <v>2926</v>
      </c>
      <c r="D204" s="151" t="s">
        <v>17</v>
      </c>
      <c r="E204" s="151" t="s">
        <v>2931</v>
      </c>
      <c r="F204" s="151" t="s">
        <v>2527</v>
      </c>
      <c r="G204" s="151" t="s">
        <v>2173</v>
      </c>
      <c r="H204" s="151" t="s">
        <v>1274</v>
      </c>
      <c r="I204" s="151" t="s">
        <v>1184</v>
      </c>
      <c r="J204" s="151" t="s">
        <v>2896</v>
      </c>
      <c r="K204" s="151" t="s">
        <v>2932</v>
      </c>
      <c r="L204" s="151" t="s">
        <v>2898</v>
      </c>
      <c r="M204" s="151" t="s">
        <v>2899</v>
      </c>
      <c r="N204" s="341" t="s">
        <v>2933</v>
      </c>
      <c r="O204" s="151">
        <v>223867</v>
      </c>
      <c r="P204" s="151"/>
      <c r="Q204" s="151"/>
      <c r="R204" s="151" t="s">
        <v>2177</v>
      </c>
      <c r="S204" s="341" t="s">
        <v>2934</v>
      </c>
      <c r="T204" s="151" t="s">
        <v>2200</v>
      </c>
      <c r="U204" s="151" t="s">
        <v>2179</v>
      </c>
      <c r="V204" s="151">
        <v>50</v>
      </c>
      <c r="W204" s="151" t="s">
        <v>2180</v>
      </c>
      <c r="X204" s="151" t="s">
        <v>431</v>
      </c>
      <c r="Y204" s="151" t="s">
        <v>2179</v>
      </c>
      <c r="Z204" s="151"/>
      <c r="AA204" s="151"/>
      <c r="AB204" s="151" t="s">
        <v>855</v>
      </c>
      <c r="AC204" s="342"/>
    </row>
    <row r="205" spans="1:29" ht="225">
      <c r="A205" s="151" t="s">
        <v>2895</v>
      </c>
      <c r="B205" s="151" t="s">
        <v>2935</v>
      </c>
      <c r="C205" s="151" t="s">
        <v>2926</v>
      </c>
      <c r="D205" s="151" t="s">
        <v>17</v>
      </c>
      <c r="E205" s="151" t="s">
        <v>2936</v>
      </c>
      <c r="F205" s="151" t="s">
        <v>2527</v>
      </c>
      <c r="G205" s="151" t="s">
        <v>2173</v>
      </c>
      <c r="H205" s="151" t="s">
        <v>1274</v>
      </c>
      <c r="I205" s="151" t="s">
        <v>1184</v>
      </c>
      <c r="J205" s="151" t="s">
        <v>2896</v>
      </c>
      <c r="K205" s="151" t="s">
        <v>2937</v>
      </c>
      <c r="L205" s="151" t="s">
        <v>2898</v>
      </c>
      <c r="M205" s="151" t="s">
        <v>2899</v>
      </c>
      <c r="N205" s="341" t="s">
        <v>2938</v>
      </c>
      <c r="O205" s="151">
        <v>223867</v>
      </c>
      <c r="P205" s="151"/>
      <c r="Q205" s="151"/>
      <c r="R205" s="151" t="s">
        <v>2177</v>
      </c>
      <c r="S205" s="341" t="s">
        <v>2934</v>
      </c>
      <c r="T205" s="151" t="s">
        <v>2200</v>
      </c>
      <c r="U205" s="151" t="s">
        <v>2179</v>
      </c>
      <c r="V205" s="151">
        <v>100</v>
      </c>
      <c r="W205" s="151" t="s">
        <v>2185</v>
      </c>
      <c r="X205" s="151" t="s">
        <v>431</v>
      </c>
      <c r="Y205" s="151" t="s">
        <v>2179</v>
      </c>
      <c r="Z205" s="151"/>
      <c r="AA205" s="151"/>
      <c r="AB205" s="151" t="s">
        <v>855</v>
      </c>
      <c r="AC205" s="342"/>
    </row>
    <row r="206" spans="1:29" ht="225">
      <c r="A206" s="151" t="s">
        <v>2895</v>
      </c>
      <c r="B206" s="151" t="s">
        <v>2939</v>
      </c>
      <c r="C206" s="151" t="s">
        <v>2926</v>
      </c>
      <c r="D206" s="151" t="s">
        <v>17</v>
      </c>
      <c r="E206" s="151" t="s">
        <v>2940</v>
      </c>
      <c r="F206" s="151" t="s">
        <v>2527</v>
      </c>
      <c r="G206" s="151" t="s">
        <v>2173</v>
      </c>
      <c r="H206" s="151" t="s">
        <v>1274</v>
      </c>
      <c r="I206" s="151" t="s">
        <v>1184</v>
      </c>
      <c r="J206" s="151" t="s">
        <v>2896</v>
      </c>
      <c r="K206" s="151" t="s">
        <v>2941</v>
      </c>
      <c r="L206" s="151" t="s">
        <v>2898</v>
      </c>
      <c r="M206" s="151" t="s">
        <v>2899</v>
      </c>
      <c r="N206" s="341" t="s">
        <v>2942</v>
      </c>
      <c r="O206" s="151">
        <v>223867</v>
      </c>
      <c r="P206" s="151"/>
      <c r="Q206" s="151"/>
      <c r="R206" s="151" t="s">
        <v>2177</v>
      </c>
      <c r="S206" s="433" t="s">
        <v>2943</v>
      </c>
      <c r="T206" s="151" t="s">
        <v>2200</v>
      </c>
      <c r="U206" s="151" t="s">
        <v>2179</v>
      </c>
      <c r="V206" s="151">
        <v>50</v>
      </c>
      <c r="W206" s="151" t="s">
        <v>2180</v>
      </c>
      <c r="X206" s="151" t="s">
        <v>431</v>
      </c>
      <c r="Y206" s="151" t="s">
        <v>2179</v>
      </c>
      <c r="Z206" s="151"/>
      <c r="AA206" s="151"/>
      <c r="AB206" s="151" t="s">
        <v>855</v>
      </c>
      <c r="AC206" s="342"/>
    </row>
    <row r="207" spans="1:29" ht="225">
      <c r="A207" s="151" t="s">
        <v>2895</v>
      </c>
      <c r="B207" s="151" t="s">
        <v>2944</v>
      </c>
      <c r="C207" s="151" t="s">
        <v>2926</v>
      </c>
      <c r="D207" s="151" t="s">
        <v>17</v>
      </c>
      <c r="E207" s="151" t="s">
        <v>2945</v>
      </c>
      <c r="F207" s="151" t="s">
        <v>2527</v>
      </c>
      <c r="G207" s="151" t="s">
        <v>2173</v>
      </c>
      <c r="H207" s="151" t="s">
        <v>1274</v>
      </c>
      <c r="I207" s="151" t="s">
        <v>1184</v>
      </c>
      <c r="J207" s="151" t="s">
        <v>2896</v>
      </c>
      <c r="K207" s="151" t="s">
        <v>2946</v>
      </c>
      <c r="L207" s="151" t="s">
        <v>2898</v>
      </c>
      <c r="M207" s="151" t="s">
        <v>2899</v>
      </c>
      <c r="N207" s="341" t="s">
        <v>2947</v>
      </c>
      <c r="O207" s="151">
        <v>225754</v>
      </c>
      <c r="P207" s="151"/>
      <c r="Q207" s="151"/>
      <c r="R207" s="151" t="s">
        <v>2177</v>
      </c>
      <c r="S207" s="341" t="s">
        <v>2948</v>
      </c>
      <c r="T207" s="151" t="s">
        <v>2191</v>
      </c>
      <c r="U207" s="151" t="s">
        <v>49</v>
      </c>
      <c r="V207" s="151">
        <v>5</v>
      </c>
      <c r="W207" s="151" t="s">
        <v>2949</v>
      </c>
      <c r="X207" s="151" t="s">
        <v>431</v>
      </c>
      <c r="Y207" s="151" t="s">
        <v>2179</v>
      </c>
      <c r="Z207" s="151" t="s">
        <v>2950</v>
      </c>
      <c r="AA207" s="151" t="s">
        <v>2951</v>
      </c>
      <c r="AB207" s="151" t="s">
        <v>855</v>
      </c>
      <c r="AC207" s="342"/>
    </row>
    <row r="208" spans="1:29" ht="240">
      <c r="A208" s="151" t="s">
        <v>2895</v>
      </c>
      <c r="B208" s="151" t="s">
        <v>2288</v>
      </c>
      <c r="C208" s="151" t="s">
        <v>2926</v>
      </c>
      <c r="D208" s="151" t="s">
        <v>17</v>
      </c>
      <c r="E208" s="151" t="s">
        <v>2289</v>
      </c>
      <c r="F208" s="151" t="s">
        <v>2527</v>
      </c>
      <c r="G208" s="151" t="s">
        <v>2173</v>
      </c>
      <c r="H208" s="151" t="s">
        <v>1274</v>
      </c>
      <c r="I208" s="151" t="s">
        <v>1184</v>
      </c>
      <c r="J208" s="151" t="s">
        <v>2896</v>
      </c>
      <c r="K208" s="151" t="s">
        <v>2952</v>
      </c>
      <c r="L208" s="151" t="s">
        <v>2898</v>
      </c>
      <c r="M208" s="151" t="s">
        <v>2899</v>
      </c>
      <c r="N208" s="341" t="s">
        <v>2953</v>
      </c>
      <c r="O208" s="151">
        <v>223828</v>
      </c>
      <c r="P208" s="151"/>
      <c r="Q208" s="151"/>
      <c r="R208" s="151" t="s">
        <v>2177</v>
      </c>
      <c r="S208" s="341" t="s">
        <v>2954</v>
      </c>
      <c r="T208" s="151" t="s">
        <v>2200</v>
      </c>
      <c r="U208" s="151" t="s">
        <v>2179</v>
      </c>
      <c r="V208" s="151">
        <v>100</v>
      </c>
      <c r="W208" s="151" t="s">
        <v>2185</v>
      </c>
      <c r="X208" s="151" t="s">
        <v>431</v>
      </c>
      <c r="Y208" s="151" t="s">
        <v>2179</v>
      </c>
      <c r="Z208" s="151"/>
      <c r="AA208" s="151"/>
      <c r="AB208" s="151" t="s">
        <v>855</v>
      </c>
      <c r="AC208" s="342"/>
    </row>
    <row r="209" spans="1:29">
      <c r="A209" s="151" t="s">
        <v>2895</v>
      </c>
      <c r="B209" s="151" t="s">
        <v>2291</v>
      </c>
      <c r="C209" s="151" t="s">
        <v>2926</v>
      </c>
      <c r="D209" s="151" t="s">
        <v>17</v>
      </c>
      <c r="E209" s="151" t="s">
        <v>2292</v>
      </c>
      <c r="F209" s="151" t="s">
        <v>2231</v>
      </c>
      <c r="G209" s="151" t="s">
        <v>2173</v>
      </c>
      <c r="H209" s="151" t="s">
        <v>1274</v>
      </c>
      <c r="I209" s="151" t="s">
        <v>1184</v>
      </c>
      <c r="J209" s="151" t="s">
        <v>2896</v>
      </c>
      <c r="K209" s="151" t="s">
        <v>2913</v>
      </c>
      <c r="L209" s="151" t="s">
        <v>2898</v>
      </c>
      <c r="M209" s="151" t="s">
        <v>2899</v>
      </c>
      <c r="N209" s="151"/>
      <c r="O209" s="151"/>
      <c r="P209" s="151"/>
      <c r="Q209" s="151"/>
      <c r="R209" s="151" t="s">
        <v>2177</v>
      </c>
      <c r="S209" s="151" t="s">
        <v>361</v>
      </c>
      <c r="T209" s="151" t="s">
        <v>2279</v>
      </c>
      <c r="U209" s="151" t="s">
        <v>2400</v>
      </c>
      <c r="V209" s="151">
        <v>23</v>
      </c>
      <c r="W209" s="151" t="s">
        <v>2400</v>
      </c>
      <c r="X209" s="151" t="s">
        <v>2400</v>
      </c>
      <c r="Y209" s="151" t="s">
        <v>2400</v>
      </c>
      <c r="Z209" s="151"/>
      <c r="AA209" s="151"/>
      <c r="AB209" s="151" t="s">
        <v>855</v>
      </c>
      <c r="AC209" s="342"/>
    </row>
    <row r="210" spans="1:29" ht="105">
      <c r="A210" s="151" t="s">
        <v>2895</v>
      </c>
      <c r="B210" s="151" t="s">
        <v>2955</v>
      </c>
      <c r="C210" s="151" t="s">
        <v>2926</v>
      </c>
      <c r="D210" s="151" t="s">
        <v>17</v>
      </c>
      <c r="E210" s="151" t="s">
        <v>2956</v>
      </c>
      <c r="F210" s="151" t="s">
        <v>2527</v>
      </c>
      <c r="G210" s="151" t="s">
        <v>2173</v>
      </c>
      <c r="H210" s="151" t="s">
        <v>1274</v>
      </c>
      <c r="I210" s="151" t="s">
        <v>1184</v>
      </c>
      <c r="J210" s="151" t="s">
        <v>2896</v>
      </c>
      <c r="K210" s="151" t="s">
        <v>2957</v>
      </c>
      <c r="L210" s="151" t="s">
        <v>2898</v>
      </c>
      <c r="M210" s="151" t="s">
        <v>2899</v>
      </c>
      <c r="N210" s="341" t="s">
        <v>2958</v>
      </c>
      <c r="O210" s="151">
        <v>225766</v>
      </c>
      <c r="P210" s="151"/>
      <c r="Q210" s="151"/>
      <c r="R210" s="151" t="s">
        <v>2177</v>
      </c>
      <c r="S210" s="151" t="s">
        <v>361</v>
      </c>
      <c r="T210" s="151" t="s">
        <v>2200</v>
      </c>
      <c r="U210" s="151" t="s">
        <v>2179</v>
      </c>
      <c r="V210" s="151">
        <v>100</v>
      </c>
      <c r="W210" s="151" t="s">
        <v>2185</v>
      </c>
      <c r="X210" s="151" t="s">
        <v>431</v>
      </c>
      <c r="Y210" s="151" t="s">
        <v>2179</v>
      </c>
      <c r="Z210" s="151"/>
      <c r="AA210" s="151"/>
      <c r="AB210" s="151" t="s">
        <v>855</v>
      </c>
      <c r="AC210" s="342"/>
    </row>
    <row r="211" spans="1:29" ht="105">
      <c r="A211" s="151" t="s">
        <v>2895</v>
      </c>
      <c r="B211" s="151" t="s">
        <v>2959</v>
      </c>
      <c r="C211" s="151" t="s">
        <v>2926</v>
      </c>
      <c r="D211" s="151" t="s">
        <v>17</v>
      </c>
      <c r="E211" s="151" t="s">
        <v>2960</v>
      </c>
      <c r="F211" s="151" t="s">
        <v>2527</v>
      </c>
      <c r="G211" s="151" t="s">
        <v>2173</v>
      </c>
      <c r="H211" s="151" t="s">
        <v>1274</v>
      </c>
      <c r="I211" s="151" t="s">
        <v>1184</v>
      </c>
      <c r="J211" s="151" t="s">
        <v>2896</v>
      </c>
      <c r="K211" s="151" t="s">
        <v>2961</v>
      </c>
      <c r="L211" s="151" t="s">
        <v>2898</v>
      </c>
      <c r="M211" s="151" t="s">
        <v>2899</v>
      </c>
      <c r="N211" s="341" t="s">
        <v>2962</v>
      </c>
      <c r="O211" s="151">
        <v>225766</v>
      </c>
      <c r="P211" s="151"/>
      <c r="Q211" s="151"/>
      <c r="R211" s="151" t="s">
        <v>2177</v>
      </c>
      <c r="S211" s="151" t="s">
        <v>361</v>
      </c>
      <c r="T211" s="151" t="s">
        <v>2200</v>
      </c>
      <c r="U211" s="151" t="s">
        <v>2179</v>
      </c>
      <c r="V211" s="151">
        <v>100</v>
      </c>
      <c r="W211" s="151" t="s">
        <v>2185</v>
      </c>
      <c r="X211" s="151" t="s">
        <v>431</v>
      </c>
      <c r="Y211" s="151" t="s">
        <v>2179</v>
      </c>
      <c r="Z211" s="151"/>
      <c r="AA211" s="151"/>
      <c r="AB211" s="151" t="s">
        <v>855</v>
      </c>
      <c r="AC211" s="342"/>
    </row>
    <row r="212" spans="1:29" ht="105">
      <c r="A212" s="151" t="s">
        <v>2895</v>
      </c>
      <c r="B212" s="151" t="s">
        <v>2963</v>
      </c>
      <c r="C212" s="151" t="s">
        <v>2926</v>
      </c>
      <c r="D212" s="151" t="s">
        <v>17</v>
      </c>
      <c r="E212" s="151" t="s">
        <v>2964</v>
      </c>
      <c r="F212" s="151" t="s">
        <v>2527</v>
      </c>
      <c r="G212" s="151" t="s">
        <v>2173</v>
      </c>
      <c r="H212" s="151" t="s">
        <v>1274</v>
      </c>
      <c r="I212" s="151" t="s">
        <v>1184</v>
      </c>
      <c r="J212" s="151" t="s">
        <v>2896</v>
      </c>
      <c r="K212" s="151" t="s">
        <v>2965</v>
      </c>
      <c r="L212" s="151" t="s">
        <v>2898</v>
      </c>
      <c r="M212" s="151" t="s">
        <v>2899</v>
      </c>
      <c r="N212" s="341" t="s">
        <v>2966</v>
      </c>
      <c r="O212" s="151">
        <v>225766</v>
      </c>
      <c r="P212" s="151"/>
      <c r="Q212" s="151"/>
      <c r="R212" s="151" t="s">
        <v>2177</v>
      </c>
      <c r="S212" s="151" t="s">
        <v>361</v>
      </c>
      <c r="T212" s="151" t="s">
        <v>2200</v>
      </c>
      <c r="U212" s="151" t="s">
        <v>2179</v>
      </c>
      <c r="V212" s="151">
        <v>100</v>
      </c>
      <c r="W212" s="151" t="s">
        <v>2185</v>
      </c>
      <c r="X212" s="151" t="s">
        <v>431</v>
      </c>
      <c r="Y212" s="151" t="s">
        <v>2179</v>
      </c>
      <c r="Z212" s="151"/>
      <c r="AA212" s="151"/>
      <c r="AB212" s="151" t="s">
        <v>855</v>
      </c>
      <c r="AC212" s="342"/>
    </row>
    <row r="213" spans="1:29" ht="105">
      <c r="A213" s="151" t="s">
        <v>2895</v>
      </c>
      <c r="B213" s="151" t="s">
        <v>2967</v>
      </c>
      <c r="C213" s="151" t="s">
        <v>2926</v>
      </c>
      <c r="D213" s="151" t="s">
        <v>17</v>
      </c>
      <c r="E213" s="151" t="s">
        <v>2968</v>
      </c>
      <c r="F213" s="151" t="s">
        <v>2527</v>
      </c>
      <c r="G213" s="151" t="s">
        <v>2173</v>
      </c>
      <c r="H213" s="151" t="s">
        <v>1274</v>
      </c>
      <c r="I213" s="151" t="s">
        <v>1184</v>
      </c>
      <c r="J213" s="151" t="s">
        <v>2896</v>
      </c>
      <c r="K213" s="151" t="s">
        <v>2969</v>
      </c>
      <c r="L213" s="151" t="s">
        <v>2898</v>
      </c>
      <c r="M213" s="151" t="s">
        <v>2899</v>
      </c>
      <c r="N213" s="341" t="s">
        <v>2970</v>
      </c>
      <c r="O213" s="151">
        <v>225766</v>
      </c>
      <c r="P213" s="151"/>
      <c r="Q213" s="151"/>
      <c r="R213" s="151" t="s">
        <v>2177</v>
      </c>
      <c r="S213" s="151" t="s">
        <v>361</v>
      </c>
      <c r="T213" s="151" t="s">
        <v>2200</v>
      </c>
      <c r="U213" s="151" t="s">
        <v>2179</v>
      </c>
      <c r="V213" s="151">
        <v>100</v>
      </c>
      <c r="W213" s="151" t="s">
        <v>2185</v>
      </c>
      <c r="X213" s="151" t="s">
        <v>431</v>
      </c>
      <c r="Y213" s="151" t="s">
        <v>2179</v>
      </c>
      <c r="Z213" s="151"/>
      <c r="AA213" s="151"/>
      <c r="AB213" s="151" t="s">
        <v>855</v>
      </c>
      <c r="AC213" s="342"/>
    </row>
    <row r="214" spans="1:29" ht="90">
      <c r="A214" s="151" t="s">
        <v>2895</v>
      </c>
      <c r="B214" s="151" t="s">
        <v>2971</v>
      </c>
      <c r="C214" s="151" t="s">
        <v>2926</v>
      </c>
      <c r="D214" s="151" t="s">
        <v>17</v>
      </c>
      <c r="E214" s="151" t="s">
        <v>2972</v>
      </c>
      <c r="F214" s="151" t="s">
        <v>2527</v>
      </c>
      <c r="G214" s="151" t="s">
        <v>2173</v>
      </c>
      <c r="H214" s="151" t="s">
        <v>1274</v>
      </c>
      <c r="I214" s="151" t="s">
        <v>1184</v>
      </c>
      <c r="J214" s="151" t="s">
        <v>1505</v>
      </c>
      <c r="K214" s="151" t="s">
        <v>2973</v>
      </c>
      <c r="L214" s="151" t="s">
        <v>2974</v>
      </c>
      <c r="M214" s="151" t="s">
        <v>361</v>
      </c>
      <c r="N214" s="341" t="s">
        <v>2975</v>
      </c>
      <c r="O214" s="151">
        <v>207070</v>
      </c>
      <c r="P214" s="151"/>
      <c r="Q214" s="151"/>
      <c r="R214" s="151" t="s">
        <v>2177</v>
      </c>
      <c r="S214" s="151" t="s">
        <v>361</v>
      </c>
      <c r="T214" s="151" t="s">
        <v>2200</v>
      </c>
      <c r="U214" s="151" t="s">
        <v>2573</v>
      </c>
      <c r="V214" s="151">
        <v>4</v>
      </c>
      <c r="W214" s="151" t="s">
        <v>2573</v>
      </c>
      <c r="X214" s="151" t="s">
        <v>2645</v>
      </c>
      <c r="Y214" s="151" t="s">
        <v>2573</v>
      </c>
      <c r="Z214" s="151"/>
      <c r="AA214" s="151"/>
      <c r="AB214" s="151" t="s">
        <v>855</v>
      </c>
      <c r="AC214" s="342"/>
    </row>
    <row r="215" spans="1:29" ht="75">
      <c r="A215" s="151" t="s">
        <v>2895</v>
      </c>
      <c r="B215" s="151" t="s">
        <v>2976</v>
      </c>
      <c r="C215" s="151" t="s">
        <v>2926</v>
      </c>
      <c r="D215" s="151" t="s">
        <v>17</v>
      </c>
      <c r="E215" s="151" t="s">
        <v>2977</v>
      </c>
      <c r="F215" s="151" t="s">
        <v>2527</v>
      </c>
      <c r="G215" s="151" t="s">
        <v>2173</v>
      </c>
      <c r="H215" s="151" t="s">
        <v>1274</v>
      </c>
      <c r="I215" s="151" t="s">
        <v>1184</v>
      </c>
      <c r="J215" s="151" t="s">
        <v>1505</v>
      </c>
      <c r="K215" s="151" t="s">
        <v>2978</v>
      </c>
      <c r="L215" s="151" t="s">
        <v>2974</v>
      </c>
      <c r="M215" s="151" t="s">
        <v>361</v>
      </c>
      <c r="N215" s="341" t="s">
        <v>2979</v>
      </c>
      <c r="O215" s="151">
        <v>207070</v>
      </c>
      <c r="P215" s="151"/>
      <c r="Q215" s="151"/>
      <c r="R215" s="151" t="s">
        <v>2177</v>
      </c>
      <c r="S215" s="151" t="s">
        <v>361</v>
      </c>
      <c r="T215" s="151" t="s">
        <v>2200</v>
      </c>
      <c r="U215" s="151" t="s">
        <v>2507</v>
      </c>
      <c r="V215" s="151">
        <v>20</v>
      </c>
      <c r="W215" s="151" t="s">
        <v>2507</v>
      </c>
      <c r="X215" s="151" t="s">
        <v>2508</v>
      </c>
      <c r="Y215" s="151" t="s">
        <v>2507</v>
      </c>
      <c r="Z215" s="151"/>
      <c r="AA215" s="151"/>
      <c r="AB215" s="151" t="s">
        <v>855</v>
      </c>
      <c r="AC215" s="342"/>
    </row>
    <row r="216" spans="1:29" ht="210">
      <c r="A216" s="151" t="s">
        <v>2895</v>
      </c>
      <c r="B216" s="151" t="s">
        <v>2187</v>
      </c>
      <c r="C216" s="151" t="s">
        <v>2980</v>
      </c>
      <c r="D216" s="151" t="s">
        <v>17</v>
      </c>
      <c r="E216" s="151" t="s">
        <v>2188</v>
      </c>
      <c r="F216" s="151" t="s">
        <v>2527</v>
      </c>
      <c r="G216" s="151" t="s">
        <v>2173</v>
      </c>
      <c r="H216" s="151" t="s">
        <v>1274</v>
      </c>
      <c r="I216" s="151" t="s">
        <v>1184</v>
      </c>
      <c r="J216" s="151" t="s">
        <v>2896</v>
      </c>
      <c r="K216" s="151" t="s">
        <v>2903</v>
      </c>
      <c r="L216" s="151" t="s">
        <v>2898</v>
      </c>
      <c r="M216" s="151" t="s">
        <v>2899</v>
      </c>
      <c r="N216" s="341" t="s">
        <v>2981</v>
      </c>
      <c r="O216" s="151">
        <v>225770</v>
      </c>
      <c r="P216" s="151"/>
      <c r="Q216" s="151"/>
      <c r="R216" s="151" t="s">
        <v>2177</v>
      </c>
      <c r="S216" s="341" t="s">
        <v>2982</v>
      </c>
      <c r="T216" s="151" t="s">
        <v>2191</v>
      </c>
      <c r="U216" s="151" t="s">
        <v>2179</v>
      </c>
      <c r="V216" s="151">
        <v>50</v>
      </c>
      <c r="W216" s="151" t="s">
        <v>2180</v>
      </c>
      <c r="X216" s="151" t="s">
        <v>431</v>
      </c>
      <c r="Y216" s="151" t="s">
        <v>2179</v>
      </c>
      <c r="Z216" s="151" t="s">
        <v>2904</v>
      </c>
      <c r="AA216" s="151" t="s">
        <v>2905</v>
      </c>
      <c r="AB216" s="151" t="s">
        <v>855</v>
      </c>
      <c r="AC216" s="342"/>
    </row>
    <row r="217" spans="1:29">
      <c r="A217" s="151" t="s">
        <v>2895</v>
      </c>
      <c r="B217" s="151" t="s">
        <v>2308</v>
      </c>
      <c r="C217" s="151" t="s">
        <v>2306</v>
      </c>
      <c r="D217" s="151" t="s">
        <v>17</v>
      </c>
      <c r="E217" s="151" t="s">
        <v>2309</v>
      </c>
      <c r="F217" s="151" t="s">
        <v>2527</v>
      </c>
      <c r="G217" s="151" t="s">
        <v>2983</v>
      </c>
      <c r="H217" s="151" t="s">
        <v>1274</v>
      </c>
      <c r="I217" s="151" t="s">
        <v>1184</v>
      </c>
      <c r="J217" s="151" t="s">
        <v>2896</v>
      </c>
      <c r="K217" s="151" t="s">
        <v>2984</v>
      </c>
      <c r="L217" s="151" t="s">
        <v>2898</v>
      </c>
      <c r="M217" s="151" t="s">
        <v>2899</v>
      </c>
      <c r="N217" s="151"/>
      <c r="O217" s="151"/>
      <c r="P217" s="151"/>
      <c r="Q217" s="151"/>
      <c r="R217" s="151" t="s">
        <v>2177</v>
      </c>
      <c r="S217" s="151" t="s">
        <v>2985</v>
      </c>
      <c r="T217" s="151" t="s">
        <v>2191</v>
      </c>
      <c r="U217" s="151" t="s">
        <v>2179</v>
      </c>
      <c r="V217" s="151">
        <v>1</v>
      </c>
      <c r="W217" s="151" t="s">
        <v>2431</v>
      </c>
      <c r="X217" s="151" t="s">
        <v>431</v>
      </c>
      <c r="Y217" s="151" t="s">
        <v>2179</v>
      </c>
      <c r="Z217" s="151" t="s">
        <v>2986</v>
      </c>
      <c r="AA217" s="151" t="s">
        <v>2987</v>
      </c>
      <c r="AB217" s="151" t="s">
        <v>855</v>
      </c>
      <c r="AC217" s="342"/>
    </row>
    <row r="218" spans="1:29" ht="195">
      <c r="A218" s="151" t="s">
        <v>2895</v>
      </c>
      <c r="B218" s="151" t="s">
        <v>2331</v>
      </c>
      <c r="C218" s="151" t="s">
        <v>2306</v>
      </c>
      <c r="D218" s="151" t="s">
        <v>17</v>
      </c>
      <c r="E218" s="151" t="s">
        <v>2988</v>
      </c>
      <c r="F218" s="151" t="s">
        <v>2527</v>
      </c>
      <c r="G218" s="151" t="s">
        <v>2173</v>
      </c>
      <c r="H218" s="151" t="s">
        <v>1274</v>
      </c>
      <c r="I218" s="151" t="s">
        <v>1184</v>
      </c>
      <c r="J218" s="151" t="s">
        <v>2989</v>
      </c>
      <c r="K218" s="151" t="s">
        <v>2990</v>
      </c>
      <c r="L218" s="151" t="s">
        <v>2991</v>
      </c>
      <c r="M218" s="151" t="s">
        <v>361</v>
      </c>
      <c r="N218" s="341" t="s">
        <v>2992</v>
      </c>
      <c r="O218" s="151">
        <v>223885</v>
      </c>
      <c r="P218" s="151"/>
      <c r="Q218" s="151"/>
      <c r="R218" s="151" t="s">
        <v>2177</v>
      </c>
      <c r="S218" s="341" t="s">
        <v>2993</v>
      </c>
      <c r="T218" s="151" t="s">
        <v>2191</v>
      </c>
      <c r="U218" s="151" t="s">
        <v>2179</v>
      </c>
      <c r="V218" s="151">
        <v>200</v>
      </c>
      <c r="W218" s="151" t="s">
        <v>2503</v>
      </c>
      <c r="X218" s="151" t="s">
        <v>431</v>
      </c>
      <c r="Y218" s="151" t="s">
        <v>2179</v>
      </c>
      <c r="Z218" s="151" t="s">
        <v>2335</v>
      </c>
      <c r="AA218" s="151" t="s">
        <v>2336</v>
      </c>
      <c r="AB218" s="151" t="s">
        <v>855</v>
      </c>
      <c r="AC218" s="342"/>
    </row>
    <row r="219" spans="1:29">
      <c r="A219" s="151" t="s">
        <v>2895</v>
      </c>
      <c r="B219" s="151" t="s">
        <v>2337</v>
      </c>
      <c r="C219" s="151" t="s">
        <v>2980</v>
      </c>
      <c r="D219" s="151" t="s">
        <v>17</v>
      </c>
      <c r="E219" s="151" t="s">
        <v>2338</v>
      </c>
      <c r="F219" s="151" t="s">
        <v>2231</v>
      </c>
      <c r="G219" s="151" t="s">
        <v>2173</v>
      </c>
      <c r="H219" s="151" t="s">
        <v>1274</v>
      </c>
      <c r="I219" s="151" t="s">
        <v>1184</v>
      </c>
      <c r="J219" s="151" t="s">
        <v>2896</v>
      </c>
      <c r="K219" s="151" t="s">
        <v>2994</v>
      </c>
      <c r="L219" s="151" t="s">
        <v>2898</v>
      </c>
      <c r="M219" s="151" t="s">
        <v>2899</v>
      </c>
      <c r="N219" s="151"/>
      <c r="O219" s="151"/>
      <c r="P219" s="151"/>
      <c r="Q219" s="151"/>
      <c r="R219" s="151" t="s">
        <v>2177</v>
      </c>
      <c r="S219" s="151" t="s">
        <v>361</v>
      </c>
      <c r="T219" s="151" t="s">
        <v>2200</v>
      </c>
      <c r="U219" s="151" t="s">
        <v>2179</v>
      </c>
      <c r="V219" s="151">
        <v>30</v>
      </c>
      <c r="W219" s="151" t="s">
        <v>2373</v>
      </c>
      <c r="X219" s="151" t="s">
        <v>431</v>
      </c>
      <c r="Y219" s="151" t="s">
        <v>2179</v>
      </c>
      <c r="Z219" s="151"/>
      <c r="AA219" s="151"/>
      <c r="AB219" s="151" t="s">
        <v>855</v>
      </c>
      <c r="AC219" s="342"/>
    </row>
    <row r="220" spans="1:29" ht="105">
      <c r="A220" s="151" t="s">
        <v>2895</v>
      </c>
      <c r="B220" s="151" t="s">
        <v>2340</v>
      </c>
      <c r="C220" s="151" t="s">
        <v>2306</v>
      </c>
      <c r="D220" s="151" t="s">
        <v>17</v>
      </c>
      <c r="E220" s="151" t="s">
        <v>2341</v>
      </c>
      <c r="F220" s="151" t="s">
        <v>2527</v>
      </c>
      <c r="G220" s="151" t="s">
        <v>2173</v>
      </c>
      <c r="H220" s="151" t="s">
        <v>1274</v>
      </c>
      <c r="I220" s="151" t="s">
        <v>1184</v>
      </c>
      <c r="J220" s="151" t="s">
        <v>2896</v>
      </c>
      <c r="K220" s="151" t="s">
        <v>2342</v>
      </c>
      <c r="L220" s="151" t="s">
        <v>2898</v>
      </c>
      <c r="M220" s="151" t="s">
        <v>2899</v>
      </c>
      <c r="N220" s="341" t="s">
        <v>2995</v>
      </c>
      <c r="O220" s="151">
        <v>225776</v>
      </c>
      <c r="P220" s="151"/>
      <c r="Q220" s="151"/>
      <c r="R220" s="151" t="s">
        <v>2177</v>
      </c>
      <c r="S220" s="151" t="s">
        <v>361</v>
      </c>
      <c r="T220" s="151" t="s">
        <v>2200</v>
      </c>
      <c r="U220" s="151" t="s">
        <v>2179</v>
      </c>
      <c r="V220" s="151">
        <v>100</v>
      </c>
      <c r="W220" s="151" t="s">
        <v>2185</v>
      </c>
      <c r="X220" s="151" t="s">
        <v>431</v>
      </c>
      <c r="Y220" s="151" t="s">
        <v>2179</v>
      </c>
      <c r="Z220" s="151"/>
      <c r="AA220" s="151"/>
      <c r="AB220" s="151" t="s">
        <v>855</v>
      </c>
      <c r="AC220" s="342"/>
    </row>
    <row r="221" spans="1:29" ht="240">
      <c r="A221" s="151" t="s">
        <v>2895</v>
      </c>
      <c r="B221" s="151" t="s">
        <v>2343</v>
      </c>
      <c r="C221" s="151" t="s">
        <v>2996</v>
      </c>
      <c r="D221" s="151" t="s">
        <v>17</v>
      </c>
      <c r="E221" s="151" t="s">
        <v>2997</v>
      </c>
      <c r="F221" s="151" t="s">
        <v>2527</v>
      </c>
      <c r="G221" s="151" t="s">
        <v>2173</v>
      </c>
      <c r="H221" s="151" t="s">
        <v>1380</v>
      </c>
      <c r="I221" s="151" t="s">
        <v>1184</v>
      </c>
      <c r="J221" s="151" t="s">
        <v>1819</v>
      </c>
      <c r="K221" s="151" t="s">
        <v>2346</v>
      </c>
      <c r="L221" s="151" t="s">
        <v>2998</v>
      </c>
      <c r="M221" s="431" t="s">
        <v>2999</v>
      </c>
      <c r="N221" s="433" t="s">
        <v>3000</v>
      </c>
      <c r="O221" s="431">
        <v>46833</v>
      </c>
      <c r="P221" s="151"/>
      <c r="Q221" s="151"/>
      <c r="R221" s="151" t="s">
        <v>2177</v>
      </c>
      <c r="S221" s="341" t="s">
        <v>3001</v>
      </c>
      <c r="T221" s="151" t="s">
        <v>2200</v>
      </c>
      <c r="U221" s="151" t="s">
        <v>2179</v>
      </c>
      <c r="V221" s="151">
        <v>75</v>
      </c>
      <c r="W221" s="151" t="s">
        <v>2228</v>
      </c>
      <c r="X221" s="151" t="s">
        <v>431</v>
      </c>
      <c r="Y221" s="151" t="s">
        <v>2179</v>
      </c>
      <c r="Z221" s="151"/>
      <c r="AA221" s="151"/>
      <c r="AB221" s="151" t="s">
        <v>855</v>
      </c>
      <c r="AC221" s="342"/>
    </row>
    <row r="222" spans="1:29" ht="105">
      <c r="A222" s="151" t="s">
        <v>2895</v>
      </c>
      <c r="B222" s="151" t="s">
        <v>2348</v>
      </c>
      <c r="C222" s="151" t="s">
        <v>2996</v>
      </c>
      <c r="D222" s="151" t="s">
        <v>17</v>
      </c>
      <c r="E222" s="151" t="s">
        <v>3002</v>
      </c>
      <c r="F222" s="151" t="s">
        <v>2527</v>
      </c>
      <c r="G222" s="151" t="s">
        <v>2173</v>
      </c>
      <c r="H222" s="151" t="s">
        <v>1380</v>
      </c>
      <c r="I222" s="151" t="s">
        <v>1184</v>
      </c>
      <c r="J222" s="151" t="s">
        <v>1819</v>
      </c>
      <c r="K222" s="151" t="s">
        <v>2010</v>
      </c>
      <c r="L222" s="151" t="s">
        <v>2998</v>
      </c>
      <c r="M222" s="151" t="s">
        <v>361</v>
      </c>
      <c r="N222" s="341" t="s">
        <v>3003</v>
      </c>
      <c r="O222" s="151">
        <v>211556</v>
      </c>
      <c r="P222" s="151"/>
      <c r="Q222" s="151"/>
      <c r="R222" s="151" t="s">
        <v>2177</v>
      </c>
      <c r="S222" s="151" t="s">
        <v>361</v>
      </c>
      <c r="T222" s="151" t="s">
        <v>2200</v>
      </c>
      <c r="U222" s="151" t="s">
        <v>2400</v>
      </c>
      <c r="V222" s="151" t="s">
        <v>49</v>
      </c>
      <c r="W222" s="151" t="s">
        <v>2400</v>
      </c>
      <c r="X222" s="151" t="s">
        <v>431</v>
      </c>
      <c r="Y222" s="151" t="s">
        <v>2400</v>
      </c>
      <c r="Z222" s="151"/>
      <c r="AA222" s="151"/>
      <c r="AB222" s="151" t="s">
        <v>855</v>
      </c>
      <c r="AC222" s="342"/>
    </row>
    <row r="223" spans="1:29" ht="105">
      <c r="A223" s="151" t="s">
        <v>2895</v>
      </c>
      <c r="B223" s="151" t="s">
        <v>2350</v>
      </c>
      <c r="C223" s="151" t="s">
        <v>2996</v>
      </c>
      <c r="D223" s="151" t="s">
        <v>17</v>
      </c>
      <c r="E223" s="151" t="s">
        <v>3004</v>
      </c>
      <c r="F223" s="151" t="s">
        <v>2527</v>
      </c>
      <c r="G223" s="151" t="s">
        <v>2173</v>
      </c>
      <c r="H223" s="151" t="s">
        <v>1380</v>
      </c>
      <c r="I223" s="151" t="s">
        <v>1184</v>
      </c>
      <c r="J223" s="151" t="s">
        <v>1819</v>
      </c>
      <c r="K223" s="151" t="s">
        <v>2352</v>
      </c>
      <c r="L223" s="151" t="s">
        <v>2998</v>
      </c>
      <c r="M223" s="151" t="s">
        <v>361</v>
      </c>
      <c r="N223" s="341" t="s">
        <v>3005</v>
      </c>
      <c r="O223" s="151">
        <v>211556</v>
      </c>
      <c r="P223" s="151"/>
      <c r="Q223" s="151"/>
      <c r="R223" s="151" t="s">
        <v>2177</v>
      </c>
      <c r="S223" s="151" t="s">
        <v>361</v>
      </c>
      <c r="T223" s="151" t="s">
        <v>2200</v>
      </c>
      <c r="U223" s="151" t="s">
        <v>2400</v>
      </c>
      <c r="V223" s="151" t="s">
        <v>49</v>
      </c>
      <c r="W223" s="151" t="s">
        <v>2400</v>
      </c>
      <c r="X223" s="151" t="s">
        <v>431</v>
      </c>
      <c r="Y223" s="151" t="s">
        <v>2400</v>
      </c>
      <c r="Z223" s="151"/>
      <c r="AA223" s="151"/>
      <c r="AB223" s="151" t="s">
        <v>855</v>
      </c>
      <c r="AC223" s="342"/>
    </row>
    <row r="224" spans="1:29" ht="75">
      <c r="A224" s="151" t="s">
        <v>2895</v>
      </c>
      <c r="B224" s="151" t="s">
        <v>159</v>
      </c>
      <c r="C224" s="151" t="s">
        <v>2996</v>
      </c>
      <c r="D224" s="151" t="s">
        <v>17</v>
      </c>
      <c r="E224" s="151" t="s">
        <v>3006</v>
      </c>
      <c r="F224" s="151" t="s">
        <v>2527</v>
      </c>
      <c r="G224" s="151" t="s">
        <v>2173</v>
      </c>
      <c r="H224" s="151" t="s">
        <v>1274</v>
      </c>
      <c r="I224" s="151" t="s">
        <v>1184</v>
      </c>
      <c r="J224" s="151" t="s">
        <v>642</v>
      </c>
      <c r="K224" s="151" t="s">
        <v>2354</v>
      </c>
      <c r="L224" s="151" t="s">
        <v>2175</v>
      </c>
      <c r="M224" s="151" t="s">
        <v>2184</v>
      </c>
      <c r="N224" s="341" t="s">
        <v>3007</v>
      </c>
      <c r="O224" s="151">
        <v>225766</v>
      </c>
      <c r="P224" s="151"/>
      <c r="Q224" s="151"/>
      <c r="R224" s="151" t="s">
        <v>2177</v>
      </c>
      <c r="S224" s="151" t="s">
        <v>361</v>
      </c>
      <c r="T224" s="151" t="s">
        <v>2200</v>
      </c>
      <c r="U224" s="151" t="s">
        <v>2179</v>
      </c>
      <c r="V224" s="151">
        <v>50</v>
      </c>
      <c r="W224" s="151" t="s">
        <v>2180</v>
      </c>
      <c r="X224" s="151" t="s">
        <v>431</v>
      </c>
      <c r="Y224" s="151" t="s">
        <v>2179</v>
      </c>
      <c r="Z224" s="151"/>
      <c r="AA224" s="151"/>
      <c r="AB224" s="151" t="s">
        <v>855</v>
      </c>
      <c r="AC224" s="342"/>
    </row>
    <row r="225" spans="1:29" ht="105">
      <c r="A225" s="151" t="s">
        <v>2895</v>
      </c>
      <c r="B225" s="151" t="s">
        <v>2355</v>
      </c>
      <c r="C225" s="151" t="s">
        <v>2996</v>
      </c>
      <c r="D225" s="151" t="s">
        <v>17</v>
      </c>
      <c r="E225" s="151" t="s">
        <v>3008</v>
      </c>
      <c r="F225" s="151" t="s">
        <v>2527</v>
      </c>
      <c r="G225" s="151" t="s">
        <v>2173</v>
      </c>
      <c r="H225" s="151" t="s">
        <v>1380</v>
      </c>
      <c r="I225" s="151" t="s">
        <v>1184</v>
      </c>
      <c r="J225" s="151" t="s">
        <v>1819</v>
      </c>
      <c r="K225" s="151" t="s">
        <v>2357</v>
      </c>
      <c r="L225" s="151" t="s">
        <v>2998</v>
      </c>
      <c r="M225" s="151" t="s">
        <v>361</v>
      </c>
      <c r="N225" s="341" t="s">
        <v>3009</v>
      </c>
      <c r="O225" s="151">
        <v>211556</v>
      </c>
      <c r="P225" s="151"/>
      <c r="Q225" s="151"/>
      <c r="R225" s="151" t="s">
        <v>2177</v>
      </c>
      <c r="S225" s="151" t="s">
        <v>361</v>
      </c>
      <c r="T225" s="151" t="s">
        <v>2200</v>
      </c>
      <c r="U225" s="151" t="s">
        <v>2400</v>
      </c>
      <c r="V225" s="151" t="s">
        <v>49</v>
      </c>
      <c r="W225" s="151" t="s">
        <v>2400</v>
      </c>
      <c r="X225" s="151" t="s">
        <v>431</v>
      </c>
      <c r="Y225" s="151" t="s">
        <v>2400</v>
      </c>
      <c r="Z225" s="151"/>
      <c r="AA225" s="151"/>
      <c r="AB225" s="151" t="s">
        <v>855</v>
      </c>
      <c r="AC225" s="342"/>
    </row>
    <row r="226" spans="1:29" ht="105">
      <c r="A226" s="151" t="s">
        <v>2895</v>
      </c>
      <c r="B226" s="151" t="s">
        <v>2358</v>
      </c>
      <c r="C226" s="151" t="s">
        <v>2996</v>
      </c>
      <c r="D226" s="151" t="s">
        <v>17</v>
      </c>
      <c r="E226" s="151" t="s">
        <v>3010</v>
      </c>
      <c r="F226" s="151" t="s">
        <v>2527</v>
      </c>
      <c r="G226" s="151" t="s">
        <v>2173</v>
      </c>
      <c r="H226" s="151" t="s">
        <v>1380</v>
      </c>
      <c r="I226" s="151" t="s">
        <v>1184</v>
      </c>
      <c r="J226" s="151" t="s">
        <v>1819</v>
      </c>
      <c r="K226" s="151" t="s">
        <v>2360</v>
      </c>
      <c r="L226" s="151" t="s">
        <v>2998</v>
      </c>
      <c r="M226" s="151" t="s">
        <v>361</v>
      </c>
      <c r="N226" s="341" t="s">
        <v>3011</v>
      </c>
      <c r="O226" s="151">
        <v>211556</v>
      </c>
      <c r="P226" s="151"/>
      <c r="Q226" s="151"/>
      <c r="R226" s="151" t="s">
        <v>2177</v>
      </c>
      <c r="S226" s="151" t="s">
        <v>361</v>
      </c>
      <c r="T226" s="151" t="s">
        <v>2200</v>
      </c>
      <c r="U226" s="151" t="s">
        <v>2400</v>
      </c>
      <c r="V226" s="151" t="s">
        <v>49</v>
      </c>
      <c r="W226" s="151" t="s">
        <v>2400</v>
      </c>
      <c r="X226" s="151" t="s">
        <v>431</v>
      </c>
      <c r="Y226" s="151" t="s">
        <v>2400</v>
      </c>
      <c r="Z226" s="151"/>
      <c r="AA226" s="151"/>
      <c r="AB226" s="151" t="s">
        <v>855</v>
      </c>
      <c r="AC226" s="342"/>
    </row>
    <row r="227" spans="1:29" ht="105">
      <c r="A227" s="151" t="s">
        <v>2895</v>
      </c>
      <c r="B227" s="151" t="s">
        <v>825</v>
      </c>
      <c r="C227" s="151" t="s">
        <v>2996</v>
      </c>
      <c r="D227" s="151" t="s">
        <v>17</v>
      </c>
      <c r="E227" s="151" t="s">
        <v>3012</v>
      </c>
      <c r="F227" s="151" t="s">
        <v>2527</v>
      </c>
      <c r="G227" s="151" t="s">
        <v>2173</v>
      </c>
      <c r="H227" s="151" t="s">
        <v>1380</v>
      </c>
      <c r="I227" s="151" t="s">
        <v>1184</v>
      </c>
      <c r="J227" s="151" t="s">
        <v>1819</v>
      </c>
      <c r="K227" s="151" t="s">
        <v>2362</v>
      </c>
      <c r="L227" s="151" t="s">
        <v>2998</v>
      </c>
      <c r="M227" s="151" t="s">
        <v>361</v>
      </c>
      <c r="N227" s="341" t="s">
        <v>3013</v>
      </c>
      <c r="O227" s="151">
        <v>211556</v>
      </c>
      <c r="P227" s="151"/>
      <c r="Q227" s="151"/>
      <c r="R227" s="151" t="s">
        <v>2177</v>
      </c>
      <c r="S227" s="151" t="s">
        <v>361</v>
      </c>
      <c r="T227" s="151" t="s">
        <v>2200</v>
      </c>
      <c r="U227" s="151" t="s">
        <v>2179</v>
      </c>
      <c r="V227" s="151" t="s">
        <v>49</v>
      </c>
      <c r="W227" s="151" t="s">
        <v>2363</v>
      </c>
      <c r="X227" s="151" t="s">
        <v>431</v>
      </c>
      <c r="Y227" s="151" t="s">
        <v>2179</v>
      </c>
      <c r="Z227" s="151"/>
      <c r="AA227" s="151"/>
      <c r="AB227" s="151" t="s">
        <v>855</v>
      </c>
      <c r="AC227" s="342"/>
    </row>
    <row r="228" spans="1:29" ht="165">
      <c r="A228" s="151" t="s">
        <v>2895</v>
      </c>
      <c r="B228" s="151" t="s">
        <v>2364</v>
      </c>
      <c r="C228" s="151" t="s">
        <v>2996</v>
      </c>
      <c r="D228" s="151" t="s">
        <v>17</v>
      </c>
      <c r="E228" s="151" t="s">
        <v>3014</v>
      </c>
      <c r="F228" s="151" t="s">
        <v>2527</v>
      </c>
      <c r="G228" s="151" t="s">
        <v>2173</v>
      </c>
      <c r="H228" s="151" t="s">
        <v>1274</v>
      </c>
      <c r="I228" s="151" t="s">
        <v>1184</v>
      </c>
      <c r="J228" s="151" t="s">
        <v>3015</v>
      </c>
      <c r="K228" s="151" t="s">
        <v>2366</v>
      </c>
      <c r="L228" s="341" t="s">
        <v>3016</v>
      </c>
      <c r="M228" s="151" t="s">
        <v>3017</v>
      </c>
      <c r="N228" s="341" t="s">
        <v>3018</v>
      </c>
      <c r="O228" s="151">
        <v>21653</v>
      </c>
      <c r="P228" s="151"/>
      <c r="Q228" s="151"/>
      <c r="R228" s="151" t="s">
        <v>2177</v>
      </c>
      <c r="S228" s="151" t="s">
        <v>361</v>
      </c>
      <c r="T228" s="151" t="s">
        <v>2200</v>
      </c>
      <c r="U228" s="151" t="s">
        <v>2179</v>
      </c>
      <c r="V228" s="151" t="s">
        <v>49</v>
      </c>
      <c r="W228" s="151" t="s">
        <v>2180</v>
      </c>
      <c r="X228" s="151" t="s">
        <v>431</v>
      </c>
      <c r="Y228" s="151" t="s">
        <v>2179</v>
      </c>
      <c r="Z228" s="151"/>
      <c r="AA228" s="151"/>
      <c r="AB228" s="151" t="s">
        <v>855</v>
      </c>
      <c r="AC228" s="342"/>
    </row>
    <row r="229" spans="1:29" ht="120">
      <c r="A229" s="151" t="s">
        <v>2895</v>
      </c>
      <c r="B229" s="151" t="s">
        <v>16</v>
      </c>
      <c r="C229" s="151" t="s">
        <v>2996</v>
      </c>
      <c r="D229" s="151" t="s">
        <v>17</v>
      </c>
      <c r="E229" s="151" t="s">
        <v>3019</v>
      </c>
      <c r="F229" s="151" t="s">
        <v>2527</v>
      </c>
      <c r="G229" s="151" t="s">
        <v>2173</v>
      </c>
      <c r="H229" s="151" t="s">
        <v>1380</v>
      </c>
      <c r="I229" s="151" t="s">
        <v>1184</v>
      </c>
      <c r="J229" s="151" t="s">
        <v>1819</v>
      </c>
      <c r="K229" s="151" t="s">
        <v>2368</v>
      </c>
      <c r="L229" s="151" t="s">
        <v>2998</v>
      </c>
      <c r="M229" s="151" t="s">
        <v>361</v>
      </c>
      <c r="N229" s="341" t="s">
        <v>3020</v>
      </c>
      <c r="O229" s="151">
        <v>211556</v>
      </c>
      <c r="P229" s="151"/>
      <c r="Q229" s="151"/>
      <c r="R229" s="151" t="s">
        <v>2177</v>
      </c>
      <c r="S229" s="151" t="s">
        <v>361</v>
      </c>
      <c r="T229" s="151" t="s">
        <v>2200</v>
      </c>
      <c r="U229" s="151" t="s">
        <v>2179</v>
      </c>
      <c r="V229" s="151" t="s">
        <v>49</v>
      </c>
      <c r="W229" s="151" t="s">
        <v>2503</v>
      </c>
      <c r="X229" s="151" t="s">
        <v>431</v>
      </c>
      <c r="Y229" s="151" t="s">
        <v>2179</v>
      </c>
      <c r="Z229" s="151"/>
      <c r="AA229" s="151"/>
      <c r="AB229" s="151" t="s">
        <v>855</v>
      </c>
      <c r="AC229" s="342"/>
    </row>
    <row r="230" spans="1:29">
      <c r="A230" s="151" t="s">
        <v>2895</v>
      </c>
      <c r="B230" s="151" t="s">
        <v>2370</v>
      </c>
      <c r="C230" s="151" t="s">
        <v>2980</v>
      </c>
      <c r="D230" s="151" t="s">
        <v>17</v>
      </c>
      <c r="E230" s="151" t="s">
        <v>3021</v>
      </c>
      <c r="F230" s="151" t="s">
        <v>2231</v>
      </c>
      <c r="G230" s="151" t="s">
        <v>2173</v>
      </c>
      <c r="H230" s="151" t="s">
        <v>1274</v>
      </c>
      <c r="I230" s="151" t="s">
        <v>1184</v>
      </c>
      <c r="J230" s="151" t="s">
        <v>572</v>
      </c>
      <c r="K230" s="151" t="s">
        <v>2372</v>
      </c>
      <c r="L230" s="151" t="s">
        <v>2175</v>
      </c>
      <c r="M230" s="151" t="s">
        <v>2184</v>
      </c>
      <c r="N230" s="151"/>
      <c r="O230" s="151"/>
      <c r="P230" s="151"/>
      <c r="Q230" s="151"/>
      <c r="R230" s="151" t="s">
        <v>2177</v>
      </c>
      <c r="S230" s="151" t="s">
        <v>361</v>
      </c>
      <c r="T230" s="151" t="s">
        <v>2200</v>
      </c>
      <c r="U230" s="151" t="s">
        <v>2179</v>
      </c>
      <c r="V230" s="151" t="s">
        <v>49</v>
      </c>
      <c r="W230" s="151" t="s">
        <v>2503</v>
      </c>
      <c r="X230" s="151" t="s">
        <v>431</v>
      </c>
      <c r="Y230" s="151" t="s">
        <v>2179</v>
      </c>
      <c r="Z230" s="151"/>
      <c r="AA230" s="151"/>
      <c r="AB230" s="151" t="s">
        <v>855</v>
      </c>
      <c r="AC230" s="342"/>
    </row>
    <row r="231" spans="1:29" ht="105">
      <c r="A231" s="151" t="s">
        <v>2895</v>
      </c>
      <c r="B231" s="151" t="s">
        <v>2374</v>
      </c>
      <c r="C231" s="151" t="s">
        <v>2980</v>
      </c>
      <c r="D231" s="151" t="s">
        <v>17</v>
      </c>
      <c r="E231" s="151" t="s">
        <v>3022</v>
      </c>
      <c r="F231" s="151" t="s">
        <v>2527</v>
      </c>
      <c r="G231" s="151" t="s">
        <v>2173</v>
      </c>
      <c r="H231" s="151" t="s">
        <v>1274</v>
      </c>
      <c r="I231" s="151" t="s">
        <v>1184</v>
      </c>
      <c r="J231" s="151" t="s">
        <v>2896</v>
      </c>
      <c r="K231" s="151" t="s">
        <v>2376</v>
      </c>
      <c r="L231" s="151" t="s">
        <v>2898</v>
      </c>
      <c r="M231" s="151" t="s">
        <v>2899</v>
      </c>
      <c r="N231" s="341" t="s">
        <v>3023</v>
      </c>
      <c r="O231" s="151">
        <v>225766</v>
      </c>
      <c r="P231" s="151"/>
      <c r="Q231" s="151"/>
      <c r="R231" s="151" t="s">
        <v>2177</v>
      </c>
      <c r="S231" s="151" t="s">
        <v>361</v>
      </c>
      <c r="T231" s="151" t="s">
        <v>2200</v>
      </c>
      <c r="U231" s="151" t="s">
        <v>2179</v>
      </c>
      <c r="V231" s="151" t="s">
        <v>49</v>
      </c>
      <c r="W231" s="151" t="s">
        <v>2373</v>
      </c>
      <c r="X231" s="151" t="s">
        <v>431</v>
      </c>
      <c r="Y231" s="151" t="s">
        <v>2179</v>
      </c>
      <c r="Z231" s="151"/>
      <c r="AA231" s="151"/>
      <c r="AB231" s="151" t="s">
        <v>855</v>
      </c>
      <c r="AC231" s="342"/>
    </row>
    <row r="232" spans="1:29" ht="270">
      <c r="A232" s="151" t="s">
        <v>2895</v>
      </c>
      <c r="B232" s="151" t="s">
        <v>2343</v>
      </c>
      <c r="C232" s="151" t="s">
        <v>3024</v>
      </c>
      <c r="D232" s="151" t="s">
        <v>17</v>
      </c>
      <c r="E232" s="151" t="s">
        <v>3025</v>
      </c>
      <c r="F232" s="151" t="s">
        <v>2527</v>
      </c>
      <c r="G232" s="151" t="s">
        <v>2173</v>
      </c>
      <c r="H232" s="151" t="s">
        <v>1380</v>
      </c>
      <c r="I232" s="151" t="s">
        <v>1184</v>
      </c>
      <c r="J232" s="151" t="s">
        <v>1819</v>
      </c>
      <c r="K232" s="151" t="s">
        <v>2346</v>
      </c>
      <c r="L232" s="151" t="s">
        <v>2998</v>
      </c>
      <c r="M232" s="431" t="s">
        <v>3026</v>
      </c>
      <c r="N232" s="433" t="s">
        <v>3027</v>
      </c>
      <c r="O232" s="431">
        <v>137768</v>
      </c>
      <c r="P232" s="151"/>
      <c r="Q232" s="151"/>
      <c r="R232" s="151" t="s">
        <v>2177</v>
      </c>
      <c r="S232" s="433" t="s">
        <v>3028</v>
      </c>
      <c r="T232" s="151" t="s">
        <v>2200</v>
      </c>
      <c r="U232" s="151" t="s">
        <v>2179</v>
      </c>
      <c r="V232" s="151">
        <v>75</v>
      </c>
      <c r="W232" s="151" t="s">
        <v>2228</v>
      </c>
      <c r="X232" s="151" t="s">
        <v>431</v>
      </c>
      <c r="Y232" s="151" t="s">
        <v>2179</v>
      </c>
      <c r="Z232" s="151"/>
      <c r="AA232" s="151"/>
      <c r="AB232" s="151" t="s">
        <v>855</v>
      </c>
      <c r="AC232" s="342"/>
    </row>
    <row r="233" spans="1:29" ht="120">
      <c r="A233" s="151" t="s">
        <v>2895</v>
      </c>
      <c r="B233" s="151" t="s">
        <v>2348</v>
      </c>
      <c r="C233" s="151" t="s">
        <v>3024</v>
      </c>
      <c r="D233" s="151" t="s">
        <v>17</v>
      </c>
      <c r="E233" s="151" t="s">
        <v>3029</v>
      </c>
      <c r="F233" s="151" t="s">
        <v>2527</v>
      </c>
      <c r="G233" s="151" t="s">
        <v>2173</v>
      </c>
      <c r="H233" s="151" t="s">
        <v>1380</v>
      </c>
      <c r="I233" s="151" t="s">
        <v>1184</v>
      </c>
      <c r="J233" s="151" t="s">
        <v>1819</v>
      </c>
      <c r="K233" s="151" t="s">
        <v>2010</v>
      </c>
      <c r="L233" s="151" t="s">
        <v>2998</v>
      </c>
      <c r="M233" s="151" t="s">
        <v>361</v>
      </c>
      <c r="N233" s="341" t="s">
        <v>3030</v>
      </c>
      <c r="O233" s="151">
        <v>211556</v>
      </c>
      <c r="P233" s="151"/>
      <c r="Q233" s="151"/>
      <c r="R233" s="151" t="s">
        <v>2177</v>
      </c>
      <c r="S233" s="151" t="s">
        <v>361</v>
      </c>
      <c r="T233" s="151" t="s">
        <v>2200</v>
      </c>
      <c r="U233" s="151" t="s">
        <v>2400</v>
      </c>
      <c r="V233" s="151" t="s">
        <v>49</v>
      </c>
      <c r="W233" s="151" t="s">
        <v>2400</v>
      </c>
      <c r="X233" s="151" t="s">
        <v>431</v>
      </c>
      <c r="Y233" s="151" t="s">
        <v>2400</v>
      </c>
      <c r="Z233" s="151"/>
      <c r="AA233" s="151"/>
      <c r="AB233" s="151" t="s">
        <v>855</v>
      </c>
      <c r="AC233" s="342"/>
    </row>
    <row r="234" spans="1:29" ht="75">
      <c r="A234" s="151" t="s">
        <v>2895</v>
      </c>
      <c r="B234" s="151" t="s">
        <v>159</v>
      </c>
      <c r="C234" s="151" t="s">
        <v>3024</v>
      </c>
      <c r="D234" s="151" t="s">
        <v>17</v>
      </c>
      <c r="E234" s="151" t="s">
        <v>3031</v>
      </c>
      <c r="F234" s="151" t="s">
        <v>2527</v>
      </c>
      <c r="G234" s="151" t="s">
        <v>2173</v>
      </c>
      <c r="H234" s="151" t="s">
        <v>1274</v>
      </c>
      <c r="I234" s="151" t="s">
        <v>1184</v>
      </c>
      <c r="J234" s="151" t="s">
        <v>642</v>
      </c>
      <c r="K234" s="151" t="s">
        <v>2354</v>
      </c>
      <c r="L234" s="151" t="s">
        <v>2175</v>
      </c>
      <c r="M234" s="151" t="s">
        <v>2184</v>
      </c>
      <c r="N234" s="341" t="s">
        <v>3032</v>
      </c>
      <c r="O234" s="151">
        <v>225766</v>
      </c>
      <c r="P234" s="151"/>
      <c r="Q234" s="151"/>
      <c r="R234" s="151" t="s">
        <v>2177</v>
      </c>
      <c r="S234" s="151" t="s">
        <v>361</v>
      </c>
      <c r="T234" s="151" t="s">
        <v>2200</v>
      </c>
      <c r="U234" s="151" t="s">
        <v>2179</v>
      </c>
      <c r="V234" s="151">
        <v>50</v>
      </c>
      <c r="W234" s="151" t="s">
        <v>2180</v>
      </c>
      <c r="X234" s="151" t="s">
        <v>431</v>
      </c>
      <c r="Y234" s="151" t="s">
        <v>2179</v>
      </c>
      <c r="Z234" s="151"/>
      <c r="AA234" s="151"/>
      <c r="AB234" s="151" t="s">
        <v>855</v>
      </c>
      <c r="AC234" s="342"/>
    </row>
    <row r="235" spans="1:29" ht="105">
      <c r="A235" s="151" t="s">
        <v>2895</v>
      </c>
      <c r="B235" s="151" t="s">
        <v>825</v>
      </c>
      <c r="C235" s="151" t="s">
        <v>3024</v>
      </c>
      <c r="D235" s="151" t="s">
        <v>17</v>
      </c>
      <c r="E235" s="151" t="s">
        <v>3033</v>
      </c>
      <c r="F235" s="151" t="s">
        <v>2527</v>
      </c>
      <c r="G235" s="151" t="s">
        <v>2173</v>
      </c>
      <c r="H235" s="151" t="s">
        <v>1380</v>
      </c>
      <c r="I235" s="151" t="s">
        <v>1184</v>
      </c>
      <c r="J235" s="151" t="s">
        <v>1819</v>
      </c>
      <c r="K235" s="151" t="s">
        <v>2362</v>
      </c>
      <c r="L235" s="151" t="s">
        <v>2998</v>
      </c>
      <c r="M235" s="151" t="s">
        <v>361</v>
      </c>
      <c r="N235" s="341" t="s">
        <v>3013</v>
      </c>
      <c r="O235" s="151">
        <v>211556</v>
      </c>
      <c r="P235" s="151"/>
      <c r="Q235" s="151"/>
      <c r="R235" s="151" t="s">
        <v>2177</v>
      </c>
      <c r="S235" s="151" t="s">
        <v>361</v>
      </c>
      <c r="T235" s="151" t="s">
        <v>2200</v>
      </c>
      <c r="U235" s="151" t="s">
        <v>2179</v>
      </c>
      <c r="V235" s="151" t="s">
        <v>49</v>
      </c>
      <c r="W235" s="151" t="s">
        <v>2363</v>
      </c>
      <c r="X235" s="151" t="s">
        <v>431</v>
      </c>
      <c r="Y235" s="151" t="s">
        <v>2179</v>
      </c>
      <c r="Z235" s="151"/>
      <c r="AA235" s="151"/>
      <c r="AB235" s="151" t="s">
        <v>855</v>
      </c>
      <c r="AC235" s="342"/>
    </row>
    <row r="236" spans="1:29" ht="165">
      <c r="A236" s="151" t="s">
        <v>2895</v>
      </c>
      <c r="B236" s="151" t="s">
        <v>2364</v>
      </c>
      <c r="C236" s="151" t="s">
        <v>3024</v>
      </c>
      <c r="D236" s="151" t="s">
        <v>17</v>
      </c>
      <c r="E236" s="151" t="s">
        <v>3034</v>
      </c>
      <c r="F236" s="151" t="s">
        <v>2527</v>
      </c>
      <c r="G236" s="151" t="s">
        <v>2173</v>
      </c>
      <c r="H236" s="151" t="s">
        <v>1274</v>
      </c>
      <c r="I236" s="151" t="s">
        <v>1184</v>
      </c>
      <c r="J236" s="151" t="s">
        <v>3015</v>
      </c>
      <c r="K236" s="151" t="s">
        <v>2366</v>
      </c>
      <c r="L236" s="151" t="s">
        <v>3016</v>
      </c>
      <c r="M236" s="151" t="s">
        <v>3035</v>
      </c>
      <c r="N236" s="341" t="s">
        <v>3036</v>
      </c>
      <c r="O236" s="151">
        <v>94990</v>
      </c>
      <c r="P236" s="151"/>
      <c r="Q236" s="151"/>
      <c r="R236" s="151" t="s">
        <v>2177</v>
      </c>
      <c r="S236" s="151" t="s">
        <v>361</v>
      </c>
      <c r="T236" s="151" t="s">
        <v>2200</v>
      </c>
      <c r="U236" s="151" t="s">
        <v>2179</v>
      </c>
      <c r="V236" s="151" t="s">
        <v>49</v>
      </c>
      <c r="W236" s="151" t="s">
        <v>2180</v>
      </c>
      <c r="X236" s="151" t="s">
        <v>431</v>
      </c>
      <c r="Y236" s="151" t="s">
        <v>2179</v>
      </c>
      <c r="Z236" s="151"/>
      <c r="AA236" s="151"/>
      <c r="AB236" s="151" t="s">
        <v>855</v>
      </c>
      <c r="AC236" s="342"/>
    </row>
    <row r="237" spans="1:29" ht="105">
      <c r="A237" s="151" t="s">
        <v>2895</v>
      </c>
      <c r="B237" s="151" t="s">
        <v>16</v>
      </c>
      <c r="C237" s="151" t="s">
        <v>3024</v>
      </c>
      <c r="D237" s="151" t="s">
        <v>17</v>
      </c>
      <c r="E237" s="151" t="s">
        <v>3037</v>
      </c>
      <c r="F237" s="151" t="s">
        <v>2527</v>
      </c>
      <c r="G237" s="151" t="s">
        <v>2173</v>
      </c>
      <c r="H237" s="151" t="s">
        <v>1380</v>
      </c>
      <c r="I237" s="151" t="s">
        <v>1184</v>
      </c>
      <c r="J237" s="151" t="s">
        <v>1819</v>
      </c>
      <c r="K237" s="151" t="s">
        <v>2368</v>
      </c>
      <c r="L237" s="151" t="s">
        <v>2998</v>
      </c>
      <c r="M237" s="151" t="s">
        <v>361</v>
      </c>
      <c r="N237" s="341" t="s">
        <v>3038</v>
      </c>
      <c r="O237" s="151">
        <v>211556</v>
      </c>
      <c r="P237" s="151"/>
      <c r="Q237" s="151"/>
      <c r="R237" s="151" t="s">
        <v>2177</v>
      </c>
      <c r="S237" s="151" t="s">
        <v>361</v>
      </c>
      <c r="T237" s="151" t="s">
        <v>2200</v>
      </c>
      <c r="U237" s="151" t="s">
        <v>2179</v>
      </c>
      <c r="V237" s="151" t="s">
        <v>49</v>
      </c>
      <c r="W237" s="151" t="s">
        <v>2503</v>
      </c>
      <c r="X237" s="151" t="s">
        <v>431</v>
      </c>
      <c r="Y237" s="151" t="s">
        <v>2179</v>
      </c>
      <c r="Z237" s="151"/>
      <c r="AA237" s="151"/>
      <c r="AB237" s="151" t="s">
        <v>855</v>
      </c>
      <c r="AC237" s="342"/>
    </row>
    <row r="238" spans="1:29" ht="105">
      <c r="A238" s="151" t="s">
        <v>2895</v>
      </c>
      <c r="B238" s="151" t="s">
        <v>2426</v>
      </c>
      <c r="C238" s="151" t="s">
        <v>2427</v>
      </c>
      <c r="D238" s="151" t="s">
        <v>17</v>
      </c>
      <c r="E238" s="151" t="s">
        <v>2428</v>
      </c>
      <c r="F238" s="151" t="s">
        <v>2527</v>
      </c>
      <c r="G238" s="151" t="s">
        <v>2173</v>
      </c>
      <c r="H238" s="151" t="s">
        <v>1274</v>
      </c>
      <c r="I238" s="151" t="s">
        <v>1184</v>
      </c>
      <c r="J238" s="151" t="s">
        <v>2896</v>
      </c>
      <c r="K238" s="151" t="s">
        <v>3039</v>
      </c>
      <c r="L238" s="151" t="s">
        <v>2898</v>
      </c>
      <c r="M238" s="151" t="s">
        <v>2899</v>
      </c>
      <c r="N238" s="341" t="s">
        <v>3040</v>
      </c>
      <c r="O238" s="151">
        <v>225776</v>
      </c>
      <c r="P238" s="151"/>
      <c r="Q238" s="151"/>
      <c r="R238" s="151" t="s">
        <v>2177</v>
      </c>
      <c r="S238" s="151" t="s">
        <v>361</v>
      </c>
      <c r="T238" s="151" t="s">
        <v>2191</v>
      </c>
      <c r="U238" s="151" t="s">
        <v>2179</v>
      </c>
      <c r="V238" s="151">
        <v>1</v>
      </c>
      <c r="W238" s="151" t="s">
        <v>2373</v>
      </c>
      <c r="X238" s="151" t="s">
        <v>431</v>
      </c>
      <c r="Y238" s="151" t="s">
        <v>2179</v>
      </c>
      <c r="Z238" s="151" t="s">
        <v>2305</v>
      </c>
      <c r="AA238" s="151" t="s">
        <v>2305</v>
      </c>
      <c r="AB238" s="151" t="s">
        <v>855</v>
      </c>
      <c r="AC238" s="342"/>
    </row>
    <row r="239" spans="1:29" ht="75">
      <c r="A239" s="151" t="s">
        <v>2895</v>
      </c>
      <c r="B239" s="151" t="s">
        <v>2432</v>
      </c>
      <c r="C239" s="151" t="s">
        <v>2427</v>
      </c>
      <c r="D239" s="151" t="s">
        <v>17</v>
      </c>
      <c r="E239" s="151" t="s">
        <v>2433</v>
      </c>
      <c r="F239" s="151" t="s">
        <v>2527</v>
      </c>
      <c r="G239" s="151" t="s">
        <v>2173</v>
      </c>
      <c r="H239" s="151" t="s">
        <v>1274</v>
      </c>
      <c r="I239" s="151" t="s">
        <v>1184</v>
      </c>
      <c r="J239" s="151" t="s">
        <v>2896</v>
      </c>
      <c r="K239" s="151" t="s">
        <v>3041</v>
      </c>
      <c r="L239" s="151" t="s">
        <v>2898</v>
      </c>
      <c r="M239" s="151" t="s">
        <v>2899</v>
      </c>
      <c r="N239" s="341" t="s">
        <v>3042</v>
      </c>
      <c r="O239" s="151">
        <v>225776</v>
      </c>
      <c r="P239" s="151"/>
      <c r="Q239" s="151"/>
      <c r="R239" s="151" t="s">
        <v>2177</v>
      </c>
      <c r="S239" s="151" t="s">
        <v>361</v>
      </c>
      <c r="T239" s="151" t="s">
        <v>2191</v>
      </c>
      <c r="U239" s="151" t="s">
        <v>2179</v>
      </c>
      <c r="V239" s="151">
        <v>1</v>
      </c>
      <c r="W239" s="151" t="s">
        <v>2373</v>
      </c>
      <c r="X239" s="151" t="s">
        <v>431</v>
      </c>
      <c r="Y239" s="151" t="s">
        <v>2179</v>
      </c>
      <c r="Z239" s="151" t="s">
        <v>2305</v>
      </c>
      <c r="AA239" s="151" t="s">
        <v>2305</v>
      </c>
      <c r="AB239" s="151" t="s">
        <v>855</v>
      </c>
      <c r="AC239" s="342"/>
    </row>
    <row r="240" spans="1:29" ht="75">
      <c r="A240" s="151" t="s">
        <v>2895</v>
      </c>
      <c r="B240" s="151" t="s">
        <v>2435</v>
      </c>
      <c r="C240" s="151" t="s">
        <v>2427</v>
      </c>
      <c r="D240" s="151" t="s">
        <v>17</v>
      </c>
      <c r="E240" s="151" t="s">
        <v>2436</v>
      </c>
      <c r="F240" s="151" t="s">
        <v>2527</v>
      </c>
      <c r="G240" s="151" t="s">
        <v>2173</v>
      </c>
      <c r="H240" s="151" t="s">
        <v>1274</v>
      </c>
      <c r="I240" s="151" t="s">
        <v>1184</v>
      </c>
      <c r="J240" s="151" t="s">
        <v>2896</v>
      </c>
      <c r="K240" s="151" t="s">
        <v>3043</v>
      </c>
      <c r="L240" s="151" t="s">
        <v>2898</v>
      </c>
      <c r="M240" s="151" t="s">
        <v>2899</v>
      </c>
      <c r="N240" s="341" t="s">
        <v>3044</v>
      </c>
      <c r="O240" s="151">
        <v>225776</v>
      </c>
      <c r="P240" s="151"/>
      <c r="Q240" s="151"/>
      <c r="R240" s="151" t="s">
        <v>2177</v>
      </c>
      <c r="S240" s="151" t="s">
        <v>361</v>
      </c>
      <c r="T240" s="151" t="s">
        <v>2191</v>
      </c>
      <c r="U240" s="151" t="s">
        <v>2179</v>
      </c>
      <c r="V240" s="151">
        <v>1</v>
      </c>
      <c r="W240" s="151" t="s">
        <v>2373</v>
      </c>
      <c r="X240" s="151" t="s">
        <v>431</v>
      </c>
      <c r="Y240" s="151" t="s">
        <v>2179</v>
      </c>
      <c r="Z240" s="151" t="s">
        <v>2305</v>
      </c>
      <c r="AA240" s="151" t="s">
        <v>2305</v>
      </c>
      <c r="AB240" s="151" t="s">
        <v>855</v>
      </c>
      <c r="AC240" s="342"/>
    </row>
    <row r="241" spans="1:29">
      <c r="A241" s="151" t="s">
        <v>2895</v>
      </c>
      <c r="B241" s="449" t="s">
        <v>2438</v>
      </c>
      <c r="C241" s="151" t="s">
        <v>2439</v>
      </c>
      <c r="D241" s="151" t="s">
        <v>17</v>
      </c>
      <c r="E241" s="151" t="s">
        <v>2440</v>
      </c>
      <c r="F241" s="151" t="s">
        <v>2527</v>
      </c>
      <c r="G241" s="151" t="s">
        <v>2173</v>
      </c>
      <c r="H241" s="151" t="s">
        <v>1314</v>
      </c>
      <c r="I241" s="151" t="s">
        <v>1184</v>
      </c>
      <c r="J241" s="151" t="s">
        <v>670</v>
      </c>
      <c r="K241" s="151" t="s">
        <v>2441</v>
      </c>
      <c r="L241" s="151" t="s">
        <v>361</v>
      </c>
      <c r="M241" s="151" t="s">
        <v>361</v>
      </c>
      <c r="N241" s="151" t="s">
        <v>3045</v>
      </c>
      <c r="O241" s="151"/>
      <c r="P241" s="151"/>
      <c r="Q241" s="151"/>
      <c r="R241" s="151" t="s">
        <v>2177</v>
      </c>
      <c r="S241" s="151" t="s">
        <v>361</v>
      </c>
      <c r="T241" s="151" t="s">
        <v>2213</v>
      </c>
      <c r="U241" s="151" t="s">
        <v>2444</v>
      </c>
      <c r="V241" s="151" t="s">
        <v>49</v>
      </c>
      <c r="W241" s="151">
        <v>15</v>
      </c>
      <c r="X241" s="151" t="s">
        <v>2445</v>
      </c>
      <c r="Y241" s="151" t="s">
        <v>2444</v>
      </c>
      <c r="Z241" s="151"/>
      <c r="AA241" s="151"/>
      <c r="AB241" s="151" t="s">
        <v>855</v>
      </c>
      <c r="AC241" s="342"/>
    </row>
    <row r="242" spans="1:29">
      <c r="A242" s="151" t="s">
        <v>2895</v>
      </c>
      <c r="B242" s="449" t="s">
        <v>2446</v>
      </c>
      <c r="C242" s="151" t="s">
        <v>2439</v>
      </c>
      <c r="D242" s="151" t="s">
        <v>17</v>
      </c>
      <c r="E242" s="151" t="s">
        <v>2447</v>
      </c>
      <c r="F242" s="151" t="s">
        <v>2527</v>
      </c>
      <c r="G242" s="151" t="s">
        <v>2173</v>
      </c>
      <c r="H242" s="151" t="s">
        <v>1314</v>
      </c>
      <c r="I242" s="151" t="s">
        <v>1184</v>
      </c>
      <c r="J242" s="151" t="s">
        <v>670</v>
      </c>
      <c r="K242" s="151" t="s">
        <v>2448</v>
      </c>
      <c r="L242" s="151" t="s">
        <v>361</v>
      </c>
      <c r="M242" s="151" t="s">
        <v>361</v>
      </c>
      <c r="N242" s="151" t="s">
        <v>3045</v>
      </c>
      <c r="O242" s="151"/>
      <c r="P242" s="151"/>
      <c r="Q242" s="151"/>
      <c r="R242" s="151" t="s">
        <v>2177</v>
      </c>
      <c r="S242" s="151" t="s">
        <v>361</v>
      </c>
      <c r="T242" s="151" t="s">
        <v>2213</v>
      </c>
      <c r="U242" s="151" t="s">
        <v>2451</v>
      </c>
      <c r="V242" s="151" t="s">
        <v>49</v>
      </c>
      <c r="W242" s="151">
        <v>1.5</v>
      </c>
      <c r="X242" s="151" t="s">
        <v>2445</v>
      </c>
      <c r="Y242" s="151" t="s">
        <v>2451</v>
      </c>
      <c r="Z242" s="151"/>
      <c r="AA242" s="151"/>
      <c r="AB242" s="151" t="s">
        <v>855</v>
      </c>
      <c r="AC242" s="342"/>
    </row>
    <row r="243" spans="1:29">
      <c r="A243" s="151" t="s">
        <v>2895</v>
      </c>
      <c r="B243" s="449" t="s">
        <v>2452</v>
      </c>
      <c r="C243" s="151" t="s">
        <v>2439</v>
      </c>
      <c r="D243" s="151" t="s">
        <v>17</v>
      </c>
      <c r="E243" s="151" t="s">
        <v>2453</v>
      </c>
      <c r="F243" s="151" t="s">
        <v>2527</v>
      </c>
      <c r="G243" s="151" t="s">
        <v>2173</v>
      </c>
      <c r="H243" s="151" t="s">
        <v>1314</v>
      </c>
      <c r="I243" s="151" t="s">
        <v>1184</v>
      </c>
      <c r="J243" s="151" t="s">
        <v>670</v>
      </c>
      <c r="K243" s="151" t="s">
        <v>2454</v>
      </c>
      <c r="L243" s="151" t="s">
        <v>361</v>
      </c>
      <c r="M243" s="151" t="s">
        <v>361</v>
      </c>
      <c r="N243" s="151" t="s">
        <v>3045</v>
      </c>
      <c r="O243" s="151"/>
      <c r="P243" s="151"/>
      <c r="Q243" s="151"/>
      <c r="R243" s="151" t="s">
        <v>2177</v>
      </c>
      <c r="S243" s="151" t="s">
        <v>361</v>
      </c>
      <c r="T243" s="151" t="s">
        <v>2213</v>
      </c>
      <c r="U243" s="151" t="s">
        <v>2451</v>
      </c>
      <c r="V243" s="151" t="s">
        <v>49</v>
      </c>
      <c r="W243" s="151">
        <v>1.5</v>
      </c>
      <c r="X243" s="151" t="s">
        <v>2445</v>
      </c>
      <c r="Y243" s="151" t="s">
        <v>2451</v>
      </c>
      <c r="Z243" s="151"/>
      <c r="AA243" s="151"/>
      <c r="AB243" s="151" t="s">
        <v>855</v>
      </c>
      <c r="AC243" s="342"/>
    </row>
    <row r="244" spans="1:29">
      <c r="A244" s="151" t="s">
        <v>2895</v>
      </c>
      <c r="B244" s="151" t="s">
        <v>2530</v>
      </c>
      <c r="C244" s="151" t="s">
        <v>2552</v>
      </c>
      <c r="D244" s="151" t="s">
        <v>17</v>
      </c>
      <c r="E244" s="151" t="s">
        <v>3046</v>
      </c>
      <c r="F244" s="151" t="s">
        <v>2231</v>
      </c>
      <c r="G244" s="151" t="s">
        <v>2173</v>
      </c>
      <c r="H244" s="151" t="s">
        <v>1274</v>
      </c>
      <c r="I244" s="151" t="s">
        <v>1184</v>
      </c>
      <c r="J244" s="151" t="s">
        <v>2896</v>
      </c>
      <c r="K244" s="151" t="s">
        <v>3047</v>
      </c>
      <c r="L244" s="151" t="s">
        <v>2898</v>
      </c>
      <c r="M244" s="151" t="s">
        <v>2899</v>
      </c>
      <c r="N244" s="151"/>
      <c r="O244" s="151"/>
      <c r="P244" s="151"/>
      <c r="Q244" s="151"/>
      <c r="R244" s="151" t="s">
        <v>2177</v>
      </c>
      <c r="S244" s="151" t="s">
        <v>361</v>
      </c>
      <c r="T244" s="151" t="s">
        <v>2200</v>
      </c>
      <c r="U244" s="151" t="s">
        <v>2179</v>
      </c>
      <c r="V244" s="151">
        <v>50</v>
      </c>
      <c r="W244" s="151" t="s">
        <v>2180</v>
      </c>
      <c r="X244" s="151" t="s">
        <v>431</v>
      </c>
      <c r="Y244" s="151" t="s">
        <v>2179</v>
      </c>
      <c r="Z244" s="151"/>
      <c r="AA244" s="151"/>
      <c r="AB244" s="151" t="s">
        <v>855</v>
      </c>
      <c r="AC244" t="s">
        <v>3048</v>
      </c>
    </row>
    <row r="245" spans="1:29">
      <c r="A245" s="151" t="s">
        <v>2895</v>
      </c>
      <c r="B245" s="151" t="s">
        <v>2534</v>
      </c>
      <c r="C245" s="151" t="s">
        <v>2552</v>
      </c>
      <c r="D245" s="151" t="s">
        <v>17</v>
      </c>
      <c r="E245" s="151" t="s">
        <v>3049</v>
      </c>
      <c r="F245" s="151" t="s">
        <v>2231</v>
      </c>
      <c r="G245" s="151" t="s">
        <v>2173</v>
      </c>
      <c r="H245" s="151" t="s">
        <v>1274</v>
      </c>
      <c r="I245" s="151" t="s">
        <v>1184</v>
      </c>
      <c r="J245" s="151" t="s">
        <v>614</v>
      </c>
      <c r="K245" s="151" t="s">
        <v>2536</v>
      </c>
      <c r="L245" s="151" t="s">
        <v>3050</v>
      </c>
      <c r="M245" s="151" t="s">
        <v>361</v>
      </c>
      <c r="N245" s="151"/>
      <c r="O245" s="151"/>
      <c r="P245" s="151"/>
      <c r="Q245" s="151"/>
      <c r="R245" s="151" t="s">
        <v>2177</v>
      </c>
      <c r="S245" s="151" t="s">
        <v>361</v>
      </c>
      <c r="T245" s="151" t="s">
        <v>435</v>
      </c>
      <c r="U245" s="151" t="s">
        <v>2179</v>
      </c>
      <c r="V245" s="151" t="s">
        <v>49</v>
      </c>
      <c r="W245" s="151" t="s">
        <v>3051</v>
      </c>
      <c r="X245" s="151" t="s">
        <v>431</v>
      </c>
      <c r="Y245" s="151" t="s">
        <v>2179</v>
      </c>
      <c r="Z245" s="151"/>
      <c r="AA245" s="151"/>
      <c r="AB245" s="151" t="s">
        <v>855</v>
      </c>
      <c r="AC245" t="s">
        <v>3052</v>
      </c>
    </row>
    <row r="246" spans="1:29" ht="120">
      <c r="A246" s="151" t="s">
        <v>2895</v>
      </c>
      <c r="B246" s="151" t="s">
        <v>2538</v>
      </c>
      <c r="C246" s="151" t="s">
        <v>2552</v>
      </c>
      <c r="D246" s="151" t="s">
        <v>17</v>
      </c>
      <c r="E246" s="151" t="s">
        <v>3053</v>
      </c>
      <c r="F246" s="151" t="s">
        <v>2527</v>
      </c>
      <c r="G246" s="151" t="s">
        <v>2173</v>
      </c>
      <c r="H246" s="151" t="s">
        <v>1274</v>
      </c>
      <c r="I246" s="151" t="s">
        <v>1184</v>
      </c>
      <c r="J246" s="151" t="s">
        <v>614</v>
      </c>
      <c r="K246" s="151" t="s">
        <v>2540</v>
      </c>
      <c r="L246" s="341" t="s">
        <v>3054</v>
      </c>
      <c r="M246" s="151" t="s">
        <v>361</v>
      </c>
      <c r="N246" s="341" t="s">
        <v>3055</v>
      </c>
      <c r="O246" s="151">
        <v>139480</v>
      </c>
      <c r="P246" s="151"/>
      <c r="Q246" s="151"/>
      <c r="R246" s="151" t="s">
        <v>2177</v>
      </c>
      <c r="S246" s="151" t="s">
        <v>361</v>
      </c>
      <c r="T246" s="151" t="s">
        <v>435</v>
      </c>
      <c r="U246" s="151" t="s">
        <v>2179</v>
      </c>
      <c r="V246" s="151" t="s">
        <v>49</v>
      </c>
      <c r="W246" s="151" t="s">
        <v>2640</v>
      </c>
      <c r="X246" s="151" t="s">
        <v>431</v>
      </c>
      <c r="Y246" s="151" t="s">
        <v>2179</v>
      </c>
      <c r="Z246" s="151"/>
      <c r="AA246" s="151"/>
      <c r="AB246" s="151" t="s">
        <v>855</v>
      </c>
      <c r="AC246" s="342"/>
    </row>
    <row r="247" spans="1:29" ht="135">
      <c r="A247" s="151" t="s">
        <v>2895</v>
      </c>
      <c r="B247" s="151" t="s">
        <v>2541</v>
      </c>
      <c r="C247" s="151" t="s">
        <v>2552</v>
      </c>
      <c r="D247" s="151" t="s">
        <v>17</v>
      </c>
      <c r="E247" s="151" t="s">
        <v>3056</v>
      </c>
      <c r="F247" s="151" t="s">
        <v>2527</v>
      </c>
      <c r="G247" s="151" t="s">
        <v>2173</v>
      </c>
      <c r="H247" s="151" t="s">
        <v>1274</v>
      </c>
      <c r="I247" s="151" t="s">
        <v>1184</v>
      </c>
      <c r="J247" s="151" t="s">
        <v>614</v>
      </c>
      <c r="K247" s="151" t="s">
        <v>2543</v>
      </c>
      <c r="L247" s="341" t="s">
        <v>3057</v>
      </c>
      <c r="M247" s="151" t="s">
        <v>361</v>
      </c>
      <c r="N247" s="341" t="s">
        <v>3058</v>
      </c>
      <c r="O247" s="151">
        <v>139480</v>
      </c>
      <c r="P247" s="151"/>
      <c r="Q247" s="151"/>
      <c r="R247" s="151" t="s">
        <v>2177</v>
      </c>
      <c r="S247" s="151" t="s">
        <v>361</v>
      </c>
      <c r="T247" s="151" t="s">
        <v>435</v>
      </c>
      <c r="U247" s="151" t="s">
        <v>2179</v>
      </c>
      <c r="V247" s="151" t="s">
        <v>49</v>
      </c>
      <c r="W247" s="151" t="s">
        <v>2640</v>
      </c>
      <c r="X247" s="151" t="s">
        <v>431</v>
      </c>
      <c r="Y247" s="151" t="s">
        <v>2179</v>
      </c>
      <c r="Z247" s="151"/>
      <c r="AA247" s="151"/>
      <c r="AB247" s="151" t="s">
        <v>855</v>
      </c>
      <c r="AC247" s="342"/>
    </row>
    <row r="248" spans="1:29" ht="180">
      <c r="A248" s="151" t="s">
        <v>2895</v>
      </c>
      <c r="B248" s="151" t="s">
        <v>2551</v>
      </c>
      <c r="C248" s="151" t="s">
        <v>2552</v>
      </c>
      <c r="D248" s="151" t="s">
        <v>17</v>
      </c>
      <c r="E248" s="151" t="s">
        <v>3059</v>
      </c>
      <c r="F248" s="151" t="s">
        <v>2527</v>
      </c>
      <c r="G248" s="151" t="s">
        <v>2173</v>
      </c>
      <c r="H248" s="151" t="s">
        <v>1274</v>
      </c>
      <c r="I248" s="151" t="s">
        <v>1184</v>
      </c>
      <c r="J248" s="151" t="s">
        <v>3060</v>
      </c>
      <c r="K248" s="151" t="s">
        <v>2554</v>
      </c>
      <c r="L248" s="433" t="s">
        <v>3061</v>
      </c>
      <c r="M248" s="151" t="s">
        <v>361</v>
      </c>
      <c r="N248" s="341" t="s">
        <v>3062</v>
      </c>
      <c r="O248" s="151">
        <v>190874</v>
      </c>
      <c r="P248" s="151"/>
      <c r="Q248" s="151"/>
      <c r="R248" s="151" t="s">
        <v>2177</v>
      </c>
      <c r="S248" s="151" t="s">
        <v>361</v>
      </c>
      <c r="T248" s="151" t="s">
        <v>49</v>
      </c>
      <c r="U248" s="151" t="s">
        <v>2179</v>
      </c>
      <c r="V248" s="151" t="s">
        <v>49</v>
      </c>
      <c r="W248" s="151" t="s">
        <v>2228</v>
      </c>
      <c r="X248" s="151" t="s">
        <v>431</v>
      </c>
      <c r="Y248" s="151" t="s">
        <v>2179</v>
      </c>
      <c r="Z248" s="151"/>
      <c r="AA248" s="151"/>
      <c r="AB248" s="151" t="s">
        <v>855</v>
      </c>
      <c r="AC248" s="342"/>
    </row>
    <row r="249" spans="1:29" ht="135">
      <c r="A249" s="151" t="s">
        <v>2895</v>
      </c>
      <c r="B249" s="151" t="s">
        <v>2544</v>
      </c>
      <c r="C249" s="151" t="s">
        <v>2552</v>
      </c>
      <c r="D249" s="151" t="s">
        <v>17</v>
      </c>
      <c r="E249" s="151" t="s">
        <v>2545</v>
      </c>
      <c r="F249" s="151" t="s">
        <v>2527</v>
      </c>
      <c r="G249" s="431" t="s">
        <v>2173</v>
      </c>
      <c r="H249" s="151" t="s">
        <v>361</v>
      </c>
      <c r="I249" s="151" t="s">
        <v>1184</v>
      </c>
      <c r="J249" s="151" t="s">
        <v>3063</v>
      </c>
      <c r="K249" s="434" t="s">
        <v>3064</v>
      </c>
      <c r="L249" s="433" t="s">
        <v>3065</v>
      </c>
      <c r="M249" s="151" t="s">
        <v>361</v>
      </c>
      <c r="N249" s="341" t="s">
        <v>3066</v>
      </c>
      <c r="O249" s="151">
        <v>190882</v>
      </c>
      <c r="P249" s="151"/>
      <c r="Q249" s="151"/>
      <c r="R249" s="151" t="s">
        <v>2550</v>
      </c>
      <c r="S249" s="151" t="s">
        <v>3067</v>
      </c>
      <c r="T249" s="151"/>
      <c r="U249" s="151"/>
      <c r="V249" s="151"/>
      <c r="W249" s="151"/>
      <c r="X249" s="151"/>
      <c r="Y249" s="151"/>
      <c r="Z249" s="151"/>
      <c r="AA249" s="151"/>
      <c r="AB249" s="151" t="s">
        <v>855</v>
      </c>
      <c r="AC249" s="342"/>
    </row>
    <row r="250" spans="1:29" ht="135">
      <c r="A250" s="151" t="s">
        <v>2895</v>
      </c>
      <c r="B250" s="491" t="s">
        <v>2556</v>
      </c>
      <c r="C250" s="151" t="s">
        <v>2552</v>
      </c>
      <c r="D250" s="151" t="s">
        <v>17</v>
      </c>
      <c r="E250" s="151" t="s">
        <v>3068</v>
      </c>
      <c r="F250" s="151" t="s">
        <v>2527</v>
      </c>
      <c r="G250" s="151" t="s">
        <v>2173</v>
      </c>
      <c r="H250" s="151" t="s">
        <v>1274</v>
      </c>
      <c r="I250" s="151" t="s">
        <v>1184</v>
      </c>
      <c r="J250" s="151" t="s">
        <v>2896</v>
      </c>
      <c r="K250" s="151" t="s">
        <v>3069</v>
      </c>
      <c r="L250" s="433" t="s">
        <v>3070</v>
      </c>
      <c r="M250" s="151" t="s">
        <v>2899</v>
      </c>
      <c r="N250" s="341" t="s">
        <v>3071</v>
      </c>
      <c r="O250" s="151">
        <v>21165</v>
      </c>
      <c r="P250" s="151"/>
      <c r="Q250" s="151"/>
      <c r="R250" s="151" t="s">
        <v>2177</v>
      </c>
      <c r="S250" s="151" t="s">
        <v>361</v>
      </c>
      <c r="T250" s="151" t="s">
        <v>2200</v>
      </c>
      <c r="U250" s="151" t="s">
        <v>2179</v>
      </c>
      <c r="V250" s="151">
        <v>50</v>
      </c>
      <c r="W250" s="151" t="s">
        <v>2180</v>
      </c>
      <c r="X250" s="151" t="s">
        <v>431</v>
      </c>
      <c r="Y250" s="151" t="s">
        <v>2179</v>
      </c>
      <c r="Z250" s="151"/>
      <c r="AA250" s="151"/>
      <c r="AB250" s="151" t="s">
        <v>855</v>
      </c>
      <c r="AC250" s="342"/>
    </row>
    <row r="251" spans="1:29" ht="135">
      <c r="A251" s="151" t="s">
        <v>2895</v>
      </c>
      <c r="B251" s="151" t="s">
        <v>2559</v>
      </c>
      <c r="C251" s="151" t="s">
        <v>2552</v>
      </c>
      <c r="D251" s="151" t="s">
        <v>17</v>
      </c>
      <c r="E251" s="151" t="s">
        <v>3072</v>
      </c>
      <c r="F251" s="151" t="s">
        <v>2527</v>
      </c>
      <c r="G251" s="151" t="s">
        <v>2173</v>
      </c>
      <c r="H251" s="151" t="s">
        <v>1274</v>
      </c>
      <c r="I251" s="151" t="s">
        <v>1184</v>
      </c>
      <c r="J251" s="151" t="s">
        <v>614</v>
      </c>
      <c r="K251" s="151" t="s">
        <v>2536</v>
      </c>
      <c r="L251" s="433" t="s">
        <v>3073</v>
      </c>
      <c r="M251" s="151" t="s">
        <v>361</v>
      </c>
      <c r="N251" s="341" t="s">
        <v>3074</v>
      </c>
      <c r="O251" s="151">
        <v>139480</v>
      </c>
      <c r="P251" s="151"/>
      <c r="Q251" s="431" t="s">
        <v>3075</v>
      </c>
      <c r="R251" s="151" t="s">
        <v>2177</v>
      </c>
      <c r="S251" s="151" t="s">
        <v>361</v>
      </c>
      <c r="T251" s="151" t="s">
        <v>435</v>
      </c>
      <c r="U251" s="151" t="s">
        <v>2179</v>
      </c>
      <c r="V251" s="151" t="s">
        <v>49</v>
      </c>
      <c r="W251" s="151" t="s">
        <v>3051</v>
      </c>
      <c r="X251" s="151" t="s">
        <v>431</v>
      </c>
      <c r="Y251" s="151" t="s">
        <v>2179</v>
      </c>
      <c r="Z251" s="151"/>
      <c r="AA251" s="151"/>
      <c r="AB251" s="151" t="s">
        <v>855</v>
      </c>
      <c r="AC251" s="342"/>
    </row>
    <row r="252" spans="1:29" ht="120">
      <c r="A252" s="151" t="s">
        <v>2895</v>
      </c>
      <c r="B252" s="151" t="s">
        <v>2563</v>
      </c>
      <c r="C252" s="151" t="s">
        <v>2552</v>
      </c>
      <c r="D252" s="151" t="s">
        <v>17</v>
      </c>
      <c r="E252" s="151" t="s">
        <v>3076</v>
      </c>
      <c r="F252" s="151" t="s">
        <v>2527</v>
      </c>
      <c r="G252" s="151" t="s">
        <v>2173</v>
      </c>
      <c r="H252" s="151" t="s">
        <v>1274</v>
      </c>
      <c r="I252" s="151" t="s">
        <v>1184</v>
      </c>
      <c r="J252" s="151" t="s">
        <v>614</v>
      </c>
      <c r="K252" s="151" t="s">
        <v>2540</v>
      </c>
      <c r="L252" s="341" t="s">
        <v>3073</v>
      </c>
      <c r="M252" s="151" t="s">
        <v>361</v>
      </c>
      <c r="N252" s="341" t="s">
        <v>3077</v>
      </c>
      <c r="O252" s="151">
        <v>139480</v>
      </c>
      <c r="P252" s="151"/>
      <c r="Q252" s="151"/>
      <c r="R252" s="151" t="s">
        <v>2177</v>
      </c>
      <c r="S252" s="151" t="s">
        <v>361</v>
      </c>
      <c r="T252" s="151" t="s">
        <v>435</v>
      </c>
      <c r="U252" s="151" t="s">
        <v>2179</v>
      </c>
      <c r="V252" s="151" t="s">
        <v>49</v>
      </c>
      <c r="W252" s="151" t="s">
        <v>2640</v>
      </c>
      <c r="X252" s="151" t="s">
        <v>431</v>
      </c>
      <c r="Y252" s="151" t="s">
        <v>2179</v>
      </c>
      <c r="Z252" s="151"/>
      <c r="AA252" s="151"/>
      <c r="AB252" s="151" t="s">
        <v>855</v>
      </c>
      <c r="AC252" s="342"/>
    </row>
    <row r="253" spans="1:29" ht="135">
      <c r="A253" s="151" t="s">
        <v>2895</v>
      </c>
      <c r="B253" s="151" t="s">
        <v>2564</v>
      </c>
      <c r="C253" s="151" t="s">
        <v>2552</v>
      </c>
      <c r="D253" s="151" t="s">
        <v>17</v>
      </c>
      <c r="E253" s="151" t="s">
        <v>3078</v>
      </c>
      <c r="F253" s="151" t="s">
        <v>2527</v>
      </c>
      <c r="G253" s="151" t="s">
        <v>2173</v>
      </c>
      <c r="H253" s="151" t="s">
        <v>1274</v>
      </c>
      <c r="I253" s="151" t="s">
        <v>1184</v>
      </c>
      <c r="J253" s="151" t="s">
        <v>614</v>
      </c>
      <c r="K253" s="151" t="s">
        <v>2543</v>
      </c>
      <c r="L253" s="341" t="s">
        <v>3073</v>
      </c>
      <c r="M253" s="151" t="s">
        <v>361</v>
      </c>
      <c r="N253" s="341" t="s">
        <v>3079</v>
      </c>
      <c r="O253" s="151">
        <v>139480</v>
      </c>
      <c r="P253" s="151"/>
      <c r="Q253" s="151"/>
      <c r="R253" s="151" t="s">
        <v>2177</v>
      </c>
      <c r="S253" s="151" t="s">
        <v>361</v>
      </c>
      <c r="T253" s="151" t="s">
        <v>435</v>
      </c>
      <c r="U253" s="151" t="s">
        <v>2179</v>
      </c>
      <c r="V253" s="151" t="s">
        <v>49</v>
      </c>
      <c r="W253" s="151" t="s">
        <v>2640</v>
      </c>
      <c r="X253" s="151" t="s">
        <v>431</v>
      </c>
      <c r="Y253" s="151" t="s">
        <v>2179</v>
      </c>
      <c r="Z253" s="151"/>
      <c r="AA253" s="151"/>
      <c r="AB253" s="151" t="s">
        <v>855</v>
      </c>
      <c r="AC253" s="342"/>
    </row>
    <row r="254" spans="1:29" ht="180">
      <c r="A254" s="151" t="s">
        <v>2895</v>
      </c>
      <c r="B254" s="151" t="s">
        <v>2567</v>
      </c>
      <c r="C254" s="151" t="s">
        <v>2552</v>
      </c>
      <c r="D254" s="151" t="s">
        <v>17</v>
      </c>
      <c r="E254" s="151" t="s">
        <v>3080</v>
      </c>
      <c r="F254" s="151" t="s">
        <v>2527</v>
      </c>
      <c r="G254" s="151" t="s">
        <v>2173</v>
      </c>
      <c r="H254" s="151" t="s">
        <v>1274</v>
      </c>
      <c r="I254" s="151" t="s">
        <v>1184</v>
      </c>
      <c r="J254" s="151" t="s">
        <v>3060</v>
      </c>
      <c r="K254" s="151" t="s">
        <v>2554</v>
      </c>
      <c r="L254" s="433" t="s">
        <v>3081</v>
      </c>
      <c r="M254" s="151" t="s">
        <v>361</v>
      </c>
      <c r="N254" s="341" t="s">
        <v>3082</v>
      </c>
      <c r="O254" s="151">
        <v>10820</v>
      </c>
      <c r="P254" s="151"/>
      <c r="Q254" s="151"/>
      <c r="R254" s="151" t="s">
        <v>2177</v>
      </c>
      <c r="S254" s="151" t="s">
        <v>361</v>
      </c>
      <c r="T254" s="151" t="s">
        <v>49</v>
      </c>
      <c r="U254" s="151" t="s">
        <v>2179</v>
      </c>
      <c r="V254" s="151" t="s">
        <v>49</v>
      </c>
      <c r="W254" s="151" t="s">
        <v>2228</v>
      </c>
      <c r="X254" s="151" t="s">
        <v>431</v>
      </c>
      <c r="Y254" s="151" t="s">
        <v>2179</v>
      </c>
      <c r="Z254" s="151"/>
      <c r="AA254" s="151"/>
      <c r="AB254" s="151" t="s">
        <v>855</v>
      </c>
      <c r="AC254" s="342"/>
    </row>
    <row r="255" spans="1:29" ht="150">
      <c r="A255" s="151" t="s">
        <v>2895</v>
      </c>
      <c r="B255" s="151" t="s">
        <v>2565</v>
      </c>
      <c r="C255" s="151" t="s">
        <v>2552</v>
      </c>
      <c r="D255" s="151" t="s">
        <v>17</v>
      </c>
      <c r="E255" s="151" t="s">
        <v>2566</v>
      </c>
      <c r="F255" s="151" t="s">
        <v>2527</v>
      </c>
      <c r="G255" s="431" t="s">
        <v>2173</v>
      </c>
      <c r="H255" s="151" t="s">
        <v>361</v>
      </c>
      <c r="I255" s="151" t="s">
        <v>1184</v>
      </c>
      <c r="J255" s="151" t="s">
        <v>3063</v>
      </c>
      <c r="K255" s="434" t="s">
        <v>3064</v>
      </c>
      <c r="L255" s="433" t="s">
        <v>3083</v>
      </c>
      <c r="M255" s="151" t="s">
        <v>361</v>
      </c>
      <c r="N255" s="341" t="s">
        <v>3084</v>
      </c>
      <c r="O255" s="151">
        <v>10820</v>
      </c>
      <c r="P255" s="151"/>
      <c r="Q255" s="151"/>
      <c r="R255" s="151" t="s">
        <v>2550</v>
      </c>
      <c r="S255" s="151" t="s">
        <v>3067</v>
      </c>
      <c r="T255" s="151"/>
      <c r="U255" s="151"/>
      <c r="V255" s="151"/>
      <c r="W255" s="151"/>
      <c r="X255" s="151"/>
      <c r="Y255" s="151"/>
      <c r="Z255" s="151"/>
      <c r="AA255" s="151"/>
      <c r="AB255" s="151" t="s">
        <v>855</v>
      </c>
      <c r="AC255" s="342"/>
    </row>
    <row r="256" spans="1:29" ht="105">
      <c r="A256" s="151" t="s">
        <v>2895</v>
      </c>
      <c r="B256" s="151" t="s">
        <v>3085</v>
      </c>
      <c r="C256" s="151" t="s">
        <v>2552</v>
      </c>
      <c r="D256" s="151" t="s">
        <v>17</v>
      </c>
      <c r="E256" s="151" t="s">
        <v>3086</v>
      </c>
      <c r="F256" s="151" t="s">
        <v>2527</v>
      </c>
      <c r="G256" s="151" t="s">
        <v>2173</v>
      </c>
      <c r="H256" s="151" t="s">
        <v>1274</v>
      </c>
      <c r="I256" s="151" t="s">
        <v>1184</v>
      </c>
      <c r="J256" s="151" t="s">
        <v>2896</v>
      </c>
      <c r="K256" s="151" t="s">
        <v>3087</v>
      </c>
      <c r="L256" s="151" t="s">
        <v>2898</v>
      </c>
      <c r="M256" s="151" t="s">
        <v>2899</v>
      </c>
      <c r="N256" s="341" t="s">
        <v>3088</v>
      </c>
      <c r="O256" s="151">
        <v>225766</v>
      </c>
      <c r="P256" s="151"/>
      <c r="Q256" s="151"/>
      <c r="R256" s="151" t="s">
        <v>2177</v>
      </c>
      <c r="S256" s="151" t="s">
        <v>361</v>
      </c>
      <c r="T256" s="151" t="s">
        <v>2200</v>
      </c>
      <c r="U256" s="151" t="s">
        <v>2179</v>
      </c>
      <c r="V256" s="151">
        <v>50</v>
      </c>
      <c r="W256" s="151" t="s">
        <v>2180</v>
      </c>
      <c r="X256" s="151" t="s">
        <v>431</v>
      </c>
      <c r="Y256" s="151" t="s">
        <v>2179</v>
      </c>
      <c r="Z256" s="151"/>
      <c r="AA256" s="151"/>
      <c r="AB256" s="151" t="s">
        <v>855</v>
      </c>
      <c r="AC256" s="342"/>
    </row>
    <row r="257" spans="1:29" ht="210">
      <c r="A257" s="151" t="s">
        <v>2895</v>
      </c>
      <c r="B257" s="151" t="s">
        <v>3089</v>
      </c>
      <c r="C257" s="151" t="s">
        <v>2552</v>
      </c>
      <c r="D257" s="151" t="s">
        <v>17</v>
      </c>
      <c r="E257" s="151" t="s">
        <v>3090</v>
      </c>
      <c r="F257" s="151" t="s">
        <v>2527</v>
      </c>
      <c r="G257" s="151" t="s">
        <v>2173</v>
      </c>
      <c r="H257" s="151" t="s">
        <v>1274</v>
      </c>
      <c r="I257" s="151" t="s">
        <v>1184</v>
      </c>
      <c r="J257" s="151" t="s">
        <v>614</v>
      </c>
      <c r="K257" s="151" t="s">
        <v>2536</v>
      </c>
      <c r="L257" s="433" t="s">
        <v>3091</v>
      </c>
      <c r="M257" s="151" t="s">
        <v>361</v>
      </c>
      <c r="N257" s="341" t="s">
        <v>3092</v>
      </c>
      <c r="O257" s="151">
        <v>1193</v>
      </c>
      <c r="P257" s="151"/>
      <c r="Q257" s="151"/>
      <c r="R257" s="151" t="s">
        <v>2177</v>
      </c>
      <c r="S257" s="151" t="s">
        <v>361</v>
      </c>
      <c r="T257" s="151" t="s">
        <v>435</v>
      </c>
      <c r="U257" s="151" t="s">
        <v>2179</v>
      </c>
      <c r="V257" s="151" t="s">
        <v>49</v>
      </c>
      <c r="W257" s="151" t="s">
        <v>3051</v>
      </c>
      <c r="X257" s="151" t="s">
        <v>431</v>
      </c>
      <c r="Y257" s="151" t="s">
        <v>2179</v>
      </c>
      <c r="Z257" s="151"/>
      <c r="AA257" s="151"/>
      <c r="AB257" s="151" t="s">
        <v>855</v>
      </c>
      <c r="AC257" s="342"/>
    </row>
    <row r="258" spans="1:29" ht="150">
      <c r="A258" s="151" t="s">
        <v>2895</v>
      </c>
      <c r="B258" s="151" t="s">
        <v>3093</v>
      </c>
      <c r="C258" s="151" t="s">
        <v>2552</v>
      </c>
      <c r="D258" s="151" t="s">
        <v>17</v>
      </c>
      <c r="E258" s="151" t="s">
        <v>3094</v>
      </c>
      <c r="F258" s="151" t="s">
        <v>2527</v>
      </c>
      <c r="G258" s="151" t="s">
        <v>2173</v>
      </c>
      <c r="H258" s="151" t="s">
        <v>1274</v>
      </c>
      <c r="I258" s="151" t="s">
        <v>1184</v>
      </c>
      <c r="J258" s="151" t="s">
        <v>614</v>
      </c>
      <c r="K258" s="151" t="s">
        <v>2540</v>
      </c>
      <c r="L258" s="341" t="s">
        <v>3095</v>
      </c>
      <c r="M258" s="151" t="s">
        <v>361</v>
      </c>
      <c r="N258" s="341" t="s">
        <v>3096</v>
      </c>
      <c r="O258" s="341">
        <v>1193</v>
      </c>
      <c r="P258" s="151"/>
      <c r="Q258" s="151"/>
      <c r="R258" s="151" t="s">
        <v>2177</v>
      </c>
      <c r="S258" s="151" t="s">
        <v>361</v>
      </c>
      <c r="T258" s="151" t="s">
        <v>435</v>
      </c>
      <c r="U258" s="151" t="s">
        <v>2179</v>
      </c>
      <c r="V258" s="151" t="s">
        <v>49</v>
      </c>
      <c r="W258" s="151" t="s">
        <v>2640</v>
      </c>
      <c r="X258" s="151" t="s">
        <v>431</v>
      </c>
      <c r="Y258" s="151" t="s">
        <v>2179</v>
      </c>
      <c r="Z258" s="151"/>
      <c r="AA258" s="151"/>
      <c r="AB258" s="151" t="s">
        <v>855</v>
      </c>
      <c r="AC258" s="342"/>
    </row>
    <row r="259" spans="1:29" ht="165">
      <c r="A259" s="151" t="s">
        <v>2895</v>
      </c>
      <c r="B259" s="151" t="s">
        <v>3097</v>
      </c>
      <c r="C259" s="151" t="s">
        <v>2552</v>
      </c>
      <c r="D259" s="151" t="s">
        <v>17</v>
      </c>
      <c r="E259" s="151" t="s">
        <v>3098</v>
      </c>
      <c r="F259" s="151" t="s">
        <v>2527</v>
      </c>
      <c r="G259" s="151" t="s">
        <v>2173</v>
      </c>
      <c r="H259" s="151" t="s">
        <v>1274</v>
      </c>
      <c r="I259" s="151" t="s">
        <v>1184</v>
      </c>
      <c r="J259" s="151" t="s">
        <v>614</v>
      </c>
      <c r="K259" s="151" t="s">
        <v>2543</v>
      </c>
      <c r="L259" s="341" t="s">
        <v>3095</v>
      </c>
      <c r="M259" s="151" t="s">
        <v>361</v>
      </c>
      <c r="N259" s="341" t="s">
        <v>3099</v>
      </c>
      <c r="O259" s="151">
        <v>1193</v>
      </c>
      <c r="P259" s="151"/>
      <c r="Q259" s="151"/>
      <c r="R259" s="151" t="s">
        <v>2177</v>
      </c>
      <c r="S259" s="151" t="s">
        <v>361</v>
      </c>
      <c r="T259" s="151" t="s">
        <v>435</v>
      </c>
      <c r="U259" s="151" t="s">
        <v>2179</v>
      </c>
      <c r="V259" s="151" t="s">
        <v>49</v>
      </c>
      <c r="W259" s="151" t="s">
        <v>2640</v>
      </c>
      <c r="X259" s="151" t="s">
        <v>431</v>
      </c>
      <c r="Y259" s="151" t="s">
        <v>2179</v>
      </c>
      <c r="Z259" s="151"/>
      <c r="AA259" s="151"/>
      <c r="AB259" s="151" t="s">
        <v>855</v>
      </c>
      <c r="AC259" s="342"/>
    </row>
    <row r="260" spans="1:29" ht="180">
      <c r="A260" s="151" t="s">
        <v>2895</v>
      </c>
      <c r="B260" s="151" t="s">
        <v>3100</v>
      </c>
      <c r="C260" s="151" t="s">
        <v>2552</v>
      </c>
      <c r="D260" s="151" t="s">
        <v>17</v>
      </c>
      <c r="E260" s="151" t="s">
        <v>3101</v>
      </c>
      <c r="F260" s="151" t="s">
        <v>2527</v>
      </c>
      <c r="G260" s="151" t="s">
        <v>2173</v>
      </c>
      <c r="H260" s="151" t="s">
        <v>1274</v>
      </c>
      <c r="I260" s="151" t="s">
        <v>1184</v>
      </c>
      <c r="J260" s="151" t="s">
        <v>3060</v>
      </c>
      <c r="K260" s="151" t="s">
        <v>2554</v>
      </c>
      <c r="L260" s="433" t="s">
        <v>3102</v>
      </c>
      <c r="M260" s="151" t="s">
        <v>361</v>
      </c>
      <c r="N260" s="341" t="s">
        <v>3103</v>
      </c>
      <c r="O260" s="151">
        <v>1595</v>
      </c>
      <c r="P260" s="151"/>
      <c r="Q260" s="151"/>
      <c r="R260" s="151" t="s">
        <v>2177</v>
      </c>
      <c r="S260" s="151" t="s">
        <v>361</v>
      </c>
      <c r="T260" s="151" t="s">
        <v>49</v>
      </c>
      <c r="U260" s="151" t="s">
        <v>2179</v>
      </c>
      <c r="V260" s="151" t="s">
        <v>49</v>
      </c>
      <c r="W260" s="151" t="s">
        <v>2228</v>
      </c>
      <c r="X260" s="151" t="s">
        <v>431</v>
      </c>
      <c r="Y260" s="151" t="s">
        <v>2179</v>
      </c>
      <c r="Z260" s="151"/>
      <c r="AA260" s="151"/>
      <c r="AB260" s="151" t="s">
        <v>855</v>
      </c>
      <c r="AC260" s="342"/>
    </row>
    <row r="261" spans="1:29" ht="135">
      <c r="A261" s="151" t="s">
        <v>2895</v>
      </c>
      <c r="B261" s="151" t="s">
        <v>3104</v>
      </c>
      <c r="C261" s="151" t="s">
        <v>2552</v>
      </c>
      <c r="D261" s="151" t="s">
        <v>17</v>
      </c>
      <c r="E261" s="151" t="s">
        <v>3105</v>
      </c>
      <c r="F261" s="151" t="s">
        <v>2527</v>
      </c>
      <c r="G261" s="431" t="s">
        <v>2173</v>
      </c>
      <c r="H261" s="151" t="s">
        <v>361</v>
      </c>
      <c r="I261" s="151" t="s">
        <v>1184</v>
      </c>
      <c r="J261" s="151" t="s">
        <v>3063</v>
      </c>
      <c r="K261" s="434" t="s">
        <v>3064</v>
      </c>
      <c r="L261" s="433" t="s">
        <v>3106</v>
      </c>
      <c r="M261" s="151" t="s">
        <v>361</v>
      </c>
      <c r="N261" s="341" t="s">
        <v>3107</v>
      </c>
      <c r="O261" s="151">
        <v>1595</v>
      </c>
      <c r="P261" s="151"/>
      <c r="Q261" s="151"/>
      <c r="R261" s="151" t="s">
        <v>2550</v>
      </c>
      <c r="S261" s="151" t="s">
        <v>3067</v>
      </c>
      <c r="T261" s="151"/>
      <c r="U261" s="151"/>
      <c r="V261" s="151"/>
      <c r="W261" s="151"/>
      <c r="X261" s="151"/>
      <c r="Y261" s="151"/>
      <c r="Z261" s="151"/>
      <c r="AA261" s="151"/>
      <c r="AB261" s="151"/>
      <c r="AC261" s="342"/>
    </row>
    <row r="262" spans="1:29" ht="180">
      <c r="A262" s="151" t="s">
        <v>2895</v>
      </c>
      <c r="B262" s="151" t="s">
        <v>2569</v>
      </c>
      <c r="C262" s="151" t="s">
        <v>2552</v>
      </c>
      <c r="D262" s="151" t="s">
        <v>17</v>
      </c>
      <c r="E262" s="151" t="s">
        <v>3108</v>
      </c>
      <c r="F262" s="151" t="s">
        <v>2527</v>
      </c>
      <c r="G262" s="151" t="s">
        <v>2173</v>
      </c>
      <c r="H262" s="151" t="s">
        <v>1274</v>
      </c>
      <c r="I262" s="151" t="s">
        <v>1184</v>
      </c>
      <c r="J262" s="151" t="s">
        <v>3060</v>
      </c>
      <c r="K262" s="151" t="s">
        <v>3109</v>
      </c>
      <c r="L262" s="433" t="s">
        <v>3110</v>
      </c>
      <c r="M262" s="151" t="s">
        <v>361</v>
      </c>
      <c r="N262" s="341" t="s">
        <v>3111</v>
      </c>
      <c r="O262" s="151">
        <v>10820</v>
      </c>
      <c r="P262" s="151"/>
      <c r="Q262" s="151"/>
      <c r="R262" s="151" t="s">
        <v>2177</v>
      </c>
      <c r="S262" s="151" t="s">
        <v>361</v>
      </c>
      <c r="T262" s="151" t="s">
        <v>49</v>
      </c>
      <c r="U262" s="151" t="s">
        <v>2179</v>
      </c>
      <c r="V262" s="151" t="s">
        <v>49</v>
      </c>
      <c r="W262" s="151" t="s">
        <v>2228</v>
      </c>
      <c r="X262" s="151" t="s">
        <v>431</v>
      </c>
      <c r="Y262" s="151" t="s">
        <v>2179</v>
      </c>
      <c r="Z262" s="151"/>
      <c r="AA262" s="151"/>
      <c r="AB262" s="151" t="s">
        <v>855</v>
      </c>
      <c r="AC262" s="342"/>
    </row>
    <row r="263" spans="1:29" ht="300">
      <c r="A263" s="151" t="s">
        <v>2895</v>
      </c>
      <c r="B263" s="151" t="s">
        <v>2574</v>
      </c>
      <c r="C263" s="151" t="s">
        <v>2552</v>
      </c>
      <c r="D263" s="151" t="s">
        <v>17</v>
      </c>
      <c r="E263" s="151" t="s">
        <v>3112</v>
      </c>
      <c r="F263" s="151" t="s">
        <v>2527</v>
      </c>
      <c r="G263" s="431" t="s">
        <v>2173</v>
      </c>
      <c r="H263" s="151" t="s">
        <v>361</v>
      </c>
      <c r="I263" s="151" t="s">
        <v>1184</v>
      </c>
      <c r="J263" s="151" t="s">
        <v>3113</v>
      </c>
      <c r="K263" s="151" t="s">
        <v>3114</v>
      </c>
      <c r="L263" s="341" t="s">
        <v>3115</v>
      </c>
      <c r="M263" s="151" t="s">
        <v>361</v>
      </c>
      <c r="N263" s="520" t="s">
        <v>3116</v>
      </c>
      <c r="O263" s="341" t="s">
        <v>3117</v>
      </c>
      <c r="P263" s="151"/>
      <c r="Q263" s="151"/>
      <c r="R263" s="151" t="s">
        <v>2550</v>
      </c>
      <c r="S263" s="151" t="s">
        <v>3067</v>
      </c>
      <c r="T263" s="151"/>
      <c r="U263" s="151"/>
      <c r="V263" s="151"/>
      <c r="W263" s="151"/>
      <c r="X263" s="151"/>
      <c r="Y263" s="151"/>
      <c r="Z263" s="151"/>
      <c r="AA263" s="151"/>
      <c r="AB263" s="151"/>
      <c r="AC263" s="342"/>
    </row>
    <row r="264" spans="1:29" ht="210">
      <c r="A264" s="151" t="s">
        <v>2895</v>
      </c>
      <c r="B264" s="151" t="s">
        <v>2509</v>
      </c>
      <c r="C264" s="151" t="s">
        <v>3118</v>
      </c>
      <c r="D264" s="151" t="s">
        <v>17</v>
      </c>
      <c r="E264" s="151" t="s">
        <v>2230</v>
      </c>
      <c r="F264" s="151" t="s">
        <v>2527</v>
      </c>
      <c r="G264" s="151" t="s">
        <v>2173</v>
      </c>
      <c r="H264" s="151" t="s">
        <v>1274</v>
      </c>
      <c r="I264" s="151" t="s">
        <v>1184</v>
      </c>
      <c r="J264" s="151" t="s">
        <v>2896</v>
      </c>
      <c r="K264" s="151" t="s">
        <v>2917</v>
      </c>
      <c r="L264" s="151" t="s">
        <v>2898</v>
      </c>
      <c r="M264" s="151" t="s">
        <v>2899</v>
      </c>
      <c r="N264" s="341" t="s">
        <v>3119</v>
      </c>
      <c r="O264" s="151">
        <v>225768</v>
      </c>
      <c r="P264" s="151"/>
      <c r="Q264" s="151"/>
      <c r="R264" s="151" t="s">
        <v>2177</v>
      </c>
      <c r="S264" s="433" t="s">
        <v>3120</v>
      </c>
      <c r="T264" s="151" t="s">
        <v>2191</v>
      </c>
      <c r="U264" s="151" t="s">
        <v>2179</v>
      </c>
      <c r="V264" s="151">
        <v>255</v>
      </c>
      <c r="W264" s="151" t="s">
        <v>2363</v>
      </c>
      <c r="X264" s="151" t="s">
        <v>431</v>
      </c>
      <c r="Y264" s="151" t="s">
        <v>2179</v>
      </c>
      <c r="Z264" s="151" t="s">
        <v>2234</v>
      </c>
      <c r="AA264" s="151" t="s">
        <v>2235</v>
      </c>
      <c r="AB264" s="151" t="s">
        <v>855</v>
      </c>
      <c r="AC264" s="342"/>
    </row>
    <row r="265" spans="1:29" ht="210">
      <c r="A265" s="151" t="s">
        <v>2895</v>
      </c>
      <c r="B265" s="151" t="s">
        <v>3121</v>
      </c>
      <c r="C265" s="151" t="s">
        <v>3118</v>
      </c>
      <c r="D265" s="151" t="s">
        <v>17</v>
      </c>
      <c r="E265" s="151" t="s">
        <v>2513</v>
      </c>
      <c r="F265" s="151" t="s">
        <v>2527</v>
      </c>
      <c r="G265" s="151" t="s">
        <v>2173</v>
      </c>
      <c r="H265" s="151" t="s">
        <v>1274</v>
      </c>
      <c r="I265" s="151" t="s">
        <v>1184</v>
      </c>
      <c r="J265" s="151" t="s">
        <v>2896</v>
      </c>
      <c r="K265" s="151" t="s">
        <v>2920</v>
      </c>
      <c r="L265" s="151" t="s">
        <v>2898</v>
      </c>
      <c r="M265" s="151" t="s">
        <v>2899</v>
      </c>
      <c r="N265" s="341" t="s">
        <v>3122</v>
      </c>
      <c r="O265" s="151">
        <v>225768</v>
      </c>
      <c r="P265" s="151"/>
      <c r="Q265" s="151"/>
      <c r="R265" s="151" t="s">
        <v>2177</v>
      </c>
      <c r="S265" s="341" t="s">
        <v>3123</v>
      </c>
      <c r="T265" s="151" t="s">
        <v>2191</v>
      </c>
      <c r="U265" s="151" t="s">
        <v>2179</v>
      </c>
      <c r="V265" s="151">
        <v>255</v>
      </c>
      <c r="W265" s="151" t="s">
        <v>2363</v>
      </c>
      <c r="X265" s="151" t="s">
        <v>431</v>
      </c>
      <c r="Y265" s="151" t="s">
        <v>2179</v>
      </c>
      <c r="Z265" s="151" t="s">
        <v>2239</v>
      </c>
      <c r="AA265" s="151" t="s">
        <v>2516</v>
      </c>
      <c r="AB265" s="151" t="s">
        <v>855</v>
      </c>
      <c r="AC265" s="342"/>
    </row>
    <row r="266" spans="1:29" ht="195">
      <c r="A266" s="151" t="s">
        <v>2895</v>
      </c>
      <c r="B266" s="151" t="s">
        <v>2517</v>
      </c>
      <c r="C266" s="151" t="s">
        <v>3118</v>
      </c>
      <c r="D266" s="151" t="s">
        <v>17</v>
      </c>
      <c r="E266" s="151" t="s">
        <v>2518</v>
      </c>
      <c r="F266" s="151" t="s">
        <v>2527</v>
      </c>
      <c r="G266" s="151" t="s">
        <v>2173</v>
      </c>
      <c r="H266" s="151" t="s">
        <v>1274</v>
      </c>
      <c r="I266" s="151" t="s">
        <v>1184</v>
      </c>
      <c r="J266" s="151" t="s">
        <v>2896</v>
      </c>
      <c r="K266" s="151" t="s">
        <v>3124</v>
      </c>
      <c r="L266" s="151" t="s">
        <v>2898</v>
      </c>
      <c r="M266" s="151" t="s">
        <v>2899</v>
      </c>
      <c r="N266" s="341" t="s">
        <v>3125</v>
      </c>
      <c r="O266" s="151">
        <v>223865</v>
      </c>
      <c r="P266" s="151"/>
      <c r="Q266" s="151"/>
      <c r="R266" s="151" t="s">
        <v>2177</v>
      </c>
      <c r="S266" s="341" t="s">
        <v>3126</v>
      </c>
      <c r="T266" s="151" t="s">
        <v>2191</v>
      </c>
      <c r="U266" s="151" t="s">
        <v>2179</v>
      </c>
      <c r="V266" s="151">
        <v>50</v>
      </c>
      <c r="W266" s="151" t="s">
        <v>2180</v>
      </c>
      <c r="X266" s="151" t="s">
        <v>431</v>
      </c>
      <c r="Y266" s="151" t="s">
        <v>2179</v>
      </c>
      <c r="Z266" s="151" t="s">
        <v>3127</v>
      </c>
      <c r="AA266" s="151" t="s">
        <v>2521</v>
      </c>
      <c r="AB266" s="151" t="s">
        <v>855</v>
      </c>
      <c r="AC266" s="342"/>
    </row>
    <row r="267" spans="1:29" ht="240">
      <c r="A267" s="151" t="s">
        <v>2895</v>
      </c>
      <c r="B267" s="151" t="s">
        <v>2522</v>
      </c>
      <c r="C267" s="151" t="s">
        <v>3118</v>
      </c>
      <c r="D267" s="151" t="s">
        <v>17</v>
      </c>
      <c r="E267" s="151" t="s">
        <v>2523</v>
      </c>
      <c r="F267" s="151" t="s">
        <v>2527</v>
      </c>
      <c r="G267" s="151" t="s">
        <v>2173</v>
      </c>
      <c r="H267" s="151" t="s">
        <v>1274</v>
      </c>
      <c r="I267" s="151" t="s">
        <v>1184</v>
      </c>
      <c r="J267" s="151" t="s">
        <v>2896</v>
      </c>
      <c r="K267" s="151" t="s">
        <v>3128</v>
      </c>
      <c r="L267" s="151" t="s">
        <v>2898</v>
      </c>
      <c r="M267" s="151" t="s">
        <v>2899</v>
      </c>
      <c r="N267" s="341" t="s">
        <v>3129</v>
      </c>
      <c r="O267" s="151">
        <v>154430</v>
      </c>
      <c r="P267" s="151"/>
      <c r="Q267" s="151"/>
      <c r="R267" s="151" t="s">
        <v>2177</v>
      </c>
      <c r="S267" s="433" t="s">
        <v>3130</v>
      </c>
      <c r="T267" s="151" t="s">
        <v>2191</v>
      </c>
      <c r="U267" s="151" t="s">
        <v>2179</v>
      </c>
      <c r="V267" s="151">
        <v>5</v>
      </c>
      <c r="W267" s="151" t="s">
        <v>3131</v>
      </c>
      <c r="X267" s="151" t="s">
        <v>431</v>
      </c>
      <c r="Y267" s="151" t="s">
        <v>2179</v>
      </c>
      <c r="Z267" s="151" t="s">
        <v>3132</v>
      </c>
      <c r="AA267" s="151" t="s">
        <v>3133</v>
      </c>
      <c r="AB267" s="151" t="s">
        <v>855</v>
      </c>
      <c r="AC267" s="342"/>
    </row>
    <row r="268" spans="1:29" ht="240">
      <c r="A268" s="151" t="s">
        <v>2895</v>
      </c>
      <c r="B268" s="151" t="s">
        <v>2314</v>
      </c>
      <c r="C268" s="151" t="s">
        <v>3118</v>
      </c>
      <c r="D268" s="151" t="s">
        <v>17</v>
      </c>
      <c r="E268" s="151" t="s">
        <v>2315</v>
      </c>
      <c r="F268" s="151" t="s">
        <v>2527</v>
      </c>
      <c r="G268" s="151" t="s">
        <v>2173</v>
      </c>
      <c r="H268" s="151" t="s">
        <v>1274</v>
      </c>
      <c r="I268" s="151" t="s">
        <v>1184</v>
      </c>
      <c r="J268" s="151" t="s">
        <v>2896</v>
      </c>
      <c r="K268" s="151" t="s">
        <v>2984</v>
      </c>
      <c r="L268" s="151" t="s">
        <v>2898</v>
      </c>
      <c r="M268" s="151" t="s">
        <v>2899</v>
      </c>
      <c r="N268" s="341" t="s">
        <v>3134</v>
      </c>
      <c r="O268" s="151">
        <v>154430</v>
      </c>
      <c r="P268" s="151"/>
      <c r="Q268" s="151"/>
      <c r="R268" s="151" t="s">
        <v>2177</v>
      </c>
      <c r="S268" s="341" t="s">
        <v>3135</v>
      </c>
      <c r="T268" s="151" t="s">
        <v>2191</v>
      </c>
      <c r="U268" s="151" t="s">
        <v>2179</v>
      </c>
      <c r="V268" s="151">
        <v>1</v>
      </c>
      <c r="W268" s="151" t="s">
        <v>2373</v>
      </c>
      <c r="X268" s="151" t="s">
        <v>431</v>
      </c>
      <c r="Y268" s="151" t="s">
        <v>2179</v>
      </c>
      <c r="Z268" s="151" t="s">
        <v>2320</v>
      </c>
      <c r="AA268" s="151" t="s">
        <v>2319</v>
      </c>
      <c r="AB268" s="151" t="s">
        <v>855</v>
      </c>
      <c r="AC268" s="342"/>
    </row>
    <row r="269" spans="1:29" ht="120">
      <c r="A269" s="151" t="s">
        <v>2895</v>
      </c>
      <c r="B269" s="151" t="s">
        <v>2647</v>
      </c>
      <c r="C269" s="151" t="s">
        <v>2612</v>
      </c>
      <c r="D269" s="151" t="s">
        <v>17</v>
      </c>
      <c r="E269" s="151" t="s">
        <v>2648</v>
      </c>
      <c r="F269" s="151" t="s">
        <v>2527</v>
      </c>
      <c r="G269" s="151" t="s">
        <v>2173</v>
      </c>
      <c r="H269" s="151" t="s">
        <v>1274</v>
      </c>
      <c r="I269" s="151" t="s">
        <v>1184</v>
      </c>
      <c r="J269" s="151" t="s">
        <v>2896</v>
      </c>
      <c r="K269" s="151" t="s">
        <v>3136</v>
      </c>
      <c r="L269" s="151" t="s">
        <v>2898</v>
      </c>
      <c r="M269" s="151" t="s">
        <v>2899</v>
      </c>
      <c r="N269" s="341" t="s">
        <v>3137</v>
      </c>
      <c r="O269" s="151">
        <v>225766</v>
      </c>
      <c r="P269" s="151"/>
      <c r="Q269" s="151"/>
      <c r="R269" s="151" t="s">
        <v>2177</v>
      </c>
      <c r="S269" s="151" t="s">
        <v>361</v>
      </c>
      <c r="T269" s="151" t="s">
        <v>2200</v>
      </c>
      <c r="U269" s="151" t="s">
        <v>2179</v>
      </c>
      <c r="V269" s="151">
        <v>100</v>
      </c>
      <c r="W269" s="151" t="s">
        <v>2185</v>
      </c>
      <c r="X269" s="151" t="s">
        <v>431</v>
      </c>
      <c r="Y269" s="151" t="s">
        <v>2179</v>
      </c>
      <c r="Z269" s="151"/>
      <c r="AA269" s="151"/>
      <c r="AB269" s="151" t="s">
        <v>855</v>
      </c>
      <c r="AC269" s="342"/>
    </row>
    <row r="270" spans="1:29" ht="225">
      <c r="A270" s="151" t="s">
        <v>2895</v>
      </c>
      <c r="B270" s="151" t="s">
        <v>2586</v>
      </c>
      <c r="C270" s="151" t="s">
        <v>2612</v>
      </c>
      <c r="D270" s="151" t="s">
        <v>17</v>
      </c>
      <c r="E270" s="151" t="s">
        <v>2587</v>
      </c>
      <c r="F270" s="151" t="s">
        <v>2527</v>
      </c>
      <c r="G270" s="151" t="s">
        <v>2173</v>
      </c>
      <c r="H270" s="151" t="s">
        <v>1274</v>
      </c>
      <c r="I270" s="151" t="s">
        <v>1184</v>
      </c>
      <c r="J270" s="151" t="s">
        <v>2896</v>
      </c>
      <c r="K270" s="151" t="s">
        <v>3138</v>
      </c>
      <c r="L270" s="151" t="s">
        <v>2898</v>
      </c>
      <c r="M270" s="151" t="s">
        <v>2899</v>
      </c>
      <c r="N270" s="341" t="s">
        <v>3139</v>
      </c>
      <c r="O270" s="151">
        <v>52924</v>
      </c>
      <c r="P270" s="151"/>
      <c r="Q270" s="151"/>
      <c r="R270" s="151" t="s">
        <v>2177</v>
      </c>
      <c r="S270" s="433" t="s">
        <v>3140</v>
      </c>
      <c r="T270" s="151" t="s">
        <v>2191</v>
      </c>
      <c r="U270" s="151" t="s">
        <v>2179</v>
      </c>
      <c r="V270" s="151">
        <v>30</v>
      </c>
      <c r="W270" s="151" t="s">
        <v>2774</v>
      </c>
      <c r="X270" s="151" t="s">
        <v>431</v>
      </c>
      <c r="Y270" s="151" t="s">
        <v>2179</v>
      </c>
      <c r="Z270" s="151" t="s">
        <v>2589</v>
      </c>
      <c r="AA270" s="151" t="s">
        <v>2590</v>
      </c>
      <c r="AB270" s="151" t="s">
        <v>855</v>
      </c>
      <c r="AC270" s="342"/>
    </row>
    <row r="271" spans="1:29" ht="210">
      <c r="A271" s="151" t="s">
        <v>2895</v>
      </c>
      <c r="B271" s="151" t="s">
        <v>2591</v>
      </c>
      <c r="C271" s="151" t="s">
        <v>2612</v>
      </c>
      <c r="D271" s="151" t="s">
        <v>17</v>
      </c>
      <c r="E271" s="151" t="s">
        <v>2592</v>
      </c>
      <c r="F271" s="151" t="s">
        <v>2527</v>
      </c>
      <c r="G271" s="151" t="s">
        <v>2173</v>
      </c>
      <c r="H271" s="151" t="s">
        <v>1274</v>
      </c>
      <c r="I271" s="151" t="s">
        <v>1184</v>
      </c>
      <c r="J271" s="151" t="s">
        <v>2896</v>
      </c>
      <c r="K271" s="151" t="s">
        <v>3141</v>
      </c>
      <c r="L271" s="151" t="s">
        <v>2898</v>
      </c>
      <c r="M271" s="151" t="s">
        <v>2899</v>
      </c>
      <c r="N271" s="341" t="s">
        <v>3142</v>
      </c>
      <c r="O271" s="151">
        <v>223871</v>
      </c>
      <c r="P271" s="151"/>
      <c r="Q271" s="151"/>
      <c r="R271" s="151" t="s">
        <v>2177</v>
      </c>
      <c r="S271" s="341" t="s">
        <v>3143</v>
      </c>
      <c r="T271" s="151" t="s">
        <v>2200</v>
      </c>
      <c r="U271" s="151" t="s">
        <v>2179</v>
      </c>
      <c r="V271" s="151">
        <v>12</v>
      </c>
      <c r="W271" s="151" t="s">
        <v>2594</v>
      </c>
      <c r="X271" s="151" t="s">
        <v>431</v>
      </c>
      <c r="Y271" s="151" t="s">
        <v>2179</v>
      </c>
      <c r="Z271" s="151"/>
      <c r="AA271" s="151"/>
      <c r="AB271" s="151" t="s">
        <v>855</v>
      </c>
      <c r="AC271" s="342"/>
    </row>
    <row r="272" spans="1:29" ht="240">
      <c r="A272" s="151" t="s">
        <v>2895</v>
      </c>
      <c r="B272" s="151" t="s">
        <v>2595</v>
      </c>
      <c r="C272" s="151" t="s">
        <v>2612</v>
      </c>
      <c r="D272" s="151" t="s">
        <v>17</v>
      </c>
      <c r="E272" s="151" t="s">
        <v>2596</v>
      </c>
      <c r="F272" s="151" t="s">
        <v>2527</v>
      </c>
      <c r="G272" s="151" t="s">
        <v>2173</v>
      </c>
      <c r="H272" s="151" t="s">
        <v>1274</v>
      </c>
      <c r="I272" s="151" t="s">
        <v>1184</v>
      </c>
      <c r="J272" s="151" t="s">
        <v>2896</v>
      </c>
      <c r="K272" s="151" t="s">
        <v>3144</v>
      </c>
      <c r="L272" s="151" t="s">
        <v>2898</v>
      </c>
      <c r="M272" s="151" t="s">
        <v>2899</v>
      </c>
      <c r="N272" s="341" t="s">
        <v>3145</v>
      </c>
      <c r="O272" s="151">
        <v>225766</v>
      </c>
      <c r="P272" s="151"/>
      <c r="Q272" s="151"/>
      <c r="R272" s="151" t="s">
        <v>2177</v>
      </c>
      <c r="S272" s="433" t="s">
        <v>3146</v>
      </c>
      <c r="T272" s="151" t="s">
        <v>2200</v>
      </c>
      <c r="U272" s="151" t="s">
        <v>2179</v>
      </c>
      <c r="V272" s="151">
        <v>50</v>
      </c>
      <c r="W272" s="151" t="s">
        <v>2180</v>
      </c>
      <c r="X272" s="151" t="s">
        <v>431</v>
      </c>
      <c r="Y272" s="151" t="s">
        <v>2179</v>
      </c>
      <c r="Z272" s="151"/>
      <c r="AA272" s="151"/>
      <c r="AB272" s="151" t="s">
        <v>855</v>
      </c>
      <c r="AC272" s="342"/>
    </row>
    <row r="273" spans="1:29" ht="90">
      <c r="A273" s="151" t="s">
        <v>2895</v>
      </c>
      <c r="B273" s="151" t="s">
        <v>2605</v>
      </c>
      <c r="C273" s="151" t="s">
        <v>2612</v>
      </c>
      <c r="D273" s="151" t="s">
        <v>17</v>
      </c>
      <c r="E273" s="151" t="s">
        <v>2606</v>
      </c>
      <c r="F273" s="151" t="s">
        <v>2527</v>
      </c>
      <c r="G273" s="151" t="s">
        <v>2173</v>
      </c>
      <c r="H273" s="151" t="s">
        <v>1274</v>
      </c>
      <c r="I273" s="151" t="s">
        <v>1184</v>
      </c>
      <c r="J273" s="151" t="s">
        <v>2896</v>
      </c>
      <c r="K273" s="151" t="s">
        <v>3147</v>
      </c>
      <c r="L273" s="151" t="s">
        <v>2898</v>
      </c>
      <c r="M273" s="151" t="s">
        <v>2899</v>
      </c>
      <c r="N273" s="341" t="s">
        <v>3148</v>
      </c>
      <c r="O273" s="151">
        <v>225766</v>
      </c>
      <c r="P273" s="151"/>
      <c r="Q273" s="151"/>
      <c r="R273" s="151" t="s">
        <v>2177</v>
      </c>
      <c r="S273" s="151" t="s">
        <v>361</v>
      </c>
      <c r="T273" s="151" t="s">
        <v>2200</v>
      </c>
      <c r="U273" s="151" t="s">
        <v>2179</v>
      </c>
      <c r="V273" s="151">
        <v>80</v>
      </c>
      <c r="W273" s="151" t="s">
        <v>2257</v>
      </c>
      <c r="X273" s="151" t="s">
        <v>431</v>
      </c>
      <c r="Y273" s="151" t="s">
        <v>2179</v>
      </c>
      <c r="Z273" s="151"/>
      <c r="AA273" s="151"/>
      <c r="AB273" s="151" t="s">
        <v>855</v>
      </c>
      <c r="AC273" s="342"/>
    </row>
    <row r="274" spans="1:29" ht="105">
      <c r="A274" s="151" t="s">
        <v>2895</v>
      </c>
      <c r="B274" s="151" t="s">
        <v>2608</v>
      </c>
      <c r="C274" s="151" t="s">
        <v>2612</v>
      </c>
      <c r="D274" s="151" t="s">
        <v>17</v>
      </c>
      <c r="E274" s="151" t="s">
        <v>2609</v>
      </c>
      <c r="F274" s="151" t="s">
        <v>2527</v>
      </c>
      <c r="G274" s="151" t="s">
        <v>2173</v>
      </c>
      <c r="H274" s="151" t="s">
        <v>1274</v>
      </c>
      <c r="I274" s="151" t="s">
        <v>1184</v>
      </c>
      <c r="J274" s="151" t="s">
        <v>2896</v>
      </c>
      <c r="K274" s="151" t="s">
        <v>3149</v>
      </c>
      <c r="L274" s="151" t="s">
        <v>2898</v>
      </c>
      <c r="M274" s="151" t="s">
        <v>2899</v>
      </c>
      <c r="N274" s="341" t="s">
        <v>3150</v>
      </c>
      <c r="O274" s="151">
        <v>225766</v>
      </c>
      <c r="P274" s="151"/>
      <c r="Q274" s="151"/>
      <c r="R274" s="151" t="s">
        <v>2177</v>
      </c>
      <c r="S274" s="151" t="s">
        <v>361</v>
      </c>
      <c r="T274" s="151" t="s">
        <v>2279</v>
      </c>
      <c r="U274" s="151" t="s">
        <v>2400</v>
      </c>
      <c r="V274" s="151">
        <v>23</v>
      </c>
      <c r="W274" s="151" t="s">
        <v>2400</v>
      </c>
      <c r="X274" s="151" t="s">
        <v>2400</v>
      </c>
      <c r="Y274" s="151" t="s">
        <v>2400</v>
      </c>
      <c r="Z274" s="151"/>
      <c r="AA274" s="151"/>
      <c r="AB274" s="151" t="s">
        <v>855</v>
      </c>
      <c r="AC274" s="342"/>
    </row>
    <row r="275" spans="1:29" ht="90">
      <c r="A275" s="151" t="s">
        <v>2895</v>
      </c>
      <c r="B275" s="151" t="s">
        <v>2611</v>
      </c>
      <c r="C275" s="151" t="s">
        <v>2612</v>
      </c>
      <c r="D275" s="151" t="s">
        <v>17</v>
      </c>
      <c r="E275" s="151" t="s">
        <v>2613</v>
      </c>
      <c r="F275" s="151" t="s">
        <v>2527</v>
      </c>
      <c r="G275" s="151" t="s">
        <v>2173</v>
      </c>
      <c r="H275" s="151" t="s">
        <v>1274</v>
      </c>
      <c r="I275" s="151" t="s">
        <v>1184</v>
      </c>
      <c r="J275" s="151" t="s">
        <v>2896</v>
      </c>
      <c r="K275" s="151" t="s">
        <v>3151</v>
      </c>
      <c r="L275" s="151" t="s">
        <v>2898</v>
      </c>
      <c r="M275" s="151" t="s">
        <v>2899</v>
      </c>
      <c r="N275" s="341" t="s">
        <v>3152</v>
      </c>
      <c r="O275" s="151">
        <v>225766</v>
      </c>
      <c r="P275" s="151"/>
      <c r="Q275" s="151"/>
      <c r="R275" s="151" t="s">
        <v>2177</v>
      </c>
      <c r="S275" s="151" t="s">
        <v>361</v>
      </c>
      <c r="T275" s="151" t="s">
        <v>2191</v>
      </c>
      <c r="U275" s="151" t="s">
        <v>2179</v>
      </c>
      <c r="V275" s="151">
        <v>10</v>
      </c>
      <c r="W275" s="151" t="s">
        <v>2396</v>
      </c>
      <c r="X275" s="151" t="s">
        <v>431</v>
      </c>
      <c r="Y275" s="151" t="s">
        <v>2179</v>
      </c>
      <c r="Z275" s="151" t="s">
        <v>3153</v>
      </c>
      <c r="AA275" s="151" t="s">
        <v>3154</v>
      </c>
      <c r="AB275" s="151" t="s">
        <v>855</v>
      </c>
      <c r="AC275" s="342"/>
    </row>
    <row r="276" spans="1:29" ht="210">
      <c r="A276" s="151" t="s">
        <v>2895</v>
      </c>
      <c r="B276" s="151" t="s">
        <v>2618</v>
      </c>
      <c r="C276" s="151" t="s">
        <v>2612</v>
      </c>
      <c r="D276" s="151" t="s">
        <v>17</v>
      </c>
      <c r="E276" s="151" t="s">
        <v>2619</v>
      </c>
      <c r="F276" s="151" t="s">
        <v>2527</v>
      </c>
      <c r="G276" s="151" t="s">
        <v>2173</v>
      </c>
      <c r="H276" s="151" t="s">
        <v>1274</v>
      </c>
      <c r="I276" s="151" t="s">
        <v>1184</v>
      </c>
      <c r="J276" s="151" t="s">
        <v>2896</v>
      </c>
      <c r="K276" s="151" t="s">
        <v>3155</v>
      </c>
      <c r="L276" s="151" t="s">
        <v>2898</v>
      </c>
      <c r="M276" s="151" t="s">
        <v>2899</v>
      </c>
      <c r="N276" s="341" t="s">
        <v>3156</v>
      </c>
      <c r="O276" s="151">
        <v>23358</v>
      </c>
      <c r="P276" s="151"/>
      <c r="Q276" s="151"/>
      <c r="R276" s="151" t="s">
        <v>2177</v>
      </c>
      <c r="S276" s="433" t="s">
        <v>3157</v>
      </c>
      <c r="T276" s="151" t="s">
        <v>2191</v>
      </c>
      <c r="U276" s="151" t="s">
        <v>2179</v>
      </c>
      <c r="V276" s="151">
        <v>10</v>
      </c>
      <c r="W276" s="151" t="s">
        <v>2396</v>
      </c>
      <c r="X276" s="151" t="s">
        <v>431</v>
      </c>
      <c r="Y276" s="151" t="s">
        <v>2179</v>
      </c>
      <c r="Z276" s="151" t="s">
        <v>2621</v>
      </c>
      <c r="AA276" s="151" t="s">
        <v>2622</v>
      </c>
      <c r="AB276" s="151" t="s">
        <v>855</v>
      </c>
      <c r="AC276" s="342"/>
    </row>
    <row r="277" spans="1:29" ht="75">
      <c r="A277" s="151" t="s">
        <v>2895</v>
      </c>
      <c r="B277" s="151" t="s">
        <v>2623</v>
      </c>
      <c r="C277" s="151" t="s">
        <v>2612</v>
      </c>
      <c r="D277" s="151" t="s">
        <v>17</v>
      </c>
      <c r="E277" s="151" t="s">
        <v>2624</v>
      </c>
      <c r="F277" s="151" t="s">
        <v>2527</v>
      </c>
      <c r="G277" s="151" t="s">
        <v>2173</v>
      </c>
      <c r="H277" s="151" t="s">
        <v>1274</v>
      </c>
      <c r="I277" s="151" t="s">
        <v>1184</v>
      </c>
      <c r="J277" s="151" t="s">
        <v>2896</v>
      </c>
      <c r="K277" s="151" t="s">
        <v>3158</v>
      </c>
      <c r="L277" s="151" t="s">
        <v>2898</v>
      </c>
      <c r="M277" s="151" t="s">
        <v>2899</v>
      </c>
      <c r="N277" s="341" t="s">
        <v>3159</v>
      </c>
      <c r="O277" s="151">
        <v>225766</v>
      </c>
      <c r="P277" s="151"/>
      <c r="Q277" s="151"/>
      <c r="R277" s="151" t="s">
        <v>2177</v>
      </c>
      <c r="S277" s="151" t="s">
        <v>361</v>
      </c>
      <c r="T277" s="151" t="s">
        <v>2191</v>
      </c>
      <c r="U277" s="151" t="s">
        <v>2179</v>
      </c>
      <c r="V277" s="151">
        <v>1</v>
      </c>
      <c r="W277" s="151" t="s">
        <v>2373</v>
      </c>
      <c r="X277" s="151" t="s">
        <v>431</v>
      </c>
      <c r="Y277" s="151" t="s">
        <v>2179</v>
      </c>
      <c r="Z277" s="151" t="s">
        <v>2305</v>
      </c>
      <c r="AA277" s="151" t="s">
        <v>2305</v>
      </c>
      <c r="AB277" s="151" t="s">
        <v>855</v>
      </c>
      <c r="AC277" s="342"/>
    </row>
    <row r="278" spans="1:29" ht="90">
      <c r="A278" s="151" t="s">
        <v>2895</v>
      </c>
      <c r="B278" s="151" t="s">
        <v>2626</v>
      </c>
      <c r="C278" s="151" t="s">
        <v>2612</v>
      </c>
      <c r="D278" s="151" t="s">
        <v>17</v>
      </c>
      <c r="E278" s="151" t="s">
        <v>2627</v>
      </c>
      <c r="F278" s="151" t="s">
        <v>2527</v>
      </c>
      <c r="G278" s="151" t="s">
        <v>2173</v>
      </c>
      <c r="H278" s="151" t="s">
        <v>1274</v>
      </c>
      <c r="I278" s="151" t="s">
        <v>1184</v>
      </c>
      <c r="J278" s="151" t="s">
        <v>2896</v>
      </c>
      <c r="K278" s="151" t="s">
        <v>3160</v>
      </c>
      <c r="L278" s="151" t="s">
        <v>2898</v>
      </c>
      <c r="M278" s="151" t="s">
        <v>2899</v>
      </c>
      <c r="N278" s="341" t="s">
        <v>3161</v>
      </c>
      <c r="O278" s="151">
        <v>225766</v>
      </c>
      <c r="P278" s="151"/>
      <c r="Q278" s="151"/>
      <c r="R278" s="151" t="s">
        <v>2177</v>
      </c>
      <c r="S278" s="151" t="s">
        <v>361</v>
      </c>
      <c r="T278" s="151" t="s">
        <v>2191</v>
      </c>
      <c r="U278" s="151" t="s">
        <v>2179</v>
      </c>
      <c r="V278" s="151">
        <v>100</v>
      </c>
      <c r="W278" s="151" t="s">
        <v>2185</v>
      </c>
      <c r="X278" s="151" t="s">
        <v>431</v>
      </c>
      <c r="Y278" s="151" t="s">
        <v>2179</v>
      </c>
      <c r="Z278" s="151" t="s">
        <v>2305</v>
      </c>
      <c r="AA278" s="151" t="s">
        <v>2305</v>
      </c>
      <c r="AB278" s="151" t="s">
        <v>855</v>
      </c>
      <c r="AC278" s="342"/>
    </row>
    <row r="279" spans="1:29" ht="105">
      <c r="A279" s="151" t="s">
        <v>2895</v>
      </c>
      <c r="B279" s="151" t="s">
        <v>2629</v>
      </c>
      <c r="C279" s="151" t="s">
        <v>2612</v>
      </c>
      <c r="D279" s="151" t="s">
        <v>17</v>
      </c>
      <c r="E279" s="151" t="s">
        <v>2630</v>
      </c>
      <c r="F279" s="151" t="s">
        <v>2527</v>
      </c>
      <c r="G279" s="151" t="s">
        <v>2173</v>
      </c>
      <c r="H279" s="151" t="s">
        <v>1274</v>
      </c>
      <c r="I279" s="151" t="s">
        <v>1184</v>
      </c>
      <c r="J279" s="151" t="s">
        <v>2896</v>
      </c>
      <c r="K279" s="151" t="s">
        <v>3162</v>
      </c>
      <c r="L279" s="151" t="s">
        <v>2898</v>
      </c>
      <c r="M279" s="151" t="s">
        <v>2899</v>
      </c>
      <c r="N279" s="341" t="s">
        <v>3163</v>
      </c>
      <c r="O279" s="151">
        <v>225766</v>
      </c>
      <c r="P279" s="151"/>
      <c r="Q279" s="151"/>
      <c r="R279" s="151" t="s">
        <v>2177</v>
      </c>
      <c r="S279" s="151" t="s">
        <v>361</v>
      </c>
      <c r="T279" s="151" t="s">
        <v>2191</v>
      </c>
      <c r="U279" s="151" t="s">
        <v>2179</v>
      </c>
      <c r="V279" s="151">
        <v>1</v>
      </c>
      <c r="W279" s="151" t="s">
        <v>2373</v>
      </c>
      <c r="X279" s="151" t="s">
        <v>431</v>
      </c>
      <c r="Y279" s="151" t="s">
        <v>2179</v>
      </c>
      <c r="Z279" s="151" t="s">
        <v>2305</v>
      </c>
      <c r="AA279" s="151" t="s">
        <v>2305</v>
      </c>
      <c r="AB279" s="151" t="s">
        <v>855</v>
      </c>
      <c r="AC279" s="342"/>
    </row>
    <row r="280" spans="1:29" ht="105">
      <c r="A280" s="151" t="s">
        <v>2895</v>
      </c>
      <c r="B280" s="151" t="s">
        <v>3164</v>
      </c>
      <c r="C280" s="151" t="s">
        <v>2612</v>
      </c>
      <c r="D280" s="151" t="s">
        <v>17</v>
      </c>
      <c r="E280" s="151" t="s">
        <v>3165</v>
      </c>
      <c r="F280" s="151" t="s">
        <v>2527</v>
      </c>
      <c r="G280" s="151" t="s">
        <v>2173</v>
      </c>
      <c r="H280" s="151" t="s">
        <v>1274</v>
      </c>
      <c r="I280" s="151" t="s">
        <v>1184</v>
      </c>
      <c r="J280" s="151" t="s">
        <v>2896</v>
      </c>
      <c r="K280" s="151" t="s">
        <v>3166</v>
      </c>
      <c r="L280" s="151" t="s">
        <v>2898</v>
      </c>
      <c r="M280" s="151" t="s">
        <v>2899</v>
      </c>
      <c r="N280" s="341" t="s">
        <v>3167</v>
      </c>
      <c r="O280" s="151">
        <v>225766</v>
      </c>
      <c r="P280" s="151"/>
      <c r="Q280" s="151"/>
      <c r="R280" s="151" t="s">
        <v>2177</v>
      </c>
      <c r="S280" s="151" t="s">
        <v>361</v>
      </c>
      <c r="T280" s="151" t="s">
        <v>435</v>
      </c>
      <c r="U280" s="151" t="s">
        <v>2179</v>
      </c>
      <c r="V280" s="151">
        <v>80</v>
      </c>
      <c r="W280" s="151" t="s">
        <v>2257</v>
      </c>
      <c r="X280" s="151" t="s">
        <v>431</v>
      </c>
      <c r="Y280" s="151" t="s">
        <v>2179</v>
      </c>
      <c r="Z280" s="151"/>
      <c r="AA280" s="151"/>
      <c r="AB280" s="151" t="s">
        <v>855</v>
      </c>
      <c r="AC280" s="342"/>
    </row>
    <row r="281" spans="1:29" ht="90">
      <c r="A281" s="151" t="s">
        <v>2895</v>
      </c>
      <c r="B281" s="151" t="s">
        <v>2637</v>
      </c>
      <c r="C281" s="151" t="s">
        <v>2580</v>
      </c>
      <c r="D281" s="151" t="s">
        <v>17</v>
      </c>
      <c r="E281" s="151" t="s">
        <v>3168</v>
      </c>
      <c r="F281" s="151" t="s">
        <v>2527</v>
      </c>
      <c r="G281" s="151" t="s">
        <v>2173</v>
      </c>
      <c r="H281" s="151" t="s">
        <v>1274</v>
      </c>
      <c r="I281" s="151" t="s">
        <v>1184</v>
      </c>
      <c r="J281" s="151" t="s">
        <v>2896</v>
      </c>
      <c r="K281" s="151" t="s">
        <v>3169</v>
      </c>
      <c r="L281" s="151" t="s">
        <v>2898</v>
      </c>
      <c r="M281" s="151" t="s">
        <v>2899</v>
      </c>
      <c r="N281" s="341" t="s">
        <v>3170</v>
      </c>
      <c r="O281" s="151">
        <v>225776</v>
      </c>
      <c r="P281" s="151"/>
      <c r="Q281" s="151"/>
      <c r="R281" s="151" t="s">
        <v>2177</v>
      </c>
      <c r="S281" s="151" t="s">
        <v>361</v>
      </c>
      <c r="T281" s="151" t="s">
        <v>435</v>
      </c>
      <c r="U281" s="151" t="s">
        <v>2179</v>
      </c>
      <c r="V281" s="151">
        <v>200</v>
      </c>
      <c r="W281" s="151" t="s">
        <v>2503</v>
      </c>
      <c r="X281" s="151" t="s">
        <v>431</v>
      </c>
      <c r="Y281" s="151" t="s">
        <v>2179</v>
      </c>
      <c r="Z281" s="151"/>
      <c r="AA281" s="151"/>
      <c r="AB281" s="151" t="s">
        <v>855</v>
      </c>
      <c r="AC281" s="342"/>
    </row>
    <row r="282" spans="1:29" ht="90">
      <c r="A282" s="151" t="s">
        <v>2895</v>
      </c>
      <c r="B282" s="151" t="s">
        <v>2632</v>
      </c>
      <c r="C282" s="151" t="s">
        <v>2612</v>
      </c>
      <c r="D282" s="151" t="s">
        <v>17</v>
      </c>
      <c r="E282" s="151" t="s">
        <v>2633</v>
      </c>
      <c r="F282" s="151" t="s">
        <v>2527</v>
      </c>
      <c r="G282" s="151" t="s">
        <v>2173</v>
      </c>
      <c r="H282" s="151" t="s">
        <v>1274</v>
      </c>
      <c r="I282" s="151" t="s">
        <v>1184</v>
      </c>
      <c r="J282" s="151" t="s">
        <v>2896</v>
      </c>
      <c r="K282" s="151" t="s">
        <v>3171</v>
      </c>
      <c r="L282" s="151" t="s">
        <v>2898</v>
      </c>
      <c r="M282" s="151" t="s">
        <v>2899</v>
      </c>
      <c r="N282" s="341" t="s">
        <v>3172</v>
      </c>
      <c r="O282" s="151">
        <v>225766</v>
      </c>
      <c r="P282" s="151"/>
      <c r="Q282" s="151"/>
      <c r="R282" s="151" t="s">
        <v>2177</v>
      </c>
      <c r="S282" s="151" t="s">
        <v>361</v>
      </c>
      <c r="T282" s="151" t="s">
        <v>2191</v>
      </c>
      <c r="U282" s="151" t="s">
        <v>2179</v>
      </c>
      <c r="V282" s="151">
        <v>15</v>
      </c>
      <c r="W282" s="151" t="s">
        <v>2635</v>
      </c>
      <c r="X282" s="151" t="s">
        <v>431</v>
      </c>
      <c r="Y282" s="151" t="s">
        <v>2179</v>
      </c>
      <c r="Z282" s="151" t="s">
        <v>3173</v>
      </c>
      <c r="AA282" s="151" t="s">
        <v>3174</v>
      </c>
      <c r="AB282" s="151" t="s">
        <v>855</v>
      </c>
      <c r="AC282" s="342"/>
    </row>
    <row r="283" spans="1:29" ht="210">
      <c r="A283" s="151" t="s">
        <v>2895</v>
      </c>
      <c r="B283" s="151" t="s">
        <v>3175</v>
      </c>
      <c r="C283" s="151" t="s">
        <v>2612</v>
      </c>
      <c r="D283" s="151" t="s">
        <v>17</v>
      </c>
      <c r="E283" s="151" t="s">
        <v>3176</v>
      </c>
      <c r="F283" s="151" t="s">
        <v>2527</v>
      </c>
      <c r="G283" s="151" t="s">
        <v>2173</v>
      </c>
      <c r="H283" s="151" t="s">
        <v>1274</v>
      </c>
      <c r="I283" s="151" t="s">
        <v>1184</v>
      </c>
      <c r="J283" s="151" t="s">
        <v>2896</v>
      </c>
      <c r="K283" s="151" t="s">
        <v>3177</v>
      </c>
      <c r="L283" s="151" t="s">
        <v>2898</v>
      </c>
      <c r="M283" s="151" t="s">
        <v>2899</v>
      </c>
      <c r="N283" s="341" t="s">
        <v>3178</v>
      </c>
      <c r="O283" s="151">
        <v>131413</v>
      </c>
      <c r="P283" s="151"/>
      <c r="Q283" s="151"/>
      <c r="R283" s="151" t="s">
        <v>2177</v>
      </c>
      <c r="S283" s="433" t="s">
        <v>3179</v>
      </c>
      <c r="T283" s="151" t="s">
        <v>2191</v>
      </c>
      <c r="U283" s="151" t="s">
        <v>2179</v>
      </c>
      <c r="V283" s="151">
        <v>80</v>
      </c>
      <c r="W283" s="151" t="s">
        <v>2257</v>
      </c>
      <c r="X283" s="151" t="s">
        <v>431</v>
      </c>
      <c r="Y283" s="151" t="s">
        <v>2179</v>
      </c>
      <c r="Z283" s="151" t="s">
        <v>3180</v>
      </c>
      <c r="AA283" s="151" t="s">
        <v>3181</v>
      </c>
      <c r="AB283" s="151" t="s">
        <v>855</v>
      </c>
      <c r="AC283" s="342"/>
    </row>
    <row r="284" spans="1:29" ht="210">
      <c r="A284" s="151" t="s">
        <v>2895</v>
      </c>
      <c r="B284" s="151" t="s">
        <v>3182</v>
      </c>
      <c r="C284" s="151" t="s">
        <v>2612</v>
      </c>
      <c r="D284" s="151" t="s">
        <v>17</v>
      </c>
      <c r="E284" s="151" t="s">
        <v>3183</v>
      </c>
      <c r="F284" s="151" t="s">
        <v>2527</v>
      </c>
      <c r="G284" s="151" t="s">
        <v>2173</v>
      </c>
      <c r="H284" s="151" t="s">
        <v>1274</v>
      </c>
      <c r="I284" s="151" t="s">
        <v>1184</v>
      </c>
      <c r="J284" s="151" t="s">
        <v>2896</v>
      </c>
      <c r="K284" s="151" t="s">
        <v>3184</v>
      </c>
      <c r="L284" s="151" t="s">
        <v>2898</v>
      </c>
      <c r="M284" s="151" t="s">
        <v>2899</v>
      </c>
      <c r="N284" s="341" t="s">
        <v>3185</v>
      </c>
      <c r="O284" s="151">
        <v>101505</v>
      </c>
      <c r="P284" s="151"/>
      <c r="Q284" s="151"/>
      <c r="R284" s="151" t="s">
        <v>2177</v>
      </c>
      <c r="S284" s="433" t="s">
        <v>3186</v>
      </c>
      <c r="T284" s="151" t="s">
        <v>2191</v>
      </c>
      <c r="U284" s="151" t="s">
        <v>2179</v>
      </c>
      <c r="V284" s="151">
        <v>80</v>
      </c>
      <c r="W284" s="151" t="s">
        <v>2257</v>
      </c>
      <c r="X284" s="151" t="s">
        <v>431</v>
      </c>
      <c r="Y284" s="151" t="s">
        <v>2179</v>
      </c>
      <c r="Z284" s="151" t="s">
        <v>3187</v>
      </c>
      <c r="AA284" s="151" t="s">
        <v>3188</v>
      </c>
      <c r="AB284" s="151" t="s">
        <v>855</v>
      </c>
      <c r="AC284" s="342"/>
    </row>
    <row r="285" spans="1:29" ht="105">
      <c r="A285" s="151" t="s">
        <v>2895</v>
      </c>
      <c r="B285" s="151" t="s">
        <v>3189</v>
      </c>
      <c r="C285" s="151" t="s">
        <v>2612</v>
      </c>
      <c r="D285" s="151" t="s">
        <v>17</v>
      </c>
      <c r="E285" s="151" t="s">
        <v>3190</v>
      </c>
      <c r="F285" s="151" t="s">
        <v>2527</v>
      </c>
      <c r="G285" s="151" t="s">
        <v>2173</v>
      </c>
      <c r="H285" s="151" t="s">
        <v>1274</v>
      </c>
      <c r="I285" s="151" t="s">
        <v>1184</v>
      </c>
      <c r="J285" s="151" t="s">
        <v>2896</v>
      </c>
      <c r="K285" s="151" t="s">
        <v>3191</v>
      </c>
      <c r="L285" s="151" t="s">
        <v>2898</v>
      </c>
      <c r="M285" s="151" t="s">
        <v>2899</v>
      </c>
      <c r="N285" s="341" t="s">
        <v>3192</v>
      </c>
      <c r="O285" s="151">
        <v>225766</v>
      </c>
      <c r="P285" s="151"/>
      <c r="Q285" s="151"/>
      <c r="R285" s="151" t="s">
        <v>2177</v>
      </c>
      <c r="S285" s="151" t="s">
        <v>361</v>
      </c>
      <c r="T285" s="151" t="s">
        <v>2191</v>
      </c>
      <c r="U285" s="151" t="s">
        <v>2179</v>
      </c>
      <c r="V285" s="151">
        <v>100</v>
      </c>
      <c r="W285" s="151" t="s">
        <v>2185</v>
      </c>
      <c r="X285" s="151" t="s">
        <v>431</v>
      </c>
      <c r="Y285" s="151" t="s">
        <v>2179</v>
      </c>
      <c r="Z285" s="151" t="s">
        <v>2305</v>
      </c>
      <c r="AA285" s="151" t="s">
        <v>2305</v>
      </c>
      <c r="AB285" s="151" t="s">
        <v>855</v>
      </c>
      <c r="AC285" s="342"/>
    </row>
    <row r="286" spans="1:29" ht="135">
      <c r="A286" s="151" t="s">
        <v>2895</v>
      </c>
      <c r="B286" s="151" t="s">
        <v>3193</v>
      </c>
      <c r="C286" s="151" t="s">
        <v>2612</v>
      </c>
      <c r="D286" s="151" t="s">
        <v>17</v>
      </c>
      <c r="E286" s="151" t="s">
        <v>3194</v>
      </c>
      <c r="F286" s="151" t="s">
        <v>2527</v>
      </c>
      <c r="G286" s="151" t="s">
        <v>2173</v>
      </c>
      <c r="H286" s="151" t="s">
        <v>1274</v>
      </c>
      <c r="I286" s="151" t="s">
        <v>1184</v>
      </c>
      <c r="J286" s="151" t="s">
        <v>1402</v>
      </c>
      <c r="K286" s="151" t="s">
        <v>3195</v>
      </c>
      <c r="L286" s="151" t="s">
        <v>2923</v>
      </c>
      <c r="M286" s="151" t="s">
        <v>3196</v>
      </c>
      <c r="N286" s="341" t="s">
        <v>3197</v>
      </c>
      <c r="O286" s="151">
        <v>223932</v>
      </c>
      <c r="Q286" s="151"/>
      <c r="R286" s="151" t="s">
        <v>2177</v>
      </c>
      <c r="S286" s="151" t="s">
        <v>361</v>
      </c>
      <c r="T286" s="151" t="s">
        <v>2191</v>
      </c>
      <c r="U286" s="151" t="s">
        <v>2179</v>
      </c>
      <c r="V286" s="151">
        <v>255</v>
      </c>
      <c r="W286" s="151" t="s">
        <v>2468</v>
      </c>
      <c r="X286" s="151" t="s">
        <v>431</v>
      </c>
      <c r="Y286" s="151" t="s">
        <v>2179</v>
      </c>
      <c r="Z286" s="151" t="s">
        <v>3198</v>
      </c>
      <c r="AA286" s="151" t="s">
        <v>3199</v>
      </c>
      <c r="AB286" s="151" t="s">
        <v>855</v>
      </c>
      <c r="AC286" s="342"/>
    </row>
    <row r="287" spans="1:29" ht="105">
      <c r="A287" s="151" t="s">
        <v>2895</v>
      </c>
      <c r="B287" s="151" t="s">
        <v>3200</v>
      </c>
      <c r="C287" s="151" t="s">
        <v>2612</v>
      </c>
      <c r="D287" s="151" t="s">
        <v>17</v>
      </c>
      <c r="E287" s="151" t="s">
        <v>3201</v>
      </c>
      <c r="F287" s="151" t="s">
        <v>2527</v>
      </c>
      <c r="G287" s="151" t="s">
        <v>2173</v>
      </c>
      <c r="H287" s="151" t="s">
        <v>1274</v>
      </c>
      <c r="I287" s="151" t="s">
        <v>1184</v>
      </c>
      <c r="J287" s="151" t="s">
        <v>1402</v>
      </c>
      <c r="K287" s="151" t="s">
        <v>3039</v>
      </c>
      <c r="L287" s="151" t="s">
        <v>2923</v>
      </c>
      <c r="N287" s="341" t="s">
        <v>3202</v>
      </c>
      <c r="O287" s="151">
        <v>1275055</v>
      </c>
      <c r="Q287" s="151"/>
      <c r="R287" s="151" t="s">
        <v>2177</v>
      </c>
      <c r="S287" s="151" t="s">
        <v>361</v>
      </c>
      <c r="T287" s="151" t="s">
        <v>2191</v>
      </c>
      <c r="U287" s="151" t="s">
        <v>2179</v>
      </c>
      <c r="V287" s="151">
        <v>255</v>
      </c>
      <c r="W287" s="151" t="s">
        <v>2468</v>
      </c>
      <c r="X287" s="151" t="s">
        <v>431</v>
      </c>
      <c r="Y287" s="151" t="s">
        <v>2179</v>
      </c>
      <c r="Z287" s="151" t="s">
        <v>3198</v>
      </c>
      <c r="AA287" s="151" t="s">
        <v>3199</v>
      </c>
      <c r="AB287" s="151" t="s">
        <v>855</v>
      </c>
      <c r="AC287" s="342"/>
    </row>
    <row r="288" spans="1:29" ht="135">
      <c r="A288" s="151" t="s">
        <v>2895</v>
      </c>
      <c r="B288" s="151" t="s">
        <v>3203</v>
      </c>
      <c r="C288" s="151" t="s">
        <v>2612</v>
      </c>
      <c r="D288" s="151" t="s">
        <v>17</v>
      </c>
      <c r="E288" s="151" t="s">
        <v>3204</v>
      </c>
      <c r="F288" s="151" t="s">
        <v>2527</v>
      </c>
      <c r="G288" s="151" t="s">
        <v>2173</v>
      </c>
      <c r="H288" s="151" t="s">
        <v>1274</v>
      </c>
      <c r="I288" s="151" t="s">
        <v>1184</v>
      </c>
      <c r="J288" s="151" t="s">
        <v>1402</v>
      </c>
      <c r="K288" s="151" t="s">
        <v>3041</v>
      </c>
      <c r="L288" s="151" t="s">
        <v>2923</v>
      </c>
      <c r="M288" s="151" t="s">
        <v>3196</v>
      </c>
      <c r="N288" s="341" t="s">
        <v>3205</v>
      </c>
      <c r="O288" s="151">
        <v>223932</v>
      </c>
      <c r="Q288" s="151"/>
      <c r="R288" s="151" t="s">
        <v>2177</v>
      </c>
      <c r="S288" s="151" t="s">
        <v>361</v>
      </c>
      <c r="T288" s="151" t="s">
        <v>2191</v>
      </c>
      <c r="U288" s="151" t="s">
        <v>2179</v>
      </c>
      <c r="V288" s="151">
        <v>255</v>
      </c>
      <c r="W288" s="151" t="s">
        <v>2468</v>
      </c>
      <c r="X288" s="151" t="s">
        <v>431</v>
      </c>
      <c r="Y288" s="151" t="s">
        <v>2179</v>
      </c>
      <c r="Z288" s="151" t="s">
        <v>3206</v>
      </c>
      <c r="AA288" s="151" t="s">
        <v>3199</v>
      </c>
      <c r="AB288" s="151" t="s">
        <v>855</v>
      </c>
      <c r="AC288" s="342"/>
    </row>
    <row r="289" spans="1:29" ht="105">
      <c r="A289" s="151" t="s">
        <v>2895</v>
      </c>
      <c r="B289" s="151" t="s">
        <v>3207</v>
      </c>
      <c r="C289" s="151" t="s">
        <v>2612</v>
      </c>
      <c r="D289" s="151" t="s">
        <v>17</v>
      </c>
      <c r="E289" s="151" t="s">
        <v>3208</v>
      </c>
      <c r="F289" s="151" t="s">
        <v>2527</v>
      </c>
      <c r="G289" s="151" t="s">
        <v>2173</v>
      </c>
      <c r="H289" s="151" t="s">
        <v>1274</v>
      </c>
      <c r="I289" s="151" t="s">
        <v>1184</v>
      </c>
      <c r="J289" s="151" t="s">
        <v>2896</v>
      </c>
      <c r="K289" s="151" t="s">
        <v>3209</v>
      </c>
      <c r="L289" s="151" t="s">
        <v>2898</v>
      </c>
      <c r="M289" s="151" t="s">
        <v>2899</v>
      </c>
      <c r="N289" s="341" t="s">
        <v>3210</v>
      </c>
      <c r="O289" s="151">
        <v>225766</v>
      </c>
      <c r="P289" s="151"/>
      <c r="Q289" s="151"/>
      <c r="R289" s="151" t="s">
        <v>2177</v>
      </c>
      <c r="S289" s="151" t="s">
        <v>361</v>
      </c>
      <c r="T289" s="151" t="s">
        <v>2191</v>
      </c>
      <c r="U289" s="151" t="s">
        <v>2179</v>
      </c>
      <c r="V289" s="151">
        <v>10</v>
      </c>
      <c r="W289" s="151" t="s">
        <v>2396</v>
      </c>
      <c r="X289" s="151" t="s">
        <v>431</v>
      </c>
      <c r="Y289" s="151" t="s">
        <v>2179</v>
      </c>
      <c r="Z289" s="151" t="s">
        <v>2305</v>
      </c>
      <c r="AA289" s="151" t="s">
        <v>2305</v>
      </c>
      <c r="AB289" s="151" t="s">
        <v>855</v>
      </c>
      <c r="AC289" s="342"/>
    </row>
    <row r="290" spans="1:29" ht="409.5">
      <c r="A290" s="151" t="s">
        <v>2895</v>
      </c>
      <c r="B290" s="151" t="s">
        <v>2650</v>
      </c>
      <c r="C290" s="151" t="s">
        <v>2612</v>
      </c>
      <c r="D290" s="151" t="s">
        <v>17</v>
      </c>
      <c r="E290" s="151" t="s">
        <v>2651</v>
      </c>
      <c r="F290" s="151" t="s">
        <v>2527</v>
      </c>
      <c r="G290" s="151" t="s">
        <v>2173</v>
      </c>
      <c r="H290" s="151" t="s">
        <v>1183</v>
      </c>
      <c r="I290" s="151" t="s">
        <v>1184</v>
      </c>
      <c r="J290" s="151" t="s">
        <v>3211</v>
      </c>
      <c r="K290" s="151" t="s">
        <v>3212</v>
      </c>
      <c r="L290" s="151" t="s">
        <v>3213</v>
      </c>
      <c r="M290" s="151" t="s">
        <v>361</v>
      </c>
      <c r="N290" s="518" t="s">
        <v>3214</v>
      </c>
      <c r="O290" s="151">
        <v>1</v>
      </c>
      <c r="P290" s="151"/>
      <c r="Q290" s="151"/>
      <c r="R290" s="151" t="s">
        <v>2177</v>
      </c>
      <c r="S290" s="341" t="s">
        <v>3215</v>
      </c>
      <c r="T290" s="151" t="s">
        <v>49</v>
      </c>
      <c r="U290" s="151" t="s">
        <v>2654</v>
      </c>
      <c r="V290" s="151" t="s">
        <v>49</v>
      </c>
      <c r="W290" s="151" t="s">
        <v>2654</v>
      </c>
      <c r="X290" s="151" t="s">
        <v>49</v>
      </c>
      <c r="Y290" s="151" t="s">
        <v>2654</v>
      </c>
      <c r="Z290" s="151"/>
      <c r="AA290" s="151"/>
      <c r="AB290" s="151" t="s">
        <v>855</v>
      </c>
      <c r="AC290" s="342"/>
    </row>
    <row r="291" spans="1:29" ht="180">
      <c r="A291" s="151" t="s">
        <v>2895</v>
      </c>
      <c r="B291" s="151" t="s">
        <v>3216</v>
      </c>
      <c r="C291" s="151" t="s">
        <v>3217</v>
      </c>
      <c r="D291" s="151" t="s">
        <v>17</v>
      </c>
      <c r="E291" s="151" t="s">
        <v>3218</v>
      </c>
      <c r="F291" s="151" t="s">
        <v>2527</v>
      </c>
      <c r="G291" s="151" t="s">
        <v>2173</v>
      </c>
      <c r="H291" s="151" t="s">
        <v>1274</v>
      </c>
      <c r="I291" s="151" t="s">
        <v>1184</v>
      </c>
      <c r="J291" s="151" t="s">
        <v>1611</v>
      </c>
      <c r="K291" s="151" t="s">
        <v>3219</v>
      </c>
      <c r="L291" s="151" t="s">
        <v>3220</v>
      </c>
      <c r="M291" s="151" t="s">
        <v>361</v>
      </c>
      <c r="N291" s="341" t="s">
        <v>3221</v>
      </c>
      <c r="O291" s="151">
        <v>11663</v>
      </c>
      <c r="P291" s="151"/>
      <c r="Q291" s="151"/>
      <c r="R291" s="151" t="s">
        <v>2177</v>
      </c>
      <c r="S291" s="431" t="s">
        <v>3222</v>
      </c>
      <c r="T291" s="151" t="s">
        <v>435</v>
      </c>
      <c r="U291" s="151" t="s">
        <v>2179</v>
      </c>
      <c r="V291" s="151">
        <v>50</v>
      </c>
      <c r="W291" s="151" t="s">
        <v>2180</v>
      </c>
      <c r="X291" s="151" t="s">
        <v>431</v>
      </c>
      <c r="Y291" s="151" t="s">
        <v>2179</v>
      </c>
      <c r="Z291" s="151"/>
      <c r="AA291" s="151"/>
      <c r="AB291" s="151" t="s">
        <v>855</v>
      </c>
      <c r="AC291" s="342"/>
    </row>
    <row r="292" spans="1:29" ht="165">
      <c r="A292" s="151" t="s">
        <v>2895</v>
      </c>
      <c r="B292" s="151" t="s">
        <v>3223</v>
      </c>
      <c r="C292" s="151" t="s">
        <v>3217</v>
      </c>
      <c r="D292" s="151" t="s">
        <v>17</v>
      </c>
      <c r="E292" s="151" t="s">
        <v>3224</v>
      </c>
      <c r="F292" s="151" t="s">
        <v>2527</v>
      </c>
      <c r="G292" s="151" t="s">
        <v>2173</v>
      </c>
      <c r="H292" s="151" t="s">
        <v>1274</v>
      </c>
      <c r="I292" s="151" t="s">
        <v>1184</v>
      </c>
      <c r="J292" s="151" t="s">
        <v>1611</v>
      </c>
      <c r="K292" s="151" t="s">
        <v>1815</v>
      </c>
      <c r="L292" s="151" t="s">
        <v>3220</v>
      </c>
      <c r="M292" s="151" t="s">
        <v>361</v>
      </c>
      <c r="N292" s="341" t="s">
        <v>3225</v>
      </c>
      <c r="O292" s="151">
        <v>11663</v>
      </c>
      <c r="P292" s="151"/>
      <c r="Q292" s="151"/>
      <c r="R292" s="151" t="s">
        <v>2177</v>
      </c>
      <c r="S292" s="432" t="s">
        <v>3226</v>
      </c>
      <c r="T292" s="151" t="s">
        <v>435</v>
      </c>
      <c r="U292" s="151" t="s">
        <v>2179</v>
      </c>
      <c r="V292" s="151">
        <v>50</v>
      </c>
      <c r="W292" s="151" t="s">
        <v>2180</v>
      </c>
      <c r="X292" s="151" t="s">
        <v>431</v>
      </c>
      <c r="Y292" s="151" t="s">
        <v>2179</v>
      </c>
      <c r="Z292" s="151"/>
      <c r="AA292" s="151"/>
      <c r="AB292" s="151" t="s">
        <v>855</v>
      </c>
      <c r="AC292" s="342"/>
    </row>
    <row r="293" spans="1:29" ht="180">
      <c r="A293" s="151" t="s">
        <v>2895</v>
      </c>
      <c r="B293" s="151" t="s">
        <v>3227</v>
      </c>
      <c r="C293" s="151" t="s">
        <v>3217</v>
      </c>
      <c r="D293" s="151" t="s">
        <v>17</v>
      </c>
      <c r="E293" s="151" t="s">
        <v>3228</v>
      </c>
      <c r="F293" s="151" t="s">
        <v>2527</v>
      </c>
      <c r="G293" s="151" t="s">
        <v>2173</v>
      </c>
      <c r="H293" s="151" t="s">
        <v>1274</v>
      </c>
      <c r="I293" s="151" t="s">
        <v>1184</v>
      </c>
      <c r="J293" s="151" t="s">
        <v>1611</v>
      </c>
      <c r="K293" s="151" t="s">
        <v>3229</v>
      </c>
      <c r="L293" s="151" t="s">
        <v>3220</v>
      </c>
      <c r="M293" s="151" t="s">
        <v>361</v>
      </c>
      <c r="N293" s="341" t="s">
        <v>3230</v>
      </c>
      <c r="O293" s="151">
        <v>11663</v>
      </c>
      <c r="P293" s="151"/>
      <c r="Q293" s="151"/>
      <c r="R293" s="151" t="s">
        <v>2177</v>
      </c>
      <c r="S293" s="432" t="s">
        <v>3231</v>
      </c>
      <c r="T293" s="151" t="s">
        <v>435</v>
      </c>
      <c r="U293" s="151" t="s">
        <v>2179</v>
      </c>
      <c r="V293" s="151">
        <v>200</v>
      </c>
      <c r="W293" s="151" t="s">
        <v>2503</v>
      </c>
      <c r="X293" s="151" t="s">
        <v>431</v>
      </c>
      <c r="Y293" s="151" t="s">
        <v>2179</v>
      </c>
      <c r="Z293" s="151"/>
      <c r="AA293" s="151"/>
      <c r="AB293" s="151" t="s">
        <v>855</v>
      </c>
      <c r="AC293" s="342"/>
    </row>
    <row r="294" spans="1:29" ht="120">
      <c r="A294" s="151" t="s">
        <v>2895</v>
      </c>
      <c r="B294" s="151" t="s">
        <v>3232</v>
      </c>
      <c r="C294" s="151" t="s">
        <v>3217</v>
      </c>
      <c r="D294" s="151" t="s">
        <v>17</v>
      </c>
      <c r="E294" s="151" t="s">
        <v>3233</v>
      </c>
      <c r="F294" s="151" t="s">
        <v>2527</v>
      </c>
      <c r="G294" s="151" t="s">
        <v>2173</v>
      </c>
      <c r="H294" s="151" t="s">
        <v>1274</v>
      </c>
      <c r="I294" s="151" t="s">
        <v>1184</v>
      </c>
      <c r="J294" s="151" t="s">
        <v>1580</v>
      </c>
      <c r="K294" s="151" t="s">
        <v>3234</v>
      </c>
      <c r="L294" s="151" t="s">
        <v>3235</v>
      </c>
      <c r="M294" s="151" t="s">
        <v>361</v>
      </c>
      <c r="N294" s="341" t="s">
        <v>3236</v>
      </c>
      <c r="O294" s="151">
        <v>11663</v>
      </c>
      <c r="P294" s="151"/>
      <c r="Q294" s="151"/>
      <c r="R294" s="151" t="s">
        <v>2177</v>
      </c>
      <c r="S294" s="151" t="s">
        <v>361</v>
      </c>
      <c r="T294" s="151" t="s">
        <v>435</v>
      </c>
      <c r="U294" s="151" t="s">
        <v>2179</v>
      </c>
      <c r="V294" s="151" t="s">
        <v>49</v>
      </c>
      <c r="W294" s="151" t="s">
        <v>2431</v>
      </c>
      <c r="X294" s="151" t="s">
        <v>431</v>
      </c>
      <c r="Y294" s="151" t="s">
        <v>2179</v>
      </c>
      <c r="Z294" s="151"/>
      <c r="AA294" s="151"/>
      <c r="AB294" s="151" t="s">
        <v>855</v>
      </c>
      <c r="AC294" s="342"/>
    </row>
    <row r="295" spans="1:29" ht="135">
      <c r="A295" s="151" t="s">
        <v>2895</v>
      </c>
      <c r="B295" s="151" t="s">
        <v>3237</v>
      </c>
      <c r="C295" s="151" t="s">
        <v>3217</v>
      </c>
      <c r="D295" s="151" t="s">
        <v>17</v>
      </c>
      <c r="E295" s="151" t="s">
        <v>3238</v>
      </c>
      <c r="F295" s="151" t="s">
        <v>2527</v>
      </c>
      <c r="G295" s="151" t="s">
        <v>2173</v>
      </c>
      <c r="H295" s="151" t="s">
        <v>1274</v>
      </c>
      <c r="I295" s="151" t="s">
        <v>1184</v>
      </c>
      <c r="J295" s="151" t="s">
        <v>3239</v>
      </c>
      <c r="K295" s="151" t="s">
        <v>3240</v>
      </c>
      <c r="L295" s="151" t="s">
        <v>3235</v>
      </c>
      <c r="M295" s="151" t="s">
        <v>361</v>
      </c>
      <c r="N295" s="341" t="s">
        <v>3241</v>
      </c>
      <c r="O295" s="151">
        <v>11663</v>
      </c>
      <c r="P295" s="151"/>
      <c r="Q295" s="151"/>
      <c r="R295" s="151" t="s">
        <v>2177</v>
      </c>
      <c r="S295" s="151" t="s">
        <v>361</v>
      </c>
      <c r="T295" s="151" t="s">
        <v>435</v>
      </c>
      <c r="U295" s="151" t="s">
        <v>2179</v>
      </c>
      <c r="V295" s="151">
        <v>200</v>
      </c>
      <c r="W295" s="151" t="s">
        <v>2503</v>
      </c>
      <c r="X295" s="151" t="s">
        <v>431</v>
      </c>
      <c r="Y295" s="151" t="s">
        <v>2179</v>
      </c>
      <c r="Z295" s="151"/>
      <c r="AA295" s="151"/>
      <c r="AB295" s="151" t="s">
        <v>855</v>
      </c>
      <c r="AC295" s="342"/>
    </row>
    <row r="296" spans="1:29" ht="90">
      <c r="A296" s="151" t="s">
        <v>2895</v>
      </c>
      <c r="B296" s="151" t="s">
        <v>2669</v>
      </c>
      <c r="C296" s="151" t="s">
        <v>3242</v>
      </c>
      <c r="D296" s="151" t="s">
        <v>17</v>
      </c>
      <c r="E296" s="151" t="s">
        <v>2671</v>
      </c>
      <c r="F296" s="151" t="s">
        <v>2527</v>
      </c>
      <c r="G296" s="151" t="s">
        <v>2173</v>
      </c>
      <c r="H296" s="151" t="s">
        <v>1274</v>
      </c>
      <c r="I296" s="151" t="s">
        <v>1184</v>
      </c>
      <c r="J296" s="151" t="s">
        <v>1402</v>
      </c>
      <c r="K296" s="151" t="s">
        <v>3195</v>
      </c>
      <c r="L296" s="151" t="s">
        <v>2923</v>
      </c>
      <c r="M296" s="151" t="s">
        <v>361</v>
      </c>
      <c r="N296" s="341" t="s">
        <v>3243</v>
      </c>
      <c r="O296" s="151">
        <v>1275055</v>
      </c>
      <c r="P296" s="151"/>
      <c r="Q296" s="151"/>
      <c r="R296" s="151" t="s">
        <v>2177</v>
      </c>
      <c r="S296" s="151" t="s">
        <v>361</v>
      </c>
      <c r="T296" s="151" t="s">
        <v>2191</v>
      </c>
      <c r="U296" s="151" t="s">
        <v>2179</v>
      </c>
      <c r="V296" s="151">
        <v>255</v>
      </c>
      <c r="W296" s="151" t="s">
        <v>2468</v>
      </c>
      <c r="X296" s="151" t="s">
        <v>431</v>
      </c>
      <c r="Y296" s="151" t="s">
        <v>2179</v>
      </c>
      <c r="Z296" s="151" t="s">
        <v>3244</v>
      </c>
      <c r="AA296" s="151" t="s">
        <v>3245</v>
      </c>
      <c r="AB296" s="151" t="s">
        <v>855</v>
      </c>
      <c r="AC296" s="342"/>
    </row>
    <row r="297" spans="1:29" ht="105">
      <c r="A297" s="151" t="s">
        <v>2895</v>
      </c>
      <c r="B297" s="151" t="s">
        <v>2674</v>
      </c>
      <c r="C297" s="151" t="s">
        <v>3242</v>
      </c>
      <c r="D297" s="151" t="s">
        <v>17</v>
      </c>
      <c r="E297" s="151" t="s">
        <v>2675</v>
      </c>
      <c r="F297" s="151" t="s">
        <v>2527</v>
      </c>
      <c r="G297" s="151" t="s">
        <v>2173</v>
      </c>
      <c r="H297" s="151" t="s">
        <v>1274</v>
      </c>
      <c r="I297" s="151" t="s">
        <v>1184</v>
      </c>
      <c r="J297" s="151" t="s">
        <v>1402</v>
      </c>
      <c r="K297" s="151" t="s">
        <v>3246</v>
      </c>
      <c r="L297" s="151" t="s">
        <v>2923</v>
      </c>
      <c r="M297" s="151" t="s">
        <v>361</v>
      </c>
      <c r="N297" s="341" t="s">
        <v>3247</v>
      </c>
      <c r="O297" s="151">
        <v>1275055</v>
      </c>
      <c r="P297" s="151"/>
      <c r="Q297" s="151"/>
      <c r="R297" s="151" t="s">
        <v>2177</v>
      </c>
      <c r="S297" s="151" t="s">
        <v>361</v>
      </c>
      <c r="T297" s="151" t="s">
        <v>3248</v>
      </c>
      <c r="U297" s="151" t="s">
        <v>2885</v>
      </c>
      <c r="V297" s="151">
        <v>9</v>
      </c>
      <c r="W297" s="151"/>
      <c r="X297" s="151" t="s">
        <v>2508</v>
      </c>
      <c r="Y297" s="151" t="s">
        <v>2885</v>
      </c>
      <c r="Z297" s="151"/>
      <c r="AA297" s="151"/>
      <c r="AB297" s="151" t="s">
        <v>855</v>
      </c>
      <c r="AC297" s="342"/>
    </row>
    <row r="298" spans="1:29" ht="105">
      <c r="A298" s="151" t="s">
        <v>2895</v>
      </c>
      <c r="B298" s="151" t="s">
        <v>2678</v>
      </c>
      <c r="C298" s="151" t="s">
        <v>3242</v>
      </c>
      <c r="D298" s="151" t="s">
        <v>17</v>
      </c>
      <c r="E298" s="151" t="s">
        <v>2679</v>
      </c>
      <c r="F298" s="151" t="s">
        <v>2527</v>
      </c>
      <c r="G298" s="151" t="s">
        <v>2173</v>
      </c>
      <c r="H298" s="151" t="s">
        <v>1274</v>
      </c>
      <c r="I298" s="151" t="s">
        <v>1184</v>
      </c>
      <c r="J298" s="151" t="s">
        <v>1402</v>
      </c>
      <c r="K298" s="151" t="s">
        <v>3249</v>
      </c>
      <c r="L298" s="151" t="s">
        <v>2923</v>
      </c>
      <c r="M298" s="151" t="s">
        <v>361</v>
      </c>
      <c r="N298" s="341" t="s">
        <v>3250</v>
      </c>
      <c r="O298" s="151">
        <v>1275055</v>
      </c>
      <c r="P298" s="151"/>
      <c r="Q298" s="151"/>
      <c r="R298" s="151" t="s">
        <v>2177</v>
      </c>
      <c r="S298" s="151" t="s">
        <v>361</v>
      </c>
      <c r="T298" s="151" t="s">
        <v>3248</v>
      </c>
      <c r="U298" s="151" t="s">
        <v>2885</v>
      </c>
      <c r="V298" s="151">
        <v>9</v>
      </c>
      <c r="W298" s="151"/>
      <c r="X298" s="151" t="s">
        <v>2508</v>
      </c>
      <c r="Y298" s="151" t="s">
        <v>2885</v>
      </c>
      <c r="Z298" s="151"/>
      <c r="AA298" s="151"/>
      <c r="AB298" s="151" t="s">
        <v>855</v>
      </c>
      <c r="AC298" s="342"/>
    </row>
    <row r="299" spans="1:29" ht="105">
      <c r="A299" s="151" t="s">
        <v>2895</v>
      </c>
      <c r="B299" s="151" t="s">
        <v>2681</v>
      </c>
      <c r="C299" s="151" t="s">
        <v>3242</v>
      </c>
      <c r="D299" s="151" t="s">
        <v>17</v>
      </c>
      <c r="E299" s="151" t="s">
        <v>2682</v>
      </c>
      <c r="F299" s="151" t="s">
        <v>2527</v>
      </c>
      <c r="G299" s="151" t="s">
        <v>2173</v>
      </c>
      <c r="H299" s="151" t="s">
        <v>1274</v>
      </c>
      <c r="I299" s="151" t="s">
        <v>1184</v>
      </c>
      <c r="J299" s="151" t="s">
        <v>1402</v>
      </c>
      <c r="K299" s="151" t="s">
        <v>3251</v>
      </c>
      <c r="L299" s="151" t="s">
        <v>2923</v>
      </c>
      <c r="M299" s="151" t="s">
        <v>361</v>
      </c>
      <c r="N299" s="341" t="s">
        <v>3252</v>
      </c>
      <c r="O299" s="151">
        <v>1275055</v>
      </c>
      <c r="P299" s="151"/>
      <c r="Q299" s="151"/>
      <c r="R299" s="151" t="s">
        <v>2177</v>
      </c>
      <c r="S299" s="151" t="s">
        <v>361</v>
      </c>
      <c r="T299" s="151" t="s">
        <v>2279</v>
      </c>
      <c r="U299" s="151" t="s">
        <v>2400</v>
      </c>
      <c r="V299" s="151">
        <v>23</v>
      </c>
      <c r="W299" s="151" t="s">
        <v>2400</v>
      </c>
      <c r="X299" s="151" t="s">
        <v>2400</v>
      </c>
      <c r="Y299" s="151" t="s">
        <v>2400</v>
      </c>
      <c r="Z299" s="151"/>
      <c r="AA299" s="151"/>
      <c r="AB299" s="151" t="s">
        <v>855</v>
      </c>
      <c r="AC299" s="342"/>
    </row>
    <row r="300" spans="1:29" ht="105">
      <c r="A300" s="151" t="s">
        <v>2895</v>
      </c>
      <c r="B300" s="151" t="s">
        <v>2683</v>
      </c>
      <c r="C300" s="151" t="s">
        <v>2684</v>
      </c>
      <c r="D300" s="151" t="s">
        <v>17</v>
      </c>
      <c r="E300" s="151" t="s">
        <v>2685</v>
      </c>
      <c r="F300" s="151" t="s">
        <v>2527</v>
      </c>
      <c r="G300" s="151" t="s">
        <v>2173</v>
      </c>
      <c r="H300" s="151" t="s">
        <v>1274</v>
      </c>
      <c r="I300" s="151" t="s">
        <v>1184</v>
      </c>
      <c r="J300" s="151" t="s">
        <v>2896</v>
      </c>
      <c r="K300" s="151" t="s">
        <v>3253</v>
      </c>
      <c r="L300" s="151" t="s">
        <v>2898</v>
      </c>
      <c r="M300" s="151" t="s">
        <v>2899</v>
      </c>
      <c r="N300" s="341" t="s">
        <v>3254</v>
      </c>
      <c r="O300" s="151">
        <v>225776</v>
      </c>
      <c r="P300" s="151"/>
      <c r="Q300" s="151"/>
      <c r="R300" s="151" t="s">
        <v>2177</v>
      </c>
      <c r="S300" s="151" t="s">
        <v>361</v>
      </c>
      <c r="T300" s="151" t="s">
        <v>2191</v>
      </c>
      <c r="U300" s="151" t="s">
        <v>2179</v>
      </c>
      <c r="V300" s="151">
        <v>100</v>
      </c>
      <c r="W300" s="151" t="s">
        <v>2185</v>
      </c>
      <c r="X300" s="151" t="s">
        <v>431</v>
      </c>
      <c r="Y300" s="151" t="s">
        <v>2179</v>
      </c>
      <c r="Z300" s="151" t="s">
        <v>3255</v>
      </c>
      <c r="AA300" s="151" t="s">
        <v>3255</v>
      </c>
      <c r="AB300" s="151" t="s">
        <v>855</v>
      </c>
      <c r="AC300" s="342"/>
    </row>
    <row r="301" spans="1:29" ht="105">
      <c r="A301" s="151" t="s">
        <v>2895</v>
      </c>
      <c r="B301" s="151" t="s">
        <v>2689</v>
      </c>
      <c r="C301" s="151" t="s">
        <v>2684</v>
      </c>
      <c r="D301" s="151" t="s">
        <v>17</v>
      </c>
      <c r="E301" s="151" t="s">
        <v>2690</v>
      </c>
      <c r="F301" s="151" t="s">
        <v>2527</v>
      </c>
      <c r="G301" s="151" t="s">
        <v>2173</v>
      </c>
      <c r="H301" s="151" t="s">
        <v>1274</v>
      </c>
      <c r="I301" s="151" t="s">
        <v>1184</v>
      </c>
      <c r="J301" s="151" t="s">
        <v>2896</v>
      </c>
      <c r="K301" s="151" t="s">
        <v>3256</v>
      </c>
      <c r="L301" s="151" t="s">
        <v>2898</v>
      </c>
      <c r="M301" s="151" t="s">
        <v>2899</v>
      </c>
      <c r="N301" s="341" t="s">
        <v>3257</v>
      </c>
      <c r="O301" s="151">
        <v>225776</v>
      </c>
      <c r="P301" s="151"/>
      <c r="Q301" s="151"/>
      <c r="R301" s="151" t="s">
        <v>2177</v>
      </c>
      <c r="S301" s="151" t="s">
        <v>361</v>
      </c>
      <c r="T301" s="151" t="s">
        <v>2191</v>
      </c>
      <c r="U301" s="151" t="s">
        <v>2179</v>
      </c>
      <c r="V301" s="151">
        <v>100</v>
      </c>
      <c r="W301" s="151" t="s">
        <v>2185</v>
      </c>
      <c r="X301" s="151" t="s">
        <v>431</v>
      </c>
      <c r="Y301" s="151" t="s">
        <v>2179</v>
      </c>
      <c r="Z301" s="151" t="s">
        <v>3258</v>
      </c>
      <c r="AA301" s="151" t="s">
        <v>3259</v>
      </c>
      <c r="AB301" s="151" t="s">
        <v>855</v>
      </c>
      <c r="AC301" s="342"/>
    </row>
    <row r="302" spans="1:29" ht="90">
      <c r="A302" s="151" t="s">
        <v>2895</v>
      </c>
      <c r="B302" s="151" t="s">
        <v>2694</v>
      </c>
      <c r="C302" s="151" t="s">
        <v>2684</v>
      </c>
      <c r="D302" s="151" t="s">
        <v>17</v>
      </c>
      <c r="E302" s="151" t="s">
        <v>2695</v>
      </c>
      <c r="F302" s="151" t="s">
        <v>2527</v>
      </c>
      <c r="G302" s="151" t="s">
        <v>2173</v>
      </c>
      <c r="H302" s="151" t="s">
        <v>1274</v>
      </c>
      <c r="I302" s="151" t="s">
        <v>1184</v>
      </c>
      <c r="J302" s="151" t="s">
        <v>2896</v>
      </c>
      <c r="K302" s="151" t="s">
        <v>2604</v>
      </c>
      <c r="L302" s="151" t="s">
        <v>2898</v>
      </c>
      <c r="M302" s="151" t="s">
        <v>2899</v>
      </c>
      <c r="N302" s="341" t="s">
        <v>3260</v>
      </c>
      <c r="O302" s="151">
        <v>225776</v>
      </c>
      <c r="P302" s="151"/>
      <c r="Q302" s="151"/>
      <c r="R302" s="151" t="s">
        <v>2177</v>
      </c>
      <c r="S302" s="151" t="s">
        <v>361</v>
      </c>
      <c r="T302" s="151" t="s">
        <v>2400</v>
      </c>
      <c r="U302" s="151" t="s">
        <v>2400</v>
      </c>
      <c r="V302" s="151">
        <v>8</v>
      </c>
      <c r="W302" s="151" t="s">
        <v>2400</v>
      </c>
      <c r="X302" s="151" t="s">
        <v>2400</v>
      </c>
      <c r="Y302" s="151" t="s">
        <v>2400</v>
      </c>
      <c r="Z302" s="151"/>
      <c r="AA302" s="151"/>
      <c r="AB302" s="151" t="s">
        <v>855</v>
      </c>
      <c r="AC302" s="342"/>
    </row>
    <row r="303" spans="1:29" ht="165">
      <c r="A303" s="151" t="s">
        <v>2895</v>
      </c>
      <c r="B303" s="151" t="s">
        <v>3261</v>
      </c>
      <c r="C303" s="151" t="s">
        <v>2684</v>
      </c>
      <c r="D303" s="151" t="s">
        <v>17</v>
      </c>
      <c r="E303" s="151" t="s">
        <v>3262</v>
      </c>
      <c r="F303" s="151" t="s">
        <v>2527</v>
      </c>
      <c r="G303" s="151" t="s">
        <v>2173</v>
      </c>
      <c r="H303" s="151" t="s">
        <v>1274</v>
      </c>
      <c r="I303" s="151" t="s">
        <v>1184</v>
      </c>
      <c r="J303" s="151" t="s">
        <v>2989</v>
      </c>
      <c r="K303" s="151" t="s">
        <v>3043</v>
      </c>
      <c r="L303" s="151" t="s">
        <v>2991</v>
      </c>
      <c r="M303" s="151" t="s">
        <v>361</v>
      </c>
      <c r="N303" s="341" t="s">
        <v>3263</v>
      </c>
      <c r="O303" s="151">
        <v>172179</v>
      </c>
      <c r="P303" s="151"/>
      <c r="Q303" s="151"/>
      <c r="R303" s="151" t="s">
        <v>2177</v>
      </c>
      <c r="S303" s="433" t="s">
        <v>3264</v>
      </c>
      <c r="T303" s="151" t="s">
        <v>2191</v>
      </c>
      <c r="U303" s="151" t="s">
        <v>2179</v>
      </c>
      <c r="V303" s="151">
        <v>1</v>
      </c>
      <c r="W303" s="151" t="s">
        <v>2373</v>
      </c>
      <c r="X303" s="151" t="s">
        <v>431</v>
      </c>
      <c r="Y303" s="151" t="s">
        <v>2179</v>
      </c>
      <c r="Z303" s="151"/>
      <c r="AA303" s="151"/>
      <c r="AB303" s="151" t="s">
        <v>855</v>
      </c>
      <c r="AC303" s="342"/>
    </row>
    <row r="304" spans="1:29" ht="180">
      <c r="A304" s="151" t="s">
        <v>2895</v>
      </c>
      <c r="B304" s="151" t="s">
        <v>3265</v>
      </c>
      <c r="C304" s="151" t="s">
        <v>2684</v>
      </c>
      <c r="D304" s="151" t="s">
        <v>17</v>
      </c>
      <c r="E304" s="151" t="s">
        <v>3266</v>
      </c>
      <c r="F304" s="151" t="s">
        <v>2527</v>
      </c>
      <c r="G304" s="151" t="s">
        <v>2173</v>
      </c>
      <c r="H304" s="151" t="s">
        <v>1274</v>
      </c>
      <c r="I304" s="151" t="s">
        <v>1184</v>
      </c>
      <c r="J304" s="151" t="s">
        <v>3267</v>
      </c>
      <c r="K304" s="151" t="s">
        <v>3268</v>
      </c>
      <c r="L304" s="151" t="s">
        <v>2991</v>
      </c>
      <c r="M304" s="151" t="s">
        <v>361</v>
      </c>
      <c r="N304" s="341" t="s">
        <v>3269</v>
      </c>
      <c r="O304" s="151">
        <v>526</v>
      </c>
      <c r="P304" s="151"/>
      <c r="Q304" s="151"/>
      <c r="R304" s="151" t="s">
        <v>2177</v>
      </c>
      <c r="S304" s="433" t="s">
        <v>3270</v>
      </c>
      <c r="T304" s="151" t="s">
        <v>2191</v>
      </c>
      <c r="U304" s="151" t="s">
        <v>2573</v>
      </c>
      <c r="V304" s="151">
        <v>4</v>
      </c>
      <c r="W304" s="151"/>
      <c r="X304" s="151" t="s">
        <v>2645</v>
      </c>
      <c r="Y304" s="151" t="s">
        <v>2573</v>
      </c>
      <c r="Z304" s="151" t="s">
        <v>3271</v>
      </c>
      <c r="AA304" s="151" t="s">
        <v>3272</v>
      </c>
      <c r="AB304" s="151" t="s">
        <v>855</v>
      </c>
      <c r="AC304" s="342"/>
    </row>
    <row r="305" spans="1:29" ht="165">
      <c r="A305" s="151" t="s">
        <v>2895</v>
      </c>
      <c r="B305" s="151" t="s">
        <v>3273</v>
      </c>
      <c r="C305" s="151" t="s">
        <v>2684</v>
      </c>
      <c r="D305" s="151" t="s">
        <v>17</v>
      </c>
      <c r="E305" s="151" t="s">
        <v>3274</v>
      </c>
      <c r="F305" s="151" t="s">
        <v>2527</v>
      </c>
      <c r="G305" s="151" t="s">
        <v>2173</v>
      </c>
      <c r="H305" s="151" t="s">
        <v>1274</v>
      </c>
      <c r="I305" s="151" t="s">
        <v>1184</v>
      </c>
      <c r="J305" s="151" t="s">
        <v>3267</v>
      </c>
      <c r="K305" s="151" t="s">
        <v>3209</v>
      </c>
      <c r="L305" s="151" t="s">
        <v>2991</v>
      </c>
      <c r="M305" s="151" t="s">
        <v>361</v>
      </c>
      <c r="N305" s="341" t="s">
        <v>3275</v>
      </c>
      <c r="O305" s="151">
        <v>7</v>
      </c>
      <c r="P305" s="151"/>
      <c r="Q305" s="151"/>
      <c r="R305" s="151" t="s">
        <v>2177</v>
      </c>
      <c r="S305" s="433" t="s">
        <v>3276</v>
      </c>
      <c r="T305" s="151" t="s">
        <v>2191</v>
      </c>
      <c r="U305" s="151" t="s">
        <v>2179</v>
      </c>
      <c r="V305" s="151">
        <v>10</v>
      </c>
      <c r="W305" s="151" t="s">
        <v>2396</v>
      </c>
      <c r="X305" s="151" t="s">
        <v>431</v>
      </c>
      <c r="Y305" s="151" t="s">
        <v>2179</v>
      </c>
      <c r="Z305" s="151" t="s">
        <v>3277</v>
      </c>
      <c r="AA305" s="151" t="s">
        <v>3278</v>
      </c>
      <c r="AB305" s="151" t="s">
        <v>855</v>
      </c>
      <c r="AC305" s="342"/>
    </row>
    <row r="306" spans="1:29" ht="90">
      <c r="A306" s="151" t="s">
        <v>2895</v>
      </c>
      <c r="B306" s="151" t="s">
        <v>2713</v>
      </c>
      <c r="C306" s="151" t="s">
        <v>2684</v>
      </c>
      <c r="D306" s="151" t="s">
        <v>17</v>
      </c>
      <c r="E306" s="151" t="s">
        <v>3279</v>
      </c>
      <c r="F306" s="151" t="s">
        <v>2527</v>
      </c>
      <c r="G306" s="151" t="s">
        <v>2173</v>
      </c>
      <c r="H306" s="151" t="s">
        <v>1274</v>
      </c>
      <c r="I306" s="151" t="s">
        <v>1184</v>
      </c>
      <c r="J306" s="151" t="s">
        <v>2412</v>
      </c>
      <c r="K306" s="151" t="s">
        <v>2357</v>
      </c>
      <c r="L306" s="151" t="s">
        <v>2218</v>
      </c>
      <c r="M306" s="151" t="s">
        <v>361</v>
      </c>
      <c r="N306" s="341" t="s">
        <v>3280</v>
      </c>
      <c r="O306" s="151">
        <v>1707779</v>
      </c>
      <c r="P306" s="151"/>
      <c r="Q306" s="151"/>
      <c r="R306" s="151" t="s">
        <v>2177</v>
      </c>
      <c r="S306" s="431" t="s">
        <v>3281</v>
      </c>
      <c r="T306" s="151" t="s">
        <v>2213</v>
      </c>
      <c r="U306" s="151" t="s">
        <v>2179</v>
      </c>
      <c r="V306" s="151">
        <v>50</v>
      </c>
      <c r="W306" s="151" t="s">
        <v>2180</v>
      </c>
      <c r="X306" s="151" t="s">
        <v>2445</v>
      </c>
      <c r="Y306" s="151" t="s">
        <v>2179</v>
      </c>
      <c r="Z306" s="151"/>
      <c r="AA306" s="151"/>
      <c r="AB306" s="151" t="s">
        <v>855</v>
      </c>
      <c r="AC306" s="342"/>
    </row>
    <row r="307" spans="1:29" ht="75">
      <c r="A307" s="151" t="s">
        <v>2895</v>
      </c>
      <c r="B307" s="151" t="s">
        <v>2703</v>
      </c>
      <c r="C307" s="151" t="s">
        <v>2684</v>
      </c>
      <c r="D307" s="151" t="s">
        <v>17</v>
      </c>
      <c r="E307" s="151" t="s">
        <v>3282</v>
      </c>
      <c r="F307" s="151" t="s">
        <v>2527</v>
      </c>
      <c r="G307" s="151" t="s">
        <v>2173</v>
      </c>
      <c r="H307" s="151" t="s">
        <v>1274</v>
      </c>
      <c r="I307" s="151" t="s">
        <v>1184</v>
      </c>
      <c r="J307" s="151" t="s">
        <v>3267</v>
      </c>
      <c r="K307" s="151" t="s">
        <v>3177</v>
      </c>
      <c r="L307" s="151" t="s">
        <v>2991</v>
      </c>
      <c r="M307" s="151" t="s">
        <v>361</v>
      </c>
      <c r="N307" s="341" t="s">
        <v>3283</v>
      </c>
      <c r="O307" s="151">
        <v>230490</v>
      </c>
      <c r="P307" s="151"/>
      <c r="Q307" s="151"/>
      <c r="R307" s="151" t="s">
        <v>2177</v>
      </c>
      <c r="S307" s="151" t="s">
        <v>361</v>
      </c>
      <c r="T307" s="151" t="s">
        <v>435</v>
      </c>
      <c r="U307" s="151" t="s">
        <v>2179</v>
      </c>
      <c r="V307" s="151">
        <v>80</v>
      </c>
      <c r="W307" s="151" t="s">
        <v>2257</v>
      </c>
      <c r="X307" s="151" t="s">
        <v>431</v>
      </c>
      <c r="Y307" s="151" t="s">
        <v>2179</v>
      </c>
      <c r="Z307" s="151"/>
      <c r="AA307" s="151"/>
      <c r="AB307" s="151" t="s">
        <v>855</v>
      </c>
      <c r="AC307" s="342"/>
    </row>
    <row r="308" spans="1:29" ht="165">
      <c r="A308" s="151" t="s">
        <v>2895</v>
      </c>
      <c r="B308" s="151" t="s">
        <v>356</v>
      </c>
      <c r="C308" s="151" t="s">
        <v>2684</v>
      </c>
      <c r="D308" s="151" t="s">
        <v>17</v>
      </c>
      <c r="E308" s="151" t="s">
        <v>3284</v>
      </c>
      <c r="F308" s="151" t="s">
        <v>2527</v>
      </c>
      <c r="G308" s="151" t="s">
        <v>2173</v>
      </c>
      <c r="H308" s="151" t="s">
        <v>1274</v>
      </c>
      <c r="I308" s="151" t="s">
        <v>1184</v>
      </c>
      <c r="J308" s="151" t="s">
        <v>3267</v>
      </c>
      <c r="K308" s="151" t="s">
        <v>3285</v>
      </c>
      <c r="L308" s="151" t="s">
        <v>2991</v>
      </c>
      <c r="M308" s="151" t="s">
        <v>361</v>
      </c>
      <c r="N308" s="341" t="s">
        <v>3286</v>
      </c>
      <c r="O308" s="341">
        <v>158159</v>
      </c>
      <c r="P308" s="151"/>
      <c r="Q308" s="151"/>
      <c r="R308" s="151" t="s">
        <v>2177</v>
      </c>
      <c r="S308" s="433" t="s">
        <v>3287</v>
      </c>
      <c r="T308" s="151" t="s">
        <v>2191</v>
      </c>
      <c r="U308" s="151" t="s">
        <v>2179</v>
      </c>
      <c r="V308" s="151">
        <v>10</v>
      </c>
      <c r="W308" s="151" t="s">
        <v>2396</v>
      </c>
      <c r="X308" s="151" t="s">
        <v>431</v>
      </c>
      <c r="Y308" s="151" t="s">
        <v>2179</v>
      </c>
      <c r="Z308" s="151"/>
      <c r="AA308" s="151"/>
      <c r="AB308" s="151" t="s">
        <v>855</v>
      </c>
      <c r="AC308" s="342"/>
    </row>
    <row r="309" spans="1:29" ht="180">
      <c r="A309" s="151" t="s">
        <v>2895</v>
      </c>
      <c r="B309" s="151" t="s">
        <v>3288</v>
      </c>
      <c r="C309" s="151" t="s">
        <v>2684</v>
      </c>
      <c r="D309" s="151" t="s">
        <v>17</v>
      </c>
      <c r="E309" s="151" t="s">
        <v>3289</v>
      </c>
      <c r="F309" s="151" t="s">
        <v>2527</v>
      </c>
      <c r="G309" s="151" t="s">
        <v>2173</v>
      </c>
      <c r="H309" s="151" t="s">
        <v>1274</v>
      </c>
      <c r="I309" s="151" t="s">
        <v>1184</v>
      </c>
      <c r="J309" s="151" t="s">
        <v>3267</v>
      </c>
      <c r="K309" s="151" t="s">
        <v>3290</v>
      </c>
      <c r="L309" s="151" t="s">
        <v>2991</v>
      </c>
      <c r="M309" s="151" t="s">
        <v>361</v>
      </c>
      <c r="N309" s="341" t="s">
        <v>3291</v>
      </c>
      <c r="O309" s="341">
        <v>794</v>
      </c>
      <c r="P309" s="151"/>
      <c r="Q309" s="151"/>
      <c r="R309" s="151" t="s">
        <v>2177</v>
      </c>
      <c r="S309" s="433" t="s">
        <v>3292</v>
      </c>
      <c r="T309" s="151" t="s">
        <v>2191</v>
      </c>
      <c r="U309" s="151" t="s">
        <v>2179</v>
      </c>
      <c r="V309" s="151">
        <v>200</v>
      </c>
      <c r="W309" s="151" t="s">
        <v>2503</v>
      </c>
      <c r="X309" s="151" t="s">
        <v>431</v>
      </c>
      <c r="Y309" s="151" t="s">
        <v>2179</v>
      </c>
      <c r="Z309" s="151" t="s">
        <v>3293</v>
      </c>
      <c r="AA309" s="151" t="s">
        <v>3294</v>
      </c>
      <c r="AB309" s="151" t="s">
        <v>855</v>
      </c>
      <c r="AC309" s="342"/>
    </row>
    <row r="310" spans="1:29" ht="90">
      <c r="A310" s="151" t="s">
        <v>2895</v>
      </c>
      <c r="B310" s="151" t="s">
        <v>3295</v>
      </c>
      <c r="C310" s="151" t="s">
        <v>2684</v>
      </c>
      <c r="D310" s="151" t="s">
        <v>17</v>
      </c>
      <c r="E310" s="151" t="s">
        <v>3296</v>
      </c>
      <c r="F310" s="151" t="s">
        <v>2527</v>
      </c>
      <c r="G310" s="151" t="s">
        <v>2173</v>
      </c>
      <c r="H310" s="151" t="s">
        <v>1274</v>
      </c>
      <c r="I310" s="151" t="s">
        <v>1184</v>
      </c>
      <c r="J310" s="151" t="s">
        <v>3267</v>
      </c>
      <c r="K310" s="151" t="s">
        <v>3297</v>
      </c>
      <c r="L310" s="151" t="s">
        <v>2991</v>
      </c>
      <c r="M310" s="151" t="s">
        <v>361</v>
      </c>
      <c r="N310" s="341" t="s">
        <v>3298</v>
      </c>
      <c r="O310" s="151">
        <v>230490</v>
      </c>
      <c r="P310" s="151"/>
      <c r="Q310" s="151"/>
      <c r="R310" s="151" t="s">
        <v>2177</v>
      </c>
      <c r="S310" s="151" t="s">
        <v>361</v>
      </c>
      <c r="T310" s="151" t="s">
        <v>435</v>
      </c>
      <c r="U310" s="151" t="s">
        <v>2179</v>
      </c>
      <c r="V310" s="151">
        <v>200</v>
      </c>
      <c r="W310" s="151" t="s">
        <v>2503</v>
      </c>
      <c r="X310" s="151" t="s">
        <v>431</v>
      </c>
      <c r="Y310" s="151" t="s">
        <v>2179</v>
      </c>
      <c r="Z310" s="151"/>
      <c r="AA310" s="151"/>
      <c r="AB310" s="151" t="s">
        <v>855</v>
      </c>
      <c r="AC310" s="342"/>
    </row>
    <row r="311" spans="1:29" ht="90">
      <c r="A311" s="151" t="s">
        <v>2895</v>
      </c>
      <c r="B311" s="151" t="s">
        <v>3299</v>
      </c>
      <c r="C311" s="151" t="s">
        <v>2684</v>
      </c>
      <c r="D311" s="151" t="s">
        <v>17</v>
      </c>
      <c r="E311" s="151" t="s">
        <v>3300</v>
      </c>
      <c r="F311" s="151" t="s">
        <v>2527</v>
      </c>
      <c r="G311" s="151" t="s">
        <v>2173</v>
      </c>
      <c r="H311" s="151" t="s">
        <v>1274</v>
      </c>
      <c r="I311" s="151" t="s">
        <v>1184</v>
      </c>
      <c r="J311" s="151" t="s">
        <v>3267</v>
      </c>
      <c r="K311" s="151" t="s">
        <v>3301</v>
      </c>
      <c r="L311" s="151" t="s">
        <v>2991</v>
      </c>
      <c r="M311" s="151" t="s">
        <v>361</v>
      </c>
      <c r="N311" s="341" t="s">
        <v>3302</v>
      </c>
      <c r="O311" s="151">
        <v>230490</v>
      </c>
      <c r="P311" s="151"/>
      <c r="Q311" s="151"/>
      <c r="R311" s="151" t="s">
        <v>2177</v>
      </c>
      <c r="S311" s="151" t="s">
        <v>361</v>
      </c>
      <c r="T311" s="151" t="s">
        <v>435</v>
      </c>
      <c r="U311" s="151" t="s">
        <v>2179</v>
      </c>
      <c r="V311" s="151">
        <v>200</v>
      </c>
      <c r="W311" s="151" t="s">
        <v>2503</v>
      </c>
      <c r="X311" s="151" t="s">
        <v>431</v>
      </c>
      <c r="Y311" s="151" t="s">
        <v>2179</v>
      </c>
      <c r="Z311" s="151"/>
      <c r="AA311" s="151"/>
      <c r="AB311" s="151" t="s">
        <v>855</v>
      </c>
      <c r="AC311" s="342"/>
    </row>
    <row r="312" spans="1:29" ht="180">
      <c r="A312" s="151" t="s">
        <v>2895</v>
      </c>
      <c r="B312" s="151" t="s">
        <v>3303</v>
      </c>
      <c r="C312" s="151" t="s">
        <v>2684</v>
      </c>
      <c r="D312" s="151" t="s">
        <v>17</v>
      </c>
      <c r="E312" s="151" t="s">
        <v>3304</v>
      </c>
      <c r="F312" s="151" t="s">
        <v>2527</v>
      </c>
      <c r="G312" s="151" t="s">
        <v>2173</v>
      </c>
      <c r="H312" s="151" t="s">
        <v>1274</v>
      </c>
      <c r="I312" s="151" t="s">
        <v>1184</v>
      </c>
      <c r="J312" s="151" t="s">
        <v>3267</v>
      </c>
      <c r="K312" s="151" t="s">
        <v>3305</v>
      </c>
      <c r="L312" s="151" t="s">
        <v>2991</v>
      </c>
      <c r="M312" s="151" t="s">
        <v>361</v>
      </c>
      <c r="N312" s="341" t="s">
        <v>3306</v>
      </c>
      <c r="O312" s="151">
        <v>17</v>
      </c>
      <c r="Q312" s="151"/>
      <c r="R312" s="151" t="s">
        <v>2177</v>
      </c>
      <c r="S312" s="433" t="s">
        <v>3307</v>
      </c>
      <c r="T312" s="151" t="s">
        <v>2191</v>
      </c>
      <c r="U312" s="151" t="s">
        <v>2573</v>
      </c>
      <c r="V312" s="151">
        <v>4</v>
      </c>
      <c r="W312" s="151"/>
      <c r="X312" s="151" t="s">
        <v>2645</v>
      </c>
      <c r="Y312" s="151" t="s">
        <v>2573</v>
      </c>
      <c r="Z312" s="151" t="s">
        <v>3308</v>
      </c>
      <c r="AA312" s="151" t="s">
        <v>3272</v>
      </c>
      <c r="AB312" s="151" t="s">
        <v>855</v>
      </c>
      <c r="AC312" s="342"/>
    </row>
    <row r="313" spans="1:29" ht="90">
      <c r="A313" s="151" t="s">
        <v>2895</v>
      </c>
      <c r="B313" s="151" t="s">
        <v>3309</v>
      </c>
      <c r="C313" s="151" t="s">
        <v>2684</v>
      </c>
      <c r="D313" s="151" t="s">
        <v>17</v>
      </c>
      <c r="E313" s="151" t="s">
        <v>3310</v>
      </c>
      <c r="F313" s="151" t="s">
        <v>2527</v>
      </c>
      <c r="G313" s="151" t="s">
        <v>2173</v>
      </c>
      <c r="H313" s="151" t="s">
        <v>1274</v>
      </c>
      <c r="I313" s="151" t="s">
        <v>1184</v>
      </c>
      <c r="J313" s="151" t="s">
        <v>3267</v>
      </c>
      <c r="K313" s="151" t="s">
        <v>3184</v>
      </c>
      <c r="L313" s="151" t="s">
        <v>2991</v>
      </c>
      <c r="M313" s="151" t="s">
        <v>361</v>
      </c>
      <c r="N313" s="341" t="s">
        <v>3311</v>
      </c>
      <c r="O313" s="151">
        <v>230490</v>
      </c>
      <c r="P313" s="151"/>
      <c r="Q313" s="151"/>
      <c r="R313" s="151" t="s">
        <v>2177</v>
      </c>
      <c r="S313" s="151" t="s">
        <v>361</v>
      </c>
      <c r="T313" s="151" t="s">
        <v>435</v>
      </c>
      <c r="U313" s="151" t="s">
        <v>2179</v>
      </c>
      <c r="V313" s="151">
        <v>80</v>
      </c>
      <c r="W313" s="151" t="s">
        <v>2257</v>
      </c>
      <c r="X313" s="151" t="s">
        <v>431</v>
      </c>
      <c r="Y313" s="151" t="s">
        <v>2179</v>
      </c>
      <c r="Z313" s="151"/>
      <c r="AA313" s="151"/>
      <c r="AB313" s="151" t="s">
        <v>855</v>
      </c>
      <c r="AC313" s="342"/>
    </row>
    <row r="314" spans="1:29" ht="165">
      <c r="A314" s="151" t="s">
        <v>2895</v>
      </c>
      <c r="B314" s="151" t="s">
        <v>2697</v>
      </c>
      <c r="C314" s="151" t="s">
        <v>2684</v>
      </c>
      <c r="D314" s="151" t="s">
        <v>17</v>
      </c>
      <c r="E314" s="151" t="s">
        <v>3312</v>
      </c>
      <c r="F314" s="151" t="s">
        <v>2527</v>
      </c>
      <c r="G314" s="151" t="s">
        <v>2173</v>
      </c>
      <c r="H314" s="151" t="s">
        <v>1274</v>
      </c>
      <c r="I314" s="151" t="s">
        <v>1184</v>
      </c>
      <c r="J314" s="151" t="s">
        <v>3267</v>
      </c>
      <c r="K314" s="151" t="s">
        <v>3313</v>
      </c>
      <c r="L314" s="151" t="s">
        <v>2991</v>
      </c>
      <c r="M314" s="151" t="s">
        <v>361</v>
      </c>
      <c r="N314" s="341" t="s">
        <v>3314</v>
      </c>
      <c r="O314" s="341">
        <v>173491</v>
      </c>
      <c r="P314" s="151"/>
      <c r="Q314" s="151"/>
      <c r="R314" s="151" t="s">
        <v>2177</v>
      </c>
      <c r="S314" s="433" t="s">
        <v>3315</v>
      </c>
      <c r="T314" s="151" t="s">
        <v>2191</v>
      </c>
      <c r="U314" s="151" t="s">
        <v>2573</v>
      </c>
      <c r="V314" s="151">
        <v>4</v>
      </c>
      <c r="W314" s="151" t="s">
        <v>49</v>
      </c>
      <c r="X314" s="151" t="s">
        <v>2645</v>
      </c>
      <c r="Y314" s="151" t="s">
        <v>2573</v>
      </c>
      <c r="Z314" s="151" t="s">
        <v>3316</v>
      </c>
      <c r="AA314" s="151" t="s">
        <v>3317</v>
      </c>
      <c r="AB314" s="151" t="s">
        <v>855</v>
      </c>
      <c r="AC314" s="342"/>
    </row>
    <row r="315" spans="1:29" ht="180">
      <c r="A315" s="151" t="s">
        <v>2895</v>
      </c>
      <c r="B315" s="151" t="s">
        <v>3318</v>
      </c>
      <c r="C315" s="151" t="s">
        <v>2684</v>
      </c>
      <c r="D315" s="151" t="s">
        <v>17</v>
      </c>
      <c r="E315" s="151" t="s">
        <v>3319</v>
      </c>
      <c r="F315" s="151" t="s">
        <v>2527</v>
      </c>
      <c r="G315" s="151" t="s">
        <v>2173</v>
      </c>
      <c r="H315" s="151" t="s">
        <v>1274</v>
      </c>
      <c r="I315" s="151" t="s">
        <v>1184</v>
      </c>
      <c r="J315" s="151" t="s">
        <v>3267</v>
      </c>
      <c r="K315" s="151" t="s">
        <v>3320</v>
      </c>
      <c r="L315" s="151" t="s">
        <v>2991</v>
      </c>
      <c r="M315" s="151" t="s">
        <v>361</v>
      </c>
      <c r="N315" s="341" t="s">
        <v>3321</v>
      </c>
      <c r="O315" s="341">
        <v>51233</v>
      </c>
      <c r="P315" s="151"/>
      <c r="Q315" s="151"/>
      <c r="R315" s="151" t="s">
        <v>2177</v>
      </c>
      <c r="S315" s="433" t="s">
        <v>3322</v>
      </c>
      <c r="T315" s="151" t="s">
        <v>2191</v>
      </c>
      <c r="U315" s="151" t="s">
        <v>2573</v>
      </c>
      <c r="V315" s="151">
        <v>4</v>
      </c>
      <c r="W315" s="151" t="s">
        <v>49</v>
      </c>
      <c r="X315" s="151" t="s">
        <v>2645</v>
      </c>
      <c r="Y315" s="151" t="s">
        <v>2573</v>
      </c>
      <c r="Z315" s="151" t="s">
        <v>3323</v>
      </c>
      <c r="AA315" s="151" t="s">
        <v>3324</v>
      </c>
      <c r="AB315" s="151" t="s">
        <v>855</v>
      </c>
      <c r="AC315" s="342"/>
    </row>
    <row r="316" spans="1:29" ht="75">
      <c r="A316" s="151" t="s">
        <v>2895</v>
      </c>
      <c r="B316" s="151" t="s">
        <v>2715</v>
      </c>
      <c r="C316" s="151" t="s">
        <v>2684</v>
      </c>
      <c r="D316" s="151" t="s">
        <v>17</v>
      </c>
      <c r="E316" s="151" t="s">
        <v>3325</v>
      </c>
      <c r="F316" s="151" t="s">
        <v>2527</v>
      </c>
      <c r="G316" s="151" t="s">
        <v>2173</v>
      </c>
      <c r="H316" s="151" t="s">
        <v>1274</v>
      </c>
      <c r="I316" s="151" t="s">
        <v>1184</v>
      </c>
      <c r="J316" s="151" t="s">
        <v>3267</v>
      </c>
      <c r="K316" s="151" t="s">
        <v>3326</v>
      </c>
      <c r="L316" s="151" t="s">
        <v>2991</v>
      </c>
      <c r="M316" s="151" t="s">
        <v>361</v>
      </c>
      <c r="N316" s="341" t="s">
        <v>3327</v>
      </c>
      <c r="O316" s="151">
        <v>230490</v>
      </c>
      <c r="P316" s="151"/>
      <c r="Q316" s="151"/>
      <c r="R316" s="151" t="s">
        <v>2177</v>
      </c>
      <c r="S316" s="151" t="s">
        <v>361</v>
      </c>
      <c r="T316" s="151" t="s">
        <v>2279</v>
      </c>
      <c r="U316" s="151" t="s">
        <v>2400</v>
      </c>
      <c r="V316" s="151">
        <v>23</v>
      </c>
      <c r="W316" s="151" t="s">
        <v>2400</v>
      </c>
      <c r="X316" s="151" t="s">
        <v>2400</v>
      </c>
      <c r="Y316" s="151" t="s">
        <v>2400</v>
      </c>
      <c r="Z316" s="151"/>
      <c r="AA316" s="151"/>
      <c r="AB316" s="151" t="s">
        <v>855</v>
      </c>
      <c r="AC316" s="342"/>
    </row>
    <row r="317" spans="1:29" ht="75">
      <c r="A317" s="151" t="s">
        <v>2895</v>
      </c>
      <c r="B317" s="151" t="s">
        <v>2350</v>
      </c>
      <c r="C317" s="151" t="s">
        <v>2684</v>
      </c>
      <c r="D317" s="151" t="s">
        <v>17</v>
      </c>
      <c r="E317" s="151" t="s">
        <v>3328</v>
      </c>
      <c r="F317" s="151" t="s">
        <v>2527</v>
      </c>
      <c r="G317" s="151" t="s">
        <v>2173</v>
      </c>
      <c r="H317" s="151" t="s">
        <v>1274</v>
      </c>
      <c r="I317" s="151" t="s">
        <v>1184</v>
      </c>
      <c r="J317" s="151" t="s">
        <v>3267</v>
      </c>
      <c r="K317" s="151" t="s">
        <v>3329</v>
      </c>
      <c r="L317" s="151" t="s">
        <v>2991</v>
      </c>
      <c r="M317" s="151" t="s">
        <v>361</v>
      </c>
      <c r="N317" s="341" t="s">
        <v>3330</v>
      </c>
      <c r="O317" s="151">
        <v>230490</v>
      </c>
      <c r="P317" s="151"/>
      <c r="Q317" s="151"/>
      <c r="R317" s="151" t="s">
        <v>2177</v>
      </c>
      <c r="S317" s="151" t="s">
        <v>361</v>
      </c>
      <c r="T317" s="151" t="s">
        <v>2279</v>
      </c>
      <c r="U317" s="151" t="s">
        <v>2400</v>
      </c>
      <c r="V317" s="151">
        <v>23</v>
      </c>
      <c r="W317" s="151" t="s">
        <v>2400</v>
      </c>
      <c r="X317" s="151" t="s">
        <v>2400</v>
      </c>
      <c r="Y317" s="151" t="s">
        <v>2400</v>
      </c>
      <c r="Z317" s="151"/>
      <c r="AA317" s="151"/>
      <c r="AB317" s="151" t="s">
        <v>855</v>
      </c>
      <c r="AC317" s="342"/>
    </row>
    <row r="318" spans="1:29" ht="90">
      <c r="A318" s="151" t="s">
        <v>2895</v>
      </c>
      <c r="B318" s="151" t="s">
        <v>2720</v>
      </c>
      <c r="C318" s="151" t="s">
        <v>2684</v>
      </c>
      <c r="D318" s="151" t="s">
        <v>17</v>
      </c>
      <c r="E318" s="151" t="s">
        <v>3331</v>
      </c>
      <c r="F318" s="151" t="s">
        <v>2527</v>
      </c>
      <c r="G318" s="151" t="s">
        <v>2173</v>
      </c>
      <c r="H318" s="151" t="s">
        <v>1274</v>
      </c>
      <c r="I318" s="151" t="s">
        <v>1184</v>
      </c>
      <c r="J318" s="151" t="s">
        <v>3267</v>
      </c>
      <c r="K318" s="151" t="s">
        <v>3195</v>
      </c>
      <c r="L318" s="151" t="s">
        <v>2991</v>
      </c>
      <c r="M318" s="151" t="s">
        <v>361</v>
      </c>
      <c r="N318" s="456" t="s">
        <v>3332</v>
      </c>
      <c r="O318" s="151">
        <v>230490</v>
      </c>
      <c r="P318" s="151"/>
      <c r="Q318" s="151"/>
      <c r="R318" s="151" t="s">
        <v>2177</v>
      </c>
      <c r="S318" s="151" t="s">
        <v>361</v>
      </c>
      <c r="T318" s="151" t="s">
        <v>2191</v>
      </c>
      <c r="U318" s="151" t="s">
        <v>2179</v>
      </c>
      <c r="V318" s="151">
        <v>1</v>
      </c>
      <c r="W318" s="151" t="s">
        <v>2373</v>
      </c>
      <c r="X318" s="151" t="s">
        <v>431</v>
      </c>
      <c r="Y318" s="151" t="s">
        <v>2179</v>
      </c>
      <c r="Z318" s="151" t="s">
        <v>2305</v>
      </c>
      <c r="AA318" s="151" t="s">
        <v>2305</v>
      </c>
      <c r="AB318" s="151" t="s">
        <v>855</v>
      </c>
      <c r="AC318" s="342"/>
    </row>
    <row r="319" spans="1:29" ht="195">
      <c r="A319" s="151" t="s">
        <v>2895</v>
      </c>
      <c r="B319" s="151" t="s">
        <v>2723</v>
      </c>
      <c r="C319" s="151" t="s">
        <v>2684</v>
      </c>
      <c r="D319" s="151" t="s">
        <v>17</v>
      </c>
      <c r="E319" s="151" t="s">
        <v>3333</v>
      </c>
      <c r="F319" s="151" t="s">
        <v>2527</v>
      </c>
      <c r="G319" s="151" t="s">
        <v>2173</v>
      </c>
      <c r="H319" s="151" t="s">
        <v>1274</v>
      </c>
      <c r="I319" s="151" t="s">
        <v>1184</v>
      </c>
      <c r="J319" s="151" t="s">
        <v>3267</v>
      </c>
      <c r="K319" s="151" t="s">
        <v>3334</v>
      </c>
      <c r="L319" s="151" t="s">
        <v>2991</v>
      </c>
      <c r="M319" s="151" t="s">
        <v>361</v>
      </c>
      <c r="N319" s="341" t="s">
        <v>3335</v>
      </c>
      <c r="O319" s="341">
        <v>10698</v>
      </c>
      <c r="P319" s="151"/>
      <c r="Q319" s="151"/>
      <c r="R319" s="151" t="s">
        <v>2177</v>
      </c>
      <c r="S319" s="433" t="s">
        <v>3336</v>
      </c>
      <c r="T319" s="151" t="s">
        <v>2191</v>
      </c>
      <c r="U319" s="151" t="s">
        <v>2179</v>
      </c>
      <c r="V319" s="151">
        <v>200</v>
      </c>
      <c r="W319" s="151" t="s">
        <v>2503</v>
      </c>
      <c r="X319" s="151" t="s">
        <v>431</v>
      </c>
      <c r="Y319" s="151" t="s">
        <v>2179</v>
      </c>
      <c r="Z319" s="151" t="s">
        <v>2726</v>
      </c>
      <c r="AA319" s="151" t="s">
        <v>3337</v>
      </c>
      <c r="AB319" s="151" t="s">
        <v>855</v>
      </c>
      <c r="AC319" s="342"/>
    </row>
    <row r="320" spans="1:29" ht="225">
      <c r="A320" s="151" t="s">
        <v>2895</v>
      </c>
      <c r="B320" s="151" t="s">
        <v>2733</v>
      </c>
      <c r="C320" s="151" t="s">
        <v>2684</v>
      </c>
      <c r="D320" s="151" t="s">
        <v>17</v>
      </c>
      <c r="E320" s="151" t="s">
        <v>3338</v>
      </c>
      <c r="F320" s="151" t="s">
        <v>2527</v>
      </c>
      <c r="G320" s="151" t="s">
        <v>2173</v>
      </c>
      <c r="H320" s="151" t="s">
        <v>1274</v>
      </c>
      <c r="I320" s="151" t="s">
        <v>1184</v>
      </c>
      <c r="J320" s="151" t="s">
        <v>1402</v>
      </c>
      <c r="K320" s="151" t="s">
        <v>3041</v>
      </c>
      <c r="L320" s="151" t="s">
        <v>2923</v>
      </c>
      <c r="M320" s="151" t="s">
        <v>3339</v>
      </c>
      <c r="N320" s="341" t="s">
        <v>3340</v>
      </c>
      <c r="O320" s="151">
        <v>137227</v>
      </c>
      <c r="P320" s="151"/>
      <c r="Q320" s="151"/>
      <c r="R320" s="151" t="s">
        <v>2177</v>
      </c>
      <c r="S320" s="486" t="s">
        <v>3341</v>
      </c>
      <c r="T320" s="151" t="s">
        <v>435</v>
      </c>
      <c r="U320" s="151" t="s">
        <v>2179</v>
      </c>
      <c r="V320" s="151">
        <v>255</v>
      </c>
      <c r="W320" s="151" t="s">
        <v>2468</v>
      </c>
      <c r="X320" s="151" t="s">
        <v>431</v>
      </c>
      <c r="Y320" s="151" t="s">
        <v>2179</v>
      </c>
      <c r="Z320" s="151"/>
      <c r="AA320" s="151"/>
      <c r="AB320" s="151" t="s">
        <v>855</v>
      </c>
      <c r="AC320" s="342"/>
    </row>
    <row r="321" spans="1:29" ht="105">
      <c r="A321" s="151" t="s">
        <v>2895</v>
      </c>
      <c r="B321" s="151" t="s">
        <v>2703</v>
      </c>
      <c r="C321" s="151" t="s">
        <v>2684</v>
      </c>
      <c r="D321" s="151" t="s">
        <v>17</v>
      </c>
      <c r="E321" s="151" t="s">
        <v>3342</v>
      </c>
      <c r="F321" s="151" t="s">
        <v>2527</v>
      </c>
      <c r="G321" s="151" t="s">
        <v>2173</v>
      </c>
      <c r="H321" s="151" t="s">
        <v>1274</v>
      </c>
      <c r="I321" s="151" t="s">
        <v>1184</v>
      </c>
      <c r="J321" s="151" t="s">
        <v>1402</v>
      </c>
      <c r="K321" s="151" t="s">
        <v>3043</v>
      </c>
      <c r="L321" s="151" t="s">
        <v>2923</v>
      </c>
      <c r="M321" s="431" t="s">
        <v>2737</v>
      </c>
      <c r="N321" s="341" t="s">
        <v>3343</v>
      </c>
      <c r="O321" s="151">
        <v>137259</v>
      </c>
      <c r="P321" s="151"/>
      <c r="Q321" s="151"/>
      <c r="R321" s="151" t="s">
        <v>2177</v>
      </c>
      <c r="T321" s="151" t="s">
        <v>435</v>
      </c>
      <c r="U321" s="151" t="s">
        <v>2179</v>
      </c>
      <c r="V321" s="151">
        <v>255</v>
      </c>
      <c r="W321" s="151" t="s">
        <v>2468</v>
      </c>
      <c r="X321" s="151" t="s">
        <v>431</v>
      </c>
      <c r="Y321" s="151" t="s">
        <v>2179</v>
      </c>
      <c r="Z321" s="151"/>
      <c r="AA321" s="151"/>
      <c r="AB321" s="151" t="s">
        <v>855</v>
      </c>
      <c r="AC321" s="342"/>
    </row>
    <row r="322" spans="1:29" ht="240">
      <c r="A322" s="151" t="s">
        <v>2895</v>
      </c>
      <c r="B322" s="151" t="s">
        <v>2740</v>
      </c>
      <c r="C322" s="151" t="s">
        <v>2684</v>
      </c>
      <c r="D322" s="151" t="s">
        <v>17</v>
      </c>
      <c r="E322" s="151" t="s">
        <v>3344</v>
      </c>
      <c r="F322" s="151" t="s">
        <v>2527</v>
      </c>
      <c r="G322" s="151" t="s">
        <v>2173</v>
      </c>
      <c r="H322" s="151" t="s">
        <v>1274</v>
      </c>
      <c r="I322" s="151" t="s">
        <v>1184</v>
      </c>
      <c r="J322" s="151" t="s">
        <v>1402</v>
      </c>
      <c r="K322" s="151" t="s">
        <v>3158</v>
      </c>
      <c r="L322" s="151" t="s">
        <v>2923</v>
      </c>
      <c r="M322" s="431" t="s">
        <v>2737</v>
      </c>
      <c r="N322" s="341" t="s">
        <v>3345</v>
      </c>
      <c r="O322" s="151">
        <v>132348</v>
      </c>
      <c r="P322" s="151"/>
      <c r="Q322" s="151"/>
      <c r="R322" s="151" t="s">
        <v>2177</v>
      </c>
      <c r="S322" s="486" t="s">
        <v>3346</v>
      </c>
      <c r="T322" s="151" t="s">
        <v>2191</v>
      </c>
      <c r="U322" s="151" t="s">
        <v>2179</v>
      </c>
      <c r="V322" s="151">
        <v>255</v>
      </c>
      <c r="W322" s="151" t="s">
        <v>2468</v>
      </c>
      <c r="X322" s="151" t="s">
        <v>431</v>
      </c>
      <c r="Y322" s="151" t="s">
        <v>2179</v>
      </c>
      <c r="Z322" s="151" t="s">
        <v>2743</v>
      </c>
      <c r="AA322" s="151" t="s">
        <v>3347</v>
      </c>
      <c r="AB322" s="151" t="s">
        <v>855</v>
      </c>
      <c r="AC322" s="342"/>
    </row>
    <row r="323" spans="1:29" ht="120">
      <c r="A323" s="151" t="s">
        <v>2895</v>
      </c>
      <c r="B323" s="151" t="s">
        <v>2745</v>
      </c>
      <c r="C323" s="151" t="s">
        <v>2684</v>
      </c>
      <c r="D323" s="151" t="s">
        <v>17</v>
      </c>
      <c r="E323" s="151" t="s">
        <v>3348</v>
      </c>
      <c r="F323" s="151" t="s">
        <v>2527</v>
      </c>
      <c r="G323" s="151" t="s">
        <v>2173</v>
      </c>
      <c r="H323" s="151" t="s">
        <v>1274</v>
      </c>
      <c r="I323" s="151" t="s">
        <v>1184</v>
      </c>
      <c r="J323" s="151" t="s">
        <v>1402</v>
      </c>
      <c r="K323" s="151" t="s">
        <v>3349</v>
      </c>
      <c r="L323" s="151" t="s">
        <v>2923</v>
      </c>
      <c r="M323" s="431" t="s">
        <v>2737</v>
      </c>
      <c r="N323" s="341" t="s">
        <v>3350</v>
      </c>
      <c r="O323" s="151">
        <v>137259</v>
      </c>
      <c r="P323" s="151"/>
      <c r="Q323" s="151"/>
      <c r="R323" s="151" t="s">
        <v>2177</v>
      </c>
      <c r="S323" s="151" t="s">
        <v>361</v>
      </c>
      <c r="T323" s="151" t="s">
        <v>435</v>
      </c>
      <c r="U323" s="151" t="s">
        <v>2179</v>
      </c>
      <c r="V323" s="151">
        <v>255</v>
      </c>
      <c r="W323" s="151" t="s">
        <v>2468</v>
      </c>
      <c r="X323" s="151" t="s">
        <v>431</v>
      </c>
      <c r="Y323" s="151" t="s">
        <v>2179</v>
      </c>
      <c r="Z323" s="151"/>
      <c r="AA323" s="151"/>
      <c r="AB323" s="151" t="s">
        <v>855</v>
      </c>
      <c r="AC323" s="342"/>
    </row>
    <row r="324" spans="1:29" ht="150">
      <c r="A324" s="151" t="s">
        <v>2895</v>
      </c>
      <c r="B324" s="151" t="s">
        <v>2749</v>
      </c>
      <c r="C324" s="151" t="s">
        <v>2750</v>
      </c>
      <c r="D324" s="151" t="s">
        <v>17</v>
      </c>
      <c r="E324" s="151" t="s">
        <v>2751</v>
      </c>
      <c r="F324" s="151" t="s">
        <v>2527</v>
      </c>
      <c r="G324" s="151" t="s">
        <v>2173</v>
      </c>
      <c r="H324" s="151" t="s">
        <v>1274</v>
      </c>
      <c r="I324" s="151" t="s">
        <v>1184</v>
      </c>
      <c r="J324" s="161" t="s">
        <v>3351</v>
      </c>
      <c r="K324" s="519" t="s">
        <v>2752</v>
      </c>
      <c r="L324" s="433" t="s">
        <v>3352</v>
      </c>
      <c r="M324" s="341" t="s">
        <v>3353</v>
      </c>
      <c r="N324" s="12" t="s">
        <v>3354</v>
      </c>
      <c r="O324" s="12">
        <v>1066119</v>
      </c>
      <c r="P324" s="8" t="s">
        <v>3355</v>
      </c>
      <c r="Q324" s="151" t="s">
        <v>3356</v>
      </c>
      <c r="R324" s="151" t="s">
        <v>2177</v>
      </c>
      <c r="S324" s="151" t="s">
        <v>361</v>
      </c>
      <c r="T324" s="151" t="s">
        <v>2191</v>
      </c>
      <c r="U324" s="151" t="s">
        <v>2179</v>
      </c>
      <c r="V324" s="151">
        <v>200</v>
      </c>
      <c r="W324" s="151" t="s">
        <v>2503</v>
      </c>
      <c r="X324" s="151" t="s">
        <v>431</v>
      </c>
      <c r="Y324" s="151" t="s">
        <v>2179</v>
      </c>
      <c r="Z324" s="151" t="s">
        <v>2761</v>
      </c>
      <c r="AA324" s="151" t="s">
        <v>3357</v>
      </c>
      <c r="AB324" s="151" t="s">
        <v>855</v>
      </c>
      <c r="AC324" s="342"/>
    </row>
    <row r="325" spans="1:29" ht="135">
      <c r="A325" s="151" t="s">
        <v>2895</v>
      </c>
      <c r="B325" s="487" t="s">
        <v>2756</v>
      </c>
      <c r="C325" s="151" t="s">
        <v>2750</v>
      </c>
      <c r="D325" s="151" t="s">
        <v>17</v>
      </c>
      <c r="E325" s="151" t="s">
        <v>2757</v>
      </c>
      <c r="F325" s="151" t="s">
        <v>2527</v>
      </c>
      <c r="G325" s="151" t="s">
        <v>2173</v>
      </c>
      <c r="H325" s="151" t="s">
        <v>1274</v>
      </c>
      <c r="I325" s="151" t="s">
        <v>1184</v>
      </c>
      <c r="J325" s="151" t="s">
        <v>3351</v>
      </c>
      <c r="K325" s="151" t="s">
        <v>3358</v>
      </c>
      <c r="L325" s="151" t="s">
        <v>3359</v>
      </c>
      <c r="M325" s="437" t="s">
        <v>3360</v>
      </c>
      <c r="N325" s="456" t="s">
        <v>3361</v>
      </c>
      <c r="O325" s="151">
        <v>227051</v>
      </c>
      <c r="P325" s="151"/>
      <c r="Q325" s="151" t="s">
        <v>2753</v>
      </c>
      <c r="R325" s="151" t="s">
        <v>2177</v>
      </c>
      <c r="S325" s="161" t="s">
        <v>3360</v>
      </c>
      <c r="T325" s="151" t="s">
        <v>435</v>
      </c>
      <c r="U325" s="151" t="s">
        <v>2179</v>
      </c>
      <c r="V325" s="151">
        <v>25</v>
      </c>
      <c r="W325" s="151" t="s">
        <v>2417</v>
      </c>
      <c r="X325" s="151" t="s">
        <v>431</v>
      </c>
      <c r="Y325" s="151" t="s">
        <v>2179</v>
      </c>
      <c r="Z325" s="151"/>
      <c r="AA325" s="151"/>
      <c r="AB325" s="151" t="s">
        <v>855</v>
      </c>
      <c r="AC325" s="342"/>
    </row>
    <row r="326" spans="1:29" ht="135">
      <c r="A326" s="151" t="s">
        <v>2895</v>
      </c>
      <c r="B326" s="487" t="s">
        <v>2759</v>
      </c>
      <c r="C326" s="151" t="s">
        <v>2750</v>
      </c>
      <c r="D326" s="151" t="s">
        <v>17</v>
      </c>
      <c r="E326" s="151" t="s">
        <v>3362</v>
      </c>
      <c r="F326" s="151" t="s">
        <v>2527</v>
      </c>
      <c r="G326" s="151" t="s">
        <v>2173</v>
      </c>
      <c r="H326" s="151" t="s">
        <v>1274</v>
      </c>
      <c r="I326" s="151" t="s">
        <v>1184</v>
      </c>
      <c r="J326" s="151" t="s">
        <v>3351</v>
      </c>
      <c r="K326" s="151" t="s">
        <v>2752</v>
      </c>
      <c r="L326" s="151" t="s">
        <v>3359</v>
      </c>
      <c r="M326" s="437" t="s">
        <v>3360</v>
      </c>
      <c r="N326" s="341" t="s">
        <v>3363</v>
      </c>
      <c r="O326" s="151">
        <v>227051</v>
      </c>
      <c r="P326" s="151"/>
      <c r="Q326" s="151" t="s">
        <v>2753</v>
      </c>
      <c r="R326" s="151" t="s">
        <v>2177</v>
      </c>
      <c r="S326" s="151" t="s">
        <v>361</v>
      </c>
      <c r="T326" s="151" t="s">
        <v>2191</v>
      </c>
      <c r="U326" s="151" t="s">
        <v>2179</v>
      </c>
      <c r="V326" s="151">
        <v>200</v>
      </c>
      <c r="W326" s="151" t="s">
        <v>2503</v>
      </c>
      <c r="X326" s="151" t="s">
        <v>431</v>
      </c>
      <c r="Y326" s="151" t="s">
        <v>2179</v>
      </c>
      <c r="Z326" s="151" t="s">
        <v>3364</v>
      </c>
      <c r="AA326" s="151" t="s">
        <v>3365</v>
      </c>
      <c r="AB326" s="151" t="s">
        <v>855</v>
      </c>
      <c r="AC326" s="342"/>
    </row>
    <row r="327" spans="1:29" ht="135">
      <c r="A327" s="151" t="s">
        <v>2895</v>
      </c>
      <c r="B327" s="487" t="s">
        <v>2763</v>
      </c>
      <c r="C327" s="151" t="s">
        <v>2750</v>
      </c>
      <c r="D327" s="151" t="s">
        <v>17</v>
      </c>
      <c r="E327" s="151" t="s">
        <v>3366</v>
      </c>
      <c r="F327" s="151" t="s">
        <v>2527</v>
      </c>
      <c r="G327" s="151" t="s">
        <v>2173</v>
      </c>
      <c r="H327" s="151" t="s">
        <v>1274</v>
      </c>
      <c r="I327" s="151" t="s">
        <v>1184</v>
      </c>
      <c r="J327" s="151" t="s">
        <v>3351</v>
      </c>
      <c r="K327" s="151" t="s">
        <v>2765</v>
      </c>
      <c r="L327" s="151" t="s">
        <v>3359</v>
      </c>
      <c r="M327" s="437" t="s">
        <v>3360</v>
      </c>
      <c r="N327" s="341" t="s">
        <v>3367</v>
      </c>
      <c r="O327" s="151">
        <v>227051</v>
      </c>
      <c r="P327" s="151"/>
      <c r="Q327" s="151" t="s">
        <v>2753</v>
      </c>
      <c r="R327" s="151" t="s">
        <v>2177</v>
      </c>
      <c r="S327" s="151" t="s">
        <v>361</v>
      </c>
      <c r="T327" s="151" t="s">
        <v>435</v>
      </c>
      <c r="U327" s="151" t="s">
        <v>2179</v>
      </c>
      <c r="V327" s="151">
        <v>20</v>
      </c>
      <c r="W327" s="151" t="s">
        <v>2615</v>
      </c>
      <c r="X327" s="151" t="s">
        <v>431</v>
      </c>
      <c r="Y327" s="151" t="s">
        <v>2179</v>
      </c>
      <c r="Z327" s="151"/>
      <c r="AA327" s="151"/>
      <c r="AB327" s="151" t="s">
        <v>855</v>
      </c>
      <c r="AC327" s="342"/>
    </row>
    <row r="328" spans="1:29" ht="135">
      <c r="A328" s="151" t="s">
        <v>2895</v>
      </c>
      <c r="B328" s="487" t="s">
        <v>2766</v>
      </c>
      <c r="C328" s="151" t="s">
        <v>2750</v>
      </c>
      <c r="D328" s="151" t="s">
        <v>17</v>
      </c>
      <c r="E328" s="151" t="s">
        <v>3368</v>
      </c>
      <c r="F328" s="151" t="s">
        <v>2527</v>
      </c>
      <c r="G328" s="151" t="s">
        <v>2173</v>
      </c>
      <c r="H328" s="151" t="s">
        <v>1274</v>
      </c>
      <c r="I328" s="151" t="s">
        <v>1184</v>
      </c>
      <c r="J328" s="151" t="s">
        <v>3351</v>
      </c>
      <c r="K328" s="151" t="s">
        <v>2768</v>
      </c>
      <c r="L328" s="151" t="s">
        <v>3359</v>
      </c>
      <c r="M328" s="437" t="s">
        <v>3360</v>
      </c>
      <c r="N328" s="341" t="s">
        <v>3369</v>
      </c>
      <c r="O328" s="151">
        <v>227051</v>
      </c>
      <c r="P328" s="151"/>
      <c r="Q328" s="151" t="s">
        <v>2753</v>
      </c>
      <c r="R328" s="151" t="s">
        <v>2177</v>
      </c>
      <c r="S328" s="161" t="s">
        <v>3360</v>
      </c>
      <c r="T328" s="151" t="s">
        <v>435</v>
      </c>
      <c r="U328" s="151" t="s">
        <v>2179</v>
      </c>
      <c r="V328" s="151">
        <v>20</v>
      </c>
      <c r="W328" s="151" t="s">
        <v>2615</v>
      </c>
      <c r="X328" s="151" t="s">
        <v>431</v>
      </c>
      <c r="Y328" s="151" t="s">
        <v>2179</v>
      </c>
      <c r="Z328" s="151"/>
      <c r="AA328" s="151"/>
      <c r="AB328" s="151" t="s">
        <v>855</v>
      </c>
      <c r="AC328" s="342"/>
    </row>
    <row r="329" spans="1:29" ht="135">
      <c r="A329" s="151" t="s">
        <v>2895</v>
      </c>
      <c r="B329" s="487" t="s">
        <v>2769</v>
      </c>
      <c r="C329" s="151" t="s">
        <v>2750</v>
      </c>
      <c r="D329" s="151" t="s">
        <v>17</v>
      </c>
      <c r="E329" s="151" t="s">
        <v>3370</v>
      </c>
      <c r="F329" s="151" t="s">
        <v>2527</v>
      </c>
      <c r="G329" s="151" t="s">
        <v>2173</v>
      </c>
      <c r="H329" s="151" t="s">
        <v>1274</v>
      </c>
      <c r="I329" s="151" t="s">
        <v>1184</v>
      </c>
      <c r="J329" s="151" t="s">
        <v>3351</v>
      </c>
      <c r="K329" s="151" t="s">
        <v>3371</v>
      </c>
      <c r="L329" s="151" t="s">
        <v>3359</v>
      </c>
      <c r="M329" s="437" t="s">
        <v>3360</v>
      </c>
      <c r="N329" s="341" t="s">
        <v>3372</v>
      </c>
      <c r="O329" s="151">
        <v>227051</v>
      </c>
      <c r="P329" s="151"/>
      <c r="Q329" s="151" t="s">
        <v>2753</v>
      </c>
      <c r="R329" s="151" t="s">
        <v>2177</v>
      </c>
      <c r="S329" s="151" t="s">
        <v>361</v>
      </c>
      <c r="T329" s="151" t="s">
        <v>435</v>
      </c>
      <c r="U329" s="151" t="s">
        <v>2179</v>
      </c>
      <c r="V329" s="151">
        <v>25</v>
      </c>
      <c r="W329" s="151" t="s">
        <v>2417</v>
      </c>
      <c r="X329" s="151" t="s">
        <v>431</v>
      </c>
      <c r="Y329" s="151" t="s">
        <v>2179</v>
      </c>
      <c r="Z329" s="151"/>
      <c r="AA329" s="151"/>
      <c r="AB329" s="151" t="s">
        <v>855</v>
      </c>
      <c r="AC329" s="342"/>
    </row>
    <row r="330" spans="1:29" ht="150">
      <c r="A330" s="151" t="s">
        <v>2895</v>
      </c>
      <c r="B330" s="487" t="s">
        <v>2771</v>
      </c>
      <c r="C330" s="151" t="s">
        <v>2750</v>
      </c>
      <c r="D330" s="151" t="s">
        <v>17</v>
      </c>
      <c r="E330" s="151" t="s">
        <v>2772</v>
      </c>
      <c r="F330" s="151" t="s">
        <v>2527</v>
      </c>
      <c r="G330" s="151" t="s">
        <v>2173</v>
      </c>
      <c r="H330" s="151" t="s">
        <v>1274</v>
      </c>
      <c r="I330" s="151" t="s">
        <v>1184</v>
      </c>
      <c r="J330" s="151" t="s">
        <v>3351</v>
      </c>
      <c r="K330" s="151" t="s">
        <v>2773</v>
      </c>
      <c r="L330" s="151" t="s">
        <v>3359</v>
      </c>
      <c r="M330" s="437" t="s">
        <v>3360</v>
      </c>
      <c r="N330" s="341" t="s">
        <v>3373</v>
      </c>
      <c r="O330" s="151">
        <v>227051</v>
      </c>
      <c r="P330" s="151"/>
      <c r="Q330" s="151" t="s">
        <v>2753</v>
      </c>
      <c r="R330" s="151" t="s">
        <v>2177</v>
      </c>
      <c r="S330" s="151" t="s">
        <v>361</v>
      </c>
      <c r="T330" s="151" t="s">
        <v>435</v>
      </c>
      <c r="U330" s="151" t="s">
        <v>2179</v>
      </c>
      <c r="V330" s="151">
        <v>30</v>
      </c>
      <c r="W330" s="151" t="s">
        <v>2774</v>
      </c>
      <c r="X330" s="151" t="s">
        <v>431</v>
      </c>
      <c r="Y330" s="151" t="s">
        <v>2179</v>
      </c>
      <c r="Z330" s="151"/>
      <c r="AA330" s="151"/>
      <c r="AB330" s="151" t="s">
        <v>855</v>
      </c>
      <c r="AC330" s="342"/>
    </row>
    <row r="331" spans="1:29" ht="135">
      <c r="A331" s="151" t="s">
        <v>2895</v>
      </c>
      <c r="B331" s="487" t="s">
        <v>2749</v>
      </c>
      <c r="C331" s="151" t="s">
        <v>2750</v>
      </c>
      <c r="D331" s="151" t="s">
        <v>17</v>
      </c>
      <c r="E331" s="151" t="s">
        <v>2775</v>
      </c>
      <c r="F331" s="151" t="s">
        <v>2527</v>
      </c>
      <c r="G331" s="151" t="s">
        <v>2173</v>
      </c>
      <c r="H331" s="151" t="s">
        <v>1274</v>
      </c>
      <c r="I331" s="151" t="s">
        <v>1184</v>
      </c>
      <c r="J331" s="151" t="s">
        <v>3351</v>
      </c>
      <c r="K331" s="151" t="s">
        <v>3374</v>
      </c>
      <c r="L331" s="151" t="s">
        <v>3359</v>
      </c>
      <c r="M331" s="431" t="s">
        <v>3375</v>
      </c>
      <c r="N331" s="456" t="s">
        <v>3376</v>
      </c>
      <c r="O331" s="151">
        <v>227051</v>
      </c>
      <c r="P331" s="151"/>
      <c r="Q331" s="151" t="s">
        <v>2777</v>
      </c>
      <c r="R331" s="151" t="s">
        <v>2177</v>
      </c>
      <c r="S331" s="151" t="s">
        <v>361</v>
      </c>
      <c r="T331" s="151" t="s">
        <v>2191</v>
      </c>
      <c r="U331" s="151" t="s">
        <v>2179</v>
      </c>
      <c r="V331" s="151">
        <v>200</v>
      </c>
      <c r="W331" s="151" t="s">
        <v>2503</v>
      </c>
      <c r="X331" s="151" t="s">
        <v>431</v>
      </c>
      <c r="Y331" s="151" t="s">
        <v>2179</v>
      </c>
      <c r="Z331" s="151" t="s">
        <v>3377</v>
      </c>
      <c r="AA331" s="151" t="s">
        <v>3378</v>
      </c>
      <c r="AB331" s="151" t="s">
        <v>855</v>
      </c>
      <c r="AC331" s="342"/>
    </row>
    <row r="332" spans="1:29" ht="135">
      <c r="A332" s="151" t="s">
        <v>2895</v>
      </c>
      <c r="B332" s="487" t="s">
        <v>2780</v>
      </c>
      <c r="C332" s="151" t="s">
        <v>2750</v>
      </c>
      <c r="D332" s="151" t="s">
        <v>17</v>
      </c>
      <c r="E332" s="151" t="s">
        <v>2760</v>
      </c>
      <c r="F332" s="151" t="s">
        <v>2527</v>
      </c>
      <c r="G332" s="151" t="s">
        <v>2173</v>
      </c>
      <c r="H332" s="151" t="s">
        <v>1274</v>
      </c>
      <c r="I332" s="151" t="s">
        <v>1184</v>
      </c>
      <c r="J332" s="151" t="s">
        <v>3351</v>
      </c>
      <c r="K332" s="151" t="s">
        <v>2752</v>
      </c>
      <c r="L332" s="151" t="s">
        <v>3359</v>
      </c>
      <c r="M332" s="432" t="s">
        <v>3375</v>
      </c>
      <c r="N332" s="456" t="s">
        <v>3379</v>
      </c>
      <c r="O332" s="151">
        <v>227051</v>
      </c>
      <c r="P332" s="151"/>
      <c r="Q332" s="151" t="s">
        <v>2781</v>
      </c>
      <c r="R332" s="151" t="s">
        <v>2177</v>
      </c>
      <c r="S332" s="151" t="s">
        <v>361</v>
      </c>
      <c r="T332" s="151" t="s">
        <v>2191</v>
      </c>
      <c r="U332" s="151" t="s">
        <v>2179</v>
      </c>
      <c r="V332" s="151">
        <v>200</v>
      </c>
      <c r="W332" s="151" t="s">
        <v>2503</v>
      </c>
      <c r="X332" s="151" t="s">
        <v>431</v>
      </c>
      <c r="Y332" s="151" t="s">
        <v>2179</v>
      </c>
      <c r="Z332" s="151" t="s">
        <v>3380</v>
      </c>
      <c r="AA332" s="151" t="s">
        <v>3381</v>
      </c>
      <c r="AB332" s="151" t="s">
        <v>855</v>
      </c>
      <c r="AC332" s="342"/>
    </row>
    <row r="333" spans="1:29" ht="135">
      <c r="A333" s="151" t="s">
        <v>2895</v>
      </c>
      <c r="B333" s="487" t="s">
        <v>2782</v>
      </c>
      <c r="C333" s="151" t="s">
        <v>2750</v>
      </c>
      <c r="D333" s="151" t="s">
        <v>17</v>
      </c>
      <c r="E333" s="151" t="s">
        <v>3382</v>
      </c>
      <c r="F333" s="151" t="s">
        <v>2527</v>
      </c>
      <c r="G333" s="151" t="s">
        <v>2173</v>
      </c>
      <c r="H333" s="151" t="s">
        <v>1274</v>
      </c>
      <c r="I333" s="151" t="s">
        <v>1184</v>
      </c>
      <c r="J333" s="151" t="s">
        <v>3351</v>
      </c>
      <c r="K333" s="151" t="s">
        <v>1218</v>
      </c>
      <c r="L333" s="151" t="s">
        <v>3359</v>
      </c>
      <c r="M333" s="432" t="s">
        <v>3375</v>
      </c>
      <c r="N333" s="456" t="s">
        <v>3383</v>
      </c>
      <c r="O333" s="151">
        <v>227051</v>
      </c>
      <c r="P333" s="151"/>
      <c r="Q333" s="151" t="s">
        <v>2781</v>
      </c>
      <c r="R333" s="151" t="s">
        <v>2177</v>
      </c>
      <c r="S333" s="151" t="s">
        <v>361</v>
      </c>
      <c r="T333" s="151" t="s">
        <v>435</v>
      </c>
      <c r="U333" s="151" t="s">
        <v>2179</v>
      </c>
      <c r="V333" s="151">
        <v>150</v>
      </c>
      <c r="W333" s="151" t="s">
        <v>2180</v>
      </c>
      <c r="X333" s="151" t="s">
        <v>431</v>
      </c>
      <c r="Y333" s="151" t="s">
        <v>2179</v>
      </c>
      <c r="Z333" s="151"/>
      <c r="AA333" s="151"/>
      <c r="AB333" s="151" t="s">
        <v>855</v>
      </c>
      <c r="AC333" s="342"/>
    </row>
    <row r="334" spans="1:29" ht="105">
      <c r="A334" s="151" t="s">
        <v>2895</v>
      </c>
      <c r="B334" s="151" t="s">
        <v>2749</v>
      </c>
      <c r="C334" s="151" t="s">
        <v>2750</v>
      </c>
      <c r="D334" s="151" t="s">
        <v>17</v>
      </c>
      <c r="E334" s="151" t="s">
        <v>2784</v>
      </c>
      <c r="F334" s="151" t="s">
        <v>2527</v>
      </c>
      <c r="G334" s="151" t="s">
        <v>2173</v>
      </c>
      <c r="H334" s="151" t="s">
        <v>1274</v>
      </c>
      <c r="I334" s="151" t="s">
        <v>1184</v>
      </c>
      <c r="J334" s="151" t="s">
        <v>702</v>
      </c>
      <c r="K334" s="151" t="s">
        <v>2785</v>
      </c>
      <c r="L334" s="151" t="s">
        <v>3384</v>
      </c>
      <c r="M334" s="151" t="s">
        <v>361</v>
      </c>
      <c r="N334" s="341" t="s">
        <v>3385</v>
      </c>
      <c r="O334" s="151">
        <v>672293</v>
      </c>
      <c r="P334" s="151"/>
      <c r="Q334" s="151"/>
      <c r="R334" s="151" t="s">
        <v>2177</v>
      </c>
      <c r="S334" s="151" t="s">
        <v>361</v>
      </c>
      <c r="T334" s="151" t="s">
        <v>2191</v>
      </c>
      <c r="U334" s="151" t="s">
        <v>2179</v>
      </c>
      <c r="V334" s="151">
        <v>150</v>
      </c>
      <c r="W334" s="151" t="s">
        <v>2180</v>
      </c>
      <c r="X334" s="151" t="s">
        <v>431</v>
      </c>
      <c r="Y334" s="151" t="s">
        <v>2179</v>
      </c>
      <c r="Z334" s="151" t="s">
        <v>3386</v>
      </c>
      <c r="AA334" s="151" t="s">
        <v>3387</v>
      </c>
      <c r="AB334" s="151" t="s">
        <v>855</v>
      </c>
      <c r="AC334" s="342"/>
    </row>
    <row r="335" spans="1:29" ht="75">
      <c r="A335" s="151" t="s">
        <v>2895</v>
      </c>
      <c r="B335" s="151" t="s">
        <v>2789</v>
      </c>
      <c r="C335" s="151" t="s">
        <v>2750</v>
      </c>
      <c r="D335" s="151" t="s">
        <v>17</v>
      </c>
      <c r="E335" s="151" t="s">
        <v>3388</v>
      </c>
      <c r="F335" s="151" t="s">
        <v>2527</v>
      </c>
      <c r="G335" s="151" t="s">
        <v>2173</v>
      </c>
      <c r="H335" s="151" t="s">
        <v>1274</v>
      </c>
      <c r="I335" s="151" t="s">
        <v>1184</v>
      </c>
      <c r="J335" s="151" t="s">
        <v>702</v>
      </c>
      <c r="K335" s="151" t="s">
        <v>2791</v>
      </c>
      <c r="L335" s="151" t="s">
        <v>3384</v>
      </c>
      <c r="M335" s="151" t="s">
        <v>361</v>
      </c>
      <c r="N335" s="341" t="s">
        <v>3389</v>
      </c>
      <c r="O335" s="151">
        <v>672293</v>
      </c>
      <c r="P335" s="151"/>
      <c r="Q335" s="151"/>
      <c r="R335" s="151" t="s">
        <v>2177</v>
      </c>
      <c r="S335" s="151" t="s">
        <v>361</v>
      </c>
      <c r="T335" s="151" t="s">
        <v>2191</v>
      </c>
      <c r="U335" s="151" t="s">
        <v>2179</v>
      </c>
      <c r="V335" s="151">
        <v>100</v>
      </c>
      <c r="W335" s="151" t="s">
        <v>2185</v>
      </c>
      <c r="X335" s="151" t="s">
        <v>431</v>
      </c>
      <c r="Y335" s="151" t="s">
        <v>2179</v>
      </c>
      <c r="Z335" s="151" t="s">
        <v>3386</v>
      </c>
      <c r="AA335" s="151" t="s">
        <v>3387</v>
      </c>
      <c r="AB335" s="151" t="s">
        <v>855</v>
      </c>
      <c r="AC335" s="342"/>
    </row>
    <row r="336" spans="1:29" ht="75">
      <c r="A336" s="151" t="s">
        <v>2895</v>
      </c>
      <c r="B336" s="151" t="s">
        <v>2792</v>
      </c>
      <c r="C336" s="151" t="s">
        <v>2750</v>
      </c>
      <c r="D336" s="151" t="s">
        <v>17</v>
      </c>
      <c r="E336" s="151" t="s">
        <v>2793</v>
      </c>
      <c r="F336" s="151" t="s">
        <v>2527</v>
      </c>
      <c r="G336" s="151" t="s">
        <v>2173</v>
      </c>
      <c r="H336" s="151" t="s">
        <v>1274</v>
      </c>
      <c r="I336" s="151" t="s">
        <v>1184</v>
      </c>
      <c r="J336" s="151" t="s">
        <v>702</v>
      </c>
      <c r="K336" s="151" t="s">
        <v>2794</v>
      </c>
      <c r="L336" s="151" t="s">
        <v>3384</v>
      </c>
      <c r="M336" s="151" t="s">
        <v>361</v>
      </c>
      <c r="N336" s="341" t="s">
        <v>3390</v>
      </c>
      <c r="O336" s="151">
        <v>672293</v>
      </c>
      <c r="P336" s="151"/>
      <c r="Q336" s="151"/>
      <c r="R336" s="151" t="s">
        <v>2177</v>
      </c>
      <c r="S336" s="151" t="s">
        <v>361</v>
      </c>
      <c r="T336" s="151" t="s">
        <v>435</v>
      </c>
      <c r="U336" s="151" t="s">
        <v>2179</v>
      </c>
      <c r="V336" s="151">
        <v>100</v>
      </c>
      <c r="W336" s="151" t="s">
        <v>2185</v>
      </c>
      <c r="X336" s="151" t="s">
        <v>431</v>
      </c>
      <c r="Y336" s="151" t="s">
        <v>2179</v>
      </c>
      <c r="Z336" s="151"/>
      <c r="AA336" s="151"/>
      <c r="AB336" s="151" t="s">
        <v>855</v>
      </c>
      <c r="AC336" s="342"/>
    </row>
    <row r="337" spans="1:29" ht="90">
      <c r="A337" s="151" t="s">
        <v>2895</v>
      </c>
      <c r="B337" s="151" t="s">
        <v>2795</v>
      </c>
      <c r="C337" s="151" t="s">
        <v>2750</v>
      </c>
      <c r="D337" s="151" t="s">
        <v>17</v>
      </c>
      <c r="E337" s="151" t="s">
        <v>2796</v>
      </c>
      <c r="F337" s="151" t="s">
        <v>2527</v>
      </c>
      <c r="G337" s="151" t="s">
        <v>2173</v>
      </c>
      <c r="H337" s="151" t="s">
        <v>1274</v>
      </c>
      <c r="I337" s="151" t="s">
        <v>1184</v>
      </c>
      <c r="J337" s="151" t="s">
        <v>702</v>
      </c>
      <c r="K337" s="151" t="s">
        <v>2797</v>
      </c>
      <c r="L337" s="151" t="s">
        <v>3384</v>
      </c>
      <c r="M337" s="151" t="s">
        <v>361</v>
      </c>
      <c r="N337" s="341" t="s">
        <v>3391</v>
      </c>
      <c r="O337" s="151">
        <v>672293</v>
      </c>
      <c r="P337" s="151"/>
      <c r="Q337" s="151"/>
      <c r="R337" s="151" t="s">
        <v>2177</v>
      </c>
      <c r="S337" s="151" t="s">
        <v>361</v>
      </c>
      <c r="T337" s="151" t="s">
        <v>435</v>
      </c>
      <c r="U337" s="151" t="s">
        <v>2179</v>
      </c>
      <c r="V337" s="151">
        <v>50</v>
      </c>
      <c r="W337" s="151" t="s">
        <v>2180</v>
      </c>
      <c r="X337" s="151" t="s">
        <v>431</v>
      </c>
      <c r="Y337" s="151" t="s">
        <v>2179</v>
      </c>
      <c r="Z337" s="151"/>
      <c r="AA337" s="151"/>
      <c r="AB337" s="151" t="s">
        <v>855</v>
      </c>
      <c r="AC337" s="342"/>
    </row>
    <row r="338" spans="1:29" ht="75">
      <c r="A338" s="151" t="s">
        <v>2895</v>
      </c>
      <c r="B338" s="151" t="s">
        <v>2798</v>
      </c>
      <c r="C338" s="151" t="s">
        <v>2750</v>
      </c>
      <c r="D338" s="151" t="s">
        <v>17</v>
      </c>
      <c r="E338" s="151" t="s">
        <v>2799</v>
      </c>
      <c r="F338" s="151" t="s">
        <v>2527</v>
      </c>
      <c r="G338" s="151" t="s">
        <v>2173</v>
      </c>
      <c r="H338" s="151" t="s">
        <v>1274</v>
      </c>
      <c r="I338" s="151" t="s">
        <v>1184</v>
      </c>
      <c r="J338" s="151" t="s">
        <v>702</v>
      </c>
      <c r="K338" s="151" t="s">
        <v>2800</v>
      </c>
      <c r="L338" s="151" t="s">
        <v>3384</v>
      </c>
      <c r="M338" s="151" t="s">
        <v>361</v>
      </c>
      <c r="N338" s="341" t="s">
        <v>3392</v>
      </c>
      <c r="O338" s="151">
        <v>672293</v>
      </c>
      <c r="P338" s="151"/>
      <c r="Q338" s="151"/>
      <c r="R338" s="151" t="s">
        <v>2177</v>
      </c>
      <c r="S338" s="151" t="s">
        <v>361</v>
      </c>
      <c r="T338" s="151" t="s">
        <v>435</v>
      </c>
      <c r="U338" s="151" t="s">
        <v>2179</v>
      </c>
      <c r="V338" s="151">
        <v>50</v>
      </c>
      <c r="W338" s="151" t="s">
        <v>2180</v>
      </c>
      <c r="X338" s="151" t="s">
        <v>431</v>
      </c>
      <c r="Y338" s="151" t="s">
        <v>2179</v>
      </c>
      <c r="Z338" s="151"/>
      <c r="AA338" s="151"/>
      <c r="AB338" s="151" t="s">
        <v>855</v>
      </c>
      <c r="AC338" s="342"/>
    </row>
    <row r="339" spans="1:29" ht="165">
      <c r="A339" s="151" t="s">
        <v>2895</v>
      </c>
      <c r="B339" s="151" t="s">
        <v>2801</v>
      </c>
      <c r="C339" s="151" t="s">
        <v>2750</v>
      </c>
      <c r="D339" s="151" t="s">
        <v>17</v>
      </c>
      <c r="E339" s="151" t="s">
        <v>2802</v>
      </c>
      <c r="F339" s="151" t="s">
        <v>2527</v>
      </c>
      <c r="G339" s="151" t="s">
        <v>2173</v>
      </c>
      <c r="H339" s="151" t="s">
        <v>1274</v>
      </c>
      <c r="I339" s="151" t="s">
        <v>1184</v>
      </c>
      <c r="J339" s="151" t="s">
        <v>702</v>
      </c>
      <c r="K339" s="151" t="s">
        <v>2803</v>
      </c>
      <c r="L339" s="151" t="s">
        <v>3384</v>
      </c>
      <c r="M339" s="151" t="s">
        <v>361</v>
      </c>
      <c r="N339" s="341" t="s">
        <v>3393</v>
      </c>
      <c r="O339" s="151">
        <v>375</v>
      </c>
      <c r="P339" s="151"/>
      <c r="Q339" s="151"/>
      <c r="R339" s="151" t="s">
        <v>2177</v>
      </c>
      <c r="S339" s="433" t="s">
        <v>3394</v>
      </c>
      <c r="T339" s="151" t="s">
        <v>2191</v>
      </c>
      <c r="U339" s="151" t="s">
        <v>2179</v>
      </c>
      <c r="V339" s="151">
        <v>50</v>
      </c>
      <c r="W339" s="151" t="s">
        <v>2180</v>
      </c>
      <c r="X339" s="151" t="s">
        <v>431</v>
      </c>
      <c r="Y339" s="151" t="s">
        <v>2179</v>
      </c>
      <c r="Z339" s="151" t="s">
        <v>3395</v>
      </c>
      <c r="AA339" s="151" t="s">
        <v>3396</v>
      </c>
      <c r="AB339" s="151" t="s">
        <v>855</v>
      </c>
      <c r="AC339" s="342"/>
    </row>
    <row r="340" spans="1:29" ht="75">
      <c r="A340" s="151" t="s">
        <v>2895</v>
      </c>
      <c r="B340" s="151" t="s">
        <v>2806</v>
      </c>
      <c r="C340" s="151" t="s">
        <v>2750</v>
      </c>
      <c r="D340" s="151" t="s">
        <v>17</v>
      </c>
      <c r="E340" s="151" t="s">
        <v>2807</v>
      </c>
      <c r="F340" s="151" t="s">
        <v>2527</v>
      </c>
      <c r="G340" s="151" t="s">
        <v>2173</v>
      </c>
      <c r="H340" s="151" t="s">
        <v>1274</v>
      </c>
      <c r="I340" s="151" t="s">
        <v>1184</v>
      </c>
      <c r="J340" s="151" t="s">
        <v>702</v>
      </c>
      <c r="K340" s="151" t="s">
        <v>2808</v>
      </c>
      <c r="L340" s="151" t="s">
        <v>3384</v>
      </c>
      <c r="M340" s="151" t="s">
        <v>361</v>
      </c>
      <c r="N340" s="341" t="s">
        <v>3397</v>
      </c>
      <c r="O340" s="151">
        <v>672293</v>
      </c>
      <c r="P340" s="151"/>
      <c r="Q340" s="151"/>
      <c r="R340" s="151" t="s">
        <v>2177</v>
      </c>
      <c r="S340" s="151" t="s">
        <v>361</v>
      </c>
      <c r="T340" s="151" t="s">
        <v>435</v>
      </c>
      <c r="U340" s="151" t="s">
        <v>2179</v>
      </c>
      <c r="V340" s="151">
        <v>50</v>
      </c>
      <c r="W340" s="151" t="s">
        <v>2180</v>
      </c>
      <c r="X340" s="151" t="s">
        <v>431</v>
      </c>
      <c r="Y340" s="151" t="s">
        <v>2179</v>
      </c>
      <c r="Z340" s="151"/>
      <c r="AA340" s="151"/>
      <c r="AB340" s="151" t="s">
        <v>855</v>
      </c>
      <c r="AC340" s="342"/>
    </row>
    <row r="341" spans="1:29" ht="75">
      <c r="A341" s="151" t="s">
        <v>2895</v>
      </c>
      <c r="B341" s="151" t="s">
        <v>2809</v>
      </c>
      <c r="C341" s="151" t="s">
        <v>2750</v>
      </c>
      <c r="D341" s="151" t="s">
        <v>17</v>
      </c>
      <c r="E341" s="151" t="s">
        <v>2810</v>
      </c>
      <c r="F341" s="151" t="s">
        <v>2527</v>
      </c>
      <c r="G341" s="151" t="s">
        <v>2173</v>
      </c>
      <c r="H341" s="151" t="s">
        <v>1274</v>
      </c>
      <c r="I341" s="151" t="s">
        <v>1184</v>
      </c>
      <c r="J341" s="151" t="s">
        <v>702</v>
      </c>
      <c r="K341" s="151" t="s">
        <v>2811</v>
      </c>
      <c r="L341" s="151" t="s">
        <v>3384</v>
      </c>
      <c r="M341" s="151" t="s">
        <v>361</v>
      </c>
      <c r="N341" s="341" t="s">
        <v>3398</v>
      </c>
      <c r="O341" s="151">
        <v>672293</v>
      </c>
      <c r="P341" s="151"/>
      <c r="Q341" s="151"/>
      <c r="R341" s="151" t="s">
        <v>2177</v>
      </c>
      <c r="S341" s="151" t="s">
        <v>361</v>
      </c>
      <c r="T341" s="151" t="s">
        <v>435</v>
      </c>
      <c r="U341" s="151" t="s">
        <v>2179</v>
      </c>
      <c r="V341" s="151">
        <v>200</v>
      </c>
      <c r="W341" s="151" t="s">
        <v>2503</v>
      </c>
      <c r="X341" s="151" t="s">
        <v>431</v>
      </c>
      <c r="Y341" s="151" t="s">
        <v>2179</v>
      </c>
      <c r="Z341" s="151"/>
      <c r="AA341" s="151"/>
      <c r="AB341" s="151" t="s">
        <v>855</v>
      </c>
      <c r="AC341" s="342"/>
    </row>
    <row r="342" spans="1:29" ht="60">
      <c r="A342" s="151" t="s">
        <v>2895</v>
      </c>
      <c r="B342" s="151" t="s">
        <v>2812</v>
      </c>
      <c r="C342" s="151" t="s">
        <v>2750</v>
      </c>
      <c r="D342" s="151" t="s">
        <v>17</v>
      </c>
      <c r="E342" s="151" t="s">
        <v>2813</v>
      </c>
      <c r="F342" s="151" t="s">
        <v>2527</v>
      </c>
      <c r="G342" s="151" t="s">
        <v>2173</v>
      </c>
      <c r="H342" s="151" t="s">
        <v>1274</v>
      </c>
      <c r="I342" s="151" t="s">
        <v>1184</v>
      </c>
      <c r="J342" s="151" t="s">
        <v>702</v>
      </c>
      <c r="K342" s="151" t="s">
        <v>2814</v>
      </c>
      <c r="L342" s="151" t="s">
        <v>3384</v>
      </c>
      <c r="M342" s="151" t="s">
        <v>361</v>
      </c>
      <c r="N342" s="341" t="s">
        <v>3399</v>
      </c>
      <c r="O342" s="151">
        <v>672293</v>
      </c>
      <c r="P342" s="151"/>
      <c r="Q342" s="151"/>
      <c r="R342" s="151" t="s">
        <v>2177</v>
      </c>
      <c r="S342" s="151" t="s">
        <v>361</v>
      </c>
      <c r="T342" s="151" t="s">
        <v>435</v>
      </c>
      <c r="U342" s="151" t="s">
        <v>2179</v>
      </c>
      <c r="V342" s="151">
        <v>100</v>
      </c>
      <c r="W342" s="151" t="s">
        <v>2185</v>
      </c>
      <c r="X342" s="151" t="s">
        <v>431</v>
      </c>
      <c r="Y342" s="151" t="s">
        <v>2179</v>
      </c>
      <c r="Z342" s="151"/>
      <c r="AA342" s="151"/>
      <c r="AB342" s="151" t="s">
        <v>855</v>
      </c>
      <c r="AC342" s="342"/>
    </row>
    <row r="343" spans="1:29" ht="150">
      <c r="A343" s="151" t="s">
        <v>2895</v>
      </c>
      <c r="B343" s="151" t="s">
        <v>2815</v>
      </c>
      <c r="C343" s="151" t="s">
        <v>2750</v>
      </c>
      <c r="D343" s="151" t="s">
        <v>17</v>
      </c>
      <c r="E343" s="151" t="s">
        <v>2816</v>
      </c>
      <c r="F343" s="151" t="s">
        <v>2527</v>
      </c>
      <c r="G343" s="151" t="s">
        <v>2173</v>
      </c>
      <c r="H343" s="151" t="s">
        <v>1274</v>
      </c>
      <c r="I343" s="151" t="s">
        <v>1184</v>
      </c>
      <c r="J343" s="151" t="s">
        <v>702</v>
      </c>
      <c r="K343" s="151" t="s">
        <v>2817</v>
      </c>
      <c r="L343" s="151" t="s">
        <v>3384</v>
      </c>
      <c r="M343" s="151" t="s">
        <v>361</v>
      </c>
      <c r="N343" s="341" t="s">
        <v>3400</v>
      </c>
      <c r="O343" s="151">
        <v>453156</v>
      </c>
      <c r="P343" s="151"/>
      <c r="Q343" s="151"/>
      <c r="R343" s="151" t="s">
        <v>2177</v>
      </c>
      <c r="S343" s="433" t="s">
        <v>3401</v>
      </c>
      <c r="T343" s="151" t="s">
        <v>435</v>
      </c>
      <c r="U343" s="151" t="s">
        <v>2179</v>
      </c>
      <c r="V343" s="151">
        <v>200</v>
      </c>
      <c r="W343" s="151" t="s">
        <v>2503</v>
      </c>
      <c r="X343" s="151" t="s">
        <v>431</v>
      </c>
      <c r="Y343" s="151" t="s">
        <v>2179</v>
      </c>
      <c r="Z343" s="151"/>
      <c r="AA343" s="151"/>
      <c r="AB343" s="151" t="s">
        <v>855</v>
      </c>
      <c r="AC343" s="342"/>
    </row>
    <row r="344" spans="1:29" ht="150">
      <c r="A344" s="151" t="s">
        <v>2895</v>
      </c>
      <c r="B344" s="151" t="s">
        <v>2818</v>
      </c>
      <c r="C344" s="151" t="s">
        <v>2750</v>
      </c>
      <c r="D344" s="151" t="s">
        <v>17</v>
      </c>
      <c r="E344" s="151" t="s">
        <v>2819</v>
      </c>
      <c r="F344" s="151" t="s">
        <v>2527</v>
      </c>
      <c r="G344" s="151" t="s">
        <v>2173</v>
      </c>
      <c r="H344" s="151" t="s">
        <v>1274</v>
      </c>
      <c r="I344" s="151" t="s">
        <v>1184</v>
      </c>
      <c r="J344" s="151" t="s">
        <v>702</v>
      </c>
      <c r="K344" s="151" t="s">
        <v>2820</v>
      </c>
      <c r="L344" s="151" t="s">
        <v>3384</v>
      </c>
      <c r="M344" s="151" t="s">
        <v>361</v>
      </c>
      <c r="N344" s="341" t="s">
        <v>3402</v>
      </c>
      <c r="O344" s="151">
        <v>157460</v>
      </c>
      <c r="P344" s="151"/>
      <c r="Q344" s="151"/>
      <c r="R344" s="151" t="s">
        <v>2177</v>
      </c>
      <c r="S344" s="486" t="s">
        <v>3403</v>
      </c>
      <c r="T344" s="151" t="s">
        <v>435</v>
      </c>
      <c r="U344" s="151" t="s">
        <v>2179</v>
      </c>
      <c r="V344" s="151">
        <v>200</v>
      </c>
      <c r="W344" s="151" t="s">
        <v>2503</v>
      </c>
      <c r="X344" s="151" t="s">
        <v>431</v>
      </c>
      <c r="Y344" s="151" t="s">
        <v>2179</v>
      </c>
      <c r="Z344" s="151"/>
      <c r="AA344" s="151"/>
      <c r="AB344" s="151" t="s">
        <v>855</v>
      </c>
      <c r="AC344" s="342"/>
    </row>
    <row r="345" spans="1:29" ht="150">
      <c r="A345" s="151" t="s">
        <v>2895</v>
      </c>
      <c r="B345" s="151" t="s">
        <v>2821</v>
      </c>
      <c r="C345" s="151" t="s">
        <v>2750</v>
      </c>
      <c r="D345" s="151" t="s">
        <v>17</v>
      </c>
      <c r="E345" s="151" t="s">
        <v>2822</v>
      </c>
      <c r="F345" s="151" t="s">
        <v>2527</v>
      </c>
      <c r="G345" s="151" t="s">
        <v>2173</v>
      </c>
      <c r="H345" s="151" t="s">
        <v>1274</v>
      </c>
      <c r="I345" s="151" t="s">
        <v>1184</v>
      </c>
      <c r="J345" s="151" t="s">
        <v>702</v>
      </c>
      <c r="K345" s="151" t="s">
        <v>3404</v>
      </c>
      <c r="L345" s="151" t="s">
        <v>3384</v>
      </c>
      <c r="M345" s="151" t="s">
        <v>361</v>
      </c>
      <c r="N345" s="341" t="s">
        <v>3405</v>
      </c>
      <c r="O345" s="151">
        <v>453153</v>
      </c>
      <c r="P345" s="151"/>
      <c r="Q345" s="151"/>
      <c r="R345" s="151" t="s">
        <v>2177</v>
      </c>
      <c r="S345" s="486" t="s">
        <v>3406</v>
      </c>
      <c r="T345" s="151" t="s">
        <v>435</v>
      </c>
      <c r="U345" s="151" t="s">
        <v>2179</v>
      </c>
      <c r="V345" s="151">
        <v>100</v>
      </c>
      <c r="W345" s="151" t="s">
        <v>2185</v>
      </c>
      <c r="X345" s="151" t="s">
        <v>431</v>
      </c>
      <c r="Y345" s="151" t="s">
        <v>2179</v>
      </c>
      <c r="Z345" s="151"/>
      <c r="AA345" s="151"/>
      <c r="AB345" s="151" t="s">
        <v>855</v>
      </c>
      <c r="AC345" s="342"/>
    </row>
    <row r="346" spans="1:29" ht="90">
      <c r="A346" s="151" t="s">
        <v>2895</v>
      </c>
      <c r="B346" s="151" t="s">
        <v>2824</v>
      </c>
      <c r="C346" s="151" t="s">
        <v>2750</v>
      </c>
      <c r="D346" s="151" t="s">
        <v>17</v>
      </c>
      <c r="E346" s="151" t="s">
        <v>2825</v>
      </c>
      <c r="F346" s="151" t="s">
        <v>2527</v>
      </c>
      <c r="G346" s="151" t="s">
        <v>2173</v>
      </c>
      <c r="H346" s="151" t="s">
        <v>1274</v>
      </c>
      <c r="I346" s="151" t="s">
        <v>1184</v>
      </c>
      <c r="J346" s="151" t="s">
        <v>702</v>
      </c>
      <c r="K346" s="151" t="s">
        <v>2826</v>
      </c>
      <c r="L346" s="151" t="s">
        <v>3384</v>
      </c>
      <c r="M346" s="151" t="s">
        <v>361</v>
      </c>
      <c r="N346" s="341" t="s">
        <v>3407</v>
      </c>
      <c r="O346" s="151">
        <v>672293</v>
      </c>
      <c r="P346" s="151"/>
      <c r="Q346" s="151"/>
      <c r="R346" s="151" t="s">
        <v>2177</v>
      </c>
      <c r="S346" s="151" t="s">
        <v>361</v>
      </c>
      <c r="T346" s="151" t="s">
        <v>2279</v>
      </c>
      <c r="U346" s="151" t="s">
        <v>2400</v>
      </c>
      <c r="V346" s="151">
        <v>8</v>
      </c>
      <c r="W346" s="151" t="s">
        <v>2400</v>
      </c>
      <c r="X346" s="151" t="s">
        <v>2400</v>
      </c>
      <c r="Y346" s="151" t="s">
        <v>2400</v>
      </c>
      <c r="Z346" s="151"/>
      <c r="AA346" s="151"/>
      <c r="AB346" s="151" t="s">
        <v>855</v>
      </c>
      <c r="AC346" s="342"/>
    </row>
    <row r="347" spans="1:29" ht="75">
      <c r="A347" s="151" t="s">
        <v>2895</v>
      </c>
      <c r="B347" s="151" t="s">
        <v>2827</v>
      </c>
      <c r="C347" s="151" t="s">
        <v>2750</v>
      </c>
      <c r="D347" s="151" t="s">
        <v>17</v>
      </c>
      <c r="E347" s="151" t="s">
        <v>2828</v>
      </c>
      <c r="F347" s="151" t="s">
        <v>2527</v>
      </c>
      <c r="G347" s="151" t="s">
        <v>2173</v>
      </c>
      <c r="H347" s="151" t="s">
        <v>1274</v>
      </c>
      <c r="I347" s="151" t="s">
        <v>1184</v>
      </c>
      <c r="J347" s="151" t="s">
        <v>702</v>
      </c>
      <c r="K347" s="151" t="s">
        <v>2829</v>
      </c>
      <c r="L347" s="151" t="s">
        <v>3384</v>
      </c>
      <c r="M347" s="151" t="s">
        <v>361</v>
      </c>
      <c r="N347" s="341" t="s">
        <v>3408</v>
      </c>
      <c r="O347" s="151">
        <v>672293</v>
      </c>
      <c r="P347" s="151"/>
      <c r="Q347" s="151"/>
      <c r="R347" s="151" t="s">
        <v>2177</v>
      </c>
      <c r="S347" s="151" t="s">
        <v>361</v>
      </c>
      <c r="T347" s="151" t="s">
        <v>2191</v>
      </c>
      <c r="U347" s="151" t="s">
        <v>2179</v>
      </c>
      <c r="V347" s="151">
        <v>50</v>
      </c>
      <c r="W347" s="151" t="s">
        <v>2180</v>
      </c>
      <c r="X347" s="151" t="s">
        <v>431</v>
      </c>
      <c r="Y347" s="151" t="s">
        <v>2179</v>
      </c>
      <c r="Z347" s="151" t="s">
        <v>2305</v>
      </c>
      <c r="AA347" s="151" t="s">
        <v>2305</v>
      </c>
      <c r="AB347" s="151" t="s">
        <v>855</v>
      </c>
      <c r="AC347" s="342"/>
    </row>
    <row r="348" spans="1:29" ht="180">
      <c r="A348" s="151" t="s">
        <v>2895</v>
      </c>
      <c r="B348" s="151" t="s">
        <v>2830</v>
      </c>
      <c r="C348" s="151" t="s">
        <v>2750</v>
      </c>
      <c r="D348" s="151" t="s">
        <v>17</v>
      </c>
      <c r="E348" s="151" t="s">
        <v>2831</v>
      </c>
      <c r="F348" s="151" t="s">
        <v>2527</v>
      </c>
      <c r="G348" s="151" t="s">
        <v>2173</v>
      </c>
      <c r="H348" s="151" t="s">
        <v>1274</v>
      </c>
      <c r="I348" s="151" t="s">
        <v>1184</v>
      </c>
      <c r="J348" s="151" t="s">
        <v>702</v>
      </c>
      <c r="K348" s="151" t="s">
        <v>2832</v>
      </c>
      <c r="L348" s="151" t="s">
        <v>3384</v>
      </c>
      <c r="M348" s="151" t="s">
        <v>361</v>
      </c>
      <c r="N348" s="341" t="s">
        <v>3409</v>
      </c>
      <c r="O348" s="151">
        <v>2</v>
      </c>
      <c r="P348" s="151"/>
      <c r="Q348" s="151"/>
      <c r="R348" s="151" t="s">
        <v>2177</v>
      </c>
      <c r="S348" s="433" t="s">
        <v>3410</v>
      </c>
      <c r="T348" s="151" t="s">
        <v>2191</v>
      </c>
      <c r="U348" s="151" t="s">
        <v>2179</v>
      </c>
      <c r="V348" s="151">
        <v>200</v>
      </c>
      <c r="W348" s="151" t="s">
        <v>2503</v>
      </c>
      <c r="X348" s="151" t="s">
        <v>431</v>
      </c>
      <c r="Y348" s="151" t="s">
        <v>2179</v>
      </c>
      <c r="Z348" s="151" t="s">
        <v>3411</v>
      </c>
      <c r="AA348" s="151" t="s">
        <v>2834</v>
      </c>
      <c r="AB348" s="151" t="s">
        <v>855</v>
      </c>
      <c r="AC348" s="342"/>
    </row>
    <row r="349" spans="1:29" ht="75">
      <c r="A349" s="151" t="s">
        <v>2895</v>
      </c>
      <c r="B349" s="151" t="s">
        <v>2835</v>
      </c>
      <c r="C349" s="151" t="s">
        <v>2750</v>
      </c>
      <c r="D349" s="151" t="s">
        <v>17</v>
      </c>
      <c r="E349" s="151" t="s">
        <v>2836</v>
      </c>
      <c r="F349" s="151" t="s">
        <v>2527</v>
      </c>
      <c r="G349" s="151" t="s">
        <v>2173</v>
      </c>
      <c r="H349" s="151" t="s">
        <v>1274</v>
      </c>
      <c r="I349" s="151" t="s">
        <v>1184</v>
      </c>
      <c r="J349" s="151" t="s">
        <v>702</v>
      </c>
      <c r="K349" s="151" t="s">
        <v>2837</v>
      </c>
      <c r="L349" s="151" t="s">
        <v>3384</v>
      </c>
      <c r="M349" s="151" t="s">
        <v>361</v>
      </c>
      <c r="N349" s="341" t="s">
        <v>3412</v>
      </c>
      <c r="O349" s="151">
        <v>672293</v>
      </c>
      <c r="P349" s="151"/>
      <c r="Q349" s="151"/>
      <c r="R349" s="151" t="s">
        <v>2177</v>
      </c>
      <c r="S349" s="151" t="s">
        <v>361</v>
      </c>
      <c r="T349" s="151" t="s">
        <v>2191</v>
      </c>
      <c r="U349" s="151" t="s">
        <v>2179</v>
      </c>
      <c r="V349" s="151">
        <v>50</v>
      </c>
      <c r="W349" s="151" t="s">
        <v>2180</v>
      </c>
      <c r="X349" s="151" t="s">
        <v>431</v>
      </c>
      <c r="Y349" s="151" t="s">
        <v>2179</v>
      </c>
      <c r="Z349" s="151" t="s">
        <v>2305</v>
      </c>
      <c r="AA349" s="151" t="s">
        <v>2305</v>
      </c>
      <c r="AB349" s="151" t="s">
        <v>855</v>
      </c>
      <c r="AC349" s="342"/>
    </row>
    <row r="350" spans="1:29" ht="195">
      <c r="A350" s="151" t="s">
        <v>2895</v>
      </c>
      <c r="B350" s="151" t="s">
        <v>2838</v>
      </c>
      <c r="C350" s="151" t="s">
        <v>2750</v>
      </c>
      <c r="D350" s="151" t="s">
        <v>17</v>
      </c>
      <c r="E350" s="151" t="s">
        <v>2839</v>
      </c>
      <c r="F350" s="151" t="s">
        <v>2527</v>
      </c>
      <c r="G350" s="151" t="s">
        <v>2173</v>
      </c>
      <c r="H350" s="151" t="s">
        <v>1274</v>
      </c>
      <c r="I350" s="151" t="s">
        <v>1184</v>
      </c>
      <c r="J350" s="151" t="s">
        <v>702</v>
      </c>
      <c r="K350" s="151" t="s">
        <v>2840</v>
      </c>
      <c r="L350" s="151" t="s">
        <v>3384</v>
      </c>
      <c r="M350" s="151" t="s">
        <v>361</v>
      </c>
      <c r="N350" s="341" t="s">
        <v>3413</v>
      </c>
      <c r="O350" s="151">
        <v>5275</v>
      </c>
      <c r="P350" s="151"/>
      <c r="Q350" s="151"/>
      <c r="R350" s="151" t="s">
        <v>2177</v>
      </c>
      <c r="S350" s="433" t="s">
        <v>3414</v>
      </c>
      <c r="T350" s="151" t="s">
        <v>2191</v>
      </c>
      <c r="U350" s="151" t="s">
        <v>2179</v>
      </c>
      <c r="V350" s="151">
        <v>200</v>
      </c>
      <c r="W350" s="151" t="s">
        <v>2503</v>
      </c>
      <c r="X350" s="151" t="s">
        <v>431</v>
      </c>
      <c r="Y350" s="151" t="s">
        <v>2179</v>
      </c>
      <c r="Z350" s="151" t="s">
        <v>2841</v>
      </c>
      <c r="AA350" s="151" t="s">
        <v>2842</v>
      </c>
      <c r="AB350" s="151" t="s">
        <v>855</v>
      </c>
      <c r="AC350" s="342"/>
    </row>
    <row r="351" spans="1:29" ht="195">
      <c r="A351" s="151" t="s">
        <v>2895</v>
      </c>
      <c r="B351" s="151" t="s">
        <v>2843</v>
      </c>
      <c r="C351" s="151" t="s">
        <v>2750</v>
      </c>
      <c r="D351" s="151" t="s">
        <v>17</v>
      </c>
      <c r="E351" s="151" t="s">
        <v>2844</v>
      </c>
      <c r="F351" s="151" t="s">
        <v>2527</v>
      </c>
      <c r="G351" s="151" t="s">
        <v>2173</v>
      </c>
      <c r="H351" s="151" t="s">
        <v>1274</v>
      </c>
      <c r="I351" s="151" t="s">
        <v>1184</v>
      </c>
      <c r="J351" s="151" t="s">
        <v>702</v>
      </c>
      <c r="K351" s="151" t="s">
        <v>2845</v>
      </c>
      <c r="L351" s="151" t="s">
        <v>3384</v>
      </c>
      <c r="M351" s="151" t="s">
        <v>361</v>
      </c>
      <c r="N351" s="341" t="s">
        <v>3415</v>
      </c>
      <c r="O351" s="151">
        <v>5276</v>
      </c>
      <c r="P351" s="151"/>
      <c r="Q351" s="151"/>
      <c r="R351" s="151" t="s">
        <v>2177</v>
      </c>
      <c r="S351" s="486" t="s">
        <v>3416</v>
      </c>
      <c r="T351" s="151" t="s">
        <v>435</v>
      </c>
      <c r="U351" s="151" t="s">
        <v>2179</v>
      </c>
      <c r="V351" s="151">
        <v>50</v>
      </c>
      <c r="W351" s="151" t="s">
        <v>2180</v>
      </c>
      <c r="X351" s="151" t="s">
        <v>431</v>
      </c>
      <c r="Y351" s="151" t="s">
        <v>2179</v>
      </c>
      <c r="Z351" s="151"/>
      <c r="AA351" s="151"/>
      <c r="AB351" s="151" t="s">
        <v>855</v>
      </c>
      <c r="AC351" s="342"/>
    </row>
    <row r="352" spans="1:29">
      <c r="A352" s="151" t="s">
        <v>2895</v>
      </c>
      <c r="B352" s="151" t="s">
        <v>2749</v>
      </c>
      <c r="C352" s="151" t="s">
        <v>2846</v>
      </c>
      <c r="D352" s="151" t="s">
        <v>17</v>
      </c>
      <c r="E352" s="151" t="s">
        <v>3417</v>
      </c>
      <c r="F352" s="151" t="s">
        <v>2527</v>
      </c>
      <c r="G352" s="151" t="s">
        <v>2173</v>
      </c>
      <c r="H352" s="151" t="s">
        <v>1274</v>
      </c>
      <c r="I352" s="151" t="s">
        <v>1184</v>
      </c>
      <c r="J352" s="151" t="s">
        <v>603</v>
      </c>
      <c r="K352" s="151" t="s">
        <v>2848</v>
      </c>
      <c r="L352" s="151" t="s">
        <v>3418</v>
      </c>
      <c r="M352" s="151" t="s">
        <v>361</v>
      </c>
      <c r="N352" s="151" t="s">
        <v>3419</v>
      </c>
      <c r="O352" s="151">
        <v>5027680</v>
      </c>
      <c r="P352" s="151"/>
      <c r="Q352" s="151"/>
      <c r="R352" s="151"/>
      <c r="S352" s="151"/>
      <c r="T352" s="151"/>
      <c r="U352" s="151"/>
      <c r="V352" s="151"/>
      <c r="W352" s="151"/>
      <c r="X352" s="151"/>
      <c r="Y352" s="151"/>
      <c r="Z352" s="151"/>
      <c r="AA352" s="151"/>
      <c r="AB352" s="151"/>
      <c r="AC352" s="342"/>
    </row>
    <row r="353" spans="1:29">
      <c r="A353" s="151" t="s">
        <v>2895</v>
      </c>
      <c r="B353" s="151" t="s">
        <v>2849</v>
      </c>
      <c r="C353" s="151" t="s">
        <v>2846</v>
      </c>
      <c r="D353" s="151" t="s">
        <v>17</v>
      </c>
      <c r="E353" s="151" t="s">
        <v>2850</v>
      </c>
      <c r="F353" s="151" t="s">
        <v>2527</v>
      </c>
      <c r="G353" s="151" t="s">
        <v>2173</v>
      </c>
      <c r="H353" s="151" t="s">
        <v>1274</v>
      </c>
      <c r="I353" s="151" t="s">
        <v>1184</v>
      </c>
      <c r="J353" s="151" t="s">
        <v>603</v>
      </c>
      <c r="K353" s="151" t="s">
        <v>3420</v>
      </c>
      <c r="L353" s="151" t="s">
        <v>2908</v>
      </c>
      <c r="M353" s="151" t="s">
        <v>361</v>
      </c>
      <c r="N353" s="151" t="s">
        <v>3421</v>
      </c>
      <c r="O353" s="151"/>
      <c r="P353" s="151"/>
      <c r="Q353" s="151"/>
      <c r="R353" s="151" t="s">
        <v>2177</v>
      </c>
      <c r="S353" s="151" t="s">
        <v>361</v>
      </c>
      <c r="T353" s="151" t="s">
        <v>2191</v>
      </c>
      <c r="U353" s="151" t="s">
        <v>2179</v>
      </c>
      <c r="V353" s="151">
        <v>20</v>
      </c>
      <c r="W353" s="151" t="s">
        <v>2615</v>
      </c>
      <c r="X353" s="151" t="s">
        <v>431</v>
      </c>
      <c r="Y353" s="151" t="s">
        <v>2179</v>
      </c>
      <c r="Z353" s="151"/>
      <c r="AA353" s="151"/>
      <c r="AB353" s="151" t="s">
        <v>855</v>
      </c>
      <c r="AC353" s="342"/>
    </row>
    <row r="354" spans="1:29">
      <c r="A354" s="151" t="s">
        <v>2895</v>
      </c>
      <c r="B354" s="151" t="s">
        <v>2852</v>
      </c>
      <c r="C354" s="151" t="s">
        <v>2846</v>
      </c>
      <c r="D354" s="151" t="s">
        <v>17</v>
      </c>
      <c r="E354" s="151" t="s">
        <v>2853</v>
      </c>
      <c r="F354" s="151" t="s">
        <v>2527</v>
      </c>
      <c r="G354" s="151" t="s">
        <v>2173</v>
      </c>
      <c r="H354" s="151" t="s">
        <v>1274</v>
      </c>
      <c r="I354" s="151" t="s">
        <v>1184</v>
      </c>
      <c r="J354" s="151" t="s">
        <v>603</v>
      </c>
      <c r="K354" s="151" t="s">
        <v>2854</v>
      </c>
      <c r="L354" s="151" t="s">
        <v>2908</v>
      </c>
      <c r="M354" s="151" t="s">
        <v>361</v>
      </c>
      <c r="N354" s="151" t="s">
        <v>3422</v>
      </c>
      <c r="O354" s="151"/>
      <c r="P354" s="151"/>
      <c r="Q354" s="151"/>
      <c r="R354" s="151" t="s">
        <v>2177</v>
      </c>
      <c r="S354" s="151" t="s">
        <v>361</v>
      </c>
      <c r="T354" s="151" t="s">
        <v>2200</v>
      </c>
      <c r="U354" s="151" t="s">
        <v>2179</v>
      </c>
      <c r="V354" s="151">
        <v>255</v>
      </c>
      <c r="W354" s="151" t="s">
        <v>2468</v>
      </c>
      <c r="X354" s="151" t="s">
        <v>431</v>
      </c>
      <c r="Y354" s="151" t="s">
        <v>2179</v>
      </c>
      <c r="Z354" s="151"/>
      <c r="AA354" s="151"/>
      <c r="AB354" s="151" t="s">
        <v>855</v>
      </c>
      <c r="AC354" s="342"/>
    </row>
    <row r="355" spans="1:29">
      <c r="A355" s="151" t="s">
        <v>2895</v>
      </c>
      <c r="B355" s="151" t="s">
        <v>2855</v>
      </c>
      <c r="C355" s="151" t="s">
        <v>2846</v>
      </c>
      <c r="D355" s="151" t="s">
        <v>17</v>
      </c>
      <c r="E355" s="151" t="s">
        <v>2856</v>
      </c>
      <c r="F355" s="151" t="s">
        <v>2527</v>
      </c>
      <c r="G355" s="151" t="s">
        <v>2173</v>
      </c>
      <c r="H355" s="151" t="s">
        <v>1274</v>
      </c>
      <c r="I355" s="151" t="s">
        <v>1184</v>
      </c>
      <c r="J355" s="151" t="s">
        <v>603</v>
      </c>
      <c r="K355" s="151" t="s">
        <v>2197</v>
      </c>
      <c r="L355" s="151" t="s">
        <v>2908</v>
      </c>
      <c r="M355" s="151" t="s">
        <v>361</v>
      </c>
      <c r="N355" s="151" t="s">
        <v>3423</v>
      </c>
      <c r="O355" s="151"/>
      <c r="P355" s="151"/>
      <c r="Q355" s="151"/>
      <c r="R355" s="151" t="s">
        <v>2177</v>
      </c>
      <c r="S355" s="151" t="s">
        <v>361</v>
      </c>
      <c r="T355" s="151" t="s">
        <v>2200</v>
      </c>
      <c r="U355" s="151" t="s">
        <v>2179</v>
      </c>
      <c r="V355" s="151">
        <v>100</v>
      </c>
      <c r="W355" s="151" t="s">
        <v>2185</v>
      </c>
      <c r="X355" s="151" t="s">
        <v>431</v>
      </c>
      <c r="Y355" s="151" t="s">
        <v>2179</v>
      </c>
      <c r="Z355" s="151"/>
      <c r="AA355" s="151"/>
      <c r="AB355" s="151" t="s">
        <v>855</v>
      </c>
      <c r="AC355" s="342"/>
    </row>
    <row r="356" spans="1:29">
      <c r="A356" s="151" t="s">
        <v>2895</v>
      </c>
      <c r="B356" s="151" t="s">
        <v>2859</v>
      </c>
      <c r="C356" s="151" t="s">
        <v>2846</v>
      </c>
      <c r="D356" s="151" t="s">
        <v>17</v>
      </c>
      <c r="E356" s="151" t="s">
        <v>2860</v>
      </c>
      <c r="F356" s="151" t="s">
        <v>2527</v>
      </c>
      <c r="G356" s="151" t="s">
        <v>2173</v>
      </c>
      <c r="H356" s="151" t="s">
        <v>1274</v>
      </c>
      <c r="I356" s="151" t="s">
        <v>1184</v>
      </c>
      <c r="J356" s="151" t="s">
        <v>603</v>
      </c>
      <c r="K356" s="151" t="s">
        <v>2861</v>
      </c>
      <c r="L356" s="151" t="s">
        <v>2908</v>
      </c>
      <c r="M356" s="151" t="s">
        <v>361</v>
      </c>
      <c r="N356" s="151" t="s">
        <v>3424</v>
      </c>
      <c r="O356" s="151"/>
      <c r="P356" s="151"/>
      <c r="Q356" s="151"/>
      <c r="R356" s="151" t="s">
        <v>2177</v>
      </c>
      <c r="S356" s="151" t="s">
        <v>361</v>
      </c>
      <c r="T356" s="151" t="s">
        <v>2279</v>
      </c>
      <c r="U356" s="151" t="s">
        <v>2400</v>
      </c>
      <c r="V356" s="151">
        <v>8</v>
      </c>
      <c r="W356" s="151" t="s">
        <v>2400</v>
      </c>
      <c r="X356" s="151" t="s">
        <v>2400</v>
      </c>
      <c r="Y356" s="151" t="s">
        <v>2400</v>
      </c>
      <c r="Z356" s="151"/>
      <c r="AA356" s="151"/>
      <c r="AB356" s="151" t="s">
        <v>855</v>
      </c>
      <c r="AC356" s="342"/>
    </row>
    <row r="357" spans="1:29">
      <c r="A357" s="151" t="s">
        <v>2895</v>
      </c>
      <c r="B357" s="151" t="s">
        <v>2350</v>
      </c>
      <c r="C357" s="151" t="s">
        <v>2846</v>
      </c>
      <c r="D357" s="151" t="s">
        <v>17</v>
      </c>
      <c r="E357" s="151" t="s">
        <v>3425</v>
      </c>
      <c r="F357" s="151" t="s">
        <v>2527</v>
      </c>
      <c r="G357" s="151" t="s">
        <v>2173</v>
      </c>
      <c r="H357" s="151" t="s">
        <v>1274</v>
      </c>
      <c r="I357" s="151" t="s">
        <v>1184</v>
      </c>
      <c r="J357" s="151" t="s">
        <v>603</v>
      </c>
      <c r="K357" s="151" t="s">
        <v>2863</v>
      </c>
      <c r="L357" s="151" t="s">
        <v>2908</v>
      </c>
      <c r="M357" s="151" t="s">
        <v>361</v>
      </c>
      <c r="N357" s="151" t="s">
        <v>3426</v>
      </c>
      <c r="O357" s="151"/>
      <c r="P357" s="151"/>
      <c r="Q357" s="151"/>
      <c r="R357" s="151" t="s">
        <v>2177</v>
      </c>
      <c r="S357" s="151" t="s">
        <v>361</v>
      </c>
      <c r="T357" s="151" t="s">
        <v>2279</v>
      </c>
      <c r="U357" s="151" t="s">
        <v>2400</v>
      </c>
      <c r="V357" s="151">
        <v>8</v>
      </c>
      <c r="W357" s="151" t="s">
        <v>2400</v>
      </c>
      <c r="X357" s="151" t="s">
        <v>2400</v>
      </c>
      <c r="Y357" s="151" t="s">
        <v>2400</v>
      </c>
      <c r="Z357" s="151"/>
      <c r="AA357" s="151"/>
      <c r="AB357" s="151" t="s">
        <v>855</v>
      </c>
      <c r="AC357" s="342"/>
    </row>
    <row r="358" spans="1:29">
      <c r="A358" s="151" t="s">
        <v>2895</v>
      </c>
      <c r="B358" s="151" t="s">
        <v>2864</v>
      </c>
      <c r="C358" s="151" t="s">
        <v>2846</v>
      </c>
      <c r="D358" s="151" t="s">
        <v>17</v>
      </c>
      <c r="E358" s="151" t="s">
        <v>2865</v>
      </c>
      <c r="F358" s="151" t="s">
        <v>2527</v>
      </c>
      <c r="G358" s="151" t="s">
        <v>2173</v>
      </c>
      <c r="H358" s="151" t="s">
        <v>1274</v>
      </c>
      <c r="I358" s="151" t="s">
        <v>1184</v>
      </c>
      <c r="J358" s="151" t="s">
        <v>603</v>
      </c>
      <c r="K358" s="151" t="s">
        <v>2866</v>
      </c>
      <c r="L358" s="151" t="s">
        <v>2908</v>
      </c>
      <c r="M358" s="151" t="s">
        <v>361</v>
      </c>
      <c r="N358" s="151" t="s">
        <v>3427</v>
      </c>
      <c r="O358" s="151"/>
      <c r="P358" s="151"/>
      <c r="Q358" s="151"/>
      <c r="R358" s="151" t="s">
        <v>2177</v>
      </c>
      <c r="S358" s="151" t="s">
        <v>361</v>
      </c>
      <c r="T358" s="151" t="s">
        <v>2191</v>
      </c>
      <c r="U358" s="151" t="s">
        <v>2179</v>
      </c>
      <c r="V358" s="151">
        <v>1</v>
      </c>
      <c r="W358" s="151" t="s">
        <v>3428</v>
      </c>
      <c r="X358" s="151" t="s">
        <v>431</v>
      </c>
      <c r="Y358" s="151" t="s">
        <v>2179</v>
      </c>
      <c r="Z358" s="151" t="s">
        <v>2305</v>
      </c>
      <c r="AA358" s="151" t="s">
        <v>2305</v>
      </c>
      <c r="AB358" s="151" t="s">
        <v>855</v>
      </c>
      <c r="AC358" s="342"/>
    </row>
    <row r="359" spans="1:29">
      <c r="A359" s="151" t="s">
        <v>2895</v>
      </c>
      <c r="B359" s="151" t="s">
        <v>3429</v>
      </c>
      <c r="C359" s="151" t="s">
        <v>2846</v>
      </c>
      <c r="D359" s="151" t="s">
        <v>17</v>
      </c>
      <c r="E359" s="151" t="s">
        <v>3430</v>
      </c>
      <c r="F359" s="151" t="s">
        <v>2527</v>
      </c>
      <c r="G359" s="151" t="s">
        <v>2173</v>
      </c>
      <c r="H359" s="151" t="s">
        <v>1274</v>
      </c>
      <c r="I359" s="151" t="s">
        <v>1184</v>
      </c>
      <c r="J359" s="151" t="s">
        <v>603</v>
      </c>
      <c r="K359" s="151" t="s">
        <v>2869</v>
      </c>
      <c r="L359" s="151" t="s">
        <v>2908</v>
      </c>
      <c r="M359" s="151" t="s">
        <v>361</v>
      </c>
      <c r="N359" s="151" t="s">
        <v>3431</v>
      </c>
      <c r="O359" s="151"/>
      <c r="P359" s="151"/>
      <c r="Q359" s="151"/>
      <c r="R359" s="151" t="s">
        <v>2177</v>
      </c>
      <c r="S359" s="151" t="s">
        <v>361</v>
      </c>
      <c r="T359" s="151" t="s">
        <v>2191</v>
      </c>
      <c r="U359" s="151" t="s">
        <v>2179</v>
      </c>
      <c r="V359" s="151">
        <v>50</v>
      </c>
      <c r="W359" s="151" t="s">
        <v>2180</v>
      </c>
      <c r="X359" s="151" t="s">
        <v>431</v>
      </c>
      <c r="Y359" s="151" t="s">
        <v>2179</v>
      </c>
      <c r="Z359" s="151" t="s">
        <v>3432</v>
      </c>
      <c r="AA359" s="151" t="s">
        <v>3433</v>
      </c>
      <c r="AB359" s="151" t="s">
        <v>855</v>
      </c>
      <c r="AC359" s="342"/>
    </row>
    <row r="360" spans="1:29">
      <c r="A360" s="151" t="s">
        <v>2895</v>
      </c>
      <c r="B360" s="151" t="s">
        <v>3434</v>
      </c>
      <c r="C360" s="151" t="s">
        <v>2846</v>
      </c>
      <c r="D360" s="151" t="s">
        <v>17</v>
      </c>
      <c r="E360" s="151" t="s">
        <v>3435</v>
      </c>
      <c r="F360" s="151" t="s">
        <v>2527</v>
      </c>
      <c r="G360" s="151" t="s">
        <v>2173</v>
      </c>
      <c r="H360" s="151" t="s">
        <v>1274</v>
      </c>
      <c r="I360" s="151" t="s">
        <v>1184</v>
      </c>
      <c r="J360" s="151" t="s">
        <v>603</v>
      </c>
      <c r="K360" s="151" t="s">
        <v>2362</v>
      </c>
      <c r="L360" s="151" t="s">
        <v>2908</v>
      </c>
      <c r="M360" s="151" t="s">
        <v>361</v>
      </c>
      <c r="N360" s="151" t="s">
        <v>3436</v>
      </c>
      <c r="O360" s="151"/>
      <c r="P360" s="151"/>
      <c r="Q360" s="151"/>
      <c r="R360" s="151" t="s">
        <v>2177</v>
      </c>
      <c r="S360" s="151" t="s">
        <v>361</v>
      </c>
      <c r="T360" s="151" t="s">
        <v>2191</v>
      </c>
      <c r="U360" s="151" t="s">
        <v>2179</v>
      </c>
      <c r="V360" s="151">
        <v>200</v>
      </c>
      <c r="W360" s="151" t="s">
        <v>2503</v>
      </c>
      <c r="X360" s="151" t="s">
        <v>431</v>
      </c>
      <c r="Y360" s="151" t="s">
        <v>2179</v>
      </c>
      <c r="Z360" s="151" t="s">
        <v>3437</v>
      </c>
      <c r="AA360" s="151" t="s">
        <v>3438</v>
      </c>
      <c r="AB360" s="151" t="s">
        <v>855</v>
      </c>
      <c r="AC360" s="342"/>
    </row>
    <row r="361" spans="1:29">
      <c r="A361" s="151" t="s">
        <v>2895</v>
      </c>
      <c r="B361" s="151" t="s">
        <v>3439</v>
      </c>
      <c r="C361" s="151" t="s">
        <v>2846</v>
      </c>
      <c r="D361" s="151" t="s">
        <v>17</v>
      </c>
      <c r="E361" s="151" t="s">
        <v>3440</v>
      </c>
      <c r="F361" s="151" t="s">
        <v>2527</v>
      </c>
      <c r="G361" s="151" t="s">
        <v>2173</v>
      </c>
      <c r="H361" s="151" t="s">
        <v>1274</v>
      </c>
      <c r="I361" s="151" t="s">
        <v>1184</v>
      </c>
      <c r="J361" s="151" t="s">
        <v>603</v>
      </c>
      <c r="K361" s="151" t="s">
        <v>2357</v>
      </c>
      <c r="L361" s="151" t="s">
        <v>2908</v>
      </c>
      <c r="M361" s="151" t="s">
        <v>361</v>
      </c>
      <c r="N361" s="151" t="s">
        <v>3441</v>
      </c>
      <c r="O361" s="151"/>
      <c r="P361" s="151"/>
      <c r="Q361" s="151"/>
      <c r="R361" s="151" t="s">
        <v>2177</v>
      </c>
      <c r="S361" s="151" t="s">
        <v>361</v>
      </c>
      <c r="T361" s="151" t="s">
        <v>2191</v>
      </c>
      <c r="U361" s="151" t="s">
        <v>2179</v>
      </c>
      <c r="V361" s="151">
        <v>200</v>
      </c>
      <c r="W361" s="151" t="s">
        <v>2503</v>
      </c>
      <c r="X361" s="151" t="s">
        <v>431</v>
      </c>
      <c r="Y361" s="151" t="s">
        <v>2179</v>
      </c>
      <c r="Z361" s="151" t="s">
        <v>3442</v>
      </c>
      <c r="AA361" s="151" t="s">
        <v>3442</v>
      </c>
      <c r="AB361" s="151" t="s">
        <v>855</v>
      </c>
      <c r="AC361" s="342"/>
    </row>
    <row r="362" spans="1:29" ht="60">
      <c r="A362" s="151" t="s">
        <v>2895</v>
      </c>
      <c r="B362" s="151" t="s">
        <v>2872</v>
      </c>
      <c r="C362" s="151" t="s">
        <v>2873</v>
      </c>
      <c r="D362" s="151" t="s">
        <v>17</v>
      </c>
      <c r="E362" s="151" t="s">
        <v>3443</v>
      </c>
      <c r="F362" s="151" t="s">
        <v>2527</v>
      </c>
      <c r="G362" s="151" t="s">
        <v>2173</v>
      </c>
      <c r="H362" s="151" t="s">
        <v>1274</v>
      </c>
      <c r="I362" s="151" t="s">
        <v>1184</v>
      </c>
      <c r="J362" s="151" t="s">
        <v>784</v>
      </c>
      <c r="K362" s="151" t="s">
        <v>3444</v>
      </c>
      <c r="L362" s="151" t="s">
        <v>2991</v>
      </c>
      <c r="M362" s="151" t="s">
        <v>361</v>
      </c>
      <c r="N362" s="341" t="s">
        <v>3445</v>
      </c>
      <c r="O362" s="151">
        <v>230492</v>
      </c>
      <c r="P362" s="151"/>
      <c r="Q362" s="151"/>
      <c r="R362" s="151" t="s">
        <v>2177</v>
      </c>
      <c r="S362" s="151" t="s">
        <v>361</v>
      </c>
      <c r="T362" s="151" t="s">
        <v>2191</v>
      </c>
      <c r="U362" s="151" t="s">
        <v>2179</v>
      </c>
      <c r="V362" s="151">
        <v>10</v>
      </c>
      <c r="W362" s="151" t="s">
        <v>2396</v>
      </c>
      <c r="X362" s="151" t="s">
        <v>431</v>
      </c>
      <c r="Y362" s="151" t="s">
        <v>2179</v>
      </c>
      <c r="Z362" s="151" t="s">
        <v>2305</v>
      </c>
      <c r="AA362" s="151" t="s">
        <v>2305</v>
      </c>
      <c r="AB362" s="151" t="s">
        <v>855</v>
      </c>
      <c r="AC362" s="342"/>
    </row>
    <row r="363" spans="1:29" ht="120">
      <c r="A363" s="151" t="s">
        <v>2895</v>
      </c>
      <c r="B363" s="151" t="s">
        <v>2876</v>
      </c>
      <c r="C363" s="151" t="s">
        <v>2873</v>
      </c>
      <c r="D363" s="151" t="s">
        <v>17</v>
      </c>
      <c r="E363" s="151" t="s">
        <v>3446</v>
      </c>
      <c r="F363" s="151" t="s">
        <v>2527</v>
      </c>
      <c r="G363" s="151" t="s">
        <v>2173</v>
      </c>
      <c r="H363" s="151" t="s">
        <v>1274</v>
      </c>
      <c r="I363" s="151" t="s">
        <v>1184</v>
      </c>
      <c r="J363" s="151" t="s">
        <v>784</v>
      </c>
      <c r="K363" s="151" t="s">
        <v>3447</v>
      </c>
      <c r="L363" s="151" t="s">
        <v>2991</v>
      </c>
      <c r="M363" s="151" t="s">
        <v>361</v>
      </c>
      <c r="N363" s="341" t="s">
        <v>3448</v>
      </c>
      <c r="O363" s="151">
        <v>230492</v>
      </c>
      <c r="P363" s="151"/>
      <c r="Q363" s="151"/>
      <c r="R363" s="151" t="s">
        <v>2177</v>
      </c>
      <c r="S363" s="151" t="s">
        <v>361</v>
      </c>
      <c r="T363" s="151" t="s">
        <v>2279</v>
      </c>
      <c r="U363" s="151" t="s">
        <v>2400</v>
      </c>
      <c r="V363" s="151">
        <v>23</v>
      </c>
      <c r="W363" s="151" t="s">
        <v>2400</v>
      </c>
      <c r="X363" s="151" t="s">
        <v>2400</v>
      </c>
      <c r="Y363" s="151" t="s">
        <v>2400</v>
      </c>
      <c r="Z363" s="151"/>
      <c r="AA363" s="151"/>
      <c r="AB363" s="151" t="s">
        <v>855</v>
      </c>
      <c r="AC363" s="342"/>
    </row>
    <row r="364" spans="1:29" ht="120">
      <c r="A364" s="151" t="s">
        <v>2895</v>
      </c>
      <c r="B364" s="151" t="s">
        <v>2879</v>
      </c>
      <c r="C364" s="151" t="s">
        <v>2873</v>
      </c>
      <c r="D364" s="151" t="s">
        <v>17</v>
      </c>
      <c r="E364" s="151" t="s">
        <v>3449</v>
      </c>
      <c r="F364" s="151" t="s">
        <v>2527</v>
      </c>
      <c r="G364" s="151" t="s">
        <v>2173</v>
      </c>
      <c r="H364" s="151" t="s">
        <v>1274</v>
      </c>
      <c r="I364" s="151" t="s">
        <v>1184</v>
      </c>
      <c r="J364" s="151" t="s">
        <v>784</v>
      </c>
      <c r="K364" s="151" t="s">
        <v>3450</v>
      </c>
      <c r="L364" s="151" t="s">
        <v>2991</v>
      </c>
      <c r="M364" s="151" t="s">
        <v>361</v>
      </c>
      <c r="N364" s="341" t="s">
        <v>3451</v>
      </c>
      <c r="O364" s="151">
        <v>230492</v>
      </c>
      <c r="P364" s="151"/>
      <c r="Q364" s="151"/>
      <c r="R364" s="151" t="s">
        <v>2177</v>
      </c>
      <c r="S364" s="151" t="s">
        <v>361</v>
      </c>
      <c r="T364" s="151" t="s">
        <v>2508</v>
      </c>
      <c r="U364" s="151" t="s">
        <v>2507</v>
      </c>
      <c r="V364" s="151">
        <v>20</v>
      </c>
      <c r="W364" s="151"/>
      <c r="X364" s="151" t="s">
        <v>2507</v>
      </c>
      <c r="Y364" s="151" t="s">
        <v>2507</v>
      </c>
      <c r="Z364" s="151"/>
      <c r="AA364" s="151"/>
      <c r="AB364" s="151" t="s">
        <v>855</v>
      </c>
      <c r="AC364" s="342"/>
    </row>
    <row r="365" spans="1:29" ht="135">
      <c r="A365" s="151" t="s">
        <v>2895</v>
      </c>
      <c r="B365" s="151" t="s">
        <v>2882</v>
      </c>
      <c r="C365" s="151" t="s">
        <v>2873</v>
      </c>
      <c r="D365" s="151" t="s">
        <v>17</v>
      </c>
      <c r="E365" s="151" t="s">
        <v>3452</v>
      </c>
      <c r="F365" s="151" t="s">
        <v>2527</v>
      </c>
      <c r="G365" s="151" t="s">
        <v>2173</v>
      </c>
      <c r="H365" s="151" t="s">
        <v>1274</v>
      </c>
      <c r="I365" s="151" t="s">
        <v>1184</v>
      </c>
      <c r="J365" s="151" t="s">
        <v>784</v>
      </c>
      <c r="K365" s="151" t="s">
        <v>3453</v>
      </c>
      <c r="L365" s="151" t="s">
        <v>2991</v>
      </c>
      <c r="M365" s="151" t="s">
        <v>361</v>
      </c>
      <c r="N365" s="341" t="s">
        <v>3454</v>
      </c>
      <c r="O365" s="151">
        <v>230492</v>
      </c>
      <c r="P365" s="151"/>
      <c r="Q365" s="151"/>
      <c r="R365" s="151" t="s">
        <v>2177</v>
      </c>
      <c r="S365" s="151" t="s">
        <v>361</v>
      </c>
      <c r="T365" s="151" t="s">
        <v>2508</v>
      </c>
      <c r="U365" s="151" t="s">
        <v>2507</v>
      </c>
      <c r="V365" s="151">
        <v>20</v>
      </c>
      <c r="W365" s="151"/>
      <c r="X365" s="151" t="s">
        <v>2507</v>
      </c>
      <c r="Y365" s="151" t="s">
        <v>2507</v>
      </c>
      <c r="Z365" s="151"/>
      <c r="AA365" s="151"/>
      <c r="AB365" s="151" t="s">
        <v>855</v>
      </c>
      <c r="AC365" s="342"/>
    </row>
    <row r="366" spans="1:29" ht="135">
      <c r="A366" s="151" t="s">
        <v>2895</v>
      </c>
      <c r="B366" s="151" t="s">
        <v>2886</v>
      </c>
      <c r="C366" s="151" t="s">
        <v>2873</v>
      </c>
      <c r="D366" s="151" t="s">
        <v>17</v>
      </c>
      <c r="E366" s="151" t="s">
        <v>3455</v>
      </c>
      <c r="F366" s="151" t="s">
        <v>2527</v>
      </c>
      <c r="G366" s="151" t="s">
        <v>2173</v>
      </c>
      <c r="H366" s="151" t="s">
        <v>1274</v>
      </c>
      <c r="I366" s="151" t="s">
        <v>1184</v>
      </c>
      <c r="J366" s="151" t="s">
        <v>784</v>
      </c>
      <c r="K366" s="151" t="s">
        <v>3456</v>
      </c>
      <c r="L366" s="151" t="s">
        <v>2991</v>
      </c>
      <c r="M366" s="151" t="s">
        <v>361</v>
      </c>
      <c r="N366" s="341" t="s">
        <v>3457</v>
      </c>
      <c r="O366" s="151">
        <v>230492</v>
      </c>
      <c r="P366" s="151"/>
      <c r="Q366" s="151"/>
      <c r="R366" s="151" t="s">
        <v>2177</v>
      </c>
      <c r="S366" s="151" t="s">
        <v>361</v>
      </c>
      <c r="T366" s="151" t="s">
        <v>2508</v>
      </c>
      <c r="U366" s="151" t="s">
        <v>2507</v>
      </c>
      <c r="V366" s="151">
        <v>20</v>
      </c>
      <c r="W366" s="151"/>
      <c r="X366" s="151" t="s">
        <v>2507</v>
      </c>
      <c r="Y366" s="151" t="s">
        <v>2507</v>
      </c>
      <c r="Z366" s="151"/>
      <c r="AA366" s="151"/>
      <c r="AB366" s="151" t="s">
        <v>855</v>
      </c>
      <c r="AC366" s="342"/>
    </row>
    <row r="367" spans="1:29" ht="135">
      <c r="A367" s="151" t="s">
        <v>2895</v>
      </c>
      <c r="B367" s="151" t="s">
        <v>2889</v>
      </c>
      <c r="C367" s="151" t="s">
        <v>2873</v>
      </c>
      <c r="D367" s="151" t="s">
        <v>17</v>
      </c>
      <c r="E367" s="151" t="s">
        <v>3458</v>
      </c>
      <c r="F367" s="151" t="s">
        <v>2527</v>
      </c>
      <c r="G367" s="151" t="s">
        <v>2173</v>
      </c>
      <c r="H367" s="151" t="s">
        <v>1274</v>
      </c>
      <c r="I367" s="151" t="s">
        <v>1184</v>
      </c>
      <c r="J367" s="151" t="s">
        <v>784</v>
      </c>
      <c r="K367" s="151" t="s">
        <v>3459</v>
      </c>
      <c r="L367" s="151" t="s">
        <v>2991</v>
      </c>
      <c r="M367" s="151" t="s">
        <v>361</v>
      </c>
      <c r="N367" s="341" t="s">
        <v>3460</v>
      </c>
      <c r="O367" s="151">
        <v>230492</v>
      </c>
      <c r="P367" s="151"/>
      <c r="Q367" s="151"/>
      <c r="R367" s="151" t="s">
        <v>2177</v>
      </c>
      <c r="S367" s="151" t="s">
        <v>361</v>
      </c>
      <c r="T367" s="151" t="s">
        <v>2508</v>
      </c>
      <c r="U367" s="151" t="s">
        <v>2507</v>
      </c>
      <c r="V367" s="151">
        <v>20</v>
      </c>
      <c r="W367" s="151"/>
      <c r="X367" s="151" t="s">
        <v>2507</v>
      </c>
      <c r="Y367" s="151" t="s">
        <v>2507</v>
      </c>
      <c r="Z367" s="151"/>
      <c r="AA367" s="151"/>
      <c r="AB367" s="151" t="s">
        <v>855</v>
      </c>
      <c r="AC367" s="342"/>
    </row>
    <row r="368" spans="1:29" ht="120">
      <c r="A368" s="151" t="s">
        <v>2895</v>
      </c>
      <c r="B368" s="151" t="s">
        <v>2892</v>
      </c>
      <c r="C368" s="151" t="s">
        <v>2873</v>
      </c>
      <c r="D368" s="151" t="s">
        <v>17</v>
      </c>
      <c r="E368" s="151" t="s">
        <v>3461</v>
      </c>
      <c r="F368" s="151" t="s">
        <v>2527</v>
      </c>
      <c r="G368" s="151" t="s">
        <v>2173</v>
      </c>
      <c r="H368" s="151" t="s">
        <v>1274</v>
      </c>
      <c r="I368" s="151" t="s">
        <v>1184</v>
      </c>
      <c r="J368" s="151" t="s">
        <v>784</v>
      </c>
      <c r="K368" s="151" t="s">
        <v>3462</v>
      </c>
      <c r="L368" s="151" t="s">
        <v>2991</v>
      </c>
      <c r="M368" s="151" t="s">
        <v>361</v>
      </c>
      <c r="N368" s="341" t="s">
        <v>3463</v>
      </c>
      <c r="O368" s="151">
        <v>230492</v>
      </c>
      <c r="P368" s="151"/>
      <c r="Q368" s="151"/>
      <c r="R368" s="151" t="s">
        <v>2177</v>
      </c>
      <c r="S368" s="151" t="s">
        <v>361</v>
      </c>
      <c r="T368" s="151" t="s">
        <v>2508</v>
      </c>
      <c r="U368" s="151" t="s">
        <v>2507</v>
      </c>
      <c r="V368" s="151">
        <v>20</v>
      </c>
      <c r="W368" s="151"/>
      <c r="X368" s="151" t="s">
        <v>2507</v>
      </c>
      <c r="Y368" s="151" t="s">
        <v>2507</v>
      </c>
      <c r="Z368" s="151"/>
      <c r="AA368" s="151"/>
      <c r="AB368" s="151" t="s">
        <v>855</v>
      </c>
      <c r="AC368" s="342"/>
    </row>
    <row r="369" spans="1:29" ht="135">
      <c r="A369" s="151" t="s">
        <v>2895</v>
      </c>
      <c r="B369" s="151" t="s">
        <v>3464</v>
      </c>
      <c r="C369" s="151" t="s">
        <v>2873</v>
      </c>
      <c r="D369" s="151" t="s">
        <v>17</v>
      </c>
      <c r="E369" s="151" t="s">
        <v>3465</v>
      </c>
      <c r="F369" s="151" t="s">
        <v>2527</v>
      </c>
      <c r="G369" s="151" t="s">
        <v>2173</v>
      </c>
      <c r="H369" s="151" t="s">
        <v>1274</v>
      </c>
      <c r="I369" s="151" t="s">
        <v>1184</v>
      </c>
      <c r="J369" s="151" t="s">
        <v>784</v>
      </c>
      <c r="K369" s="151" t="s">
        <v>3466</v>
      </c>
      <c r="L369" s="151" t="s">
        <v>2991</v>
      </c>
      <c r="M369" s="151" t="s">
        <v>361</v>
      </c>
      <c r="N369" s="341" t="s">
        <v>3467</v>
      </c>
      <c r="O369" s="151">
        <v>230492</v>
      </c>
      <c r="P369" s="151"/>
      <c r="Q369" s="151"/>
      <c r="R369" s="151" t="s">
        <v>2177</v>
      </c>
      <c r="S369" s="151" t="s">
        <v>361</v>
      </c>
      <c r="T369" s="151" t="s">
        <v>2191</v>
      </c>
      <c r="U369" s="151" t="s">
        <v>2179</v>
      </c>
      <c r="V369" s="151">
        <v>100</v>
      </c>
      <c r="W369" s="151" t="s">
        <v>2363</v>
      </c>
      <c r="X369" s="151" t="s">
        <v>431</v>
      </c>
      <c r="Y369" s="151" t="s">
        <v>2179</v>
      </c>
      <c r="Z369" s="151" t="s">
        <v>2305</v>
      </c>
      <c r="AA369" s="151" t="s">
        <v>2305</v>
      </c>
      <c r="AB369" s="151" t="s">
        <v>855</v>
      </c>
      <c r="AC369" s="342"/>
    </row>
    <row r="370" spans="1:29" ht="210">
      <c r="A370" s="151" t="s">
        <v>2895</v>
      </c>
      <c r="B370" s="151" t="s">
        <v>3468</v>
      </c>
      <c r="C370" s="151" t="s">
        <v>2873</v>
      </c>
      <c r="D370" s="151" t="s">
        <v>17</v>
      </c>
      <c r="E370" s="151" t="s">
        <v>3469</v>
      </c>
      <c r="F370" s="151" t="s">
        <v>2527</v>
      </c>
      <c r="G370" s="151" t="s">
        <v>2173</v>
      </c>
      <c r="H370" s="151" t="s">
        <v>1274</v>
      </c>
      <c r="I370" s="151" t="s">
        <v>1184</v>
      </c>
      <c r="J370" s="151" t="s">
        <v>784</v>
      </c>
      <c r="K370" s="151" t="s">
        <v>3470</v>
      </c>
      <c r="L370" s="151" t="s">
        <v>2991</v>
      </c>
      <c r="M370" s="151" t="s">
        <v>361</v>
      </c>
      <c r="N370" s="341" t="s">
        <v>3471</v>
      </c>
      <c r="O370" s="151">
        <v>30991</v>
      </c>
      <c r="P370" s="151"/>
      <c r="Q370" s="151"/>
      <c r="R370" s="151" t="s">
        <v>2177</v>
      </c>
      <c r="S370" s="433" t="s">
        <v>3472</v>
      </c>
      <c r="T370" s="151" t="s">
        <v>2191</v>
      </c>
      <c r="U370" s="151" t="s">
        <v>2179</v>
      </c>
      <c r="V370" s="151">
        <v>100</v>
      </c>
      <c r="W370" s="151" t="s">
        <v>2363</v>
      </c>
      <c r="X370" s="151" t="s">
        <v>431</v>
      </c>
      <c r="Y370" s="151" t="s">
        <v>2179</v>
      </c>
      <c r="Z370" s="151" t="s">
        <v>3473</v>
      </c>
      <c r="AA370" s="151" t="s">
        <v>3474</v>
      </c>
      <c r="AB370" s="151" t="s">
        <v>855</v>
      </c>
      <c r="AC370" s="342"/>
    </row>
    <row r="371" spans="1:29">
      <c r="A371" s="151" t="s">
        <v>3475</v>
      </c>
      <c r="B371" s="151" t="s">
        <v>3476</v>
      </c>
      <c r="C371" s="151" t="s">
        <v>3477</v>
      </c>
      <c r="D371" s="151" t="s">
        <v>17</v>
      </c>
      <c r="E371" s="151" t="s">
        <v>3478</v>
      </c>
      <c r="F371" s="151" t="s">
        <v>551</v>
      </c>
      <c r="G371" s="151" t="s">
        <v>2173</v>
      </c>
      <c r="H371" s="151" t="s">
        <v>1274</v>
      </c>
      <c r="I371" s="151" t="s">
        <v>1184</v>
      </c>
      <c r="J371" s="151" t="s">
        <v>3479</v>
      </c>
      <c r="K371" s="151" t="s">
        <v>2390</v>
      </c>
      <c r="L371" s="151" t="s">
        <v>2391</v>
      </c>
      <c r="M371" s="151" t="s">
        <v>361</v>
      </c>
      <c r="N371" s="151"/>
      <c r="O371" s="151"/>
      <c r="P371" s="151"/>
      <c r="Q371" s="151"/>
      <c r="R371" s="151" t="s">
        <v>2177</v>
      </c>
      <c r="S371" s="151" t="s">
        <v>361</v>
      </c>
      <c r="T371" s="151" t="s">
        <v>49</v>
      </c>
      <c r="U371" s="151" t="s">
        <v>2179</v>
      </c>
      <c r="V371" s="151" t="s">
        <v>49</v>
      </c>
      <c r="W371" s="151" t="s">
        <v>2228</v>
      </c>
      <c r="X371" s="151" t="s">
        <v>431</v>
      </c>
      <c r="Y371" s="151" t="s">
        <v>2179</v>
      </c>
      <c r="Z371" s="151"/>
      <c r="AA371" s="151"/>
      <c r="AB371" s="151" t="s">
        <v>855</v>
      </c>
      <c r="AC371" s="342"/>
    </row>
    <row r="372" spans="1:29">
      <c r="A372" s="151" t="s">
        <v>3475</v>
      </c>
      <c r="B372" s="151" t="s">
        <v>2181</v>
      </c>
      <c r="C372" s="151" t="s">
        <v>3477</v>
      </c>
      <c r="D372" s="151" t="s">
        <v>17</v>
      </c>
      <c r="E372" s="151" t="s">
        <v>3480</v>
      </c>
      <c r="F372" s="151" t="s">
        <v>551</v>
      </c>
      <c r="G372" s="151" t="s">
        <v>2173</v>
      </c>
      <c r="H372" s="151" t="s">
        <v>1274</v>
      </c>
      <c r="I372" s="151" t="s">
        <v>1184</v>
      </c>
      <c r="J372" s="151" t="s">
        <v>642</v>
      </c>
      <c r="K372" s="151" t="s">
        <v>3481</v>
      </c>
      <c r="L372" s="151" t="s">
        <v>2175</v>
      </c>
      <c r="M372" s="151" t="s">
        <v>2184</v>
      </c>
      <c r="N372" s="151"/>
      <c r="O372" s="151"/>
      <c r="P372" s="151"/>
      <c r="Q372" s="151"/>
      <c r="R372" s="151" t="s">
        <v>2177</v>
      </c>
      <c r="S372" s="151" t="s">
        <v>361</v>
      </c>
      <c r="T372" s="151" t="s">
        <v>49</v>
      </c>
      <c r="U372" s="151" t="s">
        <v>2179</v>
      </c>
      <c r="V372" s="151" t="s">
        <v>49</v>
      </c>
      <c r="W372" s="151"/>
      <c r="X372" s="151" t="s">
        <v>431</v>
      </c>
      <c r="Y372" s="151" t="s">
        <v>2179</v>
      </c>
      <c r="Z372" s="151"/>
      <c r="AA372" s="151"/>
      <c r="AB372" s="151" t="s">
        <v>855</v>
      </c>
      <c r="AC372" s="342"/>
    </row>
    <row r="373" spans="1:29">
      <c r="A373" s="151" t="s">
        <v>3475</v>
      </c>
      <c r="B373" s="151" t="s">
        <v>2204</v>
      </c>
      <c r="C373" s="151" t="s">
        <v>3477</v>
      </c>
      <c r="D373" s="151" t="s">
        <v>17</v>
      </c>
      <c r="E373" s="151" t="s">
        <v>3482</v>
      </c>
      <c r="F373" s="151" t="s">
        <v>551</v>
      </c>
      <c r="G373" s="151" t="s">
        <v>2173</v>
      </c>
      <c r="H373" s="151" t="s">
        <v>1274</v>
      </c>
      <c r="I373" s="151" t="s">
        <v>1184</v>
      </c>
      <c r="J373" s="151" t="s">
        <v>642</v>
      </c>
      <c r="K373" s="151" t="s">
        <v>2206</v>
      </c>
      <c r="L373" s="151" t="s">
        <v>2175</v>
      </c>
      <c r="M373" s="151" t="s">
        <v>2184</v>
      </c>
      <c r="N373" s="151"/>
      <c r="O373" s="151"/>
      <c r="P373" s="151"/>
      <c r="Q373" s="151"/>
      <c r="R373" s="151" t="s">
        <v>2177</v>
      </c>
      <c r="S373" s="151" t="s">
        <v>361</v>
      </c>
      <c r="T373" s="151" t="s">
        <v>49</v>
      </c>
      <c r="U373" s="151" t="s">
        <v>2400</v>
      </c>
      <c r="V373" s="151" t="s">
        <v>49</v>
      </c>
      <c r="W373" s="151" t="s">
        <v>2400</v>
      </c>
      <c r="X373" s="151" t="s">
        <v>2400</v>
      </c>
      <c r="Y373" s="151" t="s">
        <v>2400</v>
      </c>
      <c r="Z373" s="151"/>
      <c r="AA373" s="151"/>
      <c r="AB373" s="151" t="s">
        <v>855</v>
      </c>
      <c r="AC373" s="342"/>
    </row>
    <row r="374" spans="1:29">
      <c r="A374" s="151" t="s">
        <v>3475</v>
      </c>
      <c r="B374" s="151" t="s">
        <v>3483</v>
      </c>
      <c r="C374" s="151" t="s">
        <v>3477</v>
      </c>
      <c r="D374" s="151" t="s">
        <v>17</v>
      </c>
      <c r="E374" s="151" t="s">
        <v>3484</v>
      </c>
      <c r="F374" s="151" t="s">
        <v>551</v>
      </c>
      <c r="G374" s="151" t="s">
        <v>2173</v>
      </c>
      <c r="H374" s="151" t="s">
        <v>1274</v>
      </c>
      <c r="I374" s="151" t="s">
        <v>1184</v>
      </c>
      <c r="J374" s="151" t="s">
        <v>3479</v>
      </c>
      <c r="K374" s="151" t="s">
        <v>3485</v>
      </c>
      <c r="L374" s="151" t="s">
        <v>2391</v>
      </c>
      <c r="M374" s="151" t="s">
        <v>361</v>
      </c>
      <c r="N374" s="151"/>
      <c r="O374" s="151"/>
      <c r="P374" s="151"/>
      <c r="Q374" s="151"/>
      <c r="R374" s="151" t="s">
        <v>2177</v>
      </c>
      <c r="S374" s="151" t="s">
        <v>361</v>
      </c>
      <c r="T374" s="151" t="s">
        <v>49</v>
      </c>
      <c r="U374" s="151" t="s">
        <v>2179</v>
      </c>
      <c r="V374" s="151" t="s">
        <v>49</v>
      </c>
      <c r="W374" s="151" t="s">
        <v>2228</v>
      </c>
      <c r="X374" s="151" t="s">
        <v>431</v>
      </c>
      <c r="Y374" s="151" t="s">
        <v>2179</v>
      </c>
      <c r="Z374" s="151"/>
      <c r="AA374" s="151"/>
      <c r="AB374" s="151" t="s">
        <v>855</v>
      </c>
      <c r="AC374" s="342"/>
    </row>
    <row r="375" spans="1:29">
      <c r="A375" s="151" t="s">
        <v>3475</v>
      </c>
      <c r="B375" s="151" t="s">
        <v>3486</v>
      </c>
      <c r="C375" s="151" t="s">
        <v>3477</v>
      </c>
      <c r="D375" s="151" t="s">
        <v>17</v>
      </c>
      <c r="E375" s="151" t="s">
        <v>3487</v>
      </c>
      <c r="F375" s="151" t="s">
        <v>551</v>
      </c>
      <c r="G375" s="151" t="s">
        <v>2173</v>
      </c>
      <c r="H375" s="151" t="s">
        <v>1274</v>
      </c>
      <c r="I375" s="151" t="s">
        <v>1184</v>
      </c>
      <c r="J375" s="151" t="s">
        <v>3479</v>
      </c>
      <c r="K375" s="151" t="s">
        <v>3488</v>
      </c>
      <c r="L375" s="151" t="s">
        <v>2391</v>
      </c>
      <c r="M375" s="151" t="s">
        <v>361</v>
      </c>
      <c r="N375" s="151"/>
      <c r="O375" s="151"/>
      <c r="P375" s="151"/>
      <c r="Q375" s="151"/>
      <c r="R375" s="151" t="s">
        <v>2177</v>
      </c>
      <c r="S375" s="151" t="s">
        <v>361</v>
      </c>
      <c r="T375" s="151" t="s">
        <v>49</v>
      </c>
      <c r="U375" s="151" t="s">
        <v>2179</v>
      </c>
      <c r="V375" s="151" t="s">
        <v>49</v>
      </c>
      <c r="W375" s="151" t="s">
        <v>2228</v>
      </c>
      <c r="X375" s="151" t="s">
        <v>431</v>
      </c>
      <c r="Y375" s="151" t="s">
        <v>2179</v>
      </c>
      <c r="Z375" s="151"/>
      <c r="AA375" s="151"/>
      <c r="AB375" s="151" t="s">
        <v>855</v>
      </c>
      <c r="AC375" s="342"/>
    </row>
    <row r="376" spans="1:29">
      <c r="A376" s="151" t="s">
        <v>3475</v>
      </c>
      <c r="B376" s="151" t="s">
        <v>3489</v>
      </c>
      <c r="C376" s="151" t="s">
        <v>3477</v>
      </c>
      <c r="D376" s="151" t="s">
        <v>17</v>
      </c>
      <c r="E376" s="151" t="s">
        <v>3490</v>
      </c>
      <c r="F376" s="151" t="s">
        <v>551</v>
      </c>
      <c r="G376" s="151" t="s">
        <v>2173</v>
      </c>
      <c r="H376" s="151" t="s">
        <v>1274</v>
      </c>
      <c r="I376" s="151" t="s">
        <v>1184</v>
      </c>
      <c r="J376" s="151" t="s">
        <v>3479</v>
      </c>
      <c r="K376" s="151" t="s">
        <v>3491</v>
      </c>
      <c r="L376" s="151" t="s">
        <v>2391</v>
      </c>
      <c r="M376" s="151" t="s">
        <v>361</v>
      </c>
      <c r="N376" s="151"/>
      <c r="O376" s="151"/>
      <c r="P376" s="151"/>
      <c r="Q376" s="151"/>
      <c r="R376" s="151" t="s">
        <v>2177</v>
      </c>
      <c r="S376" s="151" t="s">
        <v>361</v>
      </c>
      <c r="T376" s="151" t="s">
        <v>49</v>
      </c>
      <c r="U376" s="151" t="s">
        <v>2179</v>
      </c>
      <c r="V376" s="151" t="s">
        <v>49</v>
      </c>
      <c r="W376" s="151" t="s">
        <v>2228</v>
      </c>
      <c r="X376" s="151" t="s">
        <v>431</v>
      </c>
      <c r="Y376" s="151" t="s">
        <v>2179</v>
      </c>
      <c r="Z376" s="151"/>
      <c r="AA376" s="151"/>
      <c r="AB376" s="151" t="s">
        <v>855</v>
      </c>
      <c r="AC376" s="342"/>
    </row>
    <row r="377" spans="1:29">
      <c r="A377" s="151" t="s">
        <v>3475</v>
      </c>
      <c r="B377" s="151" t="s">
        <v>3492</v>
      </c>
      <c r="C377" s="151" t="s">
        <v>3477</v>
      </c>
      <c r="D377" s="151" t="s">
        <v>17</v>
      </c>
      <c r="E377" s="151" t="s">
        <v>3493</v>
      </c>
      <c r="F377" s="151" t="s">
        <v>551</v>
      </c>
      <c r="G377" s="151" t="s">
        <v>2173</v>
      </c>
      <c r="H377" s="151" t="s">
        <v>1274</v>
      </c>
      <c r="I377" s="151" t="s">
        <v>1184</v>
      </c>
      <c r="J377" s="151" t="s">
        <v>655</v>
      </c>
      <c r="K377" s="151" t="s">
        <v>3494</v>
      </c>
      <c r="L377" s="151" t="s">
        <v>2898</v>
      </c>
      <c r="M377" s="151" t="s">
        <v>2899</v>
      </c>
      <c r="N377" s="151"/>
      <c r="O377" s="151"/>
      <c r="P377" s="151"/>
      <c r="Q377" s="151"/>
      <c r="R377" s="151" t="s">
        <v>2177</v>
      </c>
      <c r="S377" s="151" t="s">
        <v>361</v>
      </c>
      <c r="T377" s="151" t="s">
        <v>49</v>
      </c>
      <c r="U377" s="151" t="s">
        <v>2179</v>
      </c>
      <c r="V377" s="151" t="s">
        <v>49</v>
      </c>
      <c r="W377" s="151" t="s">
        <v>2363</v>
      </c>
      <c r="X377" s="151" t="s">
        <v>49</v>
      </c>
      <c r="Y377" s="151" t="s">
        <v>2179</v>
      </c>
      <c r="Z377" s="151"/>
      <c r="AA377" s="151"/>
      <c r="AB377" s="151" t="s">
        <v>855</v>
      </c>
      <c r="AC377" s="342"/>
    </row>
    <row r="378" spans="1:29">
      <c r="A378" s="151" t="s">
        <v>3475</v>
      </c>
      <c r="B378" s="151" t="s">
        <v>3495</v>
      </c>
      <c r="C378" s="151" t="s">
        <v>3477</v>
      </c>
      <c r="D378" s="151" t="s">
        <v>17</v>
      </c>
      <c r="E378" s="151" t="s">
        <v>3496</v>
      </c>
      <c r="F378" s="151" t="s">
        <v>551</v>
      </c>
      <c r="G378" s="151" t="s">
        <v>2173</v>
      </c>
      <c r="H378" s="151" t="s">
        <v>1274</v>
      </c>
      <c r="I378" s="151" t="s">
        <v>1184</v>
      </c>
      <c r="J378" s="151" t="s">
        <v>655</v>
      </c>
      <c r="K378" s="151" t="s">
        <v>3497</v>
      </c>
      <c r="L378" s="151" t="s">
        <v>2898</v>
      </c>
      <c r="M378" s="151" t="s">
        <v>2899</v>
      </c>
      <c r="N378" s="151"/>
      <c r="O378" s="151"/>
      <c r="P378" s="151"/>
      <c r="Q378" s="151"/>
      <c r="R378" s="151" t="s">
        <v>2177</v>
      </c>
      <c r="S378" s="151" t="s">
        <v>361</v>
      </c>
      <c r="T378" s="151" t="s">
        <v>49</v>
      </c>
      <c r="U378" s="151" t="s">
        <v>2400</v>
      </c>
      <c r="V378" s="151" t="s">
        <v>49</v>
      </c>
      <c r="W378" s="151" t="s">
        <v>2400</v>
      </c>
      <c r="X378" s="151" t="s">
        <v>49</v>
      </c>
      <c r="Y378" s="151" t="s">
        <v>2400</v>
      </c>
      <c r="Z378" s="151"/>
      <c r="AA378" s="151"/>
      <c r="AB378" s="151" t="s">
        <v>855</v>
      </c>
      <c r="AC378" s="342"/>
    </row>
    <row r="379" spans="1:29">
      <c r="A379" s="151" t="s">
        <v>3475</v>
      </c>
      <c r="B379" s="151" t="s">
        <v>3476</v>
      </c>
      <c r="C379" s="151" t="s">
        <v>3498</v>
      </c>
      <c r="D379" s="151" t="s">
        <v>17</v>
      </c>
      <c r="E379" s="151" t="s">
        <v>3499</v>
      </c>
      <c r="F379" s="151" t="s">
        <v>551</v>
      </c>
      <c r="G379" s="151" t="s">
        <v>2173</v>
      </c>
      <c r="H379" s="151" t="s">
        <v>1274</v>
      </c>
      <c r="I379" s="151" t="s">
        <v>1184</v>
      </c>
      <c r="J379" s="151" t="s">
        <v>804</v>
      </c>
      <c r="K379" s="151" t="s">
        <v>3500</v>
      </c>
      <c r="L379" s="151" t="s">
        <v>3501</v>
      </c>
      <c r="M379" s="151" t="s">
        <v>361</v>
      </c>
      <c r="N379" s="151"/>
      <c r="O379" s="151"/>
      <c r="P379" s="151"/>
      <c r="Q379" s="151"/>
      <c r="R379" s="151" t="s">
        <v>2177</v>
      </c>
      <c r="S379" s="151" t="s">
        <v>361</v>
      </c>
      <c r="T379" s="151" t="s">
        <v>435</v>
      </c>
      <c r="U379" s="151" t="s">
        <v>2179</v>
      </c>
      <c r="V379" s="151">
        <v>50</v>
      </c>
      <c r="W379" s="151" t="s">
        <v>2228</v>
      </c>
      <c r="X379" s="151" t="s">
        <v>431</v>
      </c>
      <c r="Y379" s="151" t="s">
        <v>2179</v>
      </c>
      <c r="Z379" s="151"/>
      <c r="AA379" s="151"/>
      <c r="AB379" s="151" t="s">
        <v>855</v>
      </c>
      <c r="AC379" s="342"/>
    </row>
    <row r="380" spans="1:29">
      <c r="A380" s="151" t="s">
        <v>3475</v>
      </c>
      <c r="B380" s="151" t="s">
        <v>3502</v>
      </c>
      <c r="C380" s="151" t="s">
        <v>3498</v>
      </c>
      <c r="D380" s="151" t="s">
        <v>17</v>
      </c>
      <c r="E380" s="151" t="s">
        <v>3503</v>
      </c>
      <c r="F380" s="151" t="s">
        <v>551</v>
      </c>
      <c r="G380" s="151" t="s">
        <v>2173</v>
      </c>
      <c r="H380" s="151" t="s">
        <v>1274</v>
      </c>
      <c r="I380" s="151" t="s">
        <v>1184</v>
      </c>
      <c r="J380" s="151" t="s">
        <v>804</v>
      </c>
      <c r="K380" s="151" t="s">
        <v>3504</v>
      </c>
      <c r="L380" s="151" t="s">
        <v>3501</v>
      </c>
      <c r="M380" s="151" t="s">
        <v>361</v>
      </c>
      <c r="N380" s="151"/>
      <c r="O380" s="151"/>
      <c r="P380" s="151"/>
      <c r="Q380" s="151"/>
      <c r="R380" s="151" t="s">
        <v>2177</v>
      </c>
      <c r="S380" s="151" t="s">
        <v>361</v>
      </c>
      <c r="T380" s="151" t="s">
        <v>2191</v>
      </c>
      <c r="U380" s="151" t="s">
        <v>2179</v>
      </c>
      <c r="V380" s="151">
        <v>50</v>
      </c>
      <c r="W380" s="151" t="s">
        <v>2228</v>
      </c>
      <c r="X380" s="151" t="s">
        <v>431</v>
      </c>
      <c r="Y380" s="151" t="s">
        <v>2179</v>
      </c>
      <c r="Z380" s="151" t="s">
        <v>3505</v>
      </c>
      <c r="AA380" s="151" t="s">
        <v>3506</v>
      </c>
      <c r="AB380" s="151" t="s">
        <v>855</v>
      </c>
      <c r="AC380" s="342"/>
    </row>
    <row r="381" spans="1:29">
      <c r="A381" s="151" t="s">
        <v>3475</v>
      </c>
      <c r="B381" s="151" t="s">
        <v>3507</v>
      </c>
      <c r="C381" s="151" t="s">
        <v>3498</v>
      </c>
      <c r="D381" s="151" t="s">
        <v>17</v>
      </c>
      <c r="E381" s="151" t="s">
        <v>3508</v>
      </c>
      <c r="F381" s="151" t="s">
        <v>551</v>
      </c>
      <c r="G381" s="151" t="s">
        <v>2173</v>
      </c>
      <c r="H381" s="151" t="s">
        <v>1274</v>
      </c>
      <c r="I381" s="151" t="s">
        <v>1184</v>
      </c>
      <c r="J381" s="151" t="s">
        <v>3509</v>
      </c>
      <c r="K381" s="151" t="s">
        <v>3510</v>
      </c>
      <c r="L381" s="151" t="s">
        <v>3501</v>
      </c>
      <c r="M381" s="151" t="s">
        <v>361</v>
      </c>
      <c r="N381" s="151"/>
      <c r="O381" s="151"/>
      <c r="P381" s="151"/>
      <c r="Q381" s="151"/>
      <c r="R381" s="151" t="s">
        <v>2177</v>
      </c>
      <c r="S381" s="151" t="s">
        <v>361</v>
      </c>
      <c r="T381" s="151" t="s">
        <v>435</v>
      </c>
      <c r="U381" s="151" t="s">
        <v>2179</v>
      </c>
      <c r="V381" s="151" t="s">
        <v>49</v>
      </c>
      <c r="W381" s="151" t="s">
        <v>2228</v>
      </c>
      <c r="X381" s="151" t="s">
        <v>431</v>
      </c>
      <c r="Y381" s="151" t="s">
        <v>2179</v>
      </c>
      <c r="Z381" s="151"/>
      <c r="AA381" s="151"/>
      <c r="AB381" s="151" t="s">
        <v>855</v>
      </c>
      <c r="AC381" s="342"/>
    </row>
    <row r="382" spans="1:29">
      <c r="A382" s="151" t="s">
        <v>3475</v>
      </c>
      <c r="B382" s="151" t="s">
        <v>3489</v>
      </c>
      <c r="C382" s="151" t="s">
        <v>3498</v>
      </c>
      <c r="D382" s="151" t="s">
        <v>17</v>
      </c>
      <c r="E382" s="151" t="s">
        <v>3511</v>
      </c>
      <c r="F382" s="151" t="s">
        <v>551</v>
      </c>
      <c r="G382" s="151" t="s">
        <v>2173</v>
      </c>
      <c r="H382" s="151" t="s">
        <v>1274</v>
      </c>
      <c r="I382" s="151" t="s">
        <v>1184</v>
      </c>
      <c r="J382" s="151" t="s">
        <v>804</v>
      </c>
      <c r="K382" s="151" t="s">
        <v>3041</v>
      </c>
      <c r="L382" s="151" t="s">
        <v>3501</v>
      </c>
      <c r="M382" s="151" t="s">
        <v>361</v>
      </c>
      <c r="N382" s="151"/>
      <c r="O382" s="151"/>
      <c r="P382" s="151"/>
      <c r="Q382" s="151"/>
      <c r="R382" s="151" t="s">
        <v>2177</v>
      </c>
      <c r="S382" s="151" t="s">
        <v>361</v>
      </c>
      <c r="T382" s="151" t="s">
        <v>2191</v>
      </c>
      <c r="U382" s="151" t="s">
        <v>2179</v>
      </c>
      <c r="V382" s="151">
        <v>50</v>
      </c>
      <c r="W382" s="151" t="s">
        <v>2228</v>
      </c>
      <c r="X382" s="151" t="s">
        <v>431</v>
      </c>
      <c r="Y382" s="151" t="s">
        <v>2179</v>
      </c>
      <c r="Z382" s="151" t="s">
        <v>3512</v>
      </c>
      <c r="AA382" s="151" t="s">
        <v>3513</v>
      </c>
      <c r="AB382" s="151" t="s">
        <v>855</v>
      </c>
      <c r="AC382" s="342"/>
    </row>
    <row r="383" spans="1:29">
      <c r="A383" s="151" t="s">
        <v>3475</v>
      </c>
      <c r="B383" s="151" t="s">
        <v>3514</v>
      </c>
      <c r="C383" s="151" t="s">
        <v>3498</v>
      </c>
      <c r="D383" s="151" t="s">
        <v>17</v>
      </c>
      <c r="E383" s="151" t="s">
        <v>3515</v>
      </c>
      <c r="F383" s="151" t="s">
        <v>551</v>
      </c>
      <c r="G383" s="151" t="s">
        <v>2173</v>
      </c>
      <c r="H383" s="151" t="s">
        <v>1274</v>
      </c>
      <c r="I383" s="151" t="s">
        <v>1184</v>
      </c>
      <c r="J383" s="151" t="s">
        <v>804</v>
      </c>
      <c r="K383" s="151" t="s">
        <v>3516</v>
      </c>
      <c r="L383" s="151" t="s">
        <v>3501</v>
      </c>
      <c r="M383" s="151" t="s">
        <v>361</v>
      </c>
      <c r="N383" s="151"/>
      <c r="O383" s="151"/>
      <c r="P383" s="151"/>
      <c r="Q383" s="151"/>
      <c r="R383" s="151" t="s">
        <v>2177</v>
      </c>
      <c r="S383" s="151" t="s">
        <v>361</v>
      </c>
      <c r="T383" s="151" t="s">
        <v>2191</v>
      </c>
      <c r="U383" s="151" t="s">
        <v>2179</v>
      </c>
      <c r="V383" s="151">
        <v>100</v>
      </c>
      <c r="W383" s="151" t="s">
        <v>2185</v>
      </c>
      <c r="X383" s="151" t="s">
        <v>431</v>
      </c>
      <c r="Y383" s="151" t="s">
        <v>2179</v>
      </c>
      <c r="Z383" s="151" t="s">
        <v>3517</v>
      </c>
      <c r="AA383" s="151" t="s">
        <v>3518</v>
      </c>
      <c r="AB383" s="151" t="s">
        <v>855</v>
      </c>
      <c r="AC383" s="342"/>
    </row>
    <row r="384" spans="1:29">
      <c r="A384" s="151" t="s">
        <v>3475</v>
      </c>
      <c r="B384" s="151" t="s">
        <v>3519</v>
      </c>
      <c r="C384" s="151" t="s">
        <v>3498</v>
      </c>
      <c r="D384" s="151" t="s">
        <v>17</v>
      </c>
      <c r="E384" s="151" t="s">
        <v>3520</v>
      </c>
      <c r="F384" s="151" t="s">
        <v>551</v>
      </c>
      <c r="G384" s="151" t="s">
        <v>2173</v>
      </c>
      <c r="H384" s="151" t="s">
        <v>1274</v>
      </c>
      <c r="I384" s="151" t="s">
        <v>1184</v>
      </c>
      <c r="J384" s="151" t="s">
        <v>804</v>
      </c>
      <c r="K384" s="151" t="s">
        <v>3521</v>
      </c>
      <c r="L384" s="151" t="s">
        <v>3501</v>
      </c>
      <c r="M384" s="151" t="s">
        <v>361</v>
      </c>
      <c r="N384" s="151"/>
      <c r="O384" s="151"/>
      <c r="P384" s="151"/>
      <c r="Q384" s="151"/>
      <c r="R384" s="151" t="s">
        <v>2177</v>
      </c>
      <c r="S384" s="151" t="s">
        <v>361</v>
      </c>
      <c r="T384" s="151" t="s">
        <v>2191</v>
      </c>
      <c r="U384" s="151" t="s">
        <v>2179</v>
      </c>
      <c r="V384" s="151">
        <v>200</v>
      </c>
      <c r="W384" s="151" t="s">
        <v>2363</v>
      </c>
      <c r="X384" s="151" t="s">
        <v>431</v>
      </c>
      <c r="Y384" s="151" t="s">
        <v>2179</v>
      </c>
      <c r="Z384" s="151" t="s">
        <v>3522</v>
      </c>
      <c r="AA384" s="151" t="s">
        <v>3523</v>
      </c>
      <c r="AB384" s="151" t="s">
        <v>855</v>
      </c>
      <c r="AC384" s="342"/>
    </row>
    <row r="385" spans="1:29">
      <c r="A385" s="151" t="s">
        <v>3475</v>
      </c>
      <c r="B385" s="151" t="s">
        <v>3524</v>
      </c>
      <c r="C385" s="151" t="s">
        <v>3498</v>
      </c>
      <c r="D385" s="151" t="s">
        <v>17</v>
      </c>
      <c r="E385" s="151" t="s">
        <v>3525</v>
      </c>
      <c r="F385" s="151" t="s">
        <v>551</v>
      </c>
      <c r="G385" s="151" t="s">
        <v>2173</v>
      </c>
      <c r="H385" s="151" t="s">
        <v>1274</v>
      </c>
      <c r="I385" s="151" t="s">
        <v>1184</v>
      </c>
      <c r="J385" s="151" t="s">
        <v>3509</v>
      </c>
      <c r="K385" s="151" t="s">
        <v>3526</v>
      </c>
      <c r="L385" s="151" t="s">
        <v>3501</v>
      </c>
      <c r="M385" s="151" t="s">
        <v>361</v>
      </c>
      <c r="N385" s="151"/>
      <c r="O385" s="151"/>
      <c r="P385" s="151"/>
      <c r="Q385" s="151"/>
      <c r="R385" s="151" t="s">
        <v>2177</v>
      </c>
      <c r="S385" s="151" t="s">
        <v>361</v>
      </c>
      <c r="T385" s="151" t="s">
        <v>435</v>
      </c>
      <c r="U385" s="151" t="s">
        <v>2179</v>
      </c>
      <c r="V385" s="151">
        <v>100</v>
      </c>
      <c r="W385" s="151" t="s">
        <v>2363</v>
      </c>
      <c r="X385" s="151" t="s">
        <v>431</v>
      </c>
      <c r="Y385" s="151" t="s">
        <v>2179</v>
      </c>
      <c r="Z385" s="151"/>
      <c r="AA385" s="151"/>
      <c r="AB385" s="151" t="s">
        <v>855</v>
      </c>
      <c r="AC385" s="342"/>
    </row>
    <row r="386" spans="1:29">
      <c r="A386" s="151" t="s">
        <v>3475</v>
      </c>
      <c r="B386" s="151" t="s">
        <v>2246</v>
      </c>
      <c r="C386" s="151" t="s">
        <v>3498</v>
      </c>
      <c r="D386" s="151" t="s">
        <v>17</v>
      </c>
      <c r="E386" s="151" t="s">
        <v>3527</v>
      </c>
      <c r="F386" s="151" t="s">
        <v>551</v>
      </c>
      <c r="G386" s="151" t="s">
        <v>2173</v>
      </c>
      <c r="H386" s="151" t="s">
        <v>1274</v>
      </c>
      <c r="I386" s="151" t="s">
        <v>1184</v>
      </c>
      <c r="J386" s="151" t="s">
        <v>804</v>
      </c>
      <c r="K386" s="151" t="s">
        <v>3349</v>
      </c>
      <c r="L386" s="151" t="s">
        <v>3501</v>
      </c>
      <c r="M386" s="151" t="s">
        <v>361</v>
      </c>
      <c r="N386" s="151"/>
      <c r="O386" s="151"/>
      <c r="P386" s="151"/>
      <c r="Q386" s="151"/>
      <c r="R386" s="151" t="s">
        <v>2177</v>
      </c>
      <c r="S386" s="151" t="s">
        <v>361</v>
      </c>
      <c r="T386" s="151" t="s">
        <v>2191</v>
      </c>
      <c r="U386" s="151" t="s">
        <v>2179</v>
      </c>
      <c r="V386" s="151">
        <v>100</v>
      </c>
      <c r="W386" s="151" t="s">
        <v>2363</v>
      </c>
      <c r="X386" s="151" t="s">
        <v>431</v>
      </c>
      <c r="Y386" s="151" t="s">
        <v>2179</v>
      </c>
      <c r="Z386" s="151" t="s">
        <v>3528</v>
      </c>
      <c r="AA386" s="151" t="s">
        <v>3529</v>
      </c>
      <c r="AB386" s="151" t="s">
        <v>855</v>
      </c>
      <c r="AC386" s="342"/>
    </row>
    <row r="387" spans="1:29">
      <c r="A387" s="151" t="s">
        <v>3475</v>
      </c>
      <c r="B387" s="151" t="s">
        <v>2267</v>
      </c>
      <c r="C387" s="151" t="s">
        <v>3498</v>
      </c>
      <c r="D387" s="151" t="s">
        <v>17</v>
      </c>
      <c r="E387" s="151" t="s">
        <v>3530</v>
      </c>
      <c r="F387" s="151" t="s">
        <v>551</v>
      </c>
      <c r="G387" s="151" t="s">
        <v>2173</v>
      </c>
      <c r="H387" s="151" t="s">
        <v>1274</v>
      </c>
      <c r="I387" s="151" t="s">
        <v>1184</v>
      </c>
      <c r="J387" s="151" t="s">
        <v>804</v>
      </c>
      <c r="K387" s="151" t="s">
        <v>3466</v>
      </c>
      <c r="L387" s="151" t="s">
        <v>3501</v>
      </c>
      <c r="M387" s="151" t="s">
        <v>361</v>
      </c>
      <c r="N387" s="151"/>
      <c r="O387" s="151"/>
      <c r="P387" s="151"/>
      <c r="Q387" s="151"/>
      <c r="R387" s="151" t="s">
        <v>2177</v>
      </c>
      <c r="S387" s="151" t="s">
        <v>361</v>
      </c>
      <c r="T387" s="151" t="s">
        <v>435</v>
      </c>
      <c r="U387" s="151" t="s">
        <v>2179</v>
      </c>
      <c r="V387" s="151">
        <v>100</v>
      </c>
      <c r="W387" s="151" t="s">
        <v>2363</v>
      </c>
      <c r="X387" s="151" t="s">
        <v>431</v>
      </c>
      <c r="Y387" s="151" t="s">
        <v>2179</v>
      </c>
      <c r="Z387" s="151"/>
      <c r="AA387" s="151"/>
      <c r="AB387" s="151" t="s">
        <v>855</v>
      </c>
      <c r="AC387" s="342"/>
    </row>
    <row r="388" spans="1:29" ht="90">
      <c r="A388" s="151" t="s">
        <v>3475</v>
      </c>
      <c r="B388" s="151" t="s">
        <v>2280</v>
      </c>
      <c r="C388" s="151" t="s">
        <v>3498</v>
      </c>
      <c r="D388" s="151" t="s">
        <v>17</v>
      </c>
      <c r="E388" s="151" t="s">
        <v>3531</v>
      </c>
      <c r="F388" s="151" t="s">
        <v>551</v>
      </c>
      <c r="G388" s="151" t="s">
        <v>2173</v>
      </c>
      <c r="H388" s="151" t="s">
        <v>1274</v>
      </c>
      <c r="I388" s="151" t="s">
        <v>1184</v>
      </c>
      <c r="J388" s="151" t="s">
        <v>804</v>
      </c>
      <c r="K388" s="151" t="s">
        <v>3532</v>
      </c>
      <c r="L388" s="151" t="s">
        <v>3501</v>
      </c>
      <c r="M388" s="151" t="s">
        <v>361</v>
      </c>
      <c r="N388" s="151"/>
      <c r="O388" s="151"/>
      <c r="P388" s="151"/>
      <c r="Q388" s="151"/>
      <c r="R388" s="151" t="s">
        <v>2177</v>
      </c>
      <c r="S388" s="341" t="s">
        <v>3533</v>
      </c>
      <c r="T388" s="151" t="s">
        <v>2191</v>
      </c>
      <c r="U388" s="151" t="s">
        <v>2179</v>
      </c>
      <c r="V388" s="151">
        <v>200</v>
      </c>
      <c r="W388" s="151" t="s">
        <v>2640</v>
      </c>
      <c r="X388" s="151" t="s">
        <v>431</v>
      </c>
      <c r="Y388" s="151" t="s">
        <v>2179</v>
      </c>
      <c r="Z388" s="151" t="s">
        <v>433</v>
      </c>
      <c r="AA388" s="151" t="s">
        <v>434</v>
      </c>
      <c r="AB388" s="151" t="s">
        <v>855</v>
      </c>
      <c r="AC388" s="342"/>
    </row>
    <row r="389" spans="1:29">
      <c r="A389" s="151" t="s">
        <v>3475</v>
      </c>
      <c r="B389" s="151" t="s">
        <v>3534</v>
      </c>
      <c r="C389" s="151" t="s">
        <v>3498</v>
      </c>
      <c r="D389" s="151" t="s">
        <v>17</v>
      </c>
      <c r="E389" s="151" t="s">
        <v>3535</v>
      </c>
      <c r="F389" s="151" t="s">
        <v>551</v>
      </c>
      <c r="G389" s="151" t="s">
        <v>2173</v>
      </c>
      <c r="H389" s="151" t="s">
        <v>1274</v>
      </c>
      <c r="I389" s="151" t="s">
        <v>1184</v>
      </c>
      <c r="J389" s="151" t="s">
        <v>3509</v>
      </c>
      <c r="K389" s="151" t="s">
        <v>3536</v>
      </c>
      <c r="L389" s="151" t="s">
        <v>3501</v>
      </c>
      <c r="M389" s="151" t="s">
        <v>361</v>
      </c>
      <c r="N389" s="151"/>
      <c r="O389" s="151"/>
      <c r="P389" s="151"/>
      <c r="Q389" s="151"/>
      <c r="R389" s="151" t="s">
        <v>2177</v>
      </c>
      <c r="S389" s="151" t="s">
        <v>361</v>
      </c>
      <c r="T389" s="151" t="s">
        <v>435</v>
      </c>
      <c r="U389" s="151" t="s">
        <v>2179</v>
      </c>
      <c r="V389" s="151">
        <v>100</v>
      </c>
      <c r="W389" s="151" t="s">
        <v>2363</v>
      </c>
      <c r="X389" s="151" t="s">
        <v>431</v>
      </c>
      <c r="Y389" s="151" t="s">
        <v>2179</v>
      </c>
      <c r="Z389" s="151"/>
      <c r="AA389" s="151"/>
      <c r="AB389" s="151" t="s">
        <v>855</v>
      </c>
      <c r="AC389" s="342"/>
    </row>
    <row r="390" spans="1:29">
      <c r="A390" s="151" t="s">
        <v>3475</v>
      </c>
      <c r="B390" s="151" t="s">
        <v>3537</v>
      </c>
      <c r="C390" s="151" t="s">
        <v>3498</v>
      </c>
      <c r="D390" s="151" t="s">
        <v>17</v>
      </c>
      <c r="E390" s="151" t="s">
        <v>3538</v>
      </c>
      <c r="F390" s="151" t="s">
        <v>551</v>
      </c>
      <c r="G390" s="151" t="s">
        <v>2173</v>
      </c>
      <c r="H390" s="151" t="s">
        <v>1274</v>
      </c>
      <c r="I390" s="151" t="s">
        <v>1184</v>
      </c>
      <c r="J390" s="151" t="s">
        <v>3509</v>
      </c>
      <c r="K390" s="151" t="s">
        <v>3539</v>
      </c>
      <c r="L390" s="151" t="s">
        <v>3501</v>
      </c>
      <c r="M390" s="151" t="s">
        <v>361</v>
      </c>
      <c r="N390" s="151"/>
      <c r="O390" s="151"/>
      <c r="P390" s="151"/>
      <c r="Q390" s="151"/>
      <c r="R390" s="151" t="s">
        <v>2177</v>
      </c>
      <c r="S390" s="151" t="s">
        <v>361</v>
      </c>
      <c r="T390" s="151" t="s">
        <v>3540</v>
      </c>
      <c r="U390" s="151" t="s">
        <v>2400</v>
      </c>
      <c r="V390" s="151">
        <v>10</v>
      </c>
      <c r="W390" s="151" t="s">
        <v>2400</v>
      </c>
      <c r="X390" s="151" t="s">
        <v>2400</v>
      </c>
      <c r="Y390" s="151" t="s">
        <v>2400</v>
      </c>
      <c r="Z390" s="151"/>
      <c r="AA390" s="151"/>
      <c r="AB390" s="151" t="s">
        <v>855</v>
      </c>
      <c r="AC390" s="342"/>
    </row>
    <row r="391" spans="1:29">
      <c r="A391" s="151" t="s">
        <v>3475</v>
      </c>
      <c r="B391" s="151" t="s">
        <v>3541</v>
      </c>
      <c r="C391" s="151" t="s">
        <v>3498</v>
      </c>
      <c r="D391" s="151" t="s">
        <v>17</v>
      </c>
      <c r="E391" s="151" t="s">
        <v>3542</v>
      </c>
      <c r="F391" s="151" t="s">
        <v>551</v>
      </c>
      <c r="G391" s="151" t="s">
        <v>2173</v>
      </c>
      <c r="H391" s="151" t="s">
        <v>1274</v>
      </c>
      <c r="I391" s="151" t="s">
        <v>1184</v>
      </c>
      <c r="J391" s="151" t="s">
        <v>804</v>
      </c>
      <c r="K391" s="151" t="s">
        <v>3543</v>
      </c>
      <c r="L391" s="151" t="s">
        <v>3501</v>
      </c>
      <c r="M391" s="151" t="s">
        <v>361</v>
      </c>
      <c r="N391" s="151"/>
      <c r="O391" s="151"/>
      <c r="P391" s="151"/>
      <c r="Q391" s="151"/>
      <c r="R391" s="151" t="s">
        <v>2177</v>
      </c>
      <c r="S391" s="151" t="s">
        <v>361</v>
      </c>
      <c r="T391" s="151" t="s">
        <v>435</v>
      </c>
      <c r="U391" s="151" t="s">
        <v>2507</v>
      </c>
      <c r="V391" s="151" t="s">
        <v>49</v>
      </c>
      <c r="W391" s="151" t="s">
        <v>2507</v>
      </c>
      <c r="X391" s="151" t="s">
        <v>431</v>
      </c>
      <c r="Y391" s="151" t="s">
        <v>2507</v>
      </c>
      <c r="Z391" s="151"/>
      <c r="AA391" s="151"/>
      <c r="AB391" s="151" t="s">
        <v>855</v>
      </c>
      <c r="AC391" s="342"/>
    </row>
    <row r="392" spans="1:29">
      <c r="A392" s="151" t="s">
        <v>3475</v>
      </c>
      <c r="B392" s="151" t="s">
        <v>3544</v>
      </c>
      <c r="C392" s="151" t="s">
        <v>3498</v>
      </c>
      <c r="D392" s="151" t="s">
        <v>17</v>
      </c>
      <c r="E392" s="151" t="s">
        <v>3545</v>
      </c>
      <c r="F392" s="151" t="s">
        <v>551</v>
      </c>
      <c r="G392" s="151" t="s">
        <v>2173</v>
      </c>
      <c r="H392" s="151" t="s">
        <v>1274</v>
      </c>
      <c r="I392" s="151" t="s">
        <v>1184</v>
      </c>
      <c r="J392" s="151" t="s">
        <v>804</v>
      </c>
      <c r="K392" s="151" t="s">
        <v>3546</v>
      </c>
      <c r="L392" s="151" t="s">
        <v>3501</v>
      </c>
      <c r="M392" s="151" t="s">
        <v>361</v>
      </c>
      <c r="N392" s="151"/>
      <c r="O392" s="151"/>
      <c r="P392" s="151"/>
      <c r="Q392" s="151"/>
      <c r="R392" s="151" t="s">
        <v>2177</v>
      </c>
      <c r="S392" s="151" t="s">
        <v>361</v>
      </c>
      <c r="T392" s="151" t="s">
        <v>435</v>
      </c>
      <c r="U392" s="151" t="s">
        <v>2507</v>
      </c>
      <c r="V392" s="151" t="s">
        <v>49</v>
      </c>
      <c r="W392" s="151" t="s">
        <v>2507</v>
      </c>
      <c r="X392" s="151" t="s">
        <v>431</v>
      </c>
      <c r="Y392" s="151" t="s">
        <v>2507</v>
      </c>
      <c r="Z392" s="151"/>
      <c r="AA392" s="151"/>
      <c r="AB392" s="151" t="s">
        <v>855</v>
      </c>
      <c r="AC392" s="342"/>
    </row>
    <row r="393" spans="1:29">
      <c r="A393" s="151" t="s">
        <v>3475</v>
      </c>
      <c r="B393" s="151" t="s">
        <v>3547</v>
      </c>
      <c r="C393" s="151" t="s">
        <v>3498</v>
      </c>
      <c r="D393" s="151" t="s">
        <v>17</v>
      </c>
      <c r="E393" s="151" t="s">
        <v>3548</v>
      </c>
      <c r="F393" s="151" t="s">
        <v>551</v>
      </c>
      <c r="G393" s="151" t="s">
        <v>2173</v>
      </c>
      <c r="H393" s="151" t="s">
        <v>1274</v>
      </c>
      <c r="I393" s="151" t="s">
        <v>1184</v>
      </c>
      <c r="J393" s="151" t="s">
        <v>804</v>
      </c>
      <c r="K393" s="151" t="s">
        <v>3290</v>
      </c>
      <c r="L393" s="151" t="s">
        <v>3501</v>
      </c>
      <c r="M393" s="151" t="s">
        <v>361</v>
      </c>
      <c r="N393" s="151"/>
      <c r="O393" s="151"/>
      <c r="P393" s="151"/>
      <c r="Q393" s="151"/>
      <c r="R393" s="151" t="s">
        <v>2177</v>
      </c>
      <c r="S393" s="151" t="s">
        <v>361</v>
      </c>
      <c r="T393" s="151" t="s">
        <v>2191</v>
      </c>
      <c r="U393" s="151" t="s">
        <v>2179</v>
      </c>
      <c r="V393" s="151">
        <v>100</v>
      </c>
      <c r="W393" s="151" t="s">
        <v>2363</v>
      </c>
      <c r="X393" s="151" t="s">
        <v>431</v>
      </c>
      <c r="Y393" s="151" t="s">
        <v>2179</v>
      </c>
      <c r="Z393" s="151" t="s">
        <v>3549</v>
      </c>
      <c r="AA393" s="151" t="s">
        <v>3550</v>
      </c>
      <c r="AB393" s="151" t="s">
        <v>855</v>
      </c>
      <c r="AC393" s="342"/>
    </row>
    <row r="394" spans="1:29">
      <c r="A394" s="151" t="s">
        <v>3475</v>
      </c>
      <c r="B394" s="151" t="s">
        <v>2697</v>
      </c>
      <c r="C394" s="151" t="s">
        <v>3498</v>
      </c>
      <c r="D394" s="151" t="s">
        <v>17</v>
      </c>
      <c r="E394" s="151" t="s">
        <v>3551</v>
      </c>
      <c r="F394" s="151" t="s">
        <v>551</v>
      </c>
      <c r="G394" s="151" t="s">
        <v>2173</v>
      </c>
      <c r="H394" s="151" t="s">
        <v>1274</v>
      </c>
      <c r="I394" s="151" t="s">
        <v>1184</v>
      </c>
      <c r="J394" s="151" t="s">
        <v>804</v>
      </c>
      <c r="K394" s="151" t="s">
        <v>3320</v>
      </c>
      <c r="L394" s="151" t="s">
        <v>3501</v>
      </c>
      <c r="M394" s="151" t="s">
        <v>361</v>
      </c>
      <c r="N394" s="151"/>
      <c r="O394" s="151"/>
      <c r="P394" s="151"/>
      <c r="Q394" s="151"/>
      <c r="R394" s="151" t="s">
        <v>2177</v>
      </c>
      <c r="S394" s="151" t="s">
        <v>361</v>
      </c>
      <c r="T394" s="151" t="s">
        <v>2191</v>
      </c>
      <c r="U394" s="151" t="s">
        <v>2646</v>
      </c>
      <c r="V394" s="151">
        <v>4</v>
      </c>
      <c r="W394" s="151"/>
      <c r="X394" s="151" t="s">
        <v>2645</v>
      </c>
      <c r="Y394" s="151" t="s">
        <v>2646</v>
      </c>
      <c r="Z394" s="151" t="s">
        <v>3552</v>
      </c>
      <c r="AA394" s="151" t="s">
        <v>3317</v>
      </c>
      <c r="AB394" s="151" t="s">
        <v>855</v>
      </c>
      <c r="AC394" s="342"/>
    </row>
    <row r="395" spans="1:29">
      <c r="A395" s="151" t="s">
        <v>3475</v>
      </c>
      <c r="B395" s="151" t="s">
        <v>702</v>
      </c>
      <c r="C395" s="151" t="s">
        <v>3498</v>
      </c>
      <c r="D395" s="151" t="s">
        <v>17</v>
      </c>
      <c r="E395" s="151" t="s">
        <v>3553</v>
      </c>
      <c r="F395" s="151" t="s">
        <v>551</v>
      </c>
      <c r="G395" s="151" t="s">
        <v>2173</v>
      </c>
      <c r="H395" s="151" t="s">
        <v>1274</v>
      </c>
      <c r="I395" s="151" t="s">
        <v>1184</v>
      </c>
      <c r="J395" s="151" t="s">
        <v>804</v>
      </c>
      <c r="K395" s="151" t="s">
        <v>3554</v>
      </c>
      <c r="L395" s="151" t="s">
        <v>3501</v>
      </c>
      <c r="M395" s="151" t="s">
        <v>361</v>
      </c>
      <c r="N395" s="151"/>
      <c r="O395" s="151"/>
      <c r="P395" s="151"/>
      <c r="Q395" s="151"/>
      <c r="R395" s="151" t="s">
        <v>2177</v>
      </c>
      <c r="S395" s="151" t="s">
        <v>361</v>
      </c>
      <c r="T395" s="151" t="s">
        <v>435</v>
      </c>
      <c r="U395" s="151" t="s">
        <v>2179</v>
      </c>
      <c r="V395" s="151">
        <v>200</v>
      </c>
      <c r="W395" s="151" t="s">
        <v>2640</v>
      </c>
      <c r="X395" s="151" t="s">
        <v>431</v>
      </c>
      <c r="Y395" s="151" t="s">
        <v>2179</v>
      </c>
      <c r="Z395" s="151"/>
      <c r="AA395" s="151"/>
      <c r="AB395" s="151" t="s">
        <v>855</v>
      </c>
      <c r="AC395" s="342"/>
    </row>
    <row r="396" spans="1:29">
      <c r="A396" s="151" t="s">
        <v>3475</v>
      </c>
      <c r="B396" s="151" t="s">
        <v>2703</v>
      </c>
      <c r="C396" s="151" t="s">
        <v>3498</v>
      </c>
      <c r="D396" s="151" t="s">
        <v>17</v>
      </c>
      <c r="E396" s="151" t="s">
        <v>3555</v>
      </c>
      <c r="F396" s="151" t="s">
        <v>551</v>
      </c>
      <c r="G396" s="151" t="s">
        <v>2173</v>
      </c>
      <c r="H396" s="151" t="s">
        <v>1274</v>
      </c>
      <c r="I396" s="151" t="s">
        <v>1184</v>
      </c>
      <c r="J396" s="151" t="s">
        <v>804</v>
      </c>
      <c r="K396" s="151" t="s">
        <v>3177</v>
      </c>
      <c r="L396" s="151" t="s">
        <v>3501</v>
      </c>
      <c r="M396" s="151" t="s">
        <v>361</v>
      </c>
      <c r="N396" s="151"/>
      <c r="O396" s="151"/>
      <c r="P396" s="151"/>
      <c r="Q396" s="151"/>
      <c r="R396" s="151" t="s">
        <v>2177</v>
      </c>
      <c r="S396" s="151" t="s">
        <v>361</v>
      </c>
      <c r="T396" s="151" t="s">
        <v>435</v>
      </c>
      <c r="U396" s="151" t="s">
        <v>2179</v>
      </c>
      <c r="V396" s="151">
        <v>80</v>
      </c>
      <c r="W396" s="151" t="s">
        <v>3051</v>
      </c>
      <c r="X396" s="151" t="s">
        <v>431</v>
      </c>
      <c r="Y396" s="151" t="s">
        <v>2179</v>
      </c>
      <c r="Z396" s="151"/>
      <c r="AA396" s="151"/>
      <c r="AB396" s="151" t="s">
        <v>855</v>
      </c>
      <c r="AC396" s="342"/>
    </row>
    <row r="397" spans="1:29">
      <c r="A397" s="151" t="s">
        <v>3475</v>
      </c>
      <c r="B397" s="151" t="s">
        <v>3556</v>
      </c>
      <c r="C397" s="151" t="s">
        <v>3498</v>
      </c>
      <c r="D397" s="151" t="s">
        <v>17</v>
      </c>
      <c r="E397" s="151" t="s">
        <v>3557</v>
      </c>
      <c r="F397" s="151" t="s">
        <v>551</v>
      </c>
      <c r="G397" s="151" t="s">
        <v>2173</v>
      </c>
      <c r="H397" s="151" t="s">
        <v>1274</v>
      </c>
      <c r="I397" s="151" t="s">
        <v>1184</v>
      </c>
      <c r="J397" s="151" t="s">
        <v>804</v>
      </c>
      <c r="K397" s="151" t="s">
        <v>3456</v>
      </c>
      <c r="L397" s="151" t="s">
        <v>3501</v>
      </c>
      <c r="M397" s="151" t="s">
        <v>361</v>
      </c>
      <c r="N397" s="151"/>
      <c r="O397" s="151"/>
      <c r="P397" s="151"/>
      <c r="Q397" s="151"/>
      <c r="R397" s="151" t="s">
        <v>2177</v>
      </c>
      <c r="S397" s="151" t="s">
        <v>361</v>
      </c>
      <c r="T397" s="151" t="s">
        <v>435</v>
      </c>
      <c r="U397" s="151" t="s">
        <v>2507</v>
      </c>
      <c r="V397" s="151">
        <v>4</v>
      </c>
      <c r="W397" s="151"/>
      <c r="X397" s="151" t="s">
        <v>2508</v>
      </c>
      <c r="Y397" s="151" t="s">
        <v>2507</v>
      </c>
      <c r="Z397" s="151"/>
      <c r="AA397" s="151"/>
      <c r="AB397" s="151" t="s">
        <v>855</v>
      </c>
      <c r="AC397" s="342"/>
    </row>
    <row r="398" spans="1:29">
      <c r="A398" s="151" t="s">
        <v>3475</v>
      </c>
      <c r="B398" s="151" t="s">
        <v>3558</v>
      </c>
      <c r="C398" s="151" t="s">
        <v>3498</v>
      </c>
      <c r="D398" s="151" t="s">
        <v>17</v>
      </c>
      <c r="E398" s="151" t="s">
        <v>3559</v>
      </c>
      <c r="F398" s="151" t="s">
        <v>551</v>
      </c>
      <c r="G398" s="151" t="s">
        <v>2173</v>
      </c>
      <c r="H398" s="151" t="s">
        <v>1274</v>
      </c>
      <c r="I398" s="151" t="s">
        <v>1184</v>
      </c>
      <c r="J398" s="151" t="s">
        <v>804</v>
      </c>
      <c r="K398" s="151" t="s">
        <v>3560</v>
      </c>
      <c r="L398" s="151" t="s">
        <v>3501</v>
      </c>
      <c r="M398" s="151" t="s">
        <v>361</v>
      </c>
      <c r="N398" s="151"/>
      <c r="O398" s="151"/>
      <c r="P398" s="151"/>
      <c r="Q398" s="151"/>
      <c r="R398" s="151" t="s">
        <v>2177</v>
      </c>
      <c r="S398" s="151" t="s">
        <v>361</v>
      </c>
      <c r="T398" s="151" t="s">
        <v>435</v>
      </c>
      <c r="U398" s="151" t="s">
        <v>2179</v>
      </c>
      <c r="V398" s="151">
        <v>80</v>
      </c>
      <c r="W398" s="151" t="s">
        <v>3051</v>
      </c>
      <c r="X398" s="151" t="s">
        <v>431</v>
      </c>
      <c r="Y398" s="151" t="s">
        <v>2179</v>
      </c>
      <c r="Z398" s="151"/>
      <c r="AA398" s="151"/>
      <c r="AB398" s="151" t="s">
        <v>855</v>
      </c>
      <c r="AC398" s="342"/>
    </row>
    <row r="399" spans="1:29">
      <c r="A399" s="151" t="s">
        <v>3475</v>
      </c>
      <c r="B399" s="151" t="s">
        <v>2727</v>
      </c>
      <c r="C399" s="151" t="s">
        <v>3498</v>
      </c>
      <c r="D399" s="151" t="s">
        <v>17</v>
      </c>
      <c r="E399" s="151" t="s">
        <v>3561</v>
      </c>
      <c r="F399" s="151" t="s">
        <v>551</v>
      </c>
      <c r="G399" s="151" t="s">
        <v>2173</v>
      </c>
      <c r="H399" s="151" t="s">
        <v>1274</v>
      </c>
      <c r="I399" s="151" t="s">
        <v>1184</v>
      </c>
      <c r="J399" s="151" t="s">
        <v>804</v>
      </c>
      <c r="K399" s="151" t="s">
        <v>3562</v>
      </c>
      <c r="L399" s="151" t="s">
        <v>3501</v>
      </c>
      <c r="M399" s="151" t="s">
        <v>361</v>
      </c>
      <c r="N399" s="151"/>
      <c r="O399" s="151"/>
      <c r="P399" s="151"/>
      <c r="Q399" s="151"/>
      <c r="R399" s="151" t="s">
        <v>2177</v>
      </c>
      <c r="S399" s="151" t="s">
        <v>361</v>
      </c>
      <c r="T399" s="151" t="s">
        <v>435</v>
      </c>
      <c r="U399" s="151" t="s">
        <v>2179</v>
      </c>
      <c r="V399" s="151">
        <v>100</v>
      </c>
      <c r="W399" s="151" t="s">
        <v>2363</v>
      </c>
      <c r="X399" s="151" t="s">
        <v>431</v>
      </c>
      <c r="Y399" s="151" t="s">
        <v>2179</v>
      </c>
      <c r="Z399" s="151"/>
      <c r="AA399" s="151"/>
      <c r="AB399" s="151" t="s">
        <v>855</v>
      </c>
      <c r="AC399" s="342"/>
    </row>
    <row r="400" spans="1:29">
      <c r="A400" s="151" t="s">
        <v>3475</v>
      </c>
      <c r="B400" s="151" t="s">
        <v>2730</v>
      </c>
      <c r="C400" s="151" t="s">
        <v>3498</v>
      </c>
      <c r="D400" s="151" t="s">
        <v>17</v>
      </c>
      <c r="E400" s="151" t="s">
        <v>3563</v>
      </c>
      <c r="F400" s="151" t="s">
        <v>551</v>
      </c>
      <c r="G400" s="151" t="s">
        <v>2173</v>
      </c>
      <c r="H400" s="151" t="s">
        <v>1274</v>
      </c>
      <c r="I400" s="151" t="s">
        <v>1184</v>
      </c>
      <c r="J400" s="151" t="s">
        <v>804</v>
      </c>
      <c r="K400" s="151" t="s">
        <v>3564</v>
      </c>
      <c r="L400" s="151" t="s">
        <v>3501</v>
      </c>
      <c r="M400" s="151" t="s">
        <v>361</v>
      </c>
      <c r="N400" s="151"/>
      <c r="O400" s="151"/>
      <c r="P400" s="151"/>
      <c r="Q400" s="151"/>
      <c r="R400" s="151" t="s">
        <v>2177</v>
      </c>
      <c r="S400" s="151" t="s">
        <v>361</v>
      </c>
      <c r="T400" s="151" t="s">
        <v>435</v>
      </c>
      <c r="U400" s="151" t="s">
        <v>2179</v>
      </c>
      <c r="V400" s="151">
        <v>100</v>
      </c>
      <c r="W400" s="151" t="s">
        <v>2363</v>
      </c>
      <c r="X400" s="151" t="s">
        <v>431</v>
      </c>
      <c r="Y400" s="151" t="s">
        <v>2179</v>
      </c>
      <c r="Z400" s="151"/>
      <c r="AA400" s="151"/>
      <c r="AB400" s="151" t="s">
        <v>855</v>
      </c>
      <c r="AC400" s="342"/>
    </row>
    <row r="401" spans="1:29">
      <c r="A401" s="151" t="s">
        <v>3475</v>
      </c>
      <c r="B401" s="151" t="s">
        <v>2720</v>
      </c>
      <c r="C401" s="151" t="s">
        <v>3498</v>
      </c>
      <c r="D401" s="151" t="s">
        <v>17</v>
      </c>
      <c r="E401" s="151" t="s">
        <v>3565</v>
      </c>
      <c r="F401" s="151" t="s">
        <v>551</v>
      </c>
      <c r="G401" s="151" t="s">
        <v>2173</v>
      </c>
      <c r="H401" s="151" t="s">
        <v>1274</v>
      </c>
      <c r="I401" s="151" t="s">
        <v>1184</v>
      </c>
      <c r="J401" s="151" t="s">
        <v>804</v>
      </c>
      <c r="K401" s="151" t="s">
        <v>3151</v>
      </c>
      <c r="L401" s="151" t="s">
        <v>3501</v>
      </c>
      <c r="M401" s="151" t="s">
        <v>361</v>
      </c>
      <c r="N401" s="151"/>
      <c r="O401" s="151"/>
      <c r="P401" s="151"/>
      <c r="Q401" s="151"/>
      <c r="R401" s="151" t="s">
        <v>2177</v>
      </c>
      <c r="S401" s="151" t="s">
        <v>361</v>
      </c>
      <c r="T401" s="151" t="s">
        <v>2191</v>
      </c>
      <c r="U401" s="151" t="s">
        <v>2179</v>
      </c>
      <c r="V401" s="151">
        <v>10</v>
      </c>
      <c r="W401" s="151" t="s">
        <v>2635</v>
      </c>
      <c r="X401" s="151" t="s">
        <v>431</v>
      </c>
      <c r="Y401" s="151" t="s">
        <v>2179</v>
      </c>
      <c r="Z401" s="151" t="s">
        <v>2305</v>
      </c>
      <c r="AA401" s="151" t="s">
        <v>2305</v>
      </c>
      <c r="AB401" s="151" t="s">
        <v>855</v>
      </c>
      <c r="AC401" s="342"/>
    </row>
    <row r="402" spans="1:29">
      <c r="A402" s="151" t="s">
        <v>3475</v>
      </c>
      <c r="B402" s="151" t="s">
        <v>2723</v>
      </c>
      <c r="C402" s="151" t="s">
        <v>3498</v>
      </c>
      <c r="D402" s="151" t="s">
        <v>17</v>
      </c>
      <c r="E402" s="151" t="s">
        <v>3566</v>
      </c>
      <c r="F402" s="151" t="s">
        <v>551</v>
      </c>
      <c r="G402" s="151" t="s">
        <v>2173</v>
      </c>
      <c r="H402" s="151" t="s">
        <v>1274</v>
      </c>
      <c r="I402" s="151" t="s">
        <v>1184</v>
      </c>
      <c r="J402" s="151" t="s">
        <v>804</v>
      </c>
      <c r="K402" s="151" t="s">
        <v>3184</v>
      </c>
      <c r="L402" s="151" t="s">
        <v>3501</v>
      </c>
      <c r="M402" s="151" t="s">
        <v>361</v>
      </c>
      <c r="N402" s="151"/>
      <c r="O402" s="151"/>
      <c r="P402" s="151"/>
      <c r="Q402" s="151"/>
      <c r="R402" s="151" t="s">
        <v>2177</v>
      </c>
      <c r="S402" s="151" t="s">
        <v>361</v>
      </c>
      <c r="T402" s="151" t="s">
        <v>2191</v>
      </c>
      <c r="U402" s="151" t="s">
        <v>2179</v>
      </c>
      <c r="V402" s="151">
        <v>80</v>
      </c>
      <c r="W402" s="151" t="s">
        <v>3051</v>
      </c>
      <c r="X402" s="151" t="s">
        <v>431</v>
      </c>
      <c r="Y402" s="151" t="s">
        <v>2179</v>
      </c>
      <c r="Z402" s="151" t="s">
        <v>2726</v>
      </c>
      <c r="AA402" s="151" t="s">
        <v>3337</v>
      </c>
      <c r="AB402" s="151" t="s">
        <v>855</v>
      </c>
      <c r="AC402" s="342"/>
    </row>
    <row r="403" spans="1:29">
      <c r="A403" s="151" t="s">
        <v>3475</v>
      </c>
      <c r="B403" s="151" t="s">
        <v>2733</v>
      </c>
      <c r="C403" s="151" t="s">
        <v>3498</v>
      </c>
      <c r="D403" s="151" t="s">
        <v>17</v>
      </c>
      <c r="E403" s="151" t="s">
        <v>3567</v>
      </c>
      <c r="F403" s="151" t="s">
        <v>551</v>
      </c>
      <c r="G403" s="151" t="s">
        <v>2173</v>
      </c>
      <c r="H403" s="151" t="s">
        <v>1274</v>
      </c>
      <c r="I403" s="151" t="s">
        <v>1184</v>
      </c>
      <c r="J403" s="151" t="s">
        <v>804</v>
      </c>
      <c r="K403" s="151" t="s">
        <v>2501</v>
      </c>
      <c r="L403" s="151" t="s">
        <v>3501</v>
      </c>
      <c r="M403" s="151" t="s">
        <v>361</v>
      </c>
      <c r="N403" s="151"/>
      <c r="O403" s="151"/>
      <c r="P403" s="151"/>
      <c r="Q403" s="151"/>
      <c r="R403" s="151" t="s">
        <v>2177</v>
      </c>
      <c r="S403" s="151" t="s">
        <v>361</v>
      </c>
      <c r="T403" s="151" t="s">
        <v>435</v>
      </c>
      <c r="U403" s="151" t="s">
        <v>2179</v>
      </c>
      <c r="V403" s="151">
        <v>100</v>
      </c>
      <c r="W403" s="151" t="s">
        <v>2363</v>
      </c>
      <c r="X403" s="151" t="s">
        <v>431</v>
      </c>
      <c r="Y403" s="151" t="s">
        <v>2179</v>
      </c>
      <c r="Z403" s="151"/>
      <c r="AA403" s="151"/>
      <c r="AB403" s="151" t="s">
        <v>855</v>
      </c>
      <c r="AC403" s="342"/>
    </row>
    <row r="404" spans="1:29">
      <c r="A404" s="151" t="s">
        <v>3475</v>
      </c>
      <c r="B404" s="151" t="s">
        <v>2703</v>
      </c>
      <c r="C404" s="151" t="s">
        <v>3498</v>
      </c>
      <c r="D404" s="151" t="s">
        <v>17</v>
      </c>
      <c r="E404" s="151" t="s">
        <v>3555</v>
      </c>
      <c r="F404" s="151" t="s">
        <v>551</v>
      </c>
      <c r="G404" s="151" t="s">
        <v>2173</v>
      </c>
      <c r="H404" s="151" t="s">
        <v>1274</v>
      </c>
      <c r="I404" s="151" t="s">
        <v>1184</v>
      </c>
      <c r="J404" s="151" t="s">
        <v>804</v>
      </c>
      <c r="K404" s="151" t="s">
        <v>3334</v>
      </c>
      <c r="L404" s="151" t="s">
        <v>3501</v>
      </c>
      <c r="M404" s="151" t="s">
        <v>361</v>
      </c>
      <c r="N404" s="151"/>
      <c r="O404" s="151"/>
      <c r="P404" s="151"/>
      <c r="Q404" s="151"/>
      <c r="R404" s="151" t="s">
        <v>2177</v>
      </c>
      <c r="S404" s="151" t="s">
        <v>361</v>
      </c>
      <c r="T404" s="151" t="s">
        <v>435</v>
      </c>
      <c r="U404" s="151" t="s">
        <v>2179</v>
      </c>
      <c r="V404" s="151">
        <v>100</v>
      </c>
      <c r="W404" s="151" t="s">
        <v>2363</v>
      </c>
      <c r="X404" s="151" t="s">
        <v>431</v>
      </c>
      <c r="Y404" s="151" t="s">
        <v>2179</v>
      </c>
      <c r="Z404" s="151"/>
      <c r="AA404" s="151"/>
      <c r="AB404" s="151" t="s">
        <v>855</v>
      </c>
      <c r="AC404" s="342"/>
    </row>
    <row r="405" spans="1:29">
      <c r="A405" s="151" t="s">
        <v>3475</v>
      </c>
      <c r="B405" s="151" t="s">
        <v>2740</v>
      </c>
      <c r="C405" s="151" t="s">
        <v>3498</v>
      </c>
      <c r="D405" s="151" t="s">
        <v>17</v>
      </c>
      <c r="E405" s="151" t="s">
        <v>3568</v>
      </c>
      <c r="F405" s="151" t="s">
        <v>551</v>
      </c>
      <c r="G405" s="151" t="s">
        <v>2173</v>
      </c>
      <c r="H405" s="151" t="s">
        <v>1274</v>
      </c>
      <c r="I405" s="151" t="s">
        <v>1184</v>
      </c>
      <c r="J405" s="151" t="s">
        <v>804</v>
      </c>
      <c r="K405" s="151" t="s">
        <v>3297</v>
      </c>
      <c r="L405" s="151" t="s">
        <v>3501</v>
      </c>
      <c r="M405" s="151" t="s">
        <v>361</v>
      </c>
      <c r="N405" s="151"/>
      <c r="O405" s="151"/>
      <c r="P405" s="151"/>
      <c r="Q405" s="151"/>
      <c r="R405" s="151" t="s">
        <v>2177</v>
      </c>
      <c r="S405" s="151" t="s">
        <v>361</v>
      </c>
      <c r="T405" s="151" t="s">
        <v>2191</v>
      </c>
      <c r="U405" s="151" t="s">
        <v>2179</v>
      </c>
      <c r="V405" s="151">
        <v>100</v>
      </c>
      <c r="W405" s="151" t="s">
        <v>2363</v>
      </c>
      <c r="X405" s="151" t="s">
        <v>431</v>
      </c>
      <c r="Y405" s="151" t="s">
        <v>2179</v>
      </c>
      <c r="Z405" s="151" t="s">
        <v>2743</v>
      </c>
      <c r="AA405" s="151" t="s">
        <v>2744</v>
      </c>
      <c r="AB405" s="151" t="s">
        <v>855</v>
      </c>
      <c r="AC405" s="342"/>
    </row>
    <row r="406" spans="1:29">
      <c r="A406" s="151" t="s">
        <v>3475</v>
      </c>
      <c r="B406" s="151" t="s">
        <v>3569</v>
      </c>
      <c r="C406" s="151" t="s">
        <v>3498</v>
      </c>
      <c r="D406" s="151" t="s">
        <v>17</v>
      </c>
      <c r="E406" s="151" t="s">
        <v>3570</v>
      </c>
      <c r="F406" s="151" t="s">
        <v>551</v>
      </c>
      <c r="G406" s="151" t="s">
        <v>2173</v>
      </c>
      <c r="H406" s="151" t="s">
        <v>1274</v>
      </c>
      <c r="I406" s="151" t="s">
        <v>1184</v>
      </c>
      <c r="J406" s="151" t="s">
        <v>804</v>
      </c>
      <c r="K406" s="151" t="s">
        <v>3571</v>
      </c>
      <c r="L406" s="151" t="s">
        <v>3501</v>
      </c>
      <c r="M406" s="151" t="s">
        <v>361</v>
      </c>
      <c r="N406" s="151"/>
      <c r="O406" s="151"/>
      <c r="P406" s="151"/>
      <c r="Q406" s="151"/>
      <c r="R406" s="151" t="s">
        <v>2177</v>
      </c>
      <c r="S406" s="151" t="s">
        <v>361</v>
      </c>
      <c r="T406" s="151" t="s">
        <v>435</v>
      </c>
      <c r="U406" s="151" t="s">
        <v>2179</v>
      </c>
      <c r="V406" s="151">
        <v>80</v>
      </c>
      <c r="W406" s="151" t="s">
        <v>3051</v>
      </c>
      <c r="X406" s="151" t="s">
        <v>431</v>
      </c>
      <c r="Y406" s="151" t="s">
        <v>2179</v>
      </c>
      <c r="Z406" s="151"/>
      <c r="AA406" s="151"/>
      <c r="AB406" s="151" t="s">
        <v>855</v>
      </c>
      <c r="AC406" s="342"/>
    </row>
    <row r="407" spans="1:29">
      <c r="A407" s="151" t="s">
        <v>3572</v>
      </c>
      <c r="B407" s="151" t="s">
        <v>2400</v>
      </c>
      <c r="C407" s="151" t="s">
        <v>3573</v>
      </c>
      <c r="D407" s="151" t="s">
        <v>17</v>
      </c>
      <c r="E407" s="151" t="s">
        <v>3574</v>
      </c>
      <c r="F407" s="151" t="s">
        <v>551</v>
      </c>
      <c r="G407" s="151" t="s">
        <v>3575</v>
      </c>
      <c r="H407" s="151" t="s">
        <v>361</v>
      </c>
      <c r="I407" s="151" t="s">
        <v>1184</v>
      </c>
      <c r="J407" s="151" t="s">
        <v>361</v>
      </c>
      <c r="K407" s="151" t="s">
        <v>361</v>
      </c>
      <c r="L407" s="151" t="s">
        <v>361</v>
      </c>
      <c r="M407" s="151" t="s">
        <v>361</v>
      </c>
      <c r="N407" s="151"/>
      <c r="O407" s="151"/>
      <c r="P407" s="151"/>
      <c r="Q407" s="151"/>
      <c r="R407" s="151" t="s">
        <v>3576</v>
      </c>
      <c r="S407" s="151" t="s">
        <v>3577</v>
      </c>
      <c r="T407" s="151"/>
      <c r="U407" s="151"/>
      <c r="V407" s="151"/>
      <c r="W407" s="151"/>
      <c r="X407" s="151"/>
      <c r="Y407" s="151"/>
      <c r="Z407" s="151"/>
      <c r="AA407" s="151"/>
      <c r="AB407" s="151"/>
      <c r="AC407" s="342"/>
    </row>
    <row r="408" spans="1:29">
      <c r="A408" s="151" t="s">
        <v>3572</v>
      </c>
      <c r="B408" s="151" t="s">
        <v>3578</v>
      </c>
      <c r="C408" s="151" t="s">
        <v>3573</v>
      </c>
      <c r="D408" s="151" t="s">
        <v>17</v>
      </c>
      <c r="E408" s="151" t="s">
        <v>3579</v>
      </c>
      <c r="F408" s="151" t="s">
        <v>551</v>
      </c>
      <c r="G408" s="151" t="s">
        <v>2173</v>
      </c>
      <c r="H408" s="151" t="s">
        <v>1314</v>
      </c>
      <c r="I408" s="151" t="s">
        <v>1184</v>
      </c>
      <c r="J408" s="151" t="s">
        <v>798</v>
      </c>
      <c r="K408" s="151" t="s">
        <v>3580</v>
      </c>
      <c r="L408" s="151" t="s">
        <v>361</v>
      </c>
      <c r="M408" s="151" t="s">
        <v>3581</v>
      </c>
      <c r="N408" s="151"/>
      <c r="O408" s="151"/>
      <c r="P408" s="151"/>
      <c r="Q408" s="151"/>
      <c r="R408" s="151" t="s">
        <v>2177</v>
      </c>
      <c r="S408" s="151" t="s">
        <v>361</v>
      </c>
      <c r="T408" s="151" t="s">
        <v>2213</v>
      </c>
      <c r="U408" s="151" t="s">
        <v>3582</v>
      </c>
      <c r="V408" s="151" t="s">
        <v>49</v>
      </c>
      <c r="W408" s="151">
        <v>50</v>
      </c>
      <c r="X408" s="151" t="s">
        <v>2445</v>
      </c>
      <c r="Y408" s="151" t="s">
        <v>3582</v>
      </c>
      <c r="Z408" s="151"/>
      <c r="AA408" s="151" t="s">
        <v>3583</v>
      </c>
      <c r="AB408" s="151" t="s">
        <v>855</v>
      </c>
      <c r="AC408" s="342"/>
    </row>
    <row r="409" spans="1:29">
      <c r="A409" s="151" t="s">
        <v>3572</v>
      </c>
      <c r="B409" s="151" t="s">
        <v>438</v>
      </c>
      <c r="C409" s="151" t="s">
        <v>3573</v>
      </c>
      <c r="D409" s="151" t="s">
        <v>17</v>
      </c>
      <c r="E409" s="151" t="s">
        <v>3584</v>
      </c>
      <c r="F409" s="151" t="s">
        <v>551</v>
      </c>
      <c r="G409" s="151" t="s">
        <v>2173</v>
      </c>
      <c r="H409" s="151" t="s">
        <v>1314</v>
      </c>
      <c r="I409" s="151" t="s">
        <v>1184</v>
      </c>
      <c r="J409" s="151" t="s">
        <v>798</v>
      </c>
      <c r="K409" s="151" t="s">
        <v>3580</v>
      </c>
      <c r="L409" s="151" t="s">
        <v>361</v>
      </c>
      <c r="M409" s="151" t="s">
        <v>3585</v>
      </c>
      <c r="N409" s="151"/>
      <c r="O409" s="151"/>
      <c r="P409" s="151"/>
      <c r="Q409" s="151"/>
      <c r="R409" s="151" t="s">
        <v>2177</v>
      </c>
      <c r="S409" s="151" t="s">
        <v>361</v>
      </c>
      <c r="T409" s="151" t="s">
        <v>2213</v>
      </c>
      <c r="U409" s="151" t="s">
        <v>3582</v>
      </c>
      <c r="V409" s="151" t="s">
        <v>49</v>
      </c>
      <c r="W409" s="151">
        <v>50</v>
      </c>
      <c r="X409" s="151" t="s">
        <v>2445</v>
      </c>
      <c r="Y409" s="151" t="s">
        <v>3582</v>
      </c>
      <c r="Z409" s="151"/>
      <c r="AA409" s="151" t="s">
        <v>3586</v>
      </c>
      <c r="AB409" s="151" t="s">
        <v>855</v>
      </c>
      <c r="AC409" s="342"/>
    </row>
    <row r="410" spans="1:29">
      <c r="A410" s="151" t="s">
        <v>3572</v>
      </c>
      <c r="B410" s="151" t="s">
        <v>3261</v>
      </c>
      <c r="C410" s="151" t="s">
        <v>3573</v>
      </c>
      <c r="D410" s="151" t="s">
        <v>17</v>
      </c>
      <c r="E410" s="151" t="s">
        <v>3587</v>
      </c>
      <c r="F410" s="151" t="s">
        <v>551</v>
      </c>
      <c r="G410" s="151" t="s">
        <v>3575</v>
      </c>
      <c r="H410" s="151" t="s">
        <v>361</v>
      </c>
      <c r="I410" s="151" t="s">
        <v>1184</v>
      </c>
      <c r="J410" s="151" t="s">
        <v>361</v>
      </c>
      <c r="K410" s="151" t="s">
        <v>361</v>
      </c>
      <c r="L410" s="151" t="s">
        <v>361</v>
      </c>
      <c r="M410" s="151" t="s">
        <v>361</v>
      </c>
      <c r="N410" s="151"/>
      <c r="O410" s="151"/>
      <c r="P410" s="151"/>
      <c r="Q410" s="151"/>
      <c r="R410" s="151" t="s">
        <v>3576</v>
      </c>
      <c r="S410" s="151" t="s">
        <v>3577</v>
      </c>
      <c r="T410" s="151"/>
      <c r="U410" s="151"/>
      <c r="V410" s="151"/>
      <c r="W410" s="151"/>
      <c r="X410" s="151"/>
      <c r="Y410" s="151"/>
      <c r="Z410" s="151"/>
      <c r="AA410" s="151"/>
      <c r="AB410" s="151"/>
      <c r="AC410" s="342"/>
    </row>
    <row r="411" spans="1:29">
      <c r="A411" s="151" t="s">
        <v>3572</v>
      </c>
      <c r="B411" s="151" t="s">
        <v>440</v>
      </c>
      <c r="C411" s="151" t="s">
        <v>3573</v>
      </c>
      <c r="D411" s="151" t="s">
        <v>17</v>
      </c>
      <c r="E411" s="151" t="s">
        <v>3588</v>
      </c>
      <c r="F411" s="151" t="s">
        <v>551</v>
      </c>
      <c r="G411" s="151" t="s">
        <v>3575</v>
      </c>
      <c r="H411" s="151" t="s">
        <v>361</v>
      </c>
      <c r="I411" s="151" t="s">
        <v>1184</v>
      </c>
      <c r="J411" s="151" t="s">
        <v>361</v>
      </c>
      <c r="K411" s="151" t="s">
        <v>361</v>
      </c>
      <c r="L411" s="151" t="s">
        <v>361</v>
      </c>
      <c r="M411" s="151" t="s">
        <v>361</v>
      </c>
      <c r="N411" s="151"/>
      <c r="O411" s="151"/>
      <c r="P411" s="151"/>
      <c r="Q411" s="151"/>
      <c r="R411" s="151" t="s">
        <v>3576</v>
      </c>
      <c r="S411" s="151" t="s">
        <v>3577</v>
      </c>
      <c r="T411" s="151"/>
      <c r="U411" s="151"/>
      <c r="V411" s="151"/>
      <c r="W411" s="151"/>
      <c r="X411" s="151"/>
      <c r="Y411" s="151"/>
      <c r="Z411" s="151"/>
      <c r="AA411" s="151"/>
      <c r="AB411" s="151"/>
      <c r="AC411" s="342"/>
    </row>
    <row r="412" spans="1:29">
      <c r="A412" s="151" t="s">
        <v>3572</v>
      </c>
      <c r="B412" s="151" t="s">
        <v>3578</v>
      </c>
      <c r="C412" s="151" t="s">
        <v>3589</v>
      </c>
      <c r="D412" s="151" t="s">
        <v>17</v>
      </c>
      <c r="E412" s="151" t="s">
        <v>3590</v>
      </c>
      <c r="F412" s="151" t="s">
        <v>3591</v>
      </c>
      <c r="G412" s="151" t="s">
        <v>3575</v>
      </c>
      <c r="H412" s="151" t="s">
        <v>361</v>
      </c>
      <c r="I412" s="151" t="s">
        <v>1184</v>
      </c>
      <c r="J412" s="151" t="s">
        <v>361</v>
      </c>
      <c r="K412" s="151" t="s">
        <v>361</v>
      </c>
      <c r="L412" s="151" t="s">
        <v>361</v>
      </c>
      <c r="M412" s="151" t="s">
        <v>361</v>
      </c>
      <c r="N412" s="151"/>
      <c r="O412" s="151"/>
      <c r="P412" s="151"/>
      <c r="Q412" s="151"/>
      <c r="R412" s="151" t="s">
        <v>3576</v>
      </c>
      <c r="S412" s="151" t="s">
        <v>3577</v>
      </c>
      <c r="T412" s="151"/>
      <c r="U412" s="151"/>
      <c r="V412" s="151"/>
      <c r="W412" s="151"/>
      <c r="X412" s="151"/>
      <c r="Y412" s="151"/>
      <c r="Z412" s="151"/>
      <c r="AA412" s="151"/>
      <c r="AB412" s="151"/>
      <c r="AC412" s="342"/>
    </row>
    <row r="413" spans="1:29">
      <c r="A413" s="151" t="s">
        <v>3572</v>
      </c>
      <c r="B413" s="151" t="s">
        <v>1485</v>
      </c>
      <c r="C413" s="151" t="s">
        <v>3589</v>
      </c>
      <c r="D413" s="151" t="s">
        <v>17</v>
      </c>
      <c r="E413" s="151" t="s">
        <v>3592</v>
      </c>
      <c r="F413" s="151" t="s">
        <v>3591</v>
      </c>
      <c r="G413" s="151" t="s">
        <v>3575</v>
      </c>
      <c r="H413" s="151" t="s">
        <v>361</v>
      </c>
      <c r="I413" s="151" t="s">
        <v>1184</v>
      </c>
      <c r="J413" s="151" t="s">
        <v>361</v>
      </c>
      <c r="K413" s="151" t="s">
        <v>361</v>
      </c>
      <c r="L413" s="151" t="s">
        <v>361</v>
      </c>
      <c r="M413" s="151" t="s">
        <v>361</v>
      </c>
      <c r="N413" s="151"/>
      <c r="O413" s="151"/>
      <c r="P413" s="151"/>
      <c r="Q413" s="151"/>
      <c r="R413" s="151" t="s">
        <v>3576</v>
      </c>
      <c r="S413" s="151" t="s">
        <v>361</v>
      </c>
      <c r="T413" s="151"/>
      <c r="U413" s="151"/>
      <c r="V413" s="151"/>
      <c r="W413" s="151"/>
      <c r="X413" s="151"/>
      <c r="Y413" s="151"/>
      <c r="Z413" s="151"/>
      <c r="AA413" s="151"/>
      <c r="AB413" s="151"/>
      <c r="AC413" s="342"/>
    </row>
    <row r="414" spans="1:29">
      <c r="A414" s="151" t="s">
        <v>3593</v>
      </c>
      <c r="B414" s="151" t="s">
        <v>3594</v>
      </c>
      <c r="C414" s="151" t="s">
        <v>341</v>
      </c>
      <c r="D414" s="151" t="s">
        <v>17</v>
      </c>
      <c r="E414" s="151" t="s">
        <v>3595</v>
      </c>
      <c r="F414" s="151" t="s">
        <v>240</v>
      </c>
      <c r="G414" s="151" t="s">
        <v>2173</v>
      </c>
      <c r="H414" s="151" t="s">
        <v>1183</v>
      </c>
      <c r="I414" s="151" t="s">
        <v>1184</v>
      </c>
      <c r="J414" s="151" t="s">
        <v>806</v>
      </c>
      <c r="K414" s="151" t="s">
        <v>1830</v>
      </c>
      <c r="L414" s="151" t="s">
        <v>3596</v>
      </c>
      <c r="M414" s="151" t="s">
        <v>361</v>
      </c>
      <c r="N414" s="151"/>
      <c r="O414" s="151"/>
      <c r="P414" s="151"/>
      <c r="Q414" s="151"/>
      <c r="R414" s="151" t="s">
        <v>2177</v>
      </c>
      <c r="S414" s="151" t="s">
        <v>3597</v>
      </c>
      <c r="T414" s="151" t="s">
        <v>435</v>
      </c>
      <c r="U414" s="151" t="s">
        <v>2179</v>
      </c>
      <c r="V414" s="151">
        <v>24</v>
      </c>
      <c r="W414" s="151" t="s">
        <v>3598</v>
      </c>
      <c r="X414" s="151" t="s">
        <v>431</v>
      </c>
      <c r="Y414" s="151" t="s">
        <v>2179</v>
      </c>
      <c r="Z414" s="151"/>
      <c r="AA414" s="151"/>
      <c r="AB414" s="151" t="s">
        <v>855</v>
      </c>
      <c r="AC414" s="342"/>
    </row>
    <row r="415" spans="1:29">
      <c r="A415" s="151" t="s">
        <v>3593</v>
      </c>
      <c r="B415" s="151" t="s">
        <v>3599</v>
      </c>
      <c r="C415" s="151" t="s">
        <v>341</v>
      </c>
      <c r="D415" s="151" t="s">
        <v>17</v>
      </c>
      <c r="E415" s="151" t="s">
        <v>3600</v>
      </c>
      <c r="F415" s="151" t="s">
        <v>240</v>
      </c>
      <c r="G415" s="151" t="s">
        <v>2173</v>
      </c>
      <c r="H415" s="151" t="s">
        <v>1183</v>
      </c>
      <c r="I415" s="151" t="s">
        <v>1184</v>
      </c>
      <c r="J415" s="151" t="s">
        <v>806</v>
      </c>
      <c r="K415" s="151" t="s">
        <v>3601</v>
      </c>
      <c r="L415" s="151" t="s">
        <v>3596</v>
      </c>
      <c r="M415" s="151" t="s">
        <v>361</v>
      </c>
      <c r="N415" s="151"/>
      <c r="O415" s="151"/>
      <c r="P415" s="151"/>
      <c r="Q415" s="151"/>
      <c r="R415" s="151" t="s">
        <v>2177</v>
      </c>
      <c r="S415" s="151" t="s">
        <v>361</v>
      </c>
      <c r="T415" s="151" t="s">
        <v>435</v>
      </c>
      <c r="U415" s="151" t="s">
        <v>2179</v>
      </c>
      <c r="V415" s="151">
        <v>100</v>
      </c>
      <c r="W415" s="151" t="s">
        <v>2257</v>
      </c>
      <c r="X415" s="151" t="s">
        <v>431</v>
      </c>
      <c r="Y415" s="151" t="s">
        <v>2179</v>
      </c>
      <c r="Z415" s="151"/>
      <c r="AA415" s="151"/>
      <c r="AB415" s="151" t="s">
        <v>855</v>
      </c>
      <c r="AC415" s="342"/>
    </row>
    <row r="416" spans="1:29">
      <c r="A416" s="151" t="s">
        <v>3593</v>
      </c>
      <c r="B416" s="151" t="s">
        <v>3602</v>
      </c>
      <c r="C416" s="151" t="s">
        <v>341</v>
      </c>
      <c r="D416" s="151" t="s">
        <v>17</v>
      </c>
      <c r="E416" s="151" t="s">
        <v>3603</v>
      </c>
      <c r="F416" s="151" t="s">
        <v>240</v>
      </c>
      <c r="G416" s="151" t="s">
        <v>2173</v>
      </c>
      <c r="H416" s="151" t="s">
        <v>1183</v>
      </c>
      <c r="I416" s="151" t="s">
        <v>1184</v>
      </c>
      <c r="J416" s="151" t="s">
        <v>3604</v>
      </c>
      <c r="K416" s="151" t="s">
        <v>3605</v>
      </c>
      <c r="L416" s="151" t="s">
        <v>3606</v>
      </c>
      <c r="M416" s="151" t="s">
        <v>361</v>
      </c>
      <c r="N416" s="151"/>
      <c r="O416" s="151"/>
      <c r="P416" s="151"/>
      <c r="Q416" s="151"/>
      <c r="R416" s="151" t="s">
        <v>2177</v>
      </c>
      <c r="S416" s="151" t="s">
        <v>361</v>
      </c>
      <c r="T416" s="151" t="s">
        <v>3607</v>
      </c>
      <c r="U416" s="151" t="s">
        <v>3608</v>
      </c>
      <c r="V416" s="151" t="s">
        <v>49</v>
      </c>
      <c r="W416" s="151" t="s">
        <v>2373</v>
      </c>
      <c r="X416" s="151" t="s">
        <v>49</v>
      </c>
      <c r="Y416" s="151" t="s">
        <v>3608</v>
      </c>
      <c r="Z416" s="151"/>
      <c r="AA416" s="151"/>
      <c r="AB416" s="151" t="s">
        <v>855</v>
      </c>
      <c r="AC416" s="342"/>
    </row>
    <row r="417" spans="1:29">
      <c r="A417" s="151" t="s">
        <v>3593</v>
      </c>
      <c r="B417" s="151" t="s">
        <v>3609</v>
      </c>
      <c r="C417" s="151" t="s">
        <v>341</v>
      </c>
      <c r="D417" s="151" t="s">
        <v>17</v>
      </c>
      <c r="E417" s="151" t="s">
        <v>3610</v>
      </c>
      <c r="F417" s="151" t="s">
        <v>544</v>
      </c>
      <c r="G417" s="151" t="s">
        <v>2173</v>
      </c>
      <c r="H417" s="151" t="s">
        <v>1183</v>
      </c>
      <c r="I417" s="151" t="s">
        <v>1184</v>
      </c>
      <c r="J417" s="151" t="s">
        <v>806</v>
      </c>
      <c r="K417" s="151" t="s">
        <v>3611</v>
      </c>
      <c r="L417" s="151" t="s">
        <v>3596</v>
      </c>
      <c r="M417" s="151" t="s">
        <v>361</v>
      </c>
      <c r="N417" s="151"/>
      <c r="O417" s="151"/>
      <c r="P417" s="151"/>
      <c r="Q417" s="151"/>
      <c r="R417" s="151" t="s">
        <v>2177</v>
      </c>
      <c r="S417" s="151" t="s">
        <v>361</v>
      </c>
      <c r="T417" s="151" t="s">
        <v>435</v>
      </c>
      <c r="U417" s="151" t="s">
        <v>2179</v>
      </c>
      <c r="V417" s="151" t="s">
        <v>49</v>
      </c>
      <c r="W417" s="151" t="s">
        <v>3612</v>
      </c>
      <c r="X417" s="151" t="s">
        <v>431</v>
      </c>
      <c r="Y417" s="151" t="s">
        <v>2179</v>
      </c>
      <c r="Z417" s="151"/>
      <c r="AA417" s="151"/>
      <c r="AB417" s="151" t="s">
        <v>855</v>
      </c>
      <c r="AC417" s="342"/>
    </row>
    <row r="418" spans="1:29">
      <c r="A418" s="151" t="s">
        <v>3593</v>
      </c>
      <c r="B418" s="151" t="s">
        <v>2669</v>
      </c>
      <c r="C418" s="151" t="s">
        <v>341</v>
      </c>
      <c r="D418" s="151" t="s">
        <v>17</v>
      </c>
      <c r="E418" s="151" t="s">
        <v>3613</v>
      </c>
      <c r="F418" s="151" t="s">
        <v>240</v>
      </c>
      <c r="G418" s="151" t="s">
        <v>2173</v>
      </c>
      <c r="H418" s="151" t="s">
        <v>1183</v>
      </c>
      <c r="I418" s="151" t="s">
        <v>1184</v>
      </c>
      <c r="J418" s="151" t="s">
        <v>806</v>
      </c>
      <c r="K418" s="151" t="s">
        <v>3614</v>
      </c>
      <c r="L418" s="151" t="s">
        <v>3596</v>
      </c>
      <c r="M418" s="151" t="s">
        <v>361</v>
      </c>
      <c r="N418" s="151"/>
      <c r="O418" s="151"/>
      <c r="P418" s="151"/>
      <c r="Q418" s="151"/>
      <c r="R418" s="151" t="s">
        <v>2177</v>
      </c>
      <c r="S418" s="151" t="s">
        <v>361</v>
      </c>
      <c r="T418" s="151" t="s">
        <v>435</v>
      </c>
      <c r="U418" s="151" t="s">
        <v>3582</v>
      </c>
      <c r="V418" s="151" t="s">
        <v>49</v>
      </c>
      <c r="W418" s="151" t="s">
        <v>3615</v>
      </c>
      <c r="X418" s="151" t="s">
        <v>431</v>
      </c>
      <c r="Y418" s="151" t="s">
        <v>3582</v>
      </c>
      <c r="Z418" s="151"/>
      <c r="AA418" s="151"/>
      <c r="AB418" s="151" t="s">
        <v>855</v>
      </c>
      <c r="AC418" s="342"/>
    </row>
    <row r="419" spans="1:29">
      <c r="A419" s="151" t="s">
        <v>3593</v>
      </c>
      <c r="B419" s="151" t="s">
        <v>3616</v>
      </c>
      <c r="C419" s="151" t="s">
        <v>341</v>
      </c>
      <c r="D419" s="151" t="s">
        <v>17</v>
      </c>
      <c r="E419" s="151" t="s">
        <v>3617</v>
      </c>
      <c r="F419" s="151" t="s">
        <v>544</v>
      </c>
      <c r="G419" s="151" t="s">
        <v>2173</v>
      </c>
      <c r="H419" s="151" t="s">
        <v>1183</v>
      </c>
      <c r="I419" s="151" t="s">
        <v>1184</v>
      </c>
      <c r="J419" s="151" t="s">
        <v>806</v>
      </c>
      <c r="K419" s="151" t="s">
        <v>3618</v>
      </c>
      <c r="L419" s="151" t="s">
        <v>3596</v>
      </c>
      <c r="M419" s="151" t="s">
        <v>361</v>
      </c>
      <c r="N419" s="151"/>
      <c r="O419" s="151"/>
      <c r="P419" s="151"/>
      <c r="Q419" s="151"/>
      <c r="R419" s="151" t="s">
        <v>2177</v>
      </c>
      <c r="S419" s="151" t="s">
        <v>361</v>
      </c>
      <c r="T419" s="151" t="s">
        <v>435</v>
      </c>
      <c r="U419" s="151" t="s">
        <v>3582</v>
      </c>
      <c r="V419" s="151" t="s">
        <v>49</v>
      </c>
      <c r="W419" s="151" t="s">
        <v>2250</v>
      </c>
      <c r="X419" s="151" t="s">
        <v>431</v>
      </c>
      <c r="Y419" s="151" t="s">
        <v>3582</v>
      </c>
      <c r="Z419" s="151"/>
      <c r="AA419" s="151"/>
      <c r="AB419" s="151" t="s">
        <v>855</v>
      </c>
      <c r="AC419" s="342"/>
    </row>
    <row r="420" spans="1:29">
      <c r="A420" s="151" t="s">
        <v>3593</v>
      </c>
      <c r="B420" s="151" t="s">
        <v>3619</v>
      </c>
      <c r="C420" s="151" t="s">
        <v>341</v>
      </c>
      <c r="D420" s="151" t="s">
        <v>17</v>
      </c>
      <c r="E420" s="151" t="s">
        <v>3620</v>
      </c>
      <c r="F420" s="151" t="s">
        <v>544</v>
      </c>
      <c r="G420" s="151" t="s">
        <v>2173</v>
      </c>
      <c r="H420" s="151" t="s">
        <v>1183</v>
      </c>
      <c r="I420" s="151" t="s">
        <v>1184</v>
      </c>
      <c r="J420" s="151" t="s">
        <v>807</v>
      </c>
      <c r="K420" s="151" t="s">
        <v>3621</v>
      </c>
      <c r="L420" s="151" t="s">
        <v>3622</v>
      </c>
      <c r="M420" s="151" t="s">
        <v>361</v>
      </c>
      <c r="N420" s="151"/>
      <c r="O420" s="151"/>
      <c r="P420" s="151"/>
      <c r="Q420" s="151"/>
      <c r="R420" s="151" t="s">
        <v>2177</v>
      </c>
      <c r="S420" s="151" t="s">
        <v>361</v>
      </c>
      <c r="T420" s="151" t="s">
        <v>435</v>
      </c>
      <c r="U420" s="151" t="s">
        <v>3582</v>
      </c>
      <c r="V420" s="151" t="s">
        <v>49</v>
      </c>
      <c r="W420" s="151" t="s">
        <v>2185</v>
      </c>
      <c r="X420" s="151" t="s">
        <v>431</v>
      </c>
      <c r="Y420" s="151" t="s">
        <v>3582</v>
      </c>
      <c r="Z420" s="151"/>
      <c r="AA420" s="151"/>
      <c r="AB420" s="151" t="s">
        <v>855</v>
      </c>
      <c r="AC420" s="342"/>
    </row>
    <row r="421" spans="1:29">
      <c r="A421" s="151" t="s">
        <v>3593</v>
      </c>
      <c r="B421" s="151" t="s">
        <v>3623</v>
      </c>
      <c r="C421" s="151" t="s">
        <v>341</v>
      </c>
      <c r="D421" s="151" t="s">
        <v>17</v>
      </c>
      <c r="E421" s="151" t="s">
        <v>3624</v>
      </c>
      <c r="F421" s="151" t="s">
        <v>544</v>
      </c>
      <c r="G421" s="151" t="s">
        <v>2173</v>
      </c>
      <c r="H421" s="151" t="s">
        <v>1183</v>
      </c>
      <c r="I421" s="151" t="s">
        <v>1184</v>
      </c>
      <c r="J421" s="151" t="s">
        <v>806</v>
      </c>
      <c r="K421" s="151" t="s">
        <v>3625</v>
      </c>
      <c r="L421" s="151" t="s">
        <v>3596</v>
      </c>
      <c r="M421" s="151" t="s">
        <v>361</v>
      </c>
      <c r="N421" s="151"/>
      <c r="O421" s="151"/>
      <c r="P421" s="151"/>
      <c r="Q421" s="151"/>
      <c r="R421" s="151" t="s">
        <v>2177</v>
      </c>
      <c r="S421" s="151" t="s">
        <v>361</v>
      </c>
      <c r="T421" s="151" t="s">
        <v>435</v>
      </c>
      <c r="U421" s="151" t="s">
        <v>2179</v>
      </c>
      <c r="V421" s="151">
        <v>18</v>
      </c>
      <c r="W421" s="151" t="s">
        <v>2396</v>
      </c>
      <c r="X421" s="151" t="s">
        <v>431</v>
      </c>
      <c r="Y421" s="151" t="s">
        <v>2179</v>
      </c>
      <c r="Z421" s="151"/>
      <c r="AA421" s="151"/>
      <c r="AB421" s="151" t="s">
        <v>855</v>
      </c>
      <c r="AC421" s="342"/>
    </row>
    <row r="422" spans="1:29">
      <c r="A422" s="151" t="s">
        <v>3593</v>
      </c>
      <c r="B422" s="151" t="s">
        <v>3626</v>
      </c>
      <c r="C422" s="151" t="s">
        <v>341</v>
      </c>
      <c r="D422" s="151" t="s">
        <v>17</v>
      </c>
      <c r="E422" s="151" t="s">
        <v>3627</v>
      </c>
      <c r="F422" s="151" t="s">
        <v>2196</v>
      </c>
      <c r="G422" s="151" t="s">
        <v>2173</v>
      </c>
      <c r="H422" s="151" t="s">
        <v>1183</v>
      </c>
      <c r="I422" s="151" t="s">
        <v>1184</v>
      </c>
      <c r="J422" s="151" t="s">
        <v>806</v>
      </c>
      <c r="K422" s="151" t="s">
        <v>3628</v>
      </c>
      <c r="L422" s="151" t="s">
        <v>3596</v>
      </c>
      <c r="M422" s="151" t="s">
        <v>361</v>
      </c>
      <c r="N422" s="151"/>
      <c r="O422" s="151"/>
      <c r="P422" s="151"/>
      <c r="Q422" s="151"/>
      <c r="R422" s="151" t="s">
        <v>2177</v>
      </c>
      <c r="S422" s="151" t="s">
        <v>361</v>
      </c>
      <c r="T422" s="151" t="s">
        <v>435</v>
      </c>
      <c r="U422" s="151" t="s">
        <v>3629</v>
      </c>
      <c r="V422" s="151">
        <v>18</v>
      </c>
      <c r="W422" s="151" t="s">
        <v>3629</v>
      </c>
      <c r="X422" s="151" t="s">
        <v>3629</v>
      </c>
      <c r="Y422" s="151" t="s">
        <v>3629</v>
      </c>
      <c r="Z422" s="151"/>
      <c r="AA422" s="151"/>
      <c r="AB422" s="151" t="s">
        <v>855</v>
      </c>
      <c r="AC422" s="342"/>
    </row>
    <row r="423" spans="1:29">
      <c r="A423" s="151" t="s">
        <v>3593</v>
      </c>
      <c r="B423" s="151" t="s">
        <v>3630</v>
      </c>
      <c r="C423" s="151" t="s">
        <v>341</v>
      </c>
      <c r="D423" s="151" t="s">
        <v>17</v>
      </c>
      <c r="E423" s="151" t="s">
        <v>3631</v>
      </c>
      <c r="F423" s="151" t="s">
        <v>544</v>
      </c>
      <c r="G423" s="151" t="s">
        <v>2173</v>
      </c>
      <c r="H423" s="151" t="s">
        <v>1183</v>
      </c>
      <c r="I423" s="151" t="s">
        <v>1184</v>
      </c>
      <c r="J423" s="151" t="s">
        <v>806</v>
      </c>
      <c r="K423" s="151" t="s">
        <v>3632</v>
      </c>
      <c r="L423" s="151" t="s">
        <v>3596</v>
      </c>
      <c r="M423" s="151" t="s">
        <v>361</v>
      </c>
      <c r="N423" s="151"/>
      <c r="O423" s="151"/>
      <c r="P423" s="151"/>
      <c r="Q423" s="151"/>
      <c r="R423" s="151" t="s">
        <v>2177</v>
      </c>
      <c r="S423" s="151" t="s">
        <v>361</v>
      </c>
      <c r="T423" s="151" t="s">
        <v>3633</v>
      </c>
      <c r="U423" s="151" t="s">
        <v>2207</v>
      </c>
      <c r="V423" s="151">
        <v>10</v>
      </c>
      <c r="W423" s="151" t="s">
        <v>3629</v>
      </c>
      <c r="X423" s="151" t="s">
        <v>2207</v>
      </c>
      <c r="Y423" s="151" t="s">
        <v>2207</v>
      </c>
      <c r="Z423" s="151"/>
      <c r="AA423" s="151"/>
      <c r="AB423" s="151" t="s">
        <v>855</v>
      </c>
      <c r="AC423" s="342"/>
    </row>
    <row r="424" spans="1:29">
      <c r="A424" s="151" t="s">
        <v>3593</v>
      </c>
      <c r="B424" s="151" t="s">
        <v>3634</v>
      </c>
      <c r="C424" s="151" t="s">
        <v>341</v>
      </c>
      <c r="D424" s="151" t="s">
        <v>17</v>
      </c>
      <c r="E424" s="151" t="s">
        <v>3635</v>
      </c>
      <c r="F424" s="151" t="s">
        <v>544</v>
      </c>
      <c r="G424" s="151" t="s">
        <v>2173</v>
      </c>
      <c r="H424" s="151" t="s">
        <v>1183</v>
      </c>
      <c r="I424" s="151" t="s">
        <v>1184</v>
      </c>
      <c r="J424" s="151" t="s">
        <v>806</v>
      </c>
      <c r="K424" s="151" t="s">
        <v>3636</v>
      </c>
      <c r="L424" s="151" t="s">
        <v>3596</v>
      </c>
      <c r="M424" s="151" t="s">
        <v>361</v>
      </c>
      <c r="N424" s="151"/>
      <c r="O424" s="151"/>
      <c r="P424" s="151"/>
      <c r="Q424" s="151"/>
      <c r="R424" s="151" t="s">
        <v>2177</v>
      </c>
      <c r="S424" s="151" t="s">
        <v>361</v>
      </c>
      <c r="T424" s="151" t="s">
        <v>435</v>
      </c>
      <c r="U424" s="151" t="s">
        <v>3582</v>
      </c>
      <c r="V424" s="151" t="s">
        <v>49</v>
      </c>
      <c r="W424" s="151" t="s">
        <v>2635</v>
      </c>
      <c r="X424" s="151" t="s">
        <v>2445</v>
      </c>
      <c r="Y424" s="151" t="s">
        <v>3582</v>
      </c>
      <c r="Z424" s="151"/>
      <c r="AA424" s="151"/>
      <c r="AB424" s="151" t="s">
        <v>855</v>
      </c>
      <c r="AC424" s="342"/>
    </row>
    <row r="425" spans="1:29">
      <c r="A425" s="151" t="s">
        <v>3593</v>
      </c>
      <c r="B425" s="151" t="s">
        <v>3637</v>
      </c>
      <c r="C425" s="151" t="s">
        <v>341</v>
      </c>
      <c r="D425" s="151" t="s">
        <v>17</v>
      </c>
      <c r="E425" s="151" t="s">
        <v>3638</v>
      </c>
      <c r="F425" s="151" t="s">
        <v>544</v>
      </c>
      <c r="G425" s="151" t="s">
        <v>2173</v>
      </c>
      <c r="H425" s="151" t="s">
        <v>1183</v>
      </c>
      <c r="I425" s="151" t="s">
        <v>1184</v>
      </c>
      <c r="J425" s="151" t="s">
        <v>806</v>
      </c>
      <c r="K425" s="151" t="s">
        <v>3639</v>
      </c>
      <c r="L425" s="151" t="s">
        <v>3596</v>
      </c>
      <c r="M425" s="151" t="s">
        <v>361</v>
      </c>
      <c r="N425" s="151"/>
      <c r="O425" s="151"/>
      <c r="P425" s="151"/>
      <c r="Q425" s="151"/>
      <c r="R425" s="151" t="s">
        <v>2177</v>
      </c>
      <c r="S425" s="151" t="s">
        <v>361</v>
      </c>
      <c r="T425" s="151" t="s">
        <v>49</v>
      </c>
      <c r="U425" s="151" t="s">
        <v>3608</v>
      </c>
      <c r="V425" s="151" t="s">
        <v>49</v>
      </c>
      <c r="W425" s="151" t="s">
        <v>2373</v>
      </c>
      <c r="X425" s="151" t="s">
        <v>49</v>
      </c>
      <c r="Y425" s="151" t="s">
        <v>3608</v>
      </c>
      <c r="Z425" s="151">
        <v>0</v>
      </c>
      <c r="AA425" s="151">
        <v>0</v>
      </c>
      <c r="AB425" s="151" t="s">
        <v>855</v>
      </c>
      <c r="AC425" s="342"/>
    </row>
    <row r="426" spans="1:29">
      <c r="A426" s="151" t="s">
        <v>3593</v>
      </c>
      <c r="B426" s="151" t="s">
        <v>3640</v>
      </c>
      <c r="C426" s="151" t="s">
        <v>341</v>
      </c>
      <c r="D426" s="151" t="s">
        <v>17</v>
      </c>
      <c r="E426" s="151" t="s">
        <v>3641</v>
      </c>
      <c r="F426" s="151" t="s">
        <v>240</v>
      </c>
      <c r="G426" s="151" t="s">
        <v>2173</v>
      </c>
      <c r="H426" s="151" t="s">
        <v>1183</v>
      </c>
      <c r="I426" s="151" t="s">
        <v>1184</v>
      </c>
      <c r="J426" s="151" t="s">
        <v>806</v>
      </c>
      <c r="K426" s="151" t="s">
        <v>3642</v>
      </c>
      <c r="L426" s="151" t="s">
        <v>3596</v>
      </c>
      <c r="M426" s="151" t="s">
        <v>3643</v>
      </c>
      <c r="N426" s="151"/>
      <c r="O426" s="151"/>
      <c r="P426" s="151"/>
      <c r="Q426" s="151"/>
      <c r="R426" s="151" t="s">
        <v>2177</v>
      </c>
      <c r="S426" s="151" t="s">
        <v>361</v>
      </c>
      <c r="T426" s="151" t="s">
        <v>435</v>
      </c>
      <c r="U426" s="151" t="s">
        <v>3644</v>
      </c>
      <c r="V426" s="151" t="s">
        <v>49</v>
      </c>
      <c r="W426" s="151" t="s">
        <v>3644</v>
      </c>
      <c r="X426" s="151" t="s">
        <v>2445</v>
      </c>
      <c r="Y426" s="151" t="s">
        <v>3644</v>
      </c>
      <c r="Z426" s="151"/>
      <c r="AA426" s="151"/>
      <c r="AB426" s="151" t="s">
        <v>855</v>
      </c>
      <c r="AC426" s="342"/>
    </row>
    <row r="427" spans="1:29">
      <c r="A427" s="151" t="s">
        <v>3593</v>
      </c>
      <c r="B427" s="151" t="s">
        <v>3645</v>
      </c>
      <c r="C427" s="151" t="s">
        <v>341</v>
      </c>
      <c r="D427" s="151" t="s">
        <v>17</v>
      </c>
      <c r="E427" s="151" t="s">
        <v>3646</v>
      </c>
      <c r="F427" s="151" t="s">
        <v>544</v>
      </c>
      <c r="G427" s="151" t="s">
        <v>2173</v>
      </c>
      <c r="H427" s="151" t="s">
        <v>1183</v>
      </c>
      <c r="I427" s="151" t="s">
        <v>1184</v>
      </c>
      <c r="J427" s="151" t="s">
        <v>803</v>
      </c>
      <c r="K427" s="151" t="s">
        <v>3647</v>
      </c>
      <c r="L427" s="151" t="s">
        <v>3648</v>
      </c>
      <c r="M427" s="151" t="s">
        <v>361</v>
      </c>
      <c r="N427" s="151"/>
      <c r="O427" s="151"/>
      <c r="P427" s="151"/>
      <c r="Q427" s="151"/>
      <c r="R427" s="151" t="s">
        <v>2177</v>
      </c>
      <c r="S427" s="151" t="s">
        <v>361</v>
      </c>
      <c r="T427" s="151" t="s">
        <v>2213</v>
      </c>
      <c r="U427" s="151" t="s">
        <v>3608</v>
      </c>
      <c r="V427" s="151">
        <v>1</v>
      </c>
      <c r="W427" s="151">
        <v>1</v>
      </c>
      <c r="X427" s="151" t="s">
        <v>2445</v>
      </c>
      <c r="Y427" s="151" t="s">
        <v>3608</v>
      </c>
      <c r="Z427" s="151"/>
      <c r="AA427" s="151"/>
      <c r="AB427" s="151" t="s">
        <v>855</v>
      </c>
      <c r="AC427" s="342"/>
    </row>
    <row r="428" spans="1:29">
      <c r="A428" s="151" t="s">
        <v>3593</v>
      </c>
      <c r="B428" s="151" t="s">
        <v>3649</v>
      </c>
      <c r="C428" s="151" t="s">
        <v>341</v>
      </c>
      <c r="D428" s="151" t="s">
        <v>17</v>
      </c>
      <c r="E428" s="151" t="s">
        <v>3650</v>
      </c>
      <c r="F428" s="151" t="s">
        <v>544</v>
      </c>
      <c r="G428" s="151" t="s">
        <v>2173</v>
      </c>
      <c r="H428" s="151" t="s">
        <v>1183</v>
      </c>
      <c r="I428" s="151" t="s">
        <v>1184</v>
      </c>
      <c r="J428" s="151" t="s">
        <v>806</v>
      </c>
      <c r="K428" s="151" t="s">
        <v>3642</v>
      </c>
      <c r="L428" s="151" t="s">
        <v>3596</v>
      </c>
      <c r="M428" s="151" t="s">
        <v>3651</v>
      </c>
      <c r="N428" s="151"/>
      <c r="O428" s="151"/>
      <c r="P428" s="151"/>
      <c r="Q428" s="151"/>
      <c r="R428" s="151" t="s">
        <v>2177</v>
      </c>
      <c r="S428" s="151" t="s">
        <v>3652</v>
      </c>
      <c r="T428" s="151" t="s">
        <v>2213</v>
      </c>
      <c r="U428" s="151" t="s">
        <v>3582</v>
      </c>
      <c r="V428" s="151" t="s">
        <v>2250</v>
      </c>
      <c r="W428" s="151">
        <v>5</v>
      </c>
      <c r="X428" s="151" t="s">
        <v>2445</v>
      </c>
      <c r="Y428" s="151" t="s">
        <v>3582</v>
      </c>
      <c r="Z428" s="151"/>
      <c r="AA428" s="151"/>
      <c r="AB428" s="151" t="s">
        <v>855</v>
      </c>
      <c r="AC428" s="342"/>
    </row>
    <row r="429" spans="1:29">
      <c r="A429" s="151" t="s">
        <v>3593</v>
      </c>
      <c r="B429" s="151" t="s">
        <v>3653</v>
      </c>
      <c r="C429" s="151" t="s">
        <v>3654</v>
      </c>
      <c r="D429" s="151" t="s">
        <v>17</v>
      </c>
      <c r="E429" s="151" t="s">
        <v>3655</v>
      </c>
      <c r="F429" s="151" t="s">
        <v>240</v>
      </c>
      <c r="G429" s="151" t="s">
        <v>3656</v>
      </c>
      <c r="H429" s="151" t="s">
        <v>361</v>
      </c>
      <c r="I429" s="151" t="s">
        <v>1184</v>
      </c>
      <c r="J429" s="151" t="s">
        <v>361</v>
      </c>
      <c r="K429" s="151" t="s">
        <v>361</v>
      </c>
      <c r="L429" s="151" t="s">
        <v>361</v>
      </c>
      <c r="M429" s="151" t="s">
        <v>361</v>
      </c>
      <c r="N429" s="151"/>
      <c r="O429" s="151"/>
      <c r="P429" s="151"/>
      <c r="Q429" s="151"/>
      <c r="R429" s="151" t="s">
        <v>3576</v>
      </c>
      <c r="S429" s="151" t="s">
        <v>361</v>
      </c>
      <c r="T429" s="151"/>
      <c r="U429" s="151"/>
      <c r="V429" s="151"/>
      <c r="W429" s="151"/>
      <c r="X429" s="151"/>
      <c r="Y429" s="151"/>
      <c r="Z429" s="151"/>
      <c r="AA429" s="151"/>
      <c r="AB429" s="151"/>
      <c r="AC429" s="342"/>
    </row>
    <row r="430" spans="1:29">
      <c r="A430" s="151" t="s">
        <v>3593</v>
      </c>
      <c r="B430" s="151" t="s">
        <v>3657</v>
      </c>
      <c r="C430" s="151" t="s">
        <v>3654</v>
      </c>
      <c r="D430" s="151" t="s">
        <v>17</v>
      </c>
      <c r="E430" s="151" t="s">
        <v>3658</v>
      </c>
      <c r="F430" s="151" t="s">
        <v>544</v>
      </c>
      <c r="G430" s="151" t="s">
        <v>2173</v>
      </c>
      <c r="H430" s="151" t="s">
        <v>1183</v>
      </c>
      <c r="I430" s="151" t="s">
        <v>1184</v>
      </c>
      <c r="J430" s="151" t="s">
        <v>806</v>
      </c>
      <c r="K430" s="151" t="s">
        <v>3659</v>
      </c>
      <c r="L430" s="151" t="s">
        <v>3596</v>
      </c>
      <c r="M430" s="151" t="s">
        <v>361</v>
      </c>
      <c r="N430" s="151"/>
      <c r="O430" s="151"/>
      <c r="P430" s="151"/>
      <c r="Q430" s="151"/>
      <c r="R430" s="151" t="s">
        <v>2177</v>
      </c>
      <c r="S430" s="151" t="s">
        <v>361</v>
      </c>
      <c r="T430" s="151" t="s">
        <v>2213</v>
      </c>
      <c r="U430" s="151" t="s">
        <v>2507</v>
      </c>
      <c r="V430" s="151">
        <v>20</v>
      </c>
      <c r="W430" s="151" t="s">
        <v>2507</v>
      </c>
      <c r="X430" s="151" t="s">
        <v>2445</v>
      </c>
      <c r="Y430" s="151" t="s">
        <v>2507</v>
      </c>
      <c r="Z430" s="151"/>
      <c r="AA430" s="151"/>
      <c r="AB430" s="151" t="s">
        <v>855</v>
      </c>
      <c r="AC430" s="342"/>
    </row>
    <row r="431" spans="1:29">
      <c r="A431" s="151" t="s">
        <v>3593</v>
      </c>
      <c r="B431" s="151" t="s">
        <v>3660</v>
      </c>
      <c r="C431" s="151" t="s">
        <v>3654</v>
      </c>
      <c r="D431" s="151" t="s">
        <v>17</v>
      </c>
      <c r="E431" s="151" t="s">
        <v>3661</v>
      </c>
      <c r="F431" s="151" t="s">
        <v>544</v>
      </c>
      <c r="G431" s="151" t="s">
        <v>2173</v>
      </c>
      <c r="H431" s="151" t="s">
        <v>1183</v>
      </c>
      <c r="I431" s="151" t="s">
        <v>1184</v>
      </c>
      <c r="J431" s="151" t="s">
        <v>806</v>
      </c>
      <c r="K431" s="151" t="s">
        <v>3662</v>
      </c>
      <c r="L431" s="151" t="s">
        <v>3596</v>
      </c>
      <c r="M431" s="151" t="s">
        <v>361</v>
      </c>
      <c r="N431" s="151"/>
      <c r="O431" s="151"/>
      <c r="P431" s="151"/>
      <c r="Q431" s="151"/>
      <c r="R431" s="151" t="s">
        <v>2177</v>
      </c>
      <c r="S431" s="151" t="s">
        <v>361</v>
      </c>
      <c r="T431" s="151" t="s">
        <v>2213</v>
      </c>
      <c r="U431" s="151" t="s">
        <v>2507</v>
      </c>
      <c r="V431" s="151">
        <v>20</v>
      </c>
      <c r="W431" s="151" t="s">
        <v>2507</v>
      </c>
      <c r="X431" s="151" t="s">
        <v>2445</v>
      </c>
      <c r="Y431" s="151" t="s">
        <v>2507</v>
      </c>
      <c r="Z431" s="151"/>
      <c r="AA431" s="151"/>
      <c r="AB431" s="151" t="s">
        <v>855</v>
      </c>
      <c r="AC431" s="342"/>
    </row>
    <row r="432" spans="1:29" ht="60">
      <c r="A432" s="151" t="s">
        <v>3593</v>
      </c>
      <c r="B432" s="151" t="s">
        <v>3663</v>
      </c>
      <c r="C432" s="151" t="s">
        <v>3664</v>
      </c>
      <c r="D432" s="151" t="s">
        <v>17</v>
      </c>
      <c r="E432" s="151" t="s">
        <v>3665</v>
      </c>
      <c r="F432" s="151" t="s">
        <v>2527</v>
      </c>
      <c r="G432" s="151" t="s">
        <v>2173</v>
      </c>
      <c r="H432" s="151" t="s">
        <v>1183</v>
      </c>
      <c r="I432" s="151" t="s">
        <v>1184</v>
      </c>
      <c r="J432" s="151" t="s">
        <v>806</v>
      </c>
      <c r="K432" s="151" t="s">
        <v>3666</v>
      </c>
      <c r="L432" s="151" t="s">
        <v>3596</v>
      </c>
      <c r="M432" s="151" t="s">
        <v>361</v>
      </c>
      <c r="N432" s="341" t="s">
        <v>3667</v>
      </c>
      <c r="O432" s="151">
        <v>2212898</v>
      </c>
      <c r="P432" s="151"/>
      <c r="Q432" s="151"/>
      <c r="R432" s="151" t="s">
        <v>2177</v>
      </c>
      <c r="S432" s="151" t="s">
        <v>361</v>
      </c>
      <c r="T432" s="151" t="s">
        <v>3668</v>
      </c>
      <c r="U432" s="151" t="s">
        <v>3608</v>
      </c>
      <c r="V432" s="151" t="s">
        <v>49</v>
      </c>
      <c r="W432" s="151" t="s">
        <v>2373</v>
      </c>
      <c r="X432" s="151" t="s">
        <v>49</v>
      </c>
      <c r="Y432" s="151" t="s">
        <v>3608</v>
      </c>
      <c r="Z432" s="151"/>
      <c r="AA432" s="151"/>
      <c r="AB432" s="151" t="s">
        <v>855</v>
      </c>
      <c r="AC432" s="342"/>
    </row>
    <row r="433" spans="1:29" ht="60">
      <c r="A433" s="151" t="s">
        <v>3593</v>
      </c>
      <c r="B433" s="151" t="s">
        <v>3669</v>
      </c>
      <c r="C433" s="151" t="s">
        <v>3664</v>
      </c>
      <c r="D433" s="151" t="s">
        <v>17</v>
      </c>
      <c r="E433" s="151" t="s">
        <v>3665</v>
      </c>
      <c r="F433" s="151" t="s">
        <v>2527</v>
      </c>
      <c r="G433" s="151" t="s">
        <v>2173</v>
      </c>
      <c r="H433" s="151" t="s">
        <v>1183</v>
      </c>
      <c r="I433" s="151" t="s">
        <v>1184</v>
      </c>
      <c r="J433" s="151" t="s">
        <v>806</v>
      </c>
      <c r="K433" s="151" t="s">
        <v>3670</v>
      </c>
      <c r="L433" s="151" t="s">
        <v>3596</v>
      </c>
      <c r="M433" s="151" t="s">
        <v>361</v>
      </c>
      <c r="N433" s="341" t="s">
        <v>3671</v>
      </c>
      <c r="O433" s="151">
        <v>2212898</v>
      </c>
      <c r="P433" s="151"/>
      <c r="Q433" s="151"/>
      <c r="R433" s="151" t="s">
        <v>2177</v>
      </c>
      <c r="S433" s="151" t="s">
        <v>361</v>
      </c>
      <c r="T433" s="151" t="s">
        <v>3668</v>
      </c>
      <c r="U433" s="151" t="s">
        <v>3608</v>
      </c>
      <c r="V433" s="151" t="s">
        <v>49</v>
      </c>
      <c r="W433" s="151" t="s">
        <v>2373</v>
      </c>
      <c r="X433" s="151" t="s">
        <v>49</v>
      </c>
      <c r="Y433" s="151" t="s">
        <v>3608</v>
      </c>
      <c r="Z433" s="151"/>
      <c r="AA433" s="151"/>
      <c r="AB433" s="151" t="s">
        <v>855</v>
      </c>
      <c r="AC433" s="342"/>
    </row>
    <row r="434" spans="1:29" ht="105">
      <c r="A434" s="151" t="s">
        <v>3593</v>
      </c>
      <c r="B434" s="151" t="s">
        <v>3672</v>
      </c>
      <c r="C434" s="151" t="s">
        <v>3664</v>
      </c>
      <c r="D434" s="151" t="s">
        <v>17</v>
      </c>
      <c r="E434" s="151" t="s">
        <v>3673</v>
      </c>
      <c r="F434" s="151" t="s">
        <v>2527</v>
      </c>
      <c r="G434" s="151" t="s">
        <v>2173</v>
      </c>
      <c r="H434" s="151" t="s">
        <v>1183</v>
      </c>
      <c r="I434" s="151" t="s">
        <v>1184</v>
      </c>
      <c r="J434" s="151" t="s">
        <v>809</v>
      </c>
      <c r="K434" s="151" t="s">
        <v>3674</v>
      </c>
      <c r="L434" s="151" t="s">
        <v>3675</v>
      </c>
      <c r="M434" s="151" t="s">
        <v>361</v>
      </c>
      <c r="N434" s="341" t="s">
        <v>3676</v>
      </c>
      <c r="O434" s="151">
        <v>6291413</v>
      </c>
      <c r="P434" s="151"/>
      <c r="Q434" s="151"/>
      <c r="R434" s="151" t="s">
        <v>2177</v>
      </c>
      <c r="S434" s="151" t="s">
        <v>361</v>
      </c>
      <c r="T434" s="151" t="s">
        <v>435</v>
      </c>
      <c r="U434" s="151" t="s">
        <v>2885</v>
      </c>
      <c r="V434" s="151" t="s">
        <v>49</v>
      </c>
      <c r="W434" s="151" t="s">
        <v>2885</v>
      </c>
      <c r="X434" s="151" t="s">
        <v>431</v>
      </c>
      <c r="Y434" s="151" t="s">
        <v>2885</v>
      </c>
      <c r="Z434" s="151"/>
      <c r="AA434" s="151"/>
      <c r="AB434" s="151" t="s">
        <v>855</v>
      </c>
      <c r="AC434" s="342"/>
    </row>
    <row r="435" spans="1:29" ht="105">
      <c r="A435" s="151" t="s">
        <v>3593</v>
      </c>
      <c r="B435" s="151" t="s">
        <v>3677</v>
      </c>
      <c r="C435" s="151" t="s">
        <v>3664</v>
      </c>
      <c r="D435" s="151" t="s">
        <v>17</v>
      </c>
      <c r="E435" s="151" t="s">
        <v>3673</v>
      </c>
      <c r="F435" s="151" t="s">
        <v>2527</v>
      </c>
      <c r="G435" s="151" t="s">
        <v>2173</v>
      </c>
      <c r="H435" s="151" t="s">
        <v>1183</v>
      </c>
      <c r="I435" s="151" t="s">
        <v>1184</v>
      </c>
      <c r="J435" s="151" t="s">
        <v>809</v>
      </c>
      <c r="K435" s="151" t="s">
        <v>3678</v>
      </c>
      <c r="L435" s="151" t="s">
        <v>3675</v>
      </c>
      <c r="M435" s="151" t="s">
        <v>361</v>
      </c>
      <c r="N435" s="341" t="s">
        <v>3679</v>
      </c>
      <c r="O435" s="151">
        <v>6291413</v>
      </c>
      <c r="P435" s="151"/>
      <c r="Q435" s="151"/>
      <c r="R435" s="151" t="s">
        <v>2177</v>
      </c>
      <c r="S435" s="151" t="s">
        <v>361</v>
      </c>
      <c r="T435" s="151" t="s">
        <v>435</v>
      </c>
      <c r="U435" s="151" t="s">
        <v>2885</v>
      </c>
      <c r="V435" s="151" t="s">
        <v>49</v>
      </c>
      <c r="W435" s="151" t="s">
        <v>2885</v>
      </c>
      <c r="X435" s="151" t="s">
        <v>431</v>
      </c>
      <c r="Y435" s="151" t="s">
        <v>2885</v>
      </c>
      <c r="Z435" s="151"/>
      <c r="AA435" s="151"/>
      <c r="AB435" s="151" t="s">
        <v>855</v>
      </c>
      <c r="AC435" s="342"/>
    </row>
    <row r="436" spans="1:29" ht="105">
      <c r="A436" s="151" t="s">
        <v>3593</v>
      </c>
      <c r="B436" s="151" t="s">
        <v>3680</v>
      </c>
      <c r="C436" s="151" t="s">
        <v>3664</v>
      </c>
      <c r="D436" s="151" t="s">
        <v>17</v>
      </c>
      <c r="E436" s="151" t="s">
        <v>3681</v>
      </c>
      <c r="F436" s="151" t="s">
        <v>2527</v>
      </c>
      <c r="G436" s="151" t="s">
        <v>2173</v>
      </c>
      <c r="H436" s="151" t="s">
        <v>1183</v>
      </c>
      <c r="I436" s="151" t="s">
        <v>1184</v>
      </c>
      <c r="J436" s="151" t="s">
        <v>809</v>
      </c>
      <c r="K436" s="151" t="s">
        <v>3682</v>
      </c>
      <c r="L436" s="151" t="s">
        <v>3675</v>
      </c>
      <c r="M436" s="151" t="s">
        <v>361</v>
      </c>
      <c r="N436" s="341" t="s">
        <v>3683</v>
      </c>
      <c r="O436" s="151">
        <v>6291413</v>
      </c>
      <c r="P436" s="151"/>
      <c r="Q436" s="151"/>
      <c r="R436" s="151" t="s">
        <v>2177</v>
      </c>
      <c r="S436" s="151" t="s">
        <v>361</v>
      </c>
      <c r="T436" s="151" t="s">
        <v>435</v>
      </c>
      <c r="U436" s="151" t="s">
        <v>2885</v>
      </c>
      <c r="V436" s="151" t="s">
        <v>49</v>
      </c>
      <c r="W436" s="151" t="s">
        <v>2885</v>
      </c>
      <c r="X436" s="151" t="s">
        <v>431</v>
      </c>
      <c r="Y436" s="151" t="s">
        <v>2885</v>
      </c>
      <c r="Z436" s="151"/>
      <c r="AA436" s="151"/>
      <c r="AB436" s="151" t="s">
        <v>855</v>
      </c>
      <c r="AC436" s="342"/>
    </row>
    <row r="437" spans="1:29" ht="105">
      <c r="A437" s="151" t="s">
        <v>3593</v>
      </c>
      <c r="B437" s="151" t="s">
        <v>3684</v>
      </c>
      <c r="C437" s="151" t="s">
        <v>3664</v>
      </c>
      <c r="D437" s="151" t="s">
        <v>17</v>
      </c>
      <c r="E437" s="151" t="s">
        <v>3681</v>
      </c>
      <c r="F437" s="151" t="s">
        <v>2527</v>
      </c>
      <c r="G437" s="151" t="s">
        <v>2173</v>
      </c>
      <c r="H437" s="151" t="s">
        <v>1183</v>
      </c>
      <c r="I437" s="151" t="s">
        <v>1184</v>
      </c>
      <c r="J437" s="151" t="s">
        <v>809</v>
      </c>
      <c r="K437" s="151" t="s">
        <v>3685</v>
      </c>
      <c r="L437" s="151" t="s">
        <v>3675</v>
      </c>
      <c r="M437" s="151" t="s">
        <v>361</v>
      </c>
      <c r="N437" s="341" t="s">
        <v>3686</v>
      </c>
      <c r="O437" s="151">
        <v>6291413</v>
      </c>
      <c r="P437" s="151"/>
      <c r="Q437" s="151"/>
      <c r="R437" s="151" t="s">
        <v>2177</v>
      </c>
      <c r="S437" s="151" t="s">
        <v>361</v>
      </c>
      <c r="T437" s="151" t="s">
        <v>435</v>
      </c>
      <c r="U437" s="151" t="s">
        <v>2885</v>
      </c>
      <c r="V437" s="151" t="s">
        <v>49</v>
      </c>
      <c r="W437" s="151" t="s">
        <v>2885</v>
      </c>
      <c r="X437" s="151" t="s">
        <v>431</v>
      </c>
      <c r="Y437" s="151" t="s">
        <v>2885</v>
      </c>
      <c r="Z437" s="151"/>
      <c r="AA437" s="151"/>
      <c r="AB437" s="151" t="s">
        <v>855</v>
      </c>
      <c r="AC437" s="342"/>
    </row>
    <row r="438" spans="1:29" ht="120">
      <c r="A438" s="151" t="s">
        <v>3593</v>
      </c>
      <c r="B438" s="151" t="s">
        <v>3687</v>
      </c>
      <c r="C438" s="151" t="s">
        <v>3664</v>
      </c>
      <c r="D438" s="151" t="s">
        <v>17</v>
      </c>
      <c r="E438" s="151" t="s">
        <v>3688</v>
      </c>
      <c r="F438" s="151" t="s">
        <v>2527</v>
      </c>
      <c r="G438" s="151" t="s">
        <v>2173</v>
      </c>
      <c r="H438" s="151" t="s">
        <v>1183</v>
      </c>
      <c r="I438" s="151" t="s">
        <v>1184</v>
      </c>
      <c r="J438" s="151" t="s">
        <v>809</v>
      </c>
      <c r="K438" s="151" t="s">
        <v>3689</v>
      </c>
      <c r="L438" s="151" t="s">
        <v>3675</v>
      </c>
      <c r="M438" s="151" t="s">
        <v>361</v>
      </c>
      <c r="N438" s="341" t="s">
        <v>3690</v>
      </c>
      <c r="O438" s="151">
        <v>6291413</v>
      </c>
      <c r="P438" s="151"/>
      <c r="Q438" s="151"/>
      <c r="R438" s="151" t="s">
        <v>2177</v>
      </c>
      <c r="S438" s="151" t="s">
        <v>361</v>
      </c>
      <c r="T438" s="151" t="s">
        <v>435</v>
      </c>
      <c r="U438" s="151" t="s">
        <v>2885</v>
      </c>
      <c r="V438" s="151" t="s">
        <v>49</v>
      </c>
      <c r="W438" s="151" t="s">
        <v>2885</v>
      </c>
      <c r="X438" s="151" t="s">
        <v>431</v>
      </c>
      <c r="Y438" s="151" t="s">
        <v>2885</v>
      </c>
      <c r="Z438" s="151"/>
      <c r="AA438" s="151"/>
      <c r="AB438" s="151" t="s">
        <v>855</v>
      </c>
      <c r="AC438" s="342"/>
    </row>
    <row r="439" spans="1:29" ht="120">
      <c r="A439" s="151" t="s">
        <v>3593</v>
      </c>
      <c r="B439" s="151" t="s">
        <v>3691</v>
      </c>
      <c r="C439" s="151" t="s">
        <v>3664</v>
      </c>
      <c r="D439" s="151" t="s">
        <v>17</v>
      </c>
      <c r="E439" s="151" t="s">
        <v>3692</v>
      </c>
      <c r="F439" s="151" t="s">
        <v>2527</v>
      </c>
      <c r="G439" s="151" t="s">
        <v>2173</v>
      </c>
      <c r="H439" s="151" t="s">
        <v>1183</v>
      </c>
      <c r="I439" s="151" t="s">
        <v>1184</v>
      </c>
      <c r="J439" s="151" t="s">
        <v>809</v>
      </c>
      <c r="K439" s="151" t="s">
        <v>3693</v>
      </c>
      <c r="L439" s="151" t="s">
        <v>3675</v>
      </c>
      <c r="M439" s="151" t="s">
        <v>361</v>
      </c>
      <c r="N439" s="341" t="s">
        <v>3694</v>
      </c>
      <c r="O439" s="151">
        <v>6291413</v>
      </c>
      <c r="P439" s="151"/>
      <c r="Q439" s="151"/>
      <c r="R439" s="151" t="s">
        <v>2177</v>
      </c>
      <c r="S439" s="151" t="s">
        <v>361</v>
      </c>
      <c r="T439" s="151" t="s">
        <v>435</v>
      </c>
      <c r="U439" s="151" t="s">
        <v>2885</v>
      </c>
      <c r="V439" s="151" t="s">
        <v>49</v>
      </c>
      <c r="W439" s="151" t="s">
        <v>2885</v>
      </c>
      <c r="X439" s="151" t="s">
        <v>431</v>
      </c>
      <c r="Y439" s="151" t="s">
        <v>2885</v>
      </c>
      <c r="Z439" s="151"/>
      <c r="AA439" s="151"/>
      <c r="AB439" s="151" t="s">
        <v>855</v>
      </c>
      <c r="AC439" s="342"/>
    </row>
    <row r="440" spans="1:29" ht="120">
      <c r="A440" s="151" t="s">
        <v>3593</v>
      </c>
      <c r="B440" s="151" t="s">
        <v>3695</v>
      </c>
      <c r="C440" s="151" t="s">
        <v>3664</v>
      </c>
      <c r="D440" s="151" t="s">
        <v>17</v>
      </c>
      <c r="E440" s="151" t="s">
        <v>3696</v>
      </c>
      <c r="F440" s="151" t="s">
        <v>2527</v>
      </c>
      <c r="G440" s="151" t="s">
        <v>2173</v>
      </c>
      <c r="H440" s="151" t="s">
        <v>1183</v>
      </c>
      <c r="I440" s="151" t="s">
        <v>1184</v>
      </c>
      <c r="J440" s="151" t="s">
        <v>809</v>
      </c>
      <c r="K440" s="151" t="s">
        <v>3697</v>
      </c>
      <c r="L440" s="151" t="s">
        <v>3675</v>
      </c>
      <c r="M440" s="151" t="s">
        <v>361</v>
      </c>
      <c r="N440" s="341" t="s">
        <v>3698</v>
      </c>
      <c r="O440" s="151">
        <v>6291413</v>
      </c>
      <c r="P440" s="151"/>
      <c r="Q440" s="151"/>
      <c r="R440" s="151" t="s">
        <v>2177</v>
      </c>
      <c r="S440" s="151" t="s">
        <v>361</v>
      </c>
      <c r="T440" s="151" t="s">
        <v>435</v>
      </c>
      <c r="U440" s="151" t="s">
        <v>2885</v>
      </c>
      <c r="V440" s="151" t="s">
        <v>49</v>
      </c>
      <c r="W440" s="151" t="s">
        <v>2885</v>
      </c>
      <c r="X440" s="151" t="s">
        <v>431</v>
      </c>
      <c r="Y440" s="151" t="s">
        <v>2885</v>
      </c>
      <c r="Z440" s="151"/>
      <c r="AA440" s="151"/>
      <c r="AB440" s="151" t="s">
        <v>855</v>
      </c>
      <c r="AC440" s="342"/>
    </row>
    <row r="441" spans="1:29" ht="120">
      <c r="A441" s="151" t="s">
        <v>3593</v>
      </c>
      <c r="B441" s="151" t="s">
        <v>3699</v>
      </c>
      <c r="C441" s="151" t="s">
        <v>3664</v>
      </c>
      <c r="D441" s="151" t="s">
        <v>17</v>
      </c>
      <c r="E441" s="151" t="s">
        <v>3700</v>
      </c>
      <c r="F441" s="151" t="s">
        <v>2527</v>
      </c>
      <c r="G441" s="151" t="s">
        <v>2173</v>
      </c>
      <c r="H441" s="151" t="s">
        <v>1183</v>
      </c>
      <c r="I441" s="151" t="s">
        <v>1184</v>
      </c>
      <c r="J441" s="151" t="s">
        <v>809</v>
      </c>
      <c r="K441" s="151" t="s">
        <v>3701</v>
      </c>
      <c r="L441" s="151" t="s">
        <v>3675</v>
      </c>
      <c r="M441" s="151" t="s">
        <v>361</v>
      </c>
      <c r="N441" s="341" t="s">
        <v>3702</v>
      </c>
      <c r="O441" s="151">
        <v>6291413</v>
      </c>
      <c r="P441" s="151"/>
      <c r="Q441" s="151"/>
      <c r="R441" s="151" t="s">
        <v>2177</v>
      </c>
      <c r="S441" s="151" t="s">
        <v>361</v>
      </c>
      <c r="T441" s="151" t="s">
        <v>435</v>
      </c>
      <c r="U441" s="151" t="s">
        <v>2885</v>
      </c>
      <c r="V441" s="151" t="s">
        <v>49</v>
      </c>
      <c r="W441" s="151" t="s">
        <v>2885</v>
      </c>
      <c r="X441" s="151" t="s">
        <v>431</v>
      </c>
      <c r="Y441" s="151" t="s">
        <v>2885</v>
      </c>
      <c r="Z441" s="151"/>
      <c r="AA441" s="151"/>
      <c r="AB441" s="151" t="s">
        <v>855</v>
      </c>
      <c r="AC441" s="342"/>
    </row>
    <row r="442" spans="1:29" ht="90">
      <c r="A442" s="151" t="s">
        <v>3593</v>
      </c>
      <c r="B442" s="151" t="s">
        <v>3703</v>
      </c>
      <c r="C442" s="151" t="s">
        <v>3664</v>
      </c>
      <c r="D442" s="151" t="s">
        <v>17</v>
      </c>
      <c r="E442" s="151" t="s">
        <v>3704</v>
      </c>
      <c r="F442" s="151" t="s">
        <v>2527</v>
      </c>
      <c r="G442" s="151" t="s">
        <v>2173</v>
      </c>
      <c r="H442" s="151" t="s">
        <v>1183</v>
      </c>
      <c r="I442" s="151" t="s">
        <v>1184</v>
      </c>
      <c r="J442" s="151" t="s">
        <v>805</v>
      </c>
      <c r="K442" s="151" t="s">
        <v>3705</v>
      </c>
      <c r="L442" s="151" t="s">
        <v>3706</v>
      </c>
      <c r="M442" s="151" t="s">
        <v>361</v>
      </c>
      <c r="N442" s="341" t="s">
        <v>3707</v>
      </c>
      <c r="O442" s="151">
        <v>22128989</v>
      </c>
      <c r="P442" s="151"/>
      <c r="Q442" s="151"/>
      <c r="R442" s="151" t="s">
        <v>2177</v>
      </c>
      <c r="S442" s="151" t="s">
        <v>361</v>
      </c>
      <c r="T442" s="151" t="s">
        <v>2191</v>
      </c>
      <c r="U442" s="151" t="s">
        <v>3608</v>
      </c>
      <c r="V442" s="151" t="s">
        <v>49</v>
      </c>
      <c r="W442" s="151" t="s">
        <v>3708</v>
      </c>
      <c r="X442" s="151" t="s">
        <v>431</v>
      </c>
      <c r="Y442" s="151" t="s">
        <v>3608</v>
      </c>
      <c r="Z442" s="151"/>
      <c r="AA442" s="151"/>
      <c r="AB442" s="151" t="s">
        <v>855</v>
      </c>
      <c r="AC442" s="342"/>
    </row>
    <row r="443" spans="1:29" ht="90">
      <c r="A443" s="151" t="s">
        <v>3593</v>
      </c>
      <c r="B443" s="151" t="s">
        <v>3709</v>
      </c>
      <c r="C443" s="151" t="s">
        <v>3664</v>
      </c>
      <c r="D443" s="151" t="s">
        <v>17</v>
      </c>
      <c r="E443" s="151" t="s">
        <v>3710</v>
      </c>
      <c r="F443" s="151" t="s">
        <v>2527</v>
      </c>
      <c r="G443" s="151" t="s">
        <v>2173</v>
      </c>
      <c r="H443" s="151" t="s">
        <v>1183</v>
      </c>
      <c r="I443" s="151" t="s">
        <v>1184</v>
      </c>
      <c r="J443" s="151" t="s">
        <v>805</v>
      </c>
      <c r="K443" s="151" t="s">
        <v>3711</v>
      </c>
      <c r="L443" s="151" t="s">
        <v>3706</v>
      </c>
      <c r="M443" s="151" t="s">
        <v>361</v>
      </c>
      <c r="N443" s="341" t="s">
        <v>3712</v>
      </c>
      <c r="O443" s="151">
        <v>22128989</v>
      </c>
      <c r="P443" s="151"/>
      <c r="Q443" s="151"/>
      <c r="R443" s="151" t="s">
        <v>2177</v>
      </c>
      <c r="S443" s="151" t="s">
        <v>361</v>
      </c>
      <c r="T443" s="151" t="s">
        <v>2191</v>
      </c>
      <c r="U443" s="151" t="s">
        <v>3608</v>
      </c>
      <c r="V443" s="151" t="s">
        <v>49</v>
      </c>
      <c r="W443" s="151" t="s">
        <v>3708</v>
      </c>
      <c r="X443" s="151" t="s">
        <v>431</v>
      </c>
      <c r="Y443" s="151" t="s">
        <v>3608</v>
      </c>
      <c r="Z443" s="151"/>
      <c r="AA443" s="151"/>
      <c r="AB443" s="151" t="s">
        <v>855</v>
      </c>
      <c r="AC443" s="342"/>
    </row>
    <row r="444" spans="1:29" ht="120">
      <c r="A444" s="151" t="s">
        <v>3593</v>
      </c>
      <c r="B444" s="151" t="s">
        <v>3713</v>
      </c>
      <c r="C444" s="151" t="s">
        <v>3664</v>
      </c>
      <c r="D444" s="151" t="s">
        <v>17</v>
      </c>
      <c r="E444" s="151" t="s">
        <v>3714</v>
      </c>
      <c r="F444" s="151" t="s">
        <v>2527</v>
      </c>
      <c r="G444" s="151" t="s">
        <v>2173</v>
      </c>
      <c r="H444" s="151" t="s">
        <v>1183</v>
      </c>
      <c r="I444" s="151" t="s">
        <v>1184</v>
      </c>
      <c r="J444" s="151" t="s">
        <v>803</v>
      </c>
      <c r="K444" s="151" t="s">
        <v>3715</v>
      </c>
      <c r="L444" s="151" t="s">
        <v>3648</v>
      </c>
      <c r="M444" s="151" t="s">
        <v>361</v>
      </c>
      <c r="N444" s="341" t="s">
        <v>3716</v>
      </c>
      <c r="O444" s="151">
        <v>2212898</v>
      </c>
      <c r="P444" s="151"/>
      <c r="Q444" s="151"/>
      <c r="R444" s="151" t="s">
        <v>2177</v>
      </c>
      <c r="S444" s="151" t="s">
        <v>361</v>
      </c>
      <c r="T444" s="151" t="s">
        <v>3540</v>
      </c>
      <c r="U444" s="151" t="s">
        <v>2400</v>
      </c>
      <c r="V444" s="151" t="s">
        <v>49</v>
      </c>
      <c r="W444" s="151" t="s">
        <v>2400</v>
      </c>
      <c r="X444" s="151" t="s">
        <v>2400</v>
      </c>
      <c r="Y444" s="151" t="s">
        <v>2400</v>
      </c>
      <c r="Z444" s="151"/>
      <c r="AA444" s="151"/>
      <c r="AB444" s="151" t="s">
        <v>855</v>
      </c>
      <c r="AC444" s="342"/>
    </row>
    <row r="445" spans="1:29" ht="120">
      <c r="A445" s="151" t="s">
        <v>3593</v>
      </c>
      <c r="B445" s="151" t="s">
        <v>3717</v>
      </c>
      <c r="C445" s="151" t="s">
        <v>3664</v>
      </c>
      <c r="D445" s="151" t="s">
        <v>17</v>
      </c>
      <c r="E445" s="151" t="s">
        <v>3718</v>
      </c>
      <c r="F445" s="151" t="s">
        <v>2527</v>
      </c>
      <c r="G445" s="151" t="s">
        <v>2173</v>
      </c>
      <c r="H445" s="151" t="s">
        <v>1183</v>
      </c>
      <c r="I445" s="151" t="s">
        <v>1184</v>
      </c>
      <c r="J445" s="151" t="s">
        <v>803</v>
      </c>
      <c r="K445" s="151" t="s">
        <v>3719</v>
      </c>
      <c r="L445" s="151" t="s">
        <v>3648</v>
      </c>
      <c r="M445" s="151" t="s">
        <v>361</v>
      </c>
      <c r="N445" s="341" t="s">
        <v>3720</v>
      </c>
      <c r="O445" s="151">
        <v>2212898</v>
      </c>
      <c r="P445" s="151"/>
      <c r="Q445" s="151"/>
      <c r="R445" s="151" t="s">
        <v>2177</v>
      </c>
      <c r="S445" s="151" t="s">
        <v>361</v>
      </c>
      <c r="T445" s="151" t="s">
        <v>3540</v>
      </c>
      <c r="U445" s="151" t="s">
        <v>2400</v>
      </c>
      <c r="V445" s="151" t="s">
        <v>49</v>
      </c>
      <c r="W445" s="151" t="s">
        <v>2400</v>
      </c>
      <c r="X445" s="151" t="s">
        <v>2400</v>
      </c>
      <c r="Y445" s="151" t="s">
        <v>2400</v>
      </c>
      <c r="Z445" s="151"/>
      <c r="AA445" s="151"/>
      <c r="AB445" s="151" t="s">
        <v>855</v>
      </c>
      <c r="AC445" s="342"/>
    </row>
    <row r="446" spans="1:29" ht="120">
      <c r="A446" s="151" t="s">
        <v>3593</v>
      </c>
      <c r="B446" s="151" t="s">
        <v>3721</v>
      </c>
      <c r="C446" s="151" t="s">
        <v>3664</v>
      </c>
      <c r="D446" s="151" t="s">
        <v>17</v>
      </c>
      <c r="E446" s="151" t="s">
        <v>3722</v>
      </c>
      <c r="F446" s="151" t="s">
        <v>2527</v>
      </c>
      <c r="G446" s="151" t="s">
        <v>2173</v>
      </c>
      <c r="H446" s="151" t="s">
        <v>1183</v>
      </c>
      <c r="I446" s="151" t="s">
        <v>1184</v>
      </c>
      <c r="J446" s="151" t="s">
        <v>803</v>
      </c>
      <c r="K446" s="151" t="s">
        <v>3723</v>
      </c>
      <c r="L446" s="151" t="s">
        <v>3648</v>
      </c>
      <c r="M446" s="151" t="s">
        <v>361</v>
      </c>
      <c r="N446" s="341" t="s">
        <v>3724</v>
      </c>
      <c r="O446" s="151">
        <v>2212898</v>
      </c>
      <c r="P446" s="151"/>
      <c r="Q446" s="151"/>
      <c r="R446" s="151" t="s">
        <v>2177</v>
      </c>
      <c r="S446" s="151" t="s">
        <v>361</v>
      </c>
      <c r="T446" s="151" t="s">
        <v>3540</v>
      </c>
      <c r="U446" s="151" t="s">
        <v>2400</v>
      </c>
      <c r="V446" s="151" t="s">
        <v>49</v>
      </c>
      <c r="W446" s="151" t="s">
        <v>2400</v>
      </c>
      <c r="X446" s="151" t="s">
        <v>2400</v>
      </c>
      <c r="Y446" s="151" t="s">
        <v>2400</v>
      </c>
      <c r="Z446" s="151"/>
      <c r="AA446" s="151"/>
      <c r="AB446" s="151" t="s">
        <v>855</v>
      </c>
      <c r="AC446" s="342"/>
    </row>
    <row r="447" spans="1:29" ht="120">
      <c r="A447" s="151" t="s">
        <v>3593</v>
      </c>
      <c r="B447" s="151" t="s">
        <v>3725</v>
      </c>
      <c r="C447" s="151" t="s">
        <v>3664</v>
      </c>
      <c r="D447" s="151" t="s">
        <v>17</v>
      </c>
      <c r="E447" s="151" t="s">
        <v>3726</v>
      </c>
      <c r="F447" s="151" t="s">
        <v>2527</v>
      </c>
      <c r="G447" s="151" t="s">
        <v>2173</v>
      </c>
      <c r="H447" s="151" t="s">
        <v>1183</v>
      </c>
      <c r="I447" s="151" t="s">
        <v>1184</v>
      </c>
      <c r="J447" s="151" t="s">
        <v>803</v>
      </c>
      <c r="K447" s="151" t="s">
        <v>3727</v>
      </c>
      <c r="L447" s="151" t="s">
        <v>3648</v>
      </c>
      <c r="M447" s="151" t="s">
        <v>361</v>
      </c>
      <c r="N447" s="341" t="s">
        <v>3728</v>
      </c>
      <c r="O447" s="151">
        <v>2212898</v>
      </c>
      <c r="P447" s="151"/>
      <c r="Q447" s="151"/>
      <c r="R447" s="151" t="s">
        <v>2177</v>
      </c>
      <c r="S447" s="151" t="s">
        <v>361</v>
      </c>
      <c r="T447" s="151" t="s">
        <v>3540</v>
      </c>
      <c r="U447" s="151" t="s">
        <v>2400</v>
      </c>
      <c r="V447" s="151" t="s">
        <v>49</v>
      </c>
      <c r="W447" s="151" t="s">
        <v>2400</v>
      </c>
      <c r="X447" s="151" t="s">
        <v>2400</v>
      </c>
      <c r="Y447" s="151" t="s">
        <v>2400</v>
      </c>
      <c r="Z447" s="151"/>
      <c r="AA447" s="151"/>
      <c r="AB447" s="151" t="s">
        <v>855</v>
      </c>
      <c r="AC447" s="342"/>
    </row>
    <row r="448" spans="1:29" ht="105">
      <c r="A448" s="151" t="s">
        <v>3593</v>
      </c>
      <c r="B448" s="151" t="s">
        <v>3729</v>
      </c>
      <c r="C448" s="151" t="s">
        <v>3664</v>
      </c>
      <c r="D448" s="151" t="s">
        <v>17</v>
      </c>
      <c r="E448" s="151" t="s">
        <v>3730</v>
      </c>
      <c r="F448" s="151" t="s">
        <v>2527</v>
      </c>
      <c r="G448" s="151" t="s">
        <v>2173</v>
      </c>
      <c r="H448" s="151" t="s">
        <v>1183</v>
      </c>
      <c r="I448" s="151" t="s">
        <v>1184</v>
      </c>
      <c r="J448" s="151" t="s">
        <v>809</v>
      </c>
      <c r="K448" s="151" t="s">
        <v>3731</v>
      </c>
      <c r="L448" s="151" t="s">
        <v>3675</v>
      </c>
      <c r="M448" s="151" t="s">
        <v>361</v>
      </c>
      <c r="N448" s="341" t="s">
        <v>3732</v>
      </c>
      <c r="O448" s="151">
        <v>6291413</v>
      </c>
      <c r="P448" s="151"/>
      <c r="Q448" s="151"/>
      <c r="R448" s="151" t="s">
        <v>2177</v>
      </c>
      <c r="S448" s="151" t="s">
        <v>361</v>
      </c>
      <c r="T448" s="151" t="s">
        <v>435</v>
      </c>
      <c r="U448" s="151" t="s">
        <v>3582</v>
      </c>
      <c r="V448" s="151">
        <v>5</v>
      </c>
      <c r="W448" s="151" t="s">
        <v>2250</v>
      </c>
      <c r="X448" s="151" t="s">
        <v>2445</v>
      </c>
      <c r="Y448" s="151" t="s">
        <v>3582</v>
      </c>
      <c r="Z448" s="151"/>
      <c r="AA448" s="151"/>
      <c r="AB448" s="151" t="s">
        <v>855</v>
      </c>
      <c r="AC448" s="342"/>
    </row>
    <row r="449" spans="1:29" ht="165">
      <c r="A449" s="151" t="s">
        <v>3593</v>
      </c>
      <c r="B449" s="151" t="s">
        <v>3733</v>
      </c>
      <c r="C449" s="151" t="s">
        <v>3664</v>
      </c>
      <c r="D449" s="151" t="s">
        <v>17</v>
      </c>
      <c r="E449" s="151" t="s">
        <v>3734</v>
      </c>
      <c r="F449" s="151" t="s">
        <v>2527</v>
      </c>
      <c r="G449" s="151" t="s">
        <v>2546</v>
      </c>
      <c r="H449" s="151" t="s">
        <v>1183</v>
      </c>
      <c r="I449" s="151" t="s">
        <v>1184</v>
      </c>
      <c r="J449" s="151" t="s">
        <v>809</v>
      </c>
      <c r="K449" s="341" t="s">
        <v>3735</v>
      </c>
      <c r="L449" s="161" t="s">
        <v>3675</v>
      </c>
      <c r="M449" s="151" t="s">
        <v>3736</v>
      </c>
      <c r="N449" s="341" t="s">
        <v>3737</v>
      </c>
      <c r="O449" s="151"/>
      <c r="P449" s="151"/>
      <c r="Q449" s="151"/>
      <c r="R449" s="151"/>
      <c r="S449" s="151" t="s">
        <v>3738</v>
      </c>
      <c r="T449" s="151"/>
      <c r="U449" s="151"/>
      <c r="V449" s="151"/>
      <c r="W449" s="151"/>
      <c r="X449" s="151"/>
      <c r="Y449" s="151"/>
      <c r="Z449" s="151"/>
      <c r="AA449" s="151"/>
      <c r="AB449" s="151"/>
      <c r="AC449" s="342"/>
    </row>
    <row r="450" spans="1:29" ht="105">
      <c r="A450" s="151" t="s">
        <v>3593</v>
      </c>
      <c r="B450" s="151" t="s">
        <v>3739</v>
      </c>
      <c r="C450" s="151" t="s">
        <v>3664</v>
      </c>
      <c r="D450" s="151" t="s">
        <v>17</v>
      </c>
      <c r="E450" s="151" t="s">
        <v>3740</v>
      </c>
      <c r="F450" s="151" t="s">
        <v>2527</v>
      </c>
      <c r="G450" s="151" t="s">
        <v>2173</v>
      </c>
      <c r="H450" s="151" t="s">
        <v>1183</v>
      </c>
      <c r="I450" s="151" t="s">
        <v>1184</v>
      </c>
      <c r="J450" s="151" t="s">
        <v>803</v>
      </c>
      <c r="K450" s="151" t="s">
        <v>3741</v>
      </c>
      <c r="L450" s="151" t="s">
        <v>3648</v>
      </c>
      <c r="M450" s="151" t="s">
        <v>361</v>
      </c>
      <c r="N450" s="341" t="s">
        <v>3742</v>
      </c>
      <c r="O450" s="151">
        <v>2212898</v>
      </c>
      <c r="P450" s="151"/>
      <c r="Q450" s="151"/>
      <c r="R450" s="151" t="s">
        <v>2177</v>
      </c>
      <c r="S450" s="341" t="s">
        <v>3743</v>
      </c>
      <c r="T450" s="151" t="s">
        <v>2213</v>
      </c>
      <c r="U450" s="151" t="s">
        <v>3644</v>
      </c>
      <c r="V450" s="151">
        <v>22</v>
      </c>
      <c r="W450" s="151" t="s">
        <v>3644</v>
      </c>
      <c r="X450" s="151" t="s">
        <v>2445</v>
      </c>
      <c r="Y450" s="151" t="s">
        <v>3644</v>
      </c>
      <c r="Z450" s="151"/>
      <c r="AA450" s="151"/>
      <c r="AB450" s="151" t="s">
        <v>855</v>
      </c>
      <c r="AC450" s="342"/>
    </row>
    <row r="451" spans="1:29" ht="105">
      <c r="A451" s="151" t="s">
        <v>3593</v>
      </c>
      <c r="B451" s="151" t="s">
        <v>3744</v>
      </c>
      <c r="C451" s="151" t="s">
        <v>3664</v>
      </c>
      <c r="D451" s="151" t="s">
        <v>17</v>
      </c>
      <c r="E451" s="151" t="s">
        <v>3745</v>
      </c>
      <c r="F451" s="151" t="s">
        <v>2527</v>
      </c>
      <c r="G451" s="151" t="s">
        <v>2173</v>
      </c>
      <c r="H451" s="151" t="s">
        <v>1183</v>
      </c>
      <c r="I451" s="151" t="s">
        <v>1184</v>
      </c>
      <c r="J451" s="151" t="s">
        <v>803</v>
      </c>
      <c r="K451" s="151" t="s">
        <v>3741</v>
      </c>
      <c r="L451" s="151" t="s">
        <v>3648</v>
      </c>
      <c r="M451" s="151" t="s">
        <v>361</v>
      </c>
      <c r="N451" s="341" t="s">
        <v>3746</v>
      </c>
      <c r="O451" s="151">
        <v>2212898</v>
      </c>
      <c r="P451" s="151"/>
      <c r="Q451" s="151"/>
      <c r="R451" s="151" t="s">
        <v>2177</v>
      </c>
      <c r="S451" s="151" t="s">
        <v>361</v>
      </c>
      <c r="T451" s="151" t="s">
        <v>2213</v>
      </c>
      <c r="U451" s="151" t="s">
        <v>3644</v>
      </c>
      <c r="V451" s="151">
        <v>22</v>
      </c>
      <c r="W451" s="151" t="s">
        <v>3644</v>
      </c>
      <c r="X451" s="151" t="s">
        <v>2445</v>
      </c>
      <c r="Y451" s="151" t="s">
        <v>3644</v>
      </c>
      <c r="Z451" s="151"/>
      <c r="AA451" s="151"/>
      <c r="AB451" s="151" t="s">
        <v>855</v>
      </c>
      <c r="AC451" s="342"/>
    </row>
    <row r="452" spans="1:29" ht="105">
      <c r="A452" s="151" t="s">
        <v>3593</v>
      </c>
      <c r="B452" s="151" t="s">
        <v>3747</v>
      </c>
      <c r="C452" s="151" t="s">
        <v>3664</v>
      </c>
      <c r="D452" s="151" t="s">
        <v>17</v>
      </c>
      <c r="E452" s="151" t="s">
        <v>3748</v>
      </c>
      <c r="F452" s="151" t="s">
        <v>2527</v>
      </c>
      <c r="G452" s="151" t="s">
        <v>2173</v>
      </c>
      <c r="H452" s="151" t="s">
        <v>1183</v>
      </c>
      <c r="I452" s="151" t="s">
        <v>1184</v>
      </c>
      <c r="J452" s="151" t="s">
        <v>803</v>
      </c>
      <c r="K452" s="151" t="s">
        <v>3749</v>
      </c>
      <c r="L452" s="151" t="s">
        <v>3648</v>
      </c>
      <c r="M452" s="151" t="s">
        <v>361</v>
      </c>
      <c r="N452" s="341" t="s">
        <v>3750</v>
      </c>
      <c r="O452" s="151">
        <v>2212898</v>
      </c>
      <c r="P452" s="151"/>
      <c r="Q452" s="151"/>
      <c r="R452" s="151" t="s">
        <v>2177</v>
      </c>
      <c r="S452" s="151" t="s">
        <v>361</v>
      </c>
      <c r="T452" s="151" t="s">
        <v>2213</v>
      </c>
      <c r="U452" s="151" t="s">
        <v>3751</v>
      </c>
      <c r="V452" s="151">
        <v>22</v>
      </c>
      <c r="W452" s="151" t="s">
        <v>3751</v>
      </c>
      <c r="X452" s="151" t="s">
        <v>2445</v>
      </c>
      <c r="Y452" s="151" t="s">
        <v>3751</v>
      </c>
      <c r="Z452" s="151"/>
      <c r="AA452" s="151"/>
      <c r="AB452" s="151" t="s">
        <v>855</v>
      </c>
      <c r="AC452" s="342"/>
    </row>
    <row r="453" spans="1:29">
      <c r="A453" s="151" t="s">
        <v>3593</v>
      </c>
      <c r="B453" s="151" t="s">
        <v>3752</v>
      </c>
      <c r="C453" s="151" t="s">
        <v>3664</v>
      </c>
      <c r="D453" s="151" t="s">
        <v>17</v>
      </c>
      <c r="E453" s="151" t="s">
        <v>3753</v>
      </c>
      <c r="F453" s="151" t="s">
        <v>544</v>
      </c>
      <c r="G453" s="151" t="s">
        <v>2652</v>
      </c>
      <c r="H453" s="151" t="s">
        <v>361</v>
      </c>
      <c r="I453" s="151" t="s">
        <v>1184</v>
      </c>
      <c r="J453" s="151" t="s">
        <v>361</v>
      </c>
      <c r="K453" s="151" t="s">
        <v>361</v>
      </c>
      <c r="L453" s="151" t="s">
        <v>361</v>
      </c>
      <c r="M453" s="151" t="s">
        <v>361</v>
      </c>
      <c r="N453" s="151"/>
      <c r="O453" s="151"/>
      <c r="P453" s="151"/>
      <c r="Q453" s="151"/>
      <c r="R453" s="151" t="s">
        <v>2550</v>
      </c>
      <c r="S453" s="151" t="s">
        <v>3754</v>
      </c>
      <c r="T453" s="151"/>
      <c r="U453" s="151" t="s">
        <v>2507</v>
      </c>
      <c r="V453" s="151"/>
      <c r="W453" s="151" t="s">
        <v>2507</v>
      </c>
      <c r="X453" s="151"/>
      <c r="Y453" s="151" t="s">
        <v>2507</v>
      </c>
      <c r="Z453" s="151"/>
      <c r="AA453" s="151"/>
      <c r="AB453" s="151" t="s">
        <v>855</v>
      </c>
      <c r="AC453" s="342"/>
    </row>
    <row r="454" spans="1:29" ht="120">
      <c r="A454" s="151" t="s">
        <v>3593</v>
      </c>
      <c r="B454" s="151" t="s">
        <v>3755</v>
      </c>
      <c r="C454" s="151" t="s">
        <v>3756</v>
      </c>
      <c r="D454" s="151" t="s">
        <v>17</v>
      </c>
      <c r="E454" s="151" t="s">
        <v>3757</v>
      </c>
      <c r="F454" s="151" t="s">
        <v>2527</v>
      </c>
      <c r="G454" s="151" t="s">
        <v>2173</v>
      </c>
      <c r="H454" s="151" t="s">
        <v>1183</v>
      </c>
      <c r="I454" s="151" t="s">
        <v>1184</v>
      </c>
      <c r="J454" s="151" t="s">
        <v>803</v>
      </c>
      <c r="K454" s="151" t="s">
        <v>3758</v>
      </c>
      <c r="L454" s="151" t="s">
        <v>3648</v>
      </c>
      <c r="M454" s="151" t="s">
        <v>361</v>
      </c>
      <c r="N454" s="341" t="s">
        <v>3759</v>
      </c>
      <c r="O454" s="151">
        <v>2212898</v>
      </c>
      <c r="P454" s="151"/>
      <c r="Q454" s="151"/>
      <c r="R454" s="151" t="s">
        <v>2177</v>
      </c>
      <c r="S454" s="151" t="s">
        <v>361</v>
      </c>
      <c r="T454" s="151" t="s">
        <v>3760</v>
      </c>
      <c r="U454" s="151" t="s">
        <v>3644</v>
      </c>
      <c r="V454" s="151">
        <v>22</v>
      </c>
      <c r="W454" s="151" t="s">
        <v>3644</v>
      </c>
      <c r="X454" s="151" t="s">
        <v>3760</v>
      </c>
      <c r="Y454" s="151" t="s">
        <v>3644</v>
      </c>
      <c r="Z454" s="151"/>
      <c r="AA454" s="151"/>
      <c r="AB454" s="151" t="s">
        <v>855</v>
      </c>
      <c r="AC454" s="342"/>
    </row>
    <row r="455" spans="1:29" ht="135">
      <c r="A455" s="151" t="s">
        <v>3593</v>
      </c>
      <c r="B455" s="151" t="s">
        <v>3761</v>
      </c>
      <c r="C455" s="151" t="s">
        <v>3756</v>
      </c>
      <c r="D455" s="151" t="s">
        <v>17</v>
      </c>
      <c r="E455" s="151" t="s">
        <v>3762</v>
      </c>
      <c r="F455" s="151" t="s">
        <v>2527</v>
      </c>
      <c r="G455" s="151" t="s">
        <v>2173</v>
      </c>
      <c r="H455" s="151" t="s">
        <v>1183</v>
      </c>
      <c r="I455" s="151" t="s">
        <v>1184</v>
      </c>
      <c r="J455" s="151" t="s">
        <v>803</v>
      </c>
      <c r="K455" s="151" t="s">
        <v>3715</v>
      </c>
      <c r="L455" s="151" t="s">
        <v>3648</v>
      </c>
      <c r="M455" s="151" t="s">
        <v>361</v>
      </c>
      <c r="N455" s="341" t="s">
        <v>3763</v>
      </c>
      <c r="O455" s="151">
        <v>2212898</v>
      </c>
      <c r="P455" s="151"/>
      <c r="Q455" s="151"/>
      <c r="R455" s="151" t="s">
        <v>2177</v>
      </c>
      <c r="S455" s="151" t="s">
        <v>361</v>
      </c>
      <c r="T455" s="151" t="s">
        <v>2207</v>
      </c>
      <c r="U455" s="151" t="s">
        <v>2207</v>
      </c>
      <c r="V455" s="151">
        <v>10</v>
      </c>
      <c r="W455" s="151" t="s">
        <v>2207</v>
      </c>
      <c r="X455" s="151" t="s">
        <v>2207</v>
      </c>
      <c r="Y455" s="151" t="s">
        <v>2207</v>
      </c>
      <c r="Z455" s="151"/>
      <c r="AA455" s="151"/>
      <c r="AB455" s="151" t="s">
        <v>855</v>
      </c>
      <c r="AC455" s="342"/>
    </row>
    <row r="456" spans="1:29" ht="120">
      <c r="A456" s="151" t="s">
        <v>3593</v>
      </c>
      <c r="B456" s="151" t="s">
        <v>3764</v>
      </c>
      <c r="C456" s="151" t="s">
        <v>3756</v>
      </c>
      <c r="D456" s="151" t="s">
        <v>17</v>
      </c>
      <c r="E456" s="151" t="s">
        <v>3765</v>
      </c>
      <c r="F456" s="151" t="s">
        <v>2527</v>
      </c>
      <c r="G456" s="151" t="s">
        <v>2173</v>
      </c>
      <c r="H456" s="151" t="s">
        <v>1183</v>
      </c>
      <c r="I456" s="151" t="s">
        <v>1184</v>
      </c>
      <c r="J456" s="151" t="s">
        <v>803</v>
      </c>
      <c r="K456" s="151" t="s">
        <v>3766</v>
      </c>
      <c r="L456" s="151" t="s">
        <v>3648</v>
      </c>
      <c r="M456" s="151" t="s">
        <v>361</v>
      </c>
      <c r="N456" s="341" t="s">
        <v>3767</v>
      </c>
      <c r="O456" s="151">
        <v>2212898</v>
      </c>
      <c r="P456" s="151"/>
      <c r="Q456" s="151"/>
      <c r="R456" s="151" t="s">
        <v>2177</v>
      </c>
      <c r="S456" s="151" t="s">
        <v>361</v>
      </c>
      <c r="T456" s="151" t="s">
        <v>2207</v>
      </c>
      <c r="U456" s="151" t="s">
        <v>2207</v>
      </c>
      <c r="V456" s="151">
        <v>10</v>
      </c>
      <c r="W456" s="151" t="s">
        <v>2207</v>
      </c>
      <c r="X456" s="151" t="s">
        <v>2207</v>
      </c>
      <c r="Y456" s="151" t="s">
        <v>2207</v>
      </c>
      <c r="Z456" s="151"/>
      <c r="AA456" s="151"/>
      <c r="AB456" s="151" t="s">
        <v>855</v>
      </c>
      <c r="AC456" s="342"/>
    </row>
    <row r="457" spans="1:29" ht="120">
      <c r="A457" s="151" t="s">
        <v>3593</v>
      </c>
      <c r="B457" s="151" t="s">
        <v>3768</v>
      </c>
      <c r="C457" s="151" t="s">
        <v>3756</v>
      </c>
      <c r="D457" s="151" t="s">
        <v>17</v>
      </c>
      <c r="E457" s="151" t="s">
        <v>3769</v>
      </c>
      <c r="F457" s="151" t="s">
        <v>2527</v>
      </c>
      <c r="G457" s="151" t="s">
        <v>2173</v>
      </c>
      <c r="H457" s="151" t="s">
        <v>1183</v>
      </c>
      <c r="I457" s="151" t="s">
        <v>1184</v>
      </c>
      <c r="J457" s="151" t="s">
        <v>803</v>
      </c>
      <c r="K457" s="151" t="s">
        <v>3749</v>
      </c>
      <c r="L457" s="151" t="s">
        <v>3648</v>
      </c>
      <c r="M457" s="151" t="s">
        <v>361</v>
      </c>
      <c r="N457" s="341" t="s">
        <v>3770</v>
      </c>
      <c r="O457" s="151">
        <v>2212898</v>
      </c>
      <c r="P457" s="151"/>
      <c r="Q457" s="151"/>
      <c r="R457" s="151" t="s">
        <v>2177</v>
      </c>
      <c r="S457" s="151" t="s">
        <v>361</v>
      </c>
      <c r="T457" s="151" t="s">
        <v>3760</v>
      </c>
      <c r="U457" s="151" t="s">
        <v>3644</v>
      </c>
      <c r="V457" s="151">
        <v>22</v>
      </c>
      <c r="W457" s="151" t="s">
        <v>3644</v>
      </c>
      <c r="X457" s="151" t="s">
        <v>2445</v>
      </c>
      <c r="Y457" s="151" t="s">
        <v>3644</v>
      </c>
      <c r="Z457" s="151"/>
      <c r="AA457" s="151"/>
      <c r="AB457" s="151" t="s">
        <v>855</v>
      </c>
      <c r="AC457" s="342"/>
    </row>
    <row r="458" spans="1:29" ht="120">
      <c r="A458" s="151" t="s">
        <v>3593</v>
      </c>
      <c r="B458" s="151" t="s">
        <v>3771</v>
      </c>
      <c r="C458" s="151" t="s">
        <v>3756</v>
      </c>
      <c r="D458" s="151" t="s">
        <v>17</v>
      </c>
      <c r="E458" s="151" t="s">
        <v>3772</v>
      </c>
      <c r="F458" s="151" t="s">
        <v>2527</v>
      </c>
      <c r="G458" s="151" t="s">
        <v>2173</v>
      </c>
      <c r="H458" s="151" t="s">
        <v>1183</v>
      </c>
      <c r="I458" s="151" t="s">
        <v>1184</v>
      </c>
      <c r="J458" s="151" t="s">
        <v>803</v>
      </c>
      <c r="K458" s="151" t="s">
        <v>3773</v>
      </c>
      <c r="L458" s="151" t="s">
        <v>3648</v>
      </c>
      <c r="M458" s="151" t="s">
        <v>361</v>
      </c>
      <c r="N458" s="341" t="s">
        <v>3774</v>
      </c>
      <c r="O458" s="151">
        <v>2212898</v>
      </c>
      <c r="P458" s="151"/>
      <c r="Q458" s="151"/>
      <c r="R458" s="151" t="s">
        <v>2177</v>
      </c>
      <c r="S458" s="151" t="s">
        <v>361</v>
      </c>
      <c r="T458" s="151" t="s">
        <v>2207</v>
      </c>
      <c r="U458" s="151" t="s">
        <v>2207</v>
      </c>
      <c r="V458" s="151">
        <v>10</v>
      </c>
      <c r="W458" s="151" t="s">
        <v>2207</v>
      </c>
      <c r="X458" s="151" t="s">
        <v>2207</v>
      </c>
      <c r="Y458" s="151" t="s">
        <v>2207</v>
      </c>
      <c r="Z458" s="151"/>
      <c r="AA458" s="151"/>
      <c r="AB458" s="151" t="s">
        <v>855</v>
      </c>
      <c r="AC458" s="342"/>
    </row>
    <row r="459" spans="1:29" ht="120">
      <c r="A459" s="151" t="s">
        <v>3593</v>
      </c>
      <c r="B459" s="151" t="s">
        <v>3775</v>
      </c>
      <c r="C459" s="151" t="s">
        <v>3756</v>
      </c>
      <c r="D459" s="151" t="s">
        <v>17</v>
      </c>
      <c r="E459" s="151" t="s">
        <v>3776</v>
      </c>
      <c r="F459" s="151" t="s">
        <v>2527</v>
      </c>
      <c r="G459" s="151" t="s">
        <v>2173</v>
      </c>
      <c r="H459" s="151" t="s">
        <v>1183</v>
      </c>
      <c r="I459" s="151" t="s">
        <v>1184</v>
      </c>
      <c r="J459" s="151" t="s">
        <v>803</v>
      </c>
      <c r="K459" s="151" t="s">
        <v>3777</v>
      </c>
      <c r="L459" s="151" t="s">
        <v>3648</v>
      </c>
      <c r="M459" s="151" t="s">
        <v>361</v>
      </c>
      <c r="N459" s="341" t="s">
        <v>3778</v>
      </c>
      <c r="O459" s="151">
        <v>2212898</v>
      </c>
      <c r="P459" s="151"/>
      <c r="Q459" s="151"/>
      <c r="R459" s="151" t="s">
        <v>2177</v>
      </c>
      <c r="S459" s="151" t="s">
        <v>361</v>
      </c>
      <c r="T459" s="151" t="s">
        <v>2207</v>
      </c>
      <c r="U459" s="151" t="s">
        <v>2207</v>
      </c>
      <c r="V459" s="151">
        <v>10</v>
      </c>
      <c r="W459" s="151" t="s">
        <v>2207</v>
      </c>
      <c r="X459" s="151" t="s">
        <v>2207</v>
      </c>
      <c r="Y459" s="151" t="s">
        <v>2207</v>
      </c>
      <c r="Z459" s="151"/>
      <c r="AA459" s="151"/>
      <c r="AB459" s="151" t="s">
        <v>855</v>
      </c>
      <c r="AC459" s="342"/>
    </row>
    <row r="460" spans="1:29" ht="120">
      <c r="A460" s="151" t="s">
        <v>3593</v>
      </c>
      <c r="B460" s="151" t="s">
        <v>3779</v>
      </c>
      <c r="C460" s="151" t="s">
        <v>3756</v>
      </c>
      <c r="D460" s="151" t="s">
        <v>17</v>
      </c>
      <c r="E460" s="151" t="s">
        <v>3780</v>
      </c>
      <c r="F460" s="151" t="s">
        <v>2527</v>
      </c>
      <c r="G460" s="151" t="s">
        <v>2173</v>
      </c>
      <c r="H460" s="151" t="s">
        <v>1183</v>
      </c>
      <c r="I460" s="151" t="s">
        <v>1184</v>
      </c>
      <c r="J460" s="151" t="s">
        <v>803</v>
      </c>
      <c r="K460" s="151" t="s">
        <v>3781</v>
      </c>
      <c r="L460" s="151" t="s">
        <v>3648</v>
      </c>
      <c r="M460" s="151" t="s">
        <v>361</v>
      </c>
      <c r="N460" s="341" t="s">
        <v>3782</v>
      </c>
      <c r="O460" s="151">
        <v>2212898</v>
      </c>
      <c r="P460" s="151"/>
      <c r="Q460" s="151"/>
      <c r="R460" s="151" t="s">
        <v>2177</v>
      </c>
      <c r="S460" s="151" t="s">
        <v>361</v>
      </c>
      <c r="T460" s="151" t="s">
        <v>2207</v>
      </c>
      <c r="U460" s="151" t="s">
        <v>2207</v>
      </c>
      <c r="V460" s="151">
        <v>10</v>
      </c>
      <c r="W460" s="151" t="s">
        <v>2207</v>
      </c>
      <c r="X460" s="151" t="s">
        <v>2207</v>
      </c>
      <c r="Y460" s="151" t="s">
        <v>2207</v>
      </c>
      <c r="Z460" s="151"/>
      <c r="AA460" s="151"/>
      <c r="AB460" s="151" t="s">
        <v>855</v>
      </c>
      <c r="AC460" s="342"/>
    </row>
    <row r="461" spans="1:29" ht="120">
      <c r="A461" s="151" t="s">
        <v>3593</v>
      </c>
      <c r="B461" s="151" t="s">
        <v>3783</v>
      </c>
      <c r="C461" s="151" t="s">
        <v>3756</v>
      </c>
      <c r="D461" s="151" t="s">
        <v>17</v>
      </c>
      <c r="E461" s="151" t="s">
        <v>3784</v>
      </c>
      <c r="F461" s="151" t="s">
        <v>2527</v>
      </c>
      <c r="G461" s="151" t="s">
        <v>2173</v>
      </c>
      <c r="H461" s="151" t="s">
        <v>1183</v>
      </c>
      <c r="I461" s="151" t="s">
        <v>1184</v>
      </c>
      <c r="J461" s="151" t="s">
        <v>803</v>
      </c>
      <c r="K461" s="151" t="s">
        <v>3785</v>
      </c>
      <c r="L461" s="151" t="s">
        <v>3648</v>
      </c>
      <c r="M461" s="151" t="s">
        <v>361</v>
      </c>
      <c r="N461" s="341" t="s">
        <v>3786</v>
      </c>
      <c r="O461" s="151">
        <v>2212898</v>
      </c>
      <c r="P461" s="151"/>
      <c r="Q461" s="151"/>
      <c r="R461" s="151" t="s">
        <v>2177</v>
      </c>
      <c r="S461" s="151" t="s">
        <v>361</v>
      </c>
      <c r="T461" s="151" t="s">
        <v>2207</v>
      </c>
      <c r="U461" s="151" t="s">
        <v>2207</v>
      </c>
      <c r="V461" s="151">
        <v>10</v>
      </c>
      <c r="W461" s="151" t="s">
        <v>2207</v>
      </c>
      <c r="X461" s="151" t="s">
        <v>2207</v>
      </c>
      <c r="Y461" s="151" t="s">
        <v>2207</v>
      </c>
      <c r="Z461" s="151"/>
      <c r="AA461" s="151"/>
      <c r="AB461" s="151" t="s">
        <v>855</v>
      </c>
      <c r="AC461" s="342"/>
    </row>
    <row r="462" spans="1:29" ht="120">
      <c r="A462" s="151" t="s">
        <v>3593</v>
      </c>
      <c r="B462" s="151" t="s">
        <v>3787</v>
      </c>
      <c r="C462" s="151" t="s">
        <v>3756</v>
      </c>
      <c r="D462" s="151" t="s">
        <v>17</v>
      </c>
      <c r="E462" s="151" t="s">
        <v>3788</v>
      </c>
      <c r="F462" s="151" t="s">
        <v>2527</v>
      </c>
      <c r="G462" s="151" t="s">
        <v>2173</v>
      </c>
      <c r="H462" s="151" t="s">
        <v>1183</v>
      </c>
      <c r="I462" s="151" t="s">
        <v>1184</v>
      </c>
      <c r="J462" s="151" t="s">
        <v>803</v>
      </c>
      <c r="K462" s="151" t="s">
        <v>3789</v>
      </c>
      <c r="L462" s="151" t="s">
        <v>3648</v>
      </c>
      <c r="M462" s="151" t="s">
        <v>361</v>
      </c>
      <c r="N462" s="341" t="s">
        <v>3790</v>
      </c>
      <c r="O462" s="151">
        <v>2212898</v>
      </c>
      <c r="P462" s="151"/>
      <c r="Q462" s="151"/>
      <c r="R462" s="151" t="s">
        <v>2177</v>
      </c>
      <c r="S462" s="151" t="s">
        <v>361</v>
      </c>
      <c r="T462" s="151" t="s">
        <v>3760</v>
      </c>
      <c r="U462" s="151" t="s">
        <v>2507</v>
      </c>
      <c r="V462" s="151">
        <v>24</v>
      </c>
      <c r="W462" s="151" t="s">
        <v>2507</v>
      </c>
      <c r="X462" s="151" t="s">
        <v>2445</v>
      </c>
      <c r="Y462" s="151" t="s">
        <v>2507</v>
      </c>
      <c r="Z462" s="151"/>
      <c r="AA462" s="151"/>
      <c r="AB462" s="151" t="s">
        <v>855</v>
      </c>
      <c r="AC462" s="342"/>
    </row>
    <row r="463" spans="1:29">
      <c r="A463" s="151" t="s">
        <v>3593</v>
      </c>
      <c r="B463" s="151" t="s">
        <v>3791</v>
      </c>
      <c r="C463" s="151" t="s">
        <v>3756</v>
      </c>
      <c r="D463" s="151" t="s">
        <v>17</v>
      </c>
      <c r="E463" s="151" t="s">
        <v>3792</v>
      </c>
      <c r="F463" s="151" t="s">
        <v>2527</v>
      </c>
      <c r="G463" s="151" t="s">
        <v>2173</v>
      </c>
      <c r="H463" s="151" t="s">
        <v>1183</v>
      </c>
      <c r="I463" s="151" t="s">
        <v>1184</v>
      </c>
      <c r="J463" s="151" t="s">
        <v>3793</v>
      </c>
      <c r="K463" s="151" t="s">
        <v>3794</v>
      </c>
      <c r="L463" s="151" t="s">
        <v>361</v>
      </c>
      <c r="M463" s="151" t="s">
        <v>361</v>
      </c>
      <c r="N463" s="520" t="s">
        <v>3795</v>
      </c>
      <c r="O463" s="151"/>
      <c r="P463" s="151"/>
      <c r="Q463" s="151"/>
      <c r="R463" s="151" t="s">
        <v>2177</v>
      </c>
      <c r="S463" s="151" t="s">
        <v>361</v>
      </c>
      <c r="T463" s="151" t="s">
        <v>2445</v>
      </c>
      <c r="U463" s="151" t="s">
        <v>3582</v>
      </c>
      <c r="V463" s="151">
        <v>500</v>
      </c>
      <c r="W463" s="151" t="s">
        <v>3796</v>
      </c>
      <c r="X463" s="151" t="s">
        <v>2445</v>
      </c>
      <c r="Y463" s="151" t="s">
        <v>3582</v>
      </c>
      <c r="Z463" s="151"/>
      <c r="AA463" s="151"/>
      <c r="AB463" s="151" t="s">
        <v>855</v>
      </c>
      <c r="AC463" s="342"/>
    </row>
    <row r="464" spans="1:29" ht="285">
      <c r="A464" s="151" t="s">
        <v>3593</v>
      </c>
      <c r="B464" s="151" t="s">
        <v>3797</v>
      </c>
      <c r="C464" s="151" t="s">
        <v>3756</v>
      </c>
      <c r="D464" s="151" t="s">
        <v>17</v>
      </c>
      <c r="E464" s="151" t="s">
        <v>3798</v>
      </c>
      <c r="F464" s="151" t="s">
        <v>2527</v>
      </c>
      <c r="G464" s="151" t="s">
        <v>2173</v>
      </c>
      <c r="H464" s="151" t="s">
        <v>1183</v>
      </c>
      <c r="I464" s="151" t="s">
        <v>1184</v>
      </c>
      <c r="J464" s="151" t="s">
        <v>803</v>
      </c>
      <c r="K464" s="341" t="s">
        <v>3799</v>
      </c>
      <c r="L464" s="151" t="s">
        <v>3648</v>
      </c>
      <c r="M464" s="151" t="s">
        <v>361</v>
      </c>
      <c r="N464" s="520" t="s">
        <v>3800</v>
      </c>
      <c r="O464" s="151"/>
      <c r="P464" s="341" t="s">
        <v>3801</v>
      </c>
      <c r="Q464" s="151"/>
      <c r="R464" s="151" t="s">
        <v>2177</v>
      </c>
      <c r="S464" s="151"/>
      <c r="T464" s="151"/>
      <c r="U464" s="151"/>
      <c r="V464" s="151"/>
      <c r="W464" s="151"/>
      <c r="X464" s="151"/>
      <c r="Y464" s="151"/>
      <c r="Z464" s="151"/>
      <c r="AA464" s="151"/>
      <c r="AB464" s="151"/>
      <c r="AC464" s="342"/>
    </row>
    <row r="465" spans="1:29" ht="285">
      <c r="A465" s="151" t="s">
        <v>3593</v>
      </c>
      <c r="B465" s="151" t="s">
        <v>3802</v>
      </c>
      <c r="C465" s="151" t="s">
        <v>3756</v>
      </c>
      <c r="D465" s="151" t="s">
        <v>17</v>
      </c>
      <c r="E465" s="151" t="s">
        <v>3803</v>
      </c>
      <c r="F465" s="151" t="s">
        <v>2527</v>
      </c>
      <c r="G465" s="151" t="s">
        <v>2173</v>
      </c>
      <c r="H465" s="151" t="s">
        <v>1183</v>
      </c>
      <c r="I465" s="151" t="s">
        <v>1184</v>
      </c>
      <c r="J465" s="151" t="s">
        <v>803</v>
      </c>
      <c r="K465" s="162" t="s">
        <v>3804</v>
      </c>
      <c r="L465" s="151" t="s">
        <v>3648</v>
      </c>
      <c r="M465" s="151" t="s">
        <v>361</v>
      </c>
      <c r="N465" s="520" t="s">
        <v>3800</v>
      </c>
      <c r="O465" s="151"/>
      <c r="P465" s="341" t="s">
        <v>3805</v>
      </c>
      <c r="Q465" s="151"/>
      <c r="R465" s="151" t="s">
        <v>2177</v>
      </c>
      <c r="S465" s="151"/>
      <c r="T465" s="151"/>
      <c r="U465" s="151"/>
      <c r="V465" s="151"/>
      <c r="W465" s="151"/>
      <c r="X465" s="151"/>
      <c r="Y465" s="151"/>
      <c r="Z465" s="151"/>
      <c r="AA465" s="151"/>
      <c r="AB465" s="151"/>
      <c r="AC465" s="342"/>
    </row>
    <row r="466" spans="1:29" ht="285">
      <c r="A466" s="151" t="s">
        <v>3593</v>
      </c>
      <c r="B466" s="151" t="s">
        <v>3806</v>
      </c>
      <c r="C466" s="151" t="s">
        <v>3756</v>
      </c>
      <c r="D466" s="151" t="s">
        <v>17</v>
      </c>
      <c r="E466" s="151" t="s">
        <v>3807</v>
      </c>
      <c r="F466" s="151" t="s">
        <v>2527</v>
      </c>
      <c r="G466" s="151" t="s">
        <v>2173</v>
      </c>
      <c r="H466" s="151" t="s">
        <v>1183</v>
      </c>
      <c r="I466" s="151" t="s">
        <v>1184</v>
      </c>
      <c r="J466" s="151" t="s">
        <v>803</v>
      </c>
      <c r="K466" s="162" t="s">
        <v>3808</v>
      </c>
      <c r="L466" s="151" t="s">
        <v>3648</v>
      </c>
      <c r="M466" s="151" t="s">
        <v>361</v>
      </c>
      <c r="N466" s="520" t="s">
        <v>3800</v>
      </c>
      <c r="O466" s="151"/>
      <c r="P466" s="341" t="s">
        <v>3805</v>
      </c>
      <c r="Q466" s="151"/>
      <c r="R466" s="151" t="s">
        <v>2177</v>
      </c>
      <c r="S466" s="151"/>
      <c r="T466" s="151"/>
      <c r="U466" s="151"/>
      <c r="V466" s="151"/>
      <c r="W466" s="151"/>
      <c r="X466" s="151"/>
      <c r="Y466" s="151"/>
      <c r="Z466" s="151"/>
      <c r="AA466" s="151"/>
      <c r="AB466" s="151"/>
      <c r="AC466" s="342"/>
    </row>
    <row r="467" spans="1:29" ht="135">
      <c r="A467" s="151" t="s">
        <v>3593</v>
      </c>
      <c r="B467" s="151" t="s">
        <v>3809</v>
      </c>
      <c r="C467" s="151" t="s">
        <v>3756</v>
      </c>
      <c r="D467" s="151" t="s">
        <v>17</v>
      </c>
      <c r="E467" s="151" t="s">
        <v>3810</v>
      </c>
      <c r="F467" s="151" t="s">
        <v>2527</v>
      </c>
      <c r="G467" s="151" t="s">
        <v>2173</v>
      </c>
      <c r="H467" s="151" t="s">
        <v>1183</v>
      </c>
      <c r="I467" s="151" t="s">
        <v>1184</v>
      </c>
      <c r="J467" s="151" t="s">
        <v>803</v>
      </c>
      <c r="K467" s="151" t="s">
        <v>3811</v>
      </c>
      <c r="L467" s="151" t="s">
        <v>3648</v>
      </c>
      <c r="M467" s="151" t="s">
        <v>361</v>
      </c>
      <c r="N467" s="341" t="s">
        <v>3812</v>
      </c>
      <c r="O467" s="151">
        <v>2212898</v>
      </c>
      <c r="P467" s="151"/>
      <c r="Q467" s="151"/>
      <c r="R467" s="151" t="s">
        <v>2177</v>
      </c>
      <c r="S467" s="151" t="s">
        <v>361</v>
      </c>
      <c r="T467" s="151" t="s">
        <v>3760</v>
      </c>
      <c r="U467" s="151" t="s">
        <v>3644</v>
      </c>
      <c r="V467" s="151">
        <v>22</v>
      </c>
      <c r="W467" s="151" t="s">
        <v>3644</v>
      </c>
      <c r="X467" s="151" t="s">
        <v>2445</v>
      </c>
      <c r="Y467" s="151" t="s">
        <v>3644</v>
      </c>
      <c r="Z467" s="151"/>
      <c r="AA467" s="151"/>
      <c r="AB467" s="151" t="s">
        <v>855</v>
      </c>
      <c r="AC467" s="342"/>
    </row>
    <row r="468" spans="1:29" ht="120">
      <c r="A468" s="151" t="s">
        <v>3593</v>
      </c>
      <c r="B468" s="151" t="s">
        <v>3813</v>
      </c>
      <c r="C468" s="151" t="s">
        <v>3756</v>
      </c>
      <c r="D468" s="151" t="s">
        <v>17</v>
      </c>
      <c r="E468" s="151" t="s">
        <v>3814</v>
      </c>
      <c r="F468" s="151" t="s">
        <v>2527</v>
      </c>
      <c r="G468" s="151" t="s">
        <v>2173</v>
      </c>
      <c r="H468" s="151" t="s">
        <v>1183</v>
      </c>
      <c r="I468" s="151" t="s">
        <v>1184</v>
      </c>
      <c r="J468" s="151" t="s">
        <v>803</v>
      </c>
      <c r="K468" s="151" t="s">
        <v>3815</v>
      </c>
      <c r="L468" s="151" t="s">
        <v>3648</v>
      </c>
      <c r="M468" s="151" t="s">
        <v>361</v>
      </c>
      <c r="N468" s="341" t="s">
        <v>3816</v>
      </c>
      <c r="O468" s="151">
        <v>649485</v>
      </c>
      <c r="P468" s="151"/>
      <c r="Q468" s="151"/>
      <c r="R468" s="151" t="s">
        <v>2177</v>
      </c>
      <c r="S468" s="151" t="s">
        <v>361</v>
      </c>
      <c r="T468" s="151" t="s">
        <v>3760</v>
      </c>
      <c r="U468" s="151" t="s">
        <v>3644</v>
      </c>
      <c r="V468" s="151">
        <v>22</v>
      </c>
      <c r="W468" s="151" t="s">
        <v>3644</v>
      </c>
      <c r="X468" s="151" t="s">
        <v>2445</v>
      </c>
      <c r="Y468" s="151" t="s">
        <v>3644</v>
      </c>
      <c r="Z468" s="151"/>
      <c r="AA468" s="151"/>
      <c r="AB468" s="151" t="s">
        <v>855</v>
      </c>
      <c r="AC468" s="342"/>
    </row>
    <row r="469" spans="1:29" ht="120">
      <c r="A469" s="151" t="s">
        <v>3593</v>
      </c>
      <c r="B469" s="151" t="s">
        <v>3817</v>
      </c>
      <c r="C469" s="151" t="s">
        <v>3756</v>
      </c>
      <c r="D469" s="151" t="s">
        <v>17</v>
      </c>
      <c r="E469" s="151" t="s">
        <v>3818</v>
      </c>
      <c r="F469" s="151" t="s">
        <v>2527</v>
      </c>
      <c r="G469" s="151" t="s">
        <v>2173</v>
      </c>
      <c r="H469" s="151" t="s">
        <v>1183</v>
      </c>
      <c r="I469" s="151" t="s">
        <v>1184</v>
      </c>
      <c r="J469" s="151" t="s">
        <v>803</v>
      </c>
      <c r="K469" s="151" t="s">
        <v>3719</v>
      </c>
      <c r="L469" s="151" t="s">
        <v>3648</v>
      </c>
      <c r="M469" s="151" t="s">
        <v>361</v>
      </c>
      <c r="N469" s="341" t="s">
        <v>3819</v>
      </c>
      <c r="O469" s="151">
        <v>2212898</v>
      </c>
      <c r="P469" s="151"/>
      <c r="Q469" s="151"/>
      <c r="R469" s="151" t="s">
        <v>2177</v>
      </c>
      <c r="S469" s="151" t="s">
        <v>361</v>
      </c>
      <c r="T469" s="151" t="s">
        <v>2207</v>
      </c>
      <c r="U469" s="151" t="s">
        <v>2207</v>
      </c>
      <c r="V469" s="151">
        <v>10</v>
      </c>
      <c r="W469" s="151" t="s">
        <v>2207</v>
      </c>
      <c r="X469" s="151" t="s">
        <v>2207</v>
      </c>
      <c r="Y469" s="151" t="s">
        <v>2207</v>
      </c>
      <c r="Z469" s="151"/>
      <c r="AA469" s="151"/>
      <c r="AB469" s="151" t="s">
        <v>855</v>
      </c>
      <c r="AC469" s="342"/>
    </row>
    <row r="470" spans="1:29" ht="135">
      <c r="A470" s="151" t="s">
        <v>3593</v>
      </c>
      <c r="B470" s="151" t="s">
        <v>3820</v>
      </c>
      <c r="C470" s="151" t="s">
        <v>3756</v>
      </c>
      <c r="D470" s="151" t="s">
        <v>17</v>
      </c>
      <c r="E470" s="151" t="s">
        <v>3821</v>
      </c>
      <c r="F470" s="151" t="s">
        <v>2527</v>
      </c>
      <c r="G470" s="151" t="s">
        <v>2173</v>
      </c>
      <c r="H470" s="151" t="s">
        <v>1183</v>
      </c>
      <c r="I470" s="151" t="s">
        <v>1184</v>
      </c>
      <c r="J470" s="151" t="s">
        <v>803</v>
      </c>
      <c r="K470" s="151" t="s">
        <v>3822</v>
      </c>
      <c r="L470" s="151" t="s">
        <v>3648</v>
      </c>
      <c r="M470" s="151" t="s">
        <v>361</v>
      </c>
      <c r="N470" s="341" t="s">
        <v>3823</v>
      </c>
      <c r="O470" s="151">
        <v>2212898</v>
      </c>
      <c r="P470" s="151"/>
      <c r="Q470" s="151"/>
      <c r="R470" s="151" t="s">
        <v>2177</v>
      </c>
      <c r="S470" s="151" t="s">
        <v>361</v>
      </c>
      <c r="T470" s="151" t="s">
        <v>2207</v>
      </c>
      <c r="U470" s="151" t="s">
        <v>2207</v>
      </c>
      <c r="V470" s="151">
        <v>10</v>
      </c>
      <c r="W470" s="151" t="s">
        <v>2207</v>
      </c>
      <c r="X470" s="151" t="s">
        <v>2207</v>
      </c>
      <c r="Y470" s="151" t="s">
        <v>2207</v>
      </c>
      <c r="Z470" s="151"/>
      <c r="AA470" s="151"/>
      <c r="AB470" s="151" t="s">
        <v>855</v>
      </c>
      <c r="AC470" s="342"/>
    </row>
    <row r="471" spans="1:29" ht="120">
      <c r="A471" s="151" t="s">
        <v>3593</v>
      </c>
      <c r="B471" s="151" t="s">
        <v>3824</v>
      </c>
      <c r="C471" s="151" t="s">
        <v>3756</v>
      </c>
      <c r="D471" s="151" t="s">
        <v>17</v>
      </c>
      <c r="E471" s="151" t="s">
        <v>3825</v>
      </c>
      <c r="F471" s="151" t="s">
        <v>2527</v>
      </c>
      <c r="G471" s="151" t="s">
        <v>2173</v>
      </c>
      <c r="H471" s="151" t="s">
        <v>1183</v>
      </c>
      <c r="I471" s="151" t="s">
        <v>1184</v>
      </c>
      <c r="J471" s="151" t="s">
        <v>803</v>
      </c>
      <c r="K471" s="151" t="s">
        <v>3741</v>
      </c>
      <c r="L471" s="151" t="s">
        <v>3648</v>
      </c>
      <c r="M471" s="151" t="s">
        <v>361</v>
      </c>
      <c r="N471" s="341" t="s">
        <v>3826</v>
      </c>
      <c r="O471" s="151">
        <v>2212898</v>
      </c>
      <c r="P471" s="151"/>
      <c r="Q471" s="151"/>
      <c r="R471" s="151" t="s">
        <v>2177</v>
      </c>
      <c r="S471" s="151" t="s">
        <v>361</v>
      </c>
      <c r="T471" s="151" t="s">
        <v>3760</v>
      </c>
      <c r="U471" s="151" t="s">
        <v>3644</v>
      </c>
      <c r="V471" s="151">
        <v>22</v>
      </c>
      <c r="W471" s="151" t="s">
        <v>3644</v>
      </c>
      <c r="X471" s="151" t="s">
        <v>2445</v>
      </c>
      <c r="Y471" s="151" t="s">
        <v>3644</v>
      </c>
      <c r="Z471" s="151"/>
      <c r="AA471" s="151"/>
      <c r="AB471" s="151" t="s">
        <v>855</v>
      </c>
      <c r="AC471" s="342"/>
    </row>
    <row r="472" spans="1:29" ht="135">
      <c r="A472" s="151" t="s">
        <v>3593</v>
      </c>
      <c r="B472" s="151" t="s">
        <v>3827</v>
      </c>
      <c r="C472" s="151" t="s">
        <v>3756</v>
      </c>
      <c r="D472" s="151" t="s">
        <v>17</v>
      </c>
      <c r="E472" s="151" t="s">
        <v>3828</v>
      </c>
      <c r="F472" s="151" t="s">
        <v>2527</v>
      </c>
      <c r="G472" s="151" t="s">
        <v>2173</v>
      </c>
      <c r="H472" s="151" t="s">
        <v>1183</v>
      </c>
      <c r="I472" s="151" t="s">
        <v>1184</v>
      </c>
      <c r="J472" s="151" t="s">
        <v>803</v>
      </c>
      <c r="K472" s="151" t="s">
        <v>3829</v>
      </c>
      <c r="L472" s="151" t="s">
        <v>3648</v>
      </c>
      <c r="M472" s="151" t="s">
        <v>361</v>
      </c>
      <c r="N472" s="341" t="s">
        <v>3830</v>
      </c>
      <c r="O472" s="151">
        <v>2212898</v>
      </c>
      <c r="P472" s="151"/>
      <c r="Q472" s="151"/>
      <c r="R472" s="151" t="s">
        <v>2177</v>
      </c>
      <c r="S472" s="151" t="s">
        <v>361</v>
      </c>
      <c r="T472" s="151" t="s">
        <v>2207</v>
      </c>
      <c r="U472" s="151" t="s">
        <v>2207</v>
      </c>
      <c r="V472" s="151">
        <v>10</v>
      </c>
      <c r="W472" s="151" t="s">
        <v>2207</v>
      </c>
      <c r="X472" s="151" t="s">
        <v>2207</v>
      </c>
      <c r="Y472" s="151" t="s">
        <v>2207</v>
      </c>
      <c r="Z472" s="151"/>
      <c r="AA472" s="151"/>
      <c r="AB472" s="151" t="s">
        <v>855</v>
      </c>
      <c r="AC472" s="342"/>
    </row>
    <row r="473" spans="1:29" ht="120">
      <c r="A473" s="151" t="s">
        <v>3593</v>
      </c>
      <c r="B473" s="151" t="s">
        <v>3831</v>
      </c>
      <c r="C473" s="151" t="s">
        <v>3756</v>
      </c>
      <c r="D473" s="151" t="s">
        <v>17</v>
      </c>
      <c r="E473" s="151" t="s">
        <v>3832</v>
      </c>
      <c r="F473" s="151" t="s">
        <v>2527</v>
      </c>
      <c r="G473" s="151" t="s">
        <v>2173</v>
      </c>
      <c r="H473" s="151" t="s">
        <v>1183</v>
      </c>
      <c r="I473" s="151" t="s">
        <v>1184</v>
      </c>
      <c r="J473" s="151" t="s">
        <v>803</v>
      </c>
      <c r="K473" s="151" t="s">
        <v>3833</v>
      </c>
      <c r="L473" s="151" t="s">
        <v>3648</v>
      </c>
      <c r="M473" s="151" t="s">
        <v>361</v>
      </c>
      <c r="N473" s="341" t="s">
        <v>3834</v>
      </c>
      <c r="O473" s="151">
        <v>2212898</v>
      </c>
      <c r="P473" s="151"/>
      <c r="Q473" s="151"/>
      <c r="R473" s="151" t="s">
        <v>2177</v>
      </c>
      <c r="S473" s="151" t="s">
        <v>361</v>
      </c>
      <c r="T473" s="151" t="s">
        <v>2207</v>
      </c>
      <c r="U473" s="151" t="s">
        <v>2207</v>
      </c>
      <c r="V473" s="151">
        <v>10</v>
      </c>
      <c r="W473" s="151" t="s">
        <v>2207</v>
      </c>
      <c r="X473" s="151" t="s">
        <v>2207</v>
      </c>
      <c r="Y473" s="151" t="s">
        <v>2207</v>
      </c>
      <c r="Z473" s="151"/>
      <c r="AA473" s="151"/>
      <c r="AB473" s="151" t="s">
        <v>855</v>
      </c>
      <c r="AC473" s="342"/>
    </row>
    <row r="474" spans="1:29" ht="120">
      <c r="A474" s="151" t="s">
        <v>3593</v>
      </c>
      <c r="B474" s="151" t="s">
        <v>3835</v>
      </c>
      <c r="C474" s="151" t="s">
        <v>3756</v>
      </c>
      <c r="D474" s="151" t="s">
        <v>17</v>
      </c>
      <c r="E474" s="151" t="s">
        <v>3836</v>
      </c>
      <c r="F474" s="151" t="s">
        <v>2527</v>
      </c>
      <c r="G474" s="151" t="s">
        <v>2173</v>
      </c>
      <c r="H474" s="151" t="s">
        <v>1183</v>
      </c>
      <c r="I474" s="151" t="s">
        <v>1184</v>
      </c>
      <c r="J474" s="151" t="s">
        <v>803</v>
      </c>
      <c r="K474" s="151" t="s">
        <v>3837</v>
      </c>
      <c r="L474" s="151" t="s">
        <v>3648</v>
      </c>
      <c r="M474" s="151" t="s">
        <v>361</v>
      </c>
      <c r="N474" s="341" t="s">
        <v>3838</v>
      </c>
      <c r="O474" s="151">
        <v>2212898</v>
      </c>
      <c r="P474" s="151"/>
      <c r="Q474" s="151"/>
      <c r="R474" s="151" t="s">
        <v>2177</v>
      </c>
      <c r="S474" s="151" t="s">
        <v>361</v>
      </c>
      <c r="T474" s="151" t="s">
        <v>2207</v>
      </c>
      <c r="U474" s="151" t="s">
        <v>2207</v>
      </c>
      <c r="V474" s="151">
        <v>10</v>
      </c>
      <c r="W474" s="151" t="s">
        <v>2207</v>
      </c>
      <c r="X474" s="151" t="s">
        <v>2207</v>
      </c>
      <c r="Y474" s="151" t="s">
        <v>2207</v>
      </c>
      <c r="Z474" s="151"/>
      <c r="AA474" s="151"/>
      <c r="AB474" s="151" t="s">
        <v>855</v>
      </c>
      <c r="AC474" s="342"/>
    </row>
    <row r="475" spans="1:29" ht="120">
      <c r="A475" s="151" t="s">
        <v>3593</v>
      </c>
      <c r="B475" s="151" t="s">
        <v>3839</v>
      </c>
      <c r="C475" s="151" t="s">
        <v>3756</v>
      </c>
      <c r="D475" s="151" t="s">
        <v>17</v>
      </c>
      <c r="E475" s="151" t="s">
        <v>3840</v>
      </c>
      <c r="F475" s="151" t="s">
        <v>2527</v>
      </c>
      <c r="G475" s="151" t="s">
        <v>2173</v>
      </c>
      <c r="H475" s="151" t="s">
        <v>1183</v>
      </c>
      <c r="I475" s="151" t="s">
        <v>1184</v>
      </c>
      <c r="J475" s="151" t="s">
        <v>803</v>
      </c>
      <c r="K475" s="151" t="s">
        <v>3841</v>
      </c>
      <c r="L475" s="151" t="s">
        <v>3648</v>
      </c>
      <c r="M475" s="151" t="s">
        <v>361</v>
      </c>
      <c r="N475" s="341" t="s">
        <v>3842</v>
      </c>
      <c r="O475" s="151">
        <v>2212898</v>
      </c>
      <c r="P475" s="151"/>
      <c r="Q475" s="151"/>
      <c r="R475" s="151" t="s">
        <v>2177</v>
      </c>
      <c r="S475" s="151" t="s">
        <v>361</v>
      </c>
      <c r="T475" s="151" t="s">
        <v>2207</v>
      </c>
      <c r="U475" s="151" t="s">
        <v>2207</v>
      </c>
      <c r="V475" s="151">
        <v>10</v>
      </c>
      <c r="W475" s="151" t="s">
        <v>2207</v>
      </c>
      <c r="X475" s="151" t="s">
        <v>2207</v>
      </c>
      <c r="Y475" s="151" t="s">
        <v>2207</v>
      </c>
      <c r="Z475" s="151"/>
      <c r="AA475" s="151"/>
      <c r="AB475" s="151" t="s">
        <v>855</v>
      </c>
      <c r="AC475" s="342"/>
    </row>
    <row r="476" spans="1:29" ht="120">
      <c r="A476" s="151" t="s">
        <v>3593</v>
      </c>
      <c r="B476" s="151" t="s">
        <v>3843</v>
      </c>
      <c r="C476" s="151" t="s">
        <v>3756</v>
      </c>
      <c r="D476" s="151" t="s">
        <v>17</v>
      </c>
      <c r="E476" s="151" t="s">
        <v>3844</v>
      </c>
      <c r="F476" s="151" t="s">
        <v>2527</v>
      </c>
      <c r="G476" s="151" t="s">
        <v>2173</v>
      </c>
      <c r="H476" s="151" t="s">
        <v>1183</v>
      </c>
      <c r="I476" s="151" t="s">
        <v>1184</v>
      </c>
      <c r="J476" s="151" t="s">
        <v>803</v>
      </c>
      <c r="K476" s="151" t="s">
        <v>3845</v>
      </c>
      <c r="L476" s="151" t="s">
        <v>3648</v>
      </c>
      <c r="M476" s="151" t="s">
        <v>361</v>
      </c>
      <c r="N476" s="341" t="s">
        <v>3846</v>
      </c>
      <c r="O476" s="151">
        <v>2212898</v>
      </c>
      <c r="P476" s="151"/>
      <c r="Q476" s="151"/>
      <c r="R476" s="151" t="s">
        <v>2177</v>
      </c>
      <c r="S476" s="151" t="s">
        <v>361</v>
      </c>
      <c r="T476" s="151" t="s">
        <v>3760</v>
      </c>
      <c r="U476" s="151" t="s">
        <v>2507</v>
      </c>
      <c r="V476" s="151">
        <v>20</v>
      </c>
      <c r="W476" s="151" t="s">
        <v>2507</v>
      </c>
      <c r="X476" s="151" t="s">
        <v>2445</v>
      </c>
      <c r="Y476" s="151" t="s">
        <v>2507</v>
      </c>
      <c r="Z476" s="151"/>
      <c r="AA476" s="151"/>
      <c r="AB476" s="151" t="s">
        <v>855</v>
      </c>
      <c r="AC476" s="342"/>
    </row>
    <row r="477" spans="1:29">
      <c r="A477" s="151" t="s">
        <v>3593</v>
      </c>
      <c r="B477" s="151" t="s">
        <v>3847</v>
      </c>
      <c r="C477" s="151" t="s">
        <v>3848</v>
      </c>
      <c r="D477" s="151" t="s">
        <v>17</v>
      </c>
      <c r="E477" s="151" t="s">
        <v>3849</v>
      </c>
      <c r="F477" s="151" t="s">
        <v>3591</v>
      </c>
      <c r="G477" s="151" t="s">
        <v>2173</v>
      </c>
      <c r="H477" s="151" t="s">
        <v>1183</v>
      </c>
      <c r="I477" s="151" t="s">
        <v>1184</v>
      </c>
      <c r="J477" s="151" t="s">
        <v>806</v>
      </c>
      <c r="K477" s="151" t="s">
        <v>3850</v>
      </c>
      <c r="L477" s="151" t="s">
        <v>3596</v>
      </c>
      <c r="M477" s="151" t="s">
        <v>3643</v>
      </c>
      <c r="N477" s="151"/>
      <c r="O477" s="151"/>
      <c r="P477" s="151"/>
      <c r="Q477" s="151"/>
      <c r="R477" s="151" t="s">
        <v>2177</v>
      </c>
      <c r="S477" s="151" t="s">
        <v>361</v>
      </c>
      <c r="T477" s="151" t="s">
        <v>2191</v>
      </c>
      <c r="U477" s="151" t="s">
        <v>3608</v>
      </c>
      <c r="V477" s="151" t="s">
        <v>49</v>
      </c>
      <c r="W477" s="151" t="s">
        <v>3608</v>
      </c>
      <c r="X477" s="151" t="s">
        <v>49</v>
      </c>
      <c r="Y477" s="151" t="s">
        <v>3608</v>
      </c>
      <c r="Z477" s="151"/>
      <c r="AA477" s="151"/>
      <c r="AB477" s="151" t="s">
        <v>855</v>
      </c>
      <c r="AC477" s="342"/>
    </row>
    <row r="478" spans="1:29">
      <c r="A478" s="151" t="s">
        <v>3593</v>
      </c>
      <c r="B478" s="151" t="s">
        <v>3851</v>
      </c>
      <c r="C478" s="151" t="s">
        <v>3848</v>
      </c>
      <c r="D478" s="151" t="s">
        <v>17</v>
      </c>
      <c r="E478" s="151" t="s">
        <v>3852</v>
      </c>
      <c r="F478" s="151" t="s">
        <v>3591</v>
      </c>
      <c r="G478" s="151" t="s">
        <v>2173</v>
      </c>
      <c r="H478" s="151" t="s">
        <v>1183</v>
      </c>
      <c r="I478" s="151" t="s">
        <v>1184</v>
      </c>
      <c r="J478" s="151" t="s">
        <v>797</v>
      </c>
      <c r="K478" s="151" t="s">
        <v>3853</v>
      </c>
      <c r="L478" s="151" t="s">
        <v>3854</v>
      </c>
      <c r="M478" s="151" t="s">
        <v>3643</v>
      </c>
      <c r="N478" s="151"/>
      <c r="O478" s="151"/>
      <c r="P478" s="151"/>
      <c r="Q478" s="151"/>
      <c r="R478" s="151" t="s">
        <v>2177</v>
      </c>
      <c r="S478" s="151" t="s">
        <v>361</v>
      </c>
      <c r="T478" s="151" t="s">
        <v>49</v>
      </c>
      <c r="U478" s="151" t="s">
        <v>3855</v>
      </c>
      <c r="V478" s="151" t="s">
        <v>49</v>
      </c>
      <c r="W478" s="151" t="s">
        <v>3855</v>
      </c>
      <c r="X478" s="151" t="s">
        <v>49</v>
      </c>
      <c r="Y478" s="151" t="s">
        <v>3855</v>
      </c>
      <c r="Z478" s="151"/>
      <c r="AA478" s="151"/>
      <c r="AB478" s="151" t="s">
        <v>855</v>
      </c>
      <c r="AC478" s="342"/>
    </row>
    <row r="479" spans="1:29">
      <c r="A479" s="151" t="s">
        <v>3593</v>
      </c>
      <c r="B479" s="151" t="s">
        <v>3856</v>
      </c>
      <c r="C479" s="151" t="s">
        <v>3848</v>
      </c>
      <c r="D479" s="151" t="s">
        <v>17</v>
      </c>
      <c r="E479" s="151" t="s">
        <v>3857</v>
      </c>
      <c r="F479" s="151" t="s">
        <v>3591</v>
      </c>
      <c r="G479" s="151" t="s">
        <v>2173</v>
      </c>
      <c r="H479" s="151" t="s">
        <v>1183</v>
      </c>
      <c r="I479" s="151" t="s">
        <v>1184</v>
      </c>
      <c r="J479" s="151" t="s">
        <v>797</v>
      </c>
      <c r="K479" s="151" t="s">
        <v>3858</v>
      </c>
      <c r="L479" s="151" t="s">
        <v>3854</v>
      </c>
      <c r="M479" s="151" t="s">
        <v>3643</v>
      </c>
      <c r="N479" s="151"/>
      <c r="O479" s="151"/>
      <c r="P479" s="151"/>
      <c r="Q479" s="151"/>
      <c r="R479" s="151" t="s">
        <v>2177</v>
      </c>
      <c r="S479" s="151" t="s">
        <v>361</v>
      </c>
      <c r="T479" s="151" t="s">
        <v>435</v>
      </c>
      <c r="U479" s="151" t="s">
        <v>3608</v>
      </c>
      <c r="V479" s="151" t="s">
        <v>49</v>
      </c>
      <c r="W479" s="151" t="s">
        <v>2373</v>
      </c>
      <c r="X479" s="151" t="s">
        <v>49</v>
      </c>
      <c r="Y479" s="151" t="s">
        <v>3608</v>
      </c>
      <c r="Z479" s="151"/>
      <c r="AA479" s="151"/>
      <c r="AB479" s="151" t="s">
        <v>855</v>
      </c>
      <c r="AC479" s="342"/>
    </row>
    <row r="480" spans="1:29">
      <c r="A480" s="151" t="s">
        <v>3593</v>
      </c>
      <c r="B480" s="151" t="s">
        <v>3859</v>
      </c>
      <c r="C480" s="151" t="s">
        <v>3848</v>
      </c>
      <c r="D480" s="151" t="s">
        <v>17</v>
      </c>
      <c r="E480" s="151" t="s">
        <v>3860</v>
      </c>
      <c r="F480" s="151" t="s">
        <v>3591</v>
      </c>
      <c r="G480" s="151" t="s">
        <v>2173</v>
      </c>
      <c r="H480" s="151" t="s">
        <v>1183</v>
      </c>
      <c r="I480" s="151" t="s">
        <v>1184</v>
      </c>
      <c r="J480" s="151" t="s">
        <v>797</v>
      </c>
      <c r="K480" s="151" t="s">
        <v>3861</v>
      </c>
      <c r="L480" s="151" t="s">
        <v>3854</v>
      </c>
      <c r="M480" s="151" t="s">
        <v>3643</v>
      </c>
      <c r="N480" s="151"/>
      <c r="O480" s="151"/>
      <c r="P480" s="151"/>
      <c r="Q480" s="151"/>
      <c r="R480" s="151" t="s">
        <v>2177</v>
      </c>
      <c r="S480" s="151" t="s">
        <v>361</v>
      </c>
      <c r="T480" s="151" t="s">
        <v>435</v>
      </c>
      <c r="U480" s="151" t="s">
        <v>2179</v>
      </c>
      <c r="V480" s="151">
        <v>10</v>
      </c>
      <c r="W480" s="151" t="s">
        <v>3629</v>
      </c>
      <c r="X480" s="151" t="s">
        <v>431</v>
      </c>
      <c r="Y480" s="151" t="s">
        <v>3629</v>
      </c>
      <c r="Z480" s="151"/>
      <c r="AA480" s="151"/>
      <c r="AB480" s="151" t="s">
        <v>855</v>
      </c>
      <c r="AC480" s="342"/>
    </row>
    <row r="481" spans="1:29">
      <c r="A481" s="151" t="s">
        <v>3593</v>
      </c>
      <c r="B481" s="151" t="s">
        <v>3862</v>
      </c>
      <c r="C481" s="151" t="s">
        <v>3848</v>
      </c>
      <c r="D481" s="151" t="s">
        <v>17</v>
      </c>
      <c r="E481" s="151" t="s">
        <v>3863</v>
      </c>
      <c r="F481" s="151" t="s">
        <v>3591</v>
      </c>
      <c r="G481" s="151" t="s">
        <v>2173</v>
      </c>
      <c r="H481" s="151" t="s">
        <v>1183</v>
      </c>
      <c r="I481" s="151" t="s">
        <v>1184</v>
      </c>
      <c r="J481" s="151" t="s">
        <v>797</v>
      </c>
      <c r="K481" s="151" t="s">
        <v>3864</v>
      </c>
      <c r="L481" s="151" t="s">
        <v>3854</v>
      </c>
      <c r="M481" s="151" t="s">
        <v>3643</v>
      </c>
      <c r="N481" s="151"/>
      <c r="O481" s="151"/>
      <c r="P481" s="151"/>
      <c r="Q481" s="151"/>
      <c r="R481" s="151" t="s">
        <v>2177</v>
      </c>
      <c r="S481" s="151" t="s">
        <v>361</v>
      </c>
      <c r="T481" s="151" t="s">
        <v>2207</v>
      </c>
      <c r="U481" s="151" t="s">
        <v>2207</v>
      </c>
      <c r="V481" s="151">
        <v>10</v>
      </c>
      <c r="W481" s="151" t="s">
        <v>2207</v>
      </c>
      <c r="X481" s="151" t="s">
        <v>2207</v>
      </c>
      <c r="Y481" s="151" t="s">
        <v>2207</v>
      </c>
      <c r="Z481" s="151"/>
      <c r="AA481" s="151"/>
      <c r="AB481" s="151" t="s">
        <v>855</v>
      </c>
      <c r="AC481" s="342"/>
    </row>
    <row r="482" spans="1:29">
      <c r="A482" s="151" t="s">
        <v>3593</v>
      </c>
      <c r="B482" s="151" t="s">
        <v>3865</v>
      </c>
      <c r="C482" s="151" t="s">
        <v>3866</v>
      </c>
      <c r="D482" s="151" t="s">
        <v>17</v>
      </c>
      <c r="E482" s="151" t="s">
        <v>3867</v>
      </c>
      <c r="F482" s="151" t="s">
        <v>3591</v>
      </c>
      <c r="G482" s="151" t="s">
        <v>2173</v>
      </c>
      <c r="H482" s="151" t="s">
        <v>1183</v>
      </c>
      <c r="I482" s="151" t="s">
        <v>1184</v>
      </c>
      <c r="J482" s="151" t="s">
        <v>806</v>
      </c>
      <c r="K482" s="151" t="s">
        <v>3868</v>
      </c>
      <c r="L482" s="151" t="s">
        <v>3596</v>
      </c>
      <c r="M482" s="151" t="s">
        <v>361</v>
      </c>
      <c r="N482" s="151"/>
      <c r="O482" s="151"/>
      <c r="P482" s="151"/>
      <c r="Q482" s="151"/>
      <c r="R482" s="151" t="s">
        <v>2177</v>
      </c>
      <c r="S482" s="151" t="s">
        <v>361</v>
      </c>
      <c r="T482" s="151" t="s">
        <v>3668</v>
      </c>
      <c r="U482" s="151" t="s">
        <v>2179</v>
      </c>
      <c r="V482" s="151" t="s">
        <v>49</v>
      </c>
      <c r="W482" s="151" t="s">
        <v>2373</v>
      </c>
      <c r="X482" s="151" t="s">
        <v>431</v>
      </c>
      <c r="Y482" s="151" t="s">
        <v>2179</v>
      </c>
      <c r="Z482" s="151"/>
      <c r="AA482" s="151"/>
      <c r="AB482" s="151" t="s">
        <v>855</v>
      </c>
      <c r="AC482" s="342"/>
    </row>
    <row r="483" spans="1:29">
      <c r="A483" s="151" t="s">
        <v>3593</v>
      </c>
      <c r="B483" s="151" t="s">
        <v>3869</v>
      </c>
      <c r="C483" s="151" t="s">
        <v>3866</v>
      </c>
      <c r="D483" s="151" t="s">
        <v>17</v>
      </c>
      <c r="E483" s="151" t="s">
        <v>3870</v>
      </c>
      <c r="F483" s="151" t="s">
        <v>551</v>
      </c>
      <c r="G483" s="151" t="s">
        <v>2173</v>
      </c>
      <c r="H483" s="151" t="s">
        <v>1183</v>
      </c>
      <c r="I483" s="151" t="s">
        <v>1184</v>
      </c>
      <c r="J483" s="151" t="s">
        <v>3871</v>
      </c>
      <c r="K483" s="151" t="s">
        <v>3872</v>
      </c>
      <c r="L483" s="151" t="s">
        <v>3596</v>
      </c>
      <c r="M483" s="151" t="s">
        <v>361</v>
      </c>
      <c r="N483" s="151"/>
      <c r="O483" s="151"/>
      <c r="P483" s="151"/>
      <c r="Q483" s="151"/>
      <c r="R483" s="151" t="s">
        <v>2550</v>
      </c>
      <c r="S483" s="151" t="s">
        <v>3738</v>
      </c>
      <c r="T483" s="151"/>
      <c r="U483" s="151"/>
      <c r="V483" s="151"/>
      <c r="W483" s="151"/>
      <c r="X483" s="151"/>
      <c r="Y483" s="151"/>
      <c r="Z483" s="151"/>
      <c r="AA483" s="151"/>
      <c r="AB483" s="151"/>
      <c r="AC483" s="342"/>
    </row>
    <row r="484" spans="1:29">
      <c r="A484" s="151" t="s">
        <v>3593</v>
      </c>
      <c r="B484" s="151" t="s">
        <v>3873</v>
      </c>
      <c r="C484" s="151" t="s">
        <v>3866</v>
      </c>
      <c r="D484" s="151" t="s">
        <v>17</v>
      </c>
      <c r="E484" s="151" t="s">
        <v>3870</v>
      </c>
      <c r="F484" s="151" t="s">
        <v>551</v>
      </c>
      <c r="G484" s="151" t="s">
        <v>2546</v>
      </c>
      <c r="H484" s="151" t="s">
        <v>1183</v>
      </c>
      <c r="I484" s="151" t="s">
        <v>1184</v>
      </c>
      <c r="J484" s="151" t="s">
        <v>3874</v>
      </c>
      <c r="K484" s="151"/>
      <c r="L484" s="151" t="s">
        <v>3875</v>
      </c>
      <c r="M484" s="151" t="s">
        <v>3876</v>
      </c>
      <c r="N484" s="151"/>
      <c r="O484" s="151"/>
      <c r="P484" s="151"/>
      <c r="Q484" s="151"/>
      <c r="R484" s="151" t="s">
        <v>2550</v>
      </c>
      <c r="S484" s="151" t="s">
        <v>3877</v>
      </c>
      <c r="T484" s="151"/>
      <c r="U484" s="151"/>
      <c r="V484" s="151"/>
      <c r="W484" s="151"/>
      <c r="X484" s="151"/>
      <c r="Y484" s="151"/>
      <c r="Z484" s="151"/>
      <c r="AA484" s="151"/>
      <c r="AB484" s="151"/>
      <c r="AC484" s="342"/>
    </row>
    <row r="485" spans="1:29">
      <c r="A485" s="151" t="s">
        <v>3593</v>
      </c>
      <c r="B485" s="151" t="s">
        <v>3878</v>
      </c>
      <c r="C485" s="151" t="s">
        <v>3866</v>
      </c>
      <c r="D485" s="151" t="s">
        <v>17</v>
      </c>
      <c r="E485" s="151" t="s">
        <v>3879</v>
      </c>
      <c r="F485" s="151" t="s">
        <v>3591</v>
      </c>
      <c r="G485" s="151" t="s">
        <v>2173</v>
      </c>
      <c r="H485" s="151" t="s">
        <v>1183</v>
      </c>
      <c r="I485" s="151" t="s">
        <v>1184</v>
      </c>
      <c r="J485" s="151" t="s">
        <v>806</v>
      </c>
      <c r="K485" s="151" t="s">
        <v>3880</v>
      </c>
      <c r="L485" s="151" t="s">
        <v>3596</v>
      </c>
      <c r="M485" s="151" t="s">
        <v>361</v>
      </c>
      <c r="N485" s="151"/>
      <c r="O485" s="151"/>
      <c r="P485" s="151"/>
      <c r="Q485" s="151"/>
      <c r="R485" s="151" t="s">
        <v>2177</v>
      </c>
      <c r="S485" s="151" t="s">
        <v>361</v>
      </c>
      <c r="T485" s="151" t="s">
        <v>3607</v>
      </c>
      <c r="U485" s="151" t="s">
        <v>3582</v>
      </c>
      <c r="V485" s="151" t="s">
        <v>49</v>
      </c>
      <c r="W485" s="151" t="s">
        <v>2373</v>
      </c>
      <c r="X485" s="151" t="s">
        <v>49</v>
      </c>
      <c r="Y485" s="151" t="s">
        <v>3582</v>
      </c>
      <c r="Z485" s="151"/>
      <c r="AA485" s="151"/>
      <c r="AB485" s="151" t="s">
        <v>855</v>
      </c>
      <c r="AC485" s="342"/>
    </row>
    <row r="486" spans="1:29">
      <c r="A486" s="151" t="s">
        <v>3593</v>
      </c>
      <c r="B486" s="151" t="s">
        <v>3881</v>
      </c>
      <c r="C486" s="151" t="s">
        <v>3866</v>
      </c>
      <c r="D486" s="151" t="s">
        <v>17</v>
      </c>
      <c r="E486" s="151" t="s">
        <v>3882</v>
      </c>
      <c r="F486" s="151" t="s">
        <v>3591</v>
      </c>
      <c r="G486" s="151" t="s">
        <v>2173</v>
      </c>
      <c r="H486" s="151" t="s">
        <v>1183</v>
      </c>
      <c r="I486" s="151" t="s">
        <v>1184</v>
      </c>
      <c r="J486" s="151" t="s">
        <v>806</v>
      </c>
      <c r="K486" s="151" t="s">
        <v>3883</v>
      </c>
      <c r="L486" s="151" t="s">
        <v>3596</v>
      </c>
      <c r="M486" s="151" t="s">
        <v>361</v>
      </c>
      <c r="N486" s="151"/>
      <c r="O486" s="151"/>
      <c r="P486" s="151"/>
      <c r="Q486" s="151"/>
      <c r="R486" s="151" t="s">
        <v>2177</v>
      </c>
      <c r="S486" s="151" t="s">
        <v>361</v>
      </c>
      <c r="T486" s="151" t="s">
        <v>435</v>
      </c>
      <c r="U486" s="151" t="s">
        <v>3884</v>
      </c>
      <c r="V486" s="151">
        <v>25</v>
      </c>
      <c r="W486" s="151" t="s">
        <v>3884</v>
      </c>
      <c r="X486" s="151" t="s">
        <v>431</v>
      </c>
      <c r="Y486" s="151" t="s">
        <v>3884</v>
      </c>
      <c r="Z486" s="151"/>
      <c r="AA486" s="151"/>
      <c r="AB486" s="151" t="s">
        <v>855</v>
      </c>
      <c r="AC486" s="342"/>
    </row>
    <row r="487" spans="1:29">
      <c r="A487" s="151" t="s">
        <v>3593</v>
      </c>
      <c r="B487" s="151" t="s">
        <v>3885</v>
      </c>
      <c r="C487" s="151" t="s">
        <v>3886</v>
      </c>
      <c r="D487" s="151" t="s">
        <v>17</v>
      </c>
      <c r="E487" s="151" t="s">
        <v>3887</v>
      </c>
      <c r="F487" s="151" t="s">
        <v>544</v>
      </c>
      <c r="G487" s="151" t="s">
        <v>2173</v>
      </c>
      <c r="H487" s="151" t="s">
        <v>1183</v>
      </c>
      <c r="I487" s="151" t="s">
        <v>1184</v>
      </c>
      <c r="J487" s="151" t="s">
        <v>3871</v>
      </c>
      <c r="K487" s="151" t="s">
        <v>3888</v>
      </c>
      <c r="L487" s="151" t="s">
        <v>3596</v>
      </c>
      <c r="M487" s="151" t="s">
        <v>361</v>
      </c>
      <c r="N487" s="151"/>
      <c r="O487" s="151"/>
      <c r="P487" s="151"/>
      <c r="Q487" s="151"/>
      <c r="R487" s="151" t="s">
        <v>2177</v>
      </c>
      <c r="S487" s="151" t="s">
        <v>361</v>
      </c>
      <c r="T487" s="151" t="s">
        <v>435</v>
      </c>
      <c r="U487" s="151" t="s">
        <v>2507</v>
      </c>
      <c r="V487" s="151">
        <v>24</v>
      </c>
      <c r="W487" s="151" t="s">
        <v>2507</v>
      </c>
      <c r="X487" s="151" t="s">
        <v>431</v>
      </c>
      <c r="Y487" s="151" t="s">
        <v>2507</v>
      </c>
      <c r="Z487" s="151"/>
      <c r="AA487" s="151"/>
      <c r="AB487" s="151" t="s">
        <v>855</v>
      </c>
      <c r="AC487" s="342"/>
    </row>
    <row r="488" spans="1:29">
      <c r="A488" s="151" t="s">
        <v>3593</v>
      </c>
      <c r="B488" s="151" t="s">
        <v>3889</v>
      </c>
      <c r="C488" s="151" t="s">
        <v>3886</v>
      </c>
      <c r="D488" s="151" t="s">
        <v>17</v>
      </c>
      <c r="E488" s="151" t="s">
        <v>3890</v>
      </c>
      <c r="F488" s="151" t="s">
        <v>544</v>
      </c>
      <c r="G488" s="151" t="s">
        <v>2173</v>
      </c>
      <c r="H488" s="151" t="s">
        <v>1183</v>
      </c>
      <c r="I488" s="151" t="s">
        <v>1184</v>
      </c>
      <c r="J488" s="151" t="s">
        <v>3871</v>
      </c>
      <c r="K488" s="151" t="s">
        <v>3891</v>
      </c>
      <c r="L488" s="151" t="s">
        <v>3596</v>
      </c>
      <c r="M488" s="151" t="s">
        <v>361</v>
      </c>
      <c r="N488" s="151"/>
      <c r="O488" s="151"/>
      <c r="P488" s="151"/>
      <c r="Q488" s="151"/>
      <c r="R488" s="151" t="s">
        <v>2177</v>
      </c>
      <c r="S488" s="151" t="s">
        <v>361</v>
      </c>
      <c r="T488" s="151" t="s">
        <v>435</v>
      </c>
      <c r="U488" s="151" t="s">
        <v>2507</v>
      </c>
      <c r="V488" s="151">
        <v>24</v>
      </c>
      <c r="W488" s="151" t="s">
        <v>2507</v>
      </c>
      <c r="X488" s="151" t="s">
        <v>431</v>
      </c>
      <c r="Y488" s="151" t="s">
        <v>2507</v>
      </c>
      <c r="Z488" s="151"/>
      <c r="AA488" s="151"/>
      <c r="AB488" s="151" t="s">
        <v>855</v>
      </c>
      <c r="AC488" s="342"/>
    </row>
    <row r="489" spans="1:29">
      <c r="A489" s="151" t="s">
        <v>3593</v>
      </c>
      <c r="B489" s="151" t="s">
        <v>3892</v>
      </c>
      <c r="C489" s="151" t="s">
        <v>3886</v>
      </c>
      <c r="D489" s="151" t="s">
        <v>17</v>
      </c>
      <c r="E489" s="151" t="s">
        <v>3893</v>
      </c>
      <c r="F489" s="151" t="s">
        <v>544</v>
      </c>
      <c r="G489" s="151" t="s">
        <v>2173</v>
      </c>
      <c r="H489" s="151" t="s">
        <v>1183</v>
      </c>
      <c r="I489" s="151" t="s">
        <v>1184</v>
      </c>
      <c r="J489" s="151" t="s">
        <v>3871</v>
      </c>
      <c r="K489" s="151" t="s">
        <v>3894</v>
      </c>
      <c r="L489" s="151" t="s">
        <v>3596</v>
      </c>
      <c r="M489" s="151" t="s">
        <v>361</v>
      </c>
      <c r="N489" s="151"/>
      <c r="O489" s="151"/>
      <c r="P489" s="151"/>
      <c r="Q489" s="151"/>
      <c r="R489" s="151" t="s">
        <v>2177</v>
      </c>
      <c r="S489" s="151" t="s">
        <v>361</v>
      </c>
      <c r="T489" s="151" t="s">
        <v>435</v>
      </c>
      <c r="U489" s="151" t="s">
        <v>2507</v>
      </c>
      <c r="V489" s="151">
        <v>24</v>
      </c>
      <c r="W489" s="151" t="s">
        <v>2507</v>
      </c>
      <c r="X489" s="151" t="s">
        <v>431</v>
      </c>
      <c r="Y489" s="151" t="s">
        <v>2507</v>
      </c>
      <c r="Z489" s="151"/>
      <c r="AA489" s="151"/>
      <c r="AB489" s="151" t="s">
        <v>855</v>
      </c>
      <c r="AC489" s="342"/>
    </row>
    <row r="490" spans="1:29">
      <c r="A490" s="151" t="s">
        <v>3593</v>
      </c>
      <c r="B490" s="151" t="s">
        <v>3895</v>
      </c>
      <c r="C490" s="151" t="s">
        <v>3886</v>
      </c>
      <c r="D490" s="151" t="s">
        <v>17</v>
      </c>
      <c r="E490" s="151" t="s">
        <v>3896</v>
      </c>
      <c r="F490" s="151" t="s">
        <v>544</v>
      </c>
      <c r="G490" s="151" t="s">
        <v>2173</v>
      </c>
      <c r="H490" s="151" t="s">
        <v>1183</v>
      </c>
      <c r="I490" s="151" t="s">
        <v>1184</v>
      </c>
      <c r="J490" s="151" t="s">
        <v>3871</v>
      </c>
      <c r="K490" s="151" t="s">
        <v>3897</v>
      </c>
      <c r="L490" s="151" t="s">
        <v>3596</v>
      </c>
      <c r="M490" s="151" t="s">
        <v>361</v>
      </c>
      <c r="N490" s="151"/>
      <c r="O490" s="151"/>
      <c r="P490" s="151"/>
      <c r="Q490" s="151"/>
      <c r="R490" s="151" t="s">
        <v>2177</v>
      </c>
      <c r="S490" s="151" t="s">
        <v>361</v>
      </c>
      <c r="T490" s="151" t="s">
        <v>435</v>
      </c>
      <c r="U490" s="151" t="s">
        <v>2507</v>
      </c>
      <c r="V490" s="151">
        <v>24</v>
      </c>
      <c r="W490" s="151" t="s">
        <v>2507</v>
      </c>
      <c r="X490" s="151" t="s">
        <v>431</v>
      </c>
      <c r="Y490" s="151" t="s">
        <v>2507</v>
      </c>
      <c r="Z490" s="151"/>
      <c r="AA490" s="151"/>
      <c r="AB490" s="151" t="s">
        <v>855</v>
      </c>
      <c r="AC490" s="342"/>
    </row>
    <row r="491" spans="1:29">
      <c r="A491" s="151" t="s">
        <v>3593</v>
      </c>
      <c r="B491" s="151" t="s">
        <v>3898</v>
      </c>
      <c r="C491" s="151" t="s">
        <v>3886</v>
      </c>
      <c r="D491" s="151" t="s">
        <v>17</v>
      </c>
      <c r="E491" s="151" t="s">
        <v>3899</v>
      </c>
      <c r="F491" s="151" t="s">
        <v>544</v>
      </c>
      <c r="G491" s="151" t="s">
        <v>2173</v>
      </c>
      <c r="H491" s="151" t="s">
        <v>1183</v>
      </c>
      <c r="I491" s="151" t="s">
        <v>1184</v>
      </c>
      <c r="J491" s="151" t="s">
        <v>3871</v>
      </c>
      <c r="K491" s="151" t="s">
        <v>3900</v>
      </c>
      <c r="L491" s="151" t="s">
        <v>3596</v>
      </c>
      <c r="M491" s="151" t="s">
        <v>361</v>
      </c>
      <c r="N491" s="151"/>
      <c r="O491" s="151"/>
      <c r="P491" s="151"/>
      <c r="Q491" s="151"/>
      <c r="R491" s="151" t="s">
        <v>2177</v>
      </c>
      <c r="S491" s="151" t="s">
        <v>361</v>
      </c>
      <c r="T491" s="151" t="s">
        <v>435</v>
      </c>
      <c r="U491" s="151" t="s">
        <v>2507</v>
      </c>
      <c r="V491" s="151">
        <v>24</v>
      </c>
      <c r="W491" s="151" t="s">
        <v>2507</v>
      </c>
      <c r="X491" s="151" t="s">
        <v>431</v>
      </c>
      <c r="Y491" s="151" t="s">
        <v>2507</v>
      </c>
      <c r="Z491" s="151"/>
      <c r="AA491" s="151"/>
      <c r="AB491" s="151" t="s">
        <v>855</v>
      </c>
      <c r="AC491" s="342"/>
    </row>
    <row r="492" spans="1:29">
      <c r="A492" s="151" t="s">
        <v>3593</v>
      </c>
      <c r="B492" s="151" t="s">
        <v>3901</v>
      </c>
      <c r="C492" s="151" t="s">
        <v>3886</v>
      </c>
      <c r="D492" s="151" t="s">
        <v>17</v>
      </c>
      <c r="E492" s="151" t="s">
        <v>3902</v>
      </c>
      <c r="F492" s="151" t="s">
        <v>544</v>
      </c>
      <c r="G492" s="151" t="s">
        <v>2173</v>
      </c>
      <c r="H492" s="151" t="s">
        <v>1183</v>
      </c>
      <c r="I492" s="151" t="s">
        <v>1184</v>
      </c>
      <c r="J492" s="151" t="s">
        <v>3871</v>
      </c>
      <c r="K492" s="151" t="s">
        <v>3903</v>
      </c>
      <c r="L492" s="151" t="s">
        <v>3596</v>
      </c>
      <c r="M492" s="151" t="s">
        <v>361</v>
      </c>
      <c r="N492" s="151"/>
      <c r="O492" s="151"/>
      <c r="P492" s="151"/>
      <c r="Q492" s="151"/>
      <c r="R492" s="151" t="s">
        <v>2177</v>
      </c>
      <c r="S492" s="151" t="s">
        <v>361</v>
      </c>
      <c r="T492" s="151" t="s">
        <v>435</v>
      </c>
      <c r="U492" s="151" t="s">
        <v>2507</v>
      </c>
      <c r="V492" s="151">
        <v>24</v>
      </c>
      <c r="W492" s="151" t="s">
        <v>2507</v>
      </c>
      <c r="X492" s="151" t="s">
        <v>431</v>
      </c>
      <c r="Y492" s="151" t="s">
        <v>2507</v>
      </c>
      <c r="Z492" s="151"/>
      <c r="AA492" s="151"/>
      <c r="AB492" s="151" t="s">
        <v>855</v>
      </c>
      <c r="AC492" s="342"/>
    </row>
    <row r="493" spans="1:29">
      <c r="A493" s="151" t="s">
        <v>3593</v>
      </c>
      <c r="B493" s="151" t="s">
        <v>3904</v>
      </c>
      <c r="C493" s="151" t="s">
        <v>3886</v>
      </c>
      <c r="D493" s="151" t="s">
        <v>17</v>
      </c>
      <c r="E493" s="151" t="s">
        <v>3905</v>
      </c>
      <c r="F493" s="151" t="s">
        <v>544</v>
      </c>
      <c r="G493" s="151" t="s">
        <v>2173</v>
      </c>
      <c r="H493" s="151" t="s">
        <v>1183</v>
      </c>
      <c r="I493" s="151" t="s">
        <v>1184</v>
      </c>
      <c r="J493" s="151" t="s">
        <v>3871</v>
      </c>
      <c r="K493" s="151" t="s">
        <v>3906</v>
      </c>
      <c r="L493" s="151" t="s">
        <v>3596</v>
      </c>
      <c r="M493" s="151" t="s">
        <v>361</v>
      </c>
      <c r="N493" s="151"/>
      <c r="O493" s="151"/>
      <c r="P493" s="151"/>
      <c r="Q493" s="151"/>
      <c r="R493" s="151" t="s">
        <v>2177</v>
      </c>
      <c r="S493" s="151" t="s">
        <v>361</v>
      </c>
      <c r="T493" s="151" t="s">
        <v>435</v>
      </c>
      <c r="U493" s="151" t="s">
        <v>2507</v>
      </c>
      <c r="V493" s="151">
        <v>24</v>
      </c>
      <c r="W493" s="151" t="s">
        <v>2507</v>
      </c>
      <c r="X493" s="151" t="s">
        <v>431</v>
      </c>
      <c r="Y493" s="151" t="s">
        <v>2507</v>
      </c>
      <c r="Z493" s="151"/>
      <c r="AA493" s="151"/>
      <c r="AB493" s="151" t="s">
        <v>855</v>
      </c>
      <c r="AC493" s="342"/>
    </row>
    <row r="494" spans="1:29">
      <c r="A494" s="151" t="s">
        <v>3593</v>
      </c>
      <c r="B494" s="151" t="s">
        <v>3907</v>
      </c>
      <c r="C494" s="151" t="s">
        <v>3886</v>
      </c>
      <c r="D494" s="151" t="s">
        <v>17</v>
      </c>
      <c r="E494" s="151" t="s">
        <v>3908</v>
      </c>
      <c r="F494" s="151" t="s">
        <v>544</v>
      </c>
      <c r="G494" s="151" t="s">
        <v>2546</v>
      </c>
      <c r="H494" s="151" t="s">
        <v>361</v>
      </c>
      <c r="I494" s="151" t="s">
        <v>1184</v>
      </c>
      <c r="J494" s="151" t="s">
        <v>3909</v>
      </c>
      <c r="K494" s="151" t="s">
        <v>3910</v>
      </c>
      <c r="L494" s="151" t="s">
        <v>3911</v>
      </c>
      <c r="M494" s="151" t="s">
        <v>361</v>
      </c>
      <c r="N494" s="151"/>
      <c r="O494" s="151"/>
      <c r="P494" s="151"/>
      <c r="Q494" s="151"/>
      <c r="R494" s="151" t="s">
        <v>2550</v>
      </c>
      <c r="S494" s="151" t="s">
        <v>3738</v>
      </c>
      <c r="T494" s="151"/>
      <c r="U494" s="151"/>
      <c r="V494" s="151"/>
      <c r="W494" s="151"/>
      <c r="X494" s="151"/>
      <c r="Y494" s="151"/>
      <c r="Z494" s="151"/>
      <c r="AA494" s="151"/>
      <c r="AB494" s="151"/>
      <c r="AC494" s="342"/>
    </row>
    <row r="495" spans="1:29">
      <c r="A495" s="151" t="s">
        <v>3593</v>
      </c>
      <c r="B495" s="151" t="s">
        <v>3912</v>
      </c>
      <c r="C495" s="151" t="s">
        <v>3886</v>
      </c>
      <c r="D495" s="151" t="s">
        <v>17</v>
      </c>
      <c r="E495" s="151" t="s">
        <v>3913</v>
      </c>
      <c r="F495" s="151" t="s">
        <v>544</v>
      </c>
      <c r="G495" s="151" t="s">
        <v>2173</v>
      </c>
      <c r="H495" s="151" t="s">
        <v>1183</v>
      </c>
      <c r="I495" s="151" t="s">
        <v>1184</v>
      </c>
      <c r="J495" s="151" t="s">
        <v>3871</v>
      </c>
      <c r="K495" s="151" t="s">
        <v>3914</v>
      </c>
      <c r="L495" s="151" t="s">
        <v>3596</v>
      </c>
      <c r="M495" s="151" t="s">
        <v>361</v>
      </c>
      <c r="N495" s="151"/>
      <c r="O495" s="151"/>
      <c r="P495" s="151"/>
      <c r="Q495" s="151"/>
      <c r="R495" s="151" t="s">
        <v>2177</v>
      </c>
      <c r="S495" s="151" t="s">
        <v>361</v>
      </c>
      <c r="T495" s="151" t="s">
        <v>435</v>
      </c>
      <c r="U495" s="151" t="s">
        <v>2507</v>
      </c>
      <c r="V495" s="151">
        <v>24</v>
      </c>
      <c r="W495" s="151" t="s">
        <v>2507</v>
      </c>
      <c r="X495" s="151" t="s">
        <v>431</v>
      </c>
      <c r="Y495" s="151" t="s">
        <v>2507</v>
      </c>
      <c r="Z495" s="151"/>
      <c r="AA495" s="151"/>
      <c r="AB495" s="151" t="s">
        <v>855</v>
      </c>
      <c r="AC495" s="342"/>
    </row>
    <row r="496" spans="1:29">
      <c r="A496" s="151" t="s">
        <v>3593</v>
      </c>
      <c r="B496" s="151" t="s">
        <v>3915</v>
      </c>
      <c r="C496" s="151" t="s">
        <v>3886</v>
      </c>
      <c r="D496" s="151" t="s">
        <v>17</v>
      </c>
      <c r="E496" s="151" t="s">
        <v>3916</v>
      </c>
      <c r="F496" s="151" t="s">
        <v>544</v>
      </c>
      <c r="G496" s="151" t="s">
        <v>2173</v>
      </c>
      <c r="H496" s="151" t="s">
        <v>1183</v>
      </c>
      <c r="I496" s="151" t="s">
        <v>1184</v>
      </c>
      <c r="J496" s="151" t="s">
        <v>3604</v>
      </c>
      <c r="K496" s="151" t="s">
        <v>3917</v>
      </c>
      <c r="L496" s="151" t="s">
        <v>3606</v>
      </c>
      <c r="M496" s="151" t="s">
        <v>361</v>
      </c>
      <c r="N496" s="151"/>
      <c r="O496" s="151"/>
      <c r="P496" s="151"/>
      <c r="Q496" s="151"/>
      <c r="R496" s="151" t="s">
        <v>2177</v>
      </c>
      <c r="S496" s="151" t="s">
        <v>361</v>
      </c>
      <c r="T496" s="151" t="s">
        <v>435</v>
      </c>
      <c r="U496" s="151" t="s">
        <v>2507</v>
      </c>
      <c r="V496" s="151">
        <v>24</v>
      </c>
      <c r="W496" s="151" t="s">
        <v>2507</v>
      </c>
      <c r="X496" s="151" t="s">
        <v>431</v>
      </c>
      <c r="Y496" s="151" t="s">
        <v>2507</v>
      </c>
      <c r="Z496" s="151"/>
      <c r="AA496" s="151"/>
      <c r="AB496" s="151" t="s">
        <v>855</v>
      </c>
      <c r="AC496" s="342"/>
    </row>
    <row r="497" spans="1:29" ht="30">
      <c r="A497" s="151" t="s">
        <v>3593</v>
      </c>
      <c r="B497" s="151" t="s">
        <v>3918</v>
      </c>
      <c r="C497" s="151" t="s">
        <v>3919</v>
      </c>
      <c r="D497" s="151" t="s">
        <v>17</v>
      </c>
      <c r="E497" s="151" t="s">
        <v>3920</v>
      </c>
      <c r="F497" s="151" t="s">
        <v>544</v>
      </c>
      <c r="G497" s="151" t="s">
        <v>2173</v>
      </c>
      <c r="H497" s="151" t="s">
        <v>1183</v>
      </c>
      <c r="I497" s="151" t="s">
        <v>1184</v>
      </c>
      <c r="J497" s="151" t="s">
        <v>3921</v>
      </c>
      <c r="K497" s="151" t="s">
        <v>3922</v>
      </c>
      <c r="L497" s="341" t="s">
        <v>3923</v>
      </c>
      <c r="M497" s="151" t="s">
        <v>361</v>
      </c>
      <c r="N497" s="151"/>
      <c r="O497" s="151"/>
      <c r="P497" s="151"/>
      <c r="Q497" s="151"/>
      <c r="R497" s="151" t="s">
        <v>2177</v>
      </c>
      <c r="S497" s="151" t="s">
        <v>361</v>
      </c>
      <c r="T497" s="151" t="s">
        <v>435</v>
      </c>
      <c r="U497" s="151" t="s">
        <v>2207</v>
      </c>
      <c r="V497" s="151">
        <v>10</v>
      </c>
      <c r="W497" s="151" t="s">
        <v>2207</v>
      </c>
      <c r="X497" s="151" t="s">
        <v>2445</v>
      </c>
      <c r="Y497" s="151" t="s">
        <v>2207</v>
      </c>
      <c r="Z497" s="151"/>
      <c r="AA497" s="151"/>
      <c r="AB497" s="151" t="s">
        <v>855</v>
      </c>
      <c r="AC497" s="342"/>
    </row>
    <row r="498" spans="1:29">
      <c r="A498" s="151" t="s">
        <v>3593</v>
      </c>
      <c r="B498" s="151" t="s">
        <v>3924</v>
      </c>
      <c r="C498" s="151" t="s">
        <v>3919</v>
      </c>
      <c r="D498" s="151" t="s">
        <v>17</v>
      </c>
      <c r="E498" s="151" t="s">
        <v>3925</v>
      </c>
      <c r="F498" s="151" t="s">
        <v>544</v>
      </c>
      <c r="G498" s="151" t="s">
        <v>2173</v>
      </c>
      <c r="H498" s="151" t="s">
        <v>1183</v>
      </c>
      <c r="I498" s="151" t="s">
        <v>1184</v>
      </c>
      <c r="J498" s="151" t="s">
        <v>3871</v>
      </c>
      <c r="K498" s="151" t="s">
        <v>3926</v>
      </c>
      <c r="L498" s="151" t="s">
        <v>3596</v>
      </c>
      <c r="M498" s="151" t="s">
        <v>361</v>
      </c>
      <c r="N498" s="151"/>
      <c r="O498" s="151"/>
      <c r="P498" s="151"/>
      <c r="Q498" s="151"/>
      <c r="R498" s="151" t="s">
        <v>2177</v>
      </c>
      <c r="S498" s="151" t="s">
        <v>3927</v>
      </c>
      <c r="T498" s="151" t="s">
        <v>435</v>
      </c>
      <c r="U498" s="151" t="s">
        <v>2179</v>
      </c>
      <c r="V498" s="151">
        <v>24</v>
      </c>
      <c r="W498" s="151" t="s">
        <v>2250</v>
      </c>
      <c r="X498" s="151" t="s">
        <v>431</v>
      </c>
      <c r="Y498" s="151" t="s">
        <v>2179</v>
      </c>
      <c r="Z498" s="151"/>
      <c r="AA498" s="151"/>
      <c r="AB498" s="151" t="s">
        <v>855</v>
      </c>
      <c r="AC498" s="342"/>
    </row>
    <row r="499" spans="1:29">
      <c r="A499" s="151" t="s">
        <v>3593</v>
      </c>
      <c r="B499" s="151" t="s">
        <v>3928</v>
      </c>
      <c r="C499" s="151" t="s">
        <v>3919</v>
      </c>
      <c r="D499" s="151" t="s">
        <v>17</v>
      </c>
      <c r="E499" s="151" t="s">
        <v>3929</v>
      </c>
      <c r="F499" s="151" t="s">
        <v>544</v>
      </c>
      <c r="G499" s="151" t="s">
        <v>2173</v>
      </c>
      <c r="H499" s="151" t="s">
        <v>1183</v>
      </c>
      <c r="I499" s="151" t="s">
        <v>1184</v>
      </c>
      <c r="J499" s="151" t="s">
        <v>3871</v>
      </c>
      <c r="K499" s="151" t="s">
        <v>3930</v>
      </c>
      <c r="L499" s="151" t="s">
        <v>3596</v>
      </c>
      <c r="M499" s="151" t="s">
        <v>361</v>
      </c>
      <c r="N499" s="151"/>
      <c r="O499" s="151"/>
      <c r="P499" s="151"/>
      <c r="Q499" s="151"/>
      <c r="R499" s="151" t="s">
        <v>2177</v>
      </c>
      <c r="S499" s="151" t="s">
        <v>3931</v>
      </c>
      <c r="T499" s="151" t="s">
        <v>435</v>
      </c>
      <c r="U499" s="151" t="s">
        <v>2179</v>
      </c>
      <c r="V499" s="151">
        <v>24</v>
      </c>
      <c r="W499" s="151" t="s">
        <v>2250</v>
      </c>
      <c r="X499" s="151" t="s">
        <v>431</v>
      </c>
      <c r="Y499" s="151" t="s">
        <v>2179</v>
      </c>
      <c r="Z499" s="151"/>
      <c r="AA499" s="151"/>
      <c r="AB499" s="151" t="s">
        <v>855</v>
      </c>
      <c r="AC499" s="342"/>
    </row>
    <row r="500" spans="1:29">
      <c r="A500" s="151" t="s">
        <v>3593</v>
      </c>
      <c r="B500" s="151" t="s">
        <v>3932</v>
      </c>
      <c r="C500" s="151" t="s">
        <v>3919</v>
      </c>
      <c r="D500" s="151" t="s">
        <v>17</v>
      </c>
      <c r="E500" s="151" t="s">
        <v>3933</v>
      </c>
      <c r="F500" s="151" t="s">
        <v>544</v>
      </c>
      <c r="G500" s="151" t="s">
        <v>2173</v>
      </c>
      <c r="H500" s="151" t="s">
        <v>1183</v>
      </c>
      <c r="I500" s="151" t="s">
        <v>1184</v>
      </c>
      <c r="J500" s="151" t="s">
        <v>3871</v>
      </c>
      <c r="K500" s="151" t="s">
        <v>3934</v>
      </c>
      <c r="L500" s="151" t="s">
        <v>3596</v>
      </c>
      <c r="M500" s="151" t="s">
        <v>361</v>
      </c>
      <c r="N500" s="151"/>
      <c r="O500" s="151"/>
      <c r="P500" s="151"/>
      <c r="Q500" s="151"/>
      <c r="R500" s="151" t="s">
        <v>2177</v>
      </c>
      <c r="S500" s="151" t="s">
        <v>3935</v>
      </c>
      <c r="T500" s="151" t="s">
        <v>435</v>
      </c>
      <c r="U500" s="151" t="s">
        <v>2179</v>
      </c>
      <c r="V500" s="151">
        <v>24</v>
      </c>
      <c r="W500" s="151" t="s">
        <v>2250</v>
      </c>
      <c r="X500" s="151" t="s">
        <v>431</v>
      </c>
      <c r="Y500" s="151" t="s">
        <v>2179</v>
      </c>
      <c r="Z500" s="151"/>
      <c r="AA500" s="151"/>
      <c r="AB500" s="151" t="s">
        <v>855</v>
      </c>
      <c r="AC500" s="342"/>
    </row>
    <row r="501" spans="1:29">
      <c r="A501" s="151" t="s">
        <v>3593</v>
      </c>
      <c r="B501" s="151" t="s">
        <v>3936</v>
      </c>
      <c r="C501" s="151" t="s">
        <v>3919</v>
      </c>
      <c r="D501" s="151" t="s">
        <v>17</v>
      </c>
      <c r="E501" s="151" t="s">
        <v>3937</v>
      </c>
      <c r="F501" s="151" t="s">
        <v>544</v>
      </c>
      <c r="G501" s="151" t="s">
        <v>2173</v>
      </c>
      <c r="H501" s="151" t="s">
        <v>1183</v>
      </c>
      <c r="I501" s="151" t="s">
        <v>1184</v>
      </c>
      <c r="J501" s="151" t="s">
        <v>3871</v>
      </c>
      <c r="K501" s="151" t="s">
        <v>3938</v>
      </c>
      <c r="L501" s="151" t="s">
        <v>3596</v>
      </c>
      <c r="M501" s="151" t="s">
        <v>361</v>
      </c>
      <c r="N501" s="151"/>
      <c r="O501" s="151"/>
      <c r="P501" s="151"/>
      <c r="Q501" s="151"/>
      <c r="R501" s="151" t="s">
        <v>2177</v>
      </c>
      <c r="S501" s="151" t="s">
        <v>3939</v>
      </c>
      <c r="T501" s="151" t="s">
        <v>435</v>
      </c>
      <c r="U501" s="151" t="s">
        <v>2179</v>
      </c>
      <c r="V501" s="151">
        <v>24</v>
      </c>
      <c r="W501" s="151" t="s">
        <v>2250</v>
      </c>
      <c r="X501" s="151" t="s">
        <v>431</v>
      </c>
      <c r="Y501" s="151" t="s">
        <v>2179</v>
      </c>
      <c r="Z501" s="151"/>
      <c r="AA501" s="151"/>
      <c r="AB501" s="151" t="s">
        <v>855</v>
      </c>
      <c r="AC501" s="342"/>
    </row>
    <row r="502" spans="1:29">
      <c r="A502" s="151" t="s">
        <v>3593</v>
      </c>
      <c r="B502" s="151" t="s">
        <v>3940</v>
      </c>
      <c r="C502" s="151" t="s">
        <v>3919</v>
      </c>
      <c r="D502" s="151" t="s">
        <v>17</v>
      </c>
      <c r="E502" s="151" t="s">
        <v>3941</v>
      </c>
      <c r="F502" s="151" t="s">
        <v>544</v>
      </c>
      <c r="G502" s="151" t="s">
        <v>2173</v>
      </c>
      <c r="H502" s="151" t="s">
        <v>1183</v>
      </c>
      <c r="I502" s="151" t="s">
        <v>1184</v>
      </c>
      <c r="J502" s="151" t="s">
        <v>3871</v>
      </c>
      <c r="K502" s="151" t="s">
        <v>3942</v>
      </c>
      <c r="L502" s="151" t="s">
        <v>3596</v>
      </c>
      <c r="M502" s="151" t="s">
        <v>361</v>
      </c>
      <c r="N502" s="151"/>
      <c r="O502" s="151"/>
      <c r="P502" s="151"/>
      <c r="Q502" s="151"/>
      <c r="R502" s="151" t="s">
        <v>2177</v>
      </c>
      <c r="S502" s="151" t="s">
        <v>3943</v>
      </c>
      <c r="T502" s="151" t="s">
        <v>435</v>
      </c>
      <c r="U502" s="151" t="s">
        <v>2179</v>
      </c>
      <c r="V502" s="151">
        <v>24</v>
      </c>
      <c r="W502" s="151" t="s">
        <v>2250</v>
      </c>
      <c r="X502" s="151" t="s">
        <v>431</v>
      </c>
      <c r="Y502" s="151" t="s">
        <v>2179</v>
      </c>
      <c r="Z502" s="151"/>
      <c r="AA502" s="151"/>
      <c r="AB502" s="151" t="s">
        <v>855</v>
      </c>
      <c r="AC502" s="342"/>
    </row>
    <row r="503" spans="1:29">
      <c r="A503" s="151" t="s">
        <v>3593</v>
      </c>
      <c r="B503" s="151" t="s">
        <v>2400</v>
      </c>
      <c r="C503" s="151" t="s">
        <v>3919</v>
      </c>
      <c r="D503" s="151" t="s">
        <v>17</v>
      </c>
      <c r="E503" s="151" t="s">
        <v>3944</v>
      </c>
      <c r="F503" s="151" t="s">
        <v>544</v>
      </c>
      <c r="G503" s="151" t="s">
        <v>2173</v>
      </c>
      <c r="H503" s="151" t="s">
        <v>1183</v>
      </c>
      <c r="I503" s="151" t="s">
        <v>1184</v>
      </c>
      <c r="J503" s="151" t="s">
        <v>3871</v>
      </c>
      <c r="K503" s="151" t="s">
        <v>3945</v>
      </c>
      <c r="L503" s="151" t="s">
        <v>3596</v>
      </c>
      <c r="M503" s="151" t="s">
        <v>361</v>
      </c>
      <c r="N503" s="151"/>
      <c r="O503" s="151"/>
      <c r="P503" s="151"/>
      <c r="Q503" s="151"/>
      <c r="R503" s="151" t="s">
        <v>2177</v>
      </c>
      <c r="S503" s="151" t="s">
        <v>361</v>
      </c>
      <c r="T503" s="151" t="s">
        <v>435</v>
      </c>
      <c r="U503" s="151" t="s">
        <v>2207</v>
      </c>
      <c r="V503" s="151">
        <v>10</v>
      </c>
      <c r="W503" s="151" t="s">
        <v>2207</v>
      </c>
      <c r="X503" s="151" t="s">
        <v>431</v>
      </c>
      <c r="Y503" s="151" t="s">
        <v>2207</v>
      </c>
      <c r="Z503" s="151"/>
      <c r="AA503" s="151"/>
      <c r="AB503" s="151" t="s">
        <v>855</v>
      </c>
      <c r="AC503" s="342"/>
    </row>
    <row r="504" spans="1:29">
      <c r="A504" s="151" t="s">
        <v>3593</v>
      </c>
      <c r="B504" s="151" t="s">
        <v>3946</v>
      </c>
      <c r="C504" s="151" t="s">
        <v>3919</v>
      </c>
      <c r="D504" s="151" t="s">
        <v>17</v>
      </c>
      <c r="E504" s="151" t="s">
        <v>3947</v>
      </c>
      <c r="F504" s="151" t="s">
        <v>544</v>
      </c>
      <c r="G504" s="151" t="s">
        <v>2173</v>
      </c>
      <c r="H504" s="151" t="s">
        <v>1183</v>
      </c>
      <c r="I504" s="151" t="s">
        <v>1184</v>
      </c>
      <c r="J504" s="151" t="s">
        <v>3871</v>
      </c>
      <c r="K504" s="151" t="s">
        <v>3948</v>
      </c>
      <c r="L504" s="151" t="s">
        <v>3596</v>
      </c>
      <c r="M504" s="151" t="s">
        <v>361</v>
      </c>
      <c r="N504" s="151"/>
      <c r="O504" s="151"/>
      <c r="P504" s="151"/>
      <c r="Q504" s="151"/>
      <c r="R504" s="151" t="s">
        <v>2177</v>
      </c>
      <c r="S504" s="151" t="s">
        <v>361</v>
      </c>
      <c r="T504" s="151" t="s">
        <v>435</v>
      </c>
      <c r="U504" s="151" t="s">
        <v>2507</v>
      </c>
      <c r="V504" s="151">
        <v>24</v>
      </c>
      <c r="W504" s="151" t="s">
        <v>2507</v>
      </c>
      <c r="X504" s="151" t="s">
        <v>431</v>
      </c>
      <c r="Y504" s="151" t="s">
        <v>2507</v>
      </c>
      <c r="Z504" s="151"/>
      <c r="AA504" s="151"/>
      <c r="AB504" s="151" t="s">
        <v>855</v>
      </c>
      <c r="AC504" s="342"/>
    </row>
    <row r="505" spans="1:29" ht="75">
      <c r="A505" s="151" t="s">
        <v>3593</v>
      </c>
      <c r="B505" s="151" t="s">
        <v>3949</v>
      </c>
      <c r="C505" s="151" t="s">
        <v>3919</v>
      </c>
      <c r="D505" s="151" t="s">
        <v>17</v>
      </c>
      <c r="E505" s="151" t="s">
        <v>3950</v>
      </c>
      <c r="F505" s="151" t="s">
        <v>2527</v>
      </c>
      <c r="G505" s="151" t="s">
        <v>2173</v>
      </c>
      <c r="H505" s="151" t="s">
        <v>1183</v>
      </c>
      <c r="I505" s="151" t="s">
        <v>1184</v>
      </c>
      <c r="J505" s="151" t="s">
        <v>3871</v>
      </c>
      <c r="K505" s="151" t="s">
        <v>3951</v>
      </c>
      <c r="L505" s="151" t="s">
        <v>3596</v>
      </c>
      <c r="M505" s="151" t="s">
        <v>361</v>
      </c>
      <c r="N505" s="341" t="s">
        <v>3952</v>
      </c>
      <c r="O505" s="151">
        <v>2212878</v>
      </c>
      <c r="P505" s="151"/>
      <c r="Q505" s="151"/>
      <c r="R505" s="151" t="s">
        <v>2177</v>
      </c>
      <c r="S505" s="151" t="s">
        <v>361</v>
      </c>
      <c r="T505" s="151" t="s">
        <v>435</v>
      </c>
      <c r="U505" s="151" t="s">
        <v>2207</v>
      </c>
      <c r="V505" s="151">
        <v>10</v>
      </c>
      <c r="W505" s="151" t="s">
        <v>2207</v>
      </c>
      <c r="X505" s="151" t="s">
        <v>431</v>
      </c>
      <c r="Y505" s="151" t="s">
        <v>2207</v>
      </c>
      <c r="Z505" s="151"/>
      <c r="AA505" s="151"/>
      <c r="AB505" s="151" t="s">
        <v>855</v>
      </c>
      <c r="AC505" s="342"/>
    </row>
    <row r="506" spans="1:29">
      <c r="A506" s="151" t="s">
        <v>3593</v>
      </c>
      <c r="B506" s="151" t="s">
        <v>2637</v>
      </c>
      <c r="C506" s="151" t="s">
        <v>3919</v>
      </c>
      <c r="D506" s="151" t="s">
        <v>17</v>
      </c>
      <c r="E506" s="151" t="s">
        <v>3953</v>
      </c>
      <c r="F506" s="151" t="s">
        <v>544</v>
      </c>
      <c r="G506" s="151" t="s">
        <v>2173</v>
      </c>
      <c r="H506" s="151" t="s">
        <v>1183</v>
      </c>
      <c r="I506" s="151" t="s">
        <v>1184</v>
      </c>
      <c r="J506" s="151" t="s">
        <v>805</v>
      </c>
      <c r="K506" s="151" t="s">
        <v>3954</v>
      </c>
      <c r="L506" s="151" t="s">
        <v>3706</v>
      </c>
      <c r="M506" s="151" t="s">
        <v>361</v>
      </c>
      <c r="N506" s="151"/>
      <c r="O506" s="151"/>
      <c r="P506" s="151"/>
      <c r="Q506" s="151"/>
      <c r="R506" s="151" t="s">
        <v>2177</v>
      </c>
      <c r="S506" s="151" t="s">
        <v>361</v>
      </c>
      <c r="T506" s="151" t="s">
        <v>49</v>
      </c>
      <c r="U506" s="151" t="s">
        <v>3582</v>
      </c>
      <c r="V506" s="151" t="s">
        <v>49</v>
      </c>
      <c r="W506" s="151" t="s">
        <v>3955</v>
      </c>
      <c r="X506" s="151" t="s">
        <v>49</v>
      </c>
      <c r="Y506" s="151" t="s">
        <v>3582</v>
      </c>
      <c r="Z506" s="151"/>
      <c r="AA506" s="151"/>
      <c r="AB506" s="151" t="s">
        <v>855</v>
      </c>
      <c r="AC506" s="342"/>
    </row>
    <row r="507" spans="1:29" ht="45">
      <c r="A507" s="151" t="s">
        <v>3593</v>
      </c>
      <c r="B507" s="151" t="s">
        <v>3956</v>
      </c>
      <c r="C507" s="151" t="s">
        <v>3919</v>
      </c>
      <c r="D507" s="151" t="s">
        <v>17</v>
      </c>
      <c r="E507" s="151" t="s">
        <v>3957</v>
      </c>
      <c r="F507" s="151" t="s">
        <v>544</v>
      </c>
      <c r="G507" s="151" t="s">
        <v>2173</v>
      </c>
      <c r="H507" s="151" t="s">
        <v>1183</v>
      </c>
      <c r="I507" s="151" t="s">
        <v>1184</v>
      </c>
      <c r="J507" s="151" t="s">
        <v>3921</v>
      </c>
      <c r="K507" s="151" t="s">
        <v>3958</v>
      </c>
      <c r="L507" s="341" t="s">
        <v>3959</v>
      </c>
      <c r="M507" s="151" t="s">
        <v>361</v>
      </c>
      <c r="N507" s="151"/>
      <c r="O507" s="151"/>
      <c r="P507" s="151"/>
      <c r="Q507" s="151"/>
      <c r="R507" s="151" t="s">
        <v>2177</v>
      </c>
      <c r="S507" s="151" t="s">
        <v>361</v>
      </c>
      <c r="T507" s="151" t="s">
        <v>435</v>
      </c>
      <c r="U507" s="151" t="s">
        <v>2179</v>
      </c>
      <c r="V507" s="151">
        <v>10</v>
      </c>
      <c r="W507" s="151" t="s">
        <v>2250</v>
      </c>
      <c r="X507" s="151" t="s">
        <v>431</v>
      </c>
      <c r="Y507" s="151" t="s">
        <v>2179</v>
      </c>
      <c r="Z507" s="151"/>
      <c r="AA507" s="151"/>
      <c r="AB507" s="151" t="s">
        <v>855</v>
      </c>
      <c r="AC507" s="342"/>
    </row>
    <row r="508" spans="1:29">
      <c r="A508" s="151" t="s">
        <v>3593</v>
      </c>
      <c r="B508" s="151" t="s">
        <v>3960</v>
      </c>
      <c r="C508" s="151" t="s">
        <v>3919</v>
      </c>
      <c r="D508" s="151" t="s">
        <v>17</v>
      </c>
      <c r="E508" s="151" t="s">
        <v>3961</v>
      </c>
      <c r="F508" s="151" t="s">
        <v>544</v>
      </c>
      <c r="G508" s="151" t="s">
        <v>2173</v>
      </c>
      <c r="H508" s="151" t="s">
        <v>1183</v>
      </c>
      <c r="I508" s="151" t="s">
        <v>1184</v>
      </c>
      <c r="J508" s="151" t="s">
        <v>3871</v>
      </c>
      <c r="K508" s="151" t="s">
        <v>3962</v>
      </c>
      <c r="L508" s="151" t="s">
        <v>3596</v>
      </c>
      <c r="M508" s="151" t="s">
        <v>361</v>
      </c>
      <c r="N508" s="151"/>
      <c r="O508" s="151"/>
      <c r="P508" s="151"/>
      <c r="Q508" s="151"/>
      <c r="R508" s="151" t="s">
        <v>2177</v>
      </c>
      <c r="S508" s="151" t="s">
        <v>361</v>
      </c>
      <c r="T508" s="151" t="s">
        <v>435</v>
      </c>
      <c r="U508" s="151" t="s">
        <v>2179</v>
      </c>
      <c r="V508" s="151">
        <v>9</v>
      </c>
      <c r="W508" s="151" t="s">
        <v>2250</v>
      </c>
      <c r="X508" s="151" t="s">
        <v>431</v>
      </c>
      <c r="Y508" s="151" t="s">
        <v>2179</v>
      </c>
      <c r="Z508" s="151"/>
      <c r="AA508" s="151"/>
      <c r="AB508" s="151" t="s">
        <v>855</v>
      </c>
      <c r="AC508" s="342"/>
    </row>
    <row r="509" spans="1:29" ht="90">
      <c r="A509" s="151" t="s">
        <v>3593</v>
      </c>
      <c r="B509" s="151" t="s">
        <v>3963</v>
      </c>
      <c r="C509" s="151" t="s">
        <v>3919</v>
      </c>
      <c r="D509" s="151" t="s">
        <v>17</v>
      </c>
      <c r="E509" s="151" t="s">
        <v>3964</v>
      </c>
      <c r="F509" s="151" t="s">
        <v>2527</v>
      </c>
      <c r="G509" s="151" t="s">
        <v>2173</v>
      </c>
      <c r="H509" s="151" t="s">
        <v>1183</v>
      </c>
      <c r="I509" s="151" t="s">
        <v>1184</v>
      </c>
      <c r="J509" s="151" t="s">
        <v>3871</v>
      </c>
      <c r="K509" s="151" t="s">
        <v>3636</v>
      </c>
      <c r="L509" s="151" t="s">
        <v>3596</v>
      </c>
      <c r="M509" s="151" t="s">
        <v>361</v>
      </c>
      <c r="N509" s="341" t="s">
        <v>3965</v>
      </c>
      <c r="O509" s="151">
        <v>2212878</v>
      </c>
      <c r="P509" s="151"/>
      <c r="Q509" s="151"/>
      <c r="R509" s="151" t="s">
        <v>2177</v>
      </c>
      <c r="S509" s="151" t="s">
        <v>361</v>
      </c>
      <c r="T509" s="151" t="s">
        <v>435</v>
      </c>
      <c r="U509" s="151" t="s">
        <v>2179</v>
      </c>
      <c r="V509" s="151">
        <v>24</v>
      </c>
      <c r="W509" s="151" t="s">
        <v>2635</v>
      </c>
      <c r="X509" s="151" t="s">
        <v>431</v>
      </c>
      <c r="Y509" s="151" t="s">
        <v>2179</v>
      </c>
      <c r="Z509" s="151"/>
      <c r="AA509" s="151"/>
      <c r="AB509" s="151" t="s">
        <v>855</v>
      </c>
      <c r="AC509" s="342"/>
    </row>
    <row r="510" spans="1:29">
      <c r="A510" s="151" t="s">
        <v>3593</v>
      </c>
      <c r="B510" s="151" t="s">
        <v>3966</v>
      </c>
      <c r="C510" s="151" t="s">
        <v>3919</v>
      </c>
      <c r="D510" s="151" t="s">
        <v>17</v>
      </c>
      <c r="E510" s="151" t="s">
        <v>3967</v>
      </c>
      <c r="F510" s="151" t="s">
        <v>544</v>
      </c>
      <c r="G510" s="151" t="s">
        <v>2173</v>
      </c>
      <c r="H510" s="151" t="s">
        <v>1183</v>
      </c>
      <c r="I510" s="151" t="s">
        <v>1184</v>
      </c>
      <c r="J510" s="151" t="s">
        <v>3871</v>
      </c>
      <c r="K510" s="151" t="s">
        <v>3968</v>
      </c>
      <c r="L510" s="151" t="s">
        <v>3596</v>
      </c>
      <c r="M510" s="151" t="s">
        <v>361</v>
      </c>
      <c r="N510" s="151"/>
      <c r="O510" s="151"/>
      <c r="P510" s="151"/>
      <c r="Q510" s="151"/>
      <c r="R510" s="151" t="s">
        <v>2177</v>
      </c>
      <c r="S510" s="151" t="s">
        <v>361</v>
      </c>
      <c r="T510" s="151" t="s">
        <v>435</v>
      </c>
      <c r="U510" s="151" t="s">
        <v>2179</v>
      </c>
      <c r="V510" s="151">
        <v>10</v>
      </c>
      <c r="W510" s="151" t="s">
        <v>2250</v>
      </c>
      <c r="X510" s="151" t="s">
        <v>431</v>
      </c>
      <c r="Y510" s="151" t="s">
        <v>2179</v>
      </c>
      <c r="Z510" s="151"/>
      <c r="AA510" s="151"/>
      <c r="AB510" s="151" t="s">
        <v>855</v>
      </c>
      <c r="AC510" s="342"/>
    </row>
    <row r="511" spans="1:29">
      <c r="A511" s="151" t="s">
        <v>3593</v>
      </c>
      <c r="B511" s="151" t="s">
        <v>3969</v>
      </c>
      <c r="C511" s="151" t="s">
        <v>3919</v>
      </c>
      <c r="D511" s="151" t="s">
        <v>17</v>
      </c>
      <c r="E511" s="151" t="s">
        <v>3970</v>
      </c>
      <c r="F511" s="151" t="s">
        <v>544</v>
      </c>
      <c r="G511" s="151" t="s">
        <v>2173</v>
      </c>
      <c r="H511" s="151" t="s">
        <v>1183</v>
      </c>
      <c r="I511" s="151" t="s">
        <v>1184</v>
      </c>
      <c r="J511" s="151" t="s">
        <v>806</v>
      </c>
      <c r="K511" s="151" t="s">
        <v>3971</v>
      </c>
      <c r="L511" s="151" t="s">
        <v>3596</v>
      </c>
      <c r="M511" s="151" t="s">
        <v>361</v>
      </c>
      <c r="N511" s="151"/>
      <c r="O511" s="151"/>
      <c r="P511" s="151"/>
      <c r="Q511" s="151"/>
      <c r="R511" s="151" t="s">
        <v>2177</v>
      </c>
      <c r="S511" s="151" t="s">
        <v>3972</v>
      </c>
      <c r="T511" s="151" t="s">
        <v>3668</v>
      </c>
      <c r="U511" s="151" t="s">
        <v>3608</v>
      </c>
      <c r="V511" s="151" t="s">
        <v>49</v>
      </c>
      <c r="W511" s="151" t="s">
        <v>3973</v>
      </c>
      <c r="X511" s="151" t="s">
        <v>49</v>
      </c>
      <c r="Y511" s="151" t="s">
        <v>3608</v>
      </c>
      <c r="Z511" s="151"/>
      <c r="AA511" s="151"/>
      <c r="AB511" s="151" t="s">
        <v>855</v>
      </c>
      <c r="AC511" s="342"/>
    </row>
    <row r="512" spans="1:29">
      <c r="A512" s="151" t="s">
        <v>3593</v>
      </c>
      <c r="B512" s="151" t="s">
        <v>3974</v>
      </c>
      <c r="C512" s="151" t="s">
        <v>3919</v>
      </c>
      <c r="D512" s="151" t="s">
        <v>17</v>
      </c>
      <c r="E512" s="151" t="s">
        <v>3975</v>
      </c>
      <c r="F512" s="151" t="s">
        <v>544</v>
      </c>
      <c r="G512" s="151" t="s">
        <v>2173</v>
      </c>
      <c r="H512" s="151" t="s">
        <v>1183</v>
      </c>
      <c r="I512" s="151" t="s">
        <v>1184</v>
      </c>
      <c r="J512" s="151" t="s">
        <v>3871</v>
      </c>
      <c r="K512" s="151" t="s">
        <v>3976</v>
      </c>
      <c r="L512" s="151" t="s">
        <v>3596</v>
      </c>
      <c r="M512" s="151" t="s">
        <v>361</v>
      </c>
      <c r="N512" s="151"/>
      <c r="O512" s="151"/>
      <c r="P512" s="151"/>
      <c r="Q512" s="151"/>
      <c r="R512" s="151" t="s">
        <v>2177</v>
      </c>
      <c r="S512" s="151" t="s">
        <v>361</v>
      </c>
      <c r="T512" s="151" t="s">
        <v>3668</v>
      </c>
      <c r="U512" s="151" t="s">
        <v>2179</v>
      </c>
      <c r="V512" s="151" t="s">
        <v>49</v>
      </c>
      <c r="W512" s="151" t="s">
        <v>2373</v>
      </c>
      <c r="X512" s="151" t="s">
        <v>49</v>
      </c>
      <c r="Y512" s="151" t="s">
        <v>2179</v>
      </c>
      <c r="Z512" s="151"/>
      <c r="AA512" s="151"/>
      <c r="AB512" s="151" t="s">
        <v>855</v>
      </c>
      <c r="AC512" s="342"/>
    </row>
    <row r="513" spans="1:29">
      <c r="A513" s="151" t="s">
        <v>3593</v>
      </c>
      <c r="B513" s="151" t="s">
        <v>3977</v>
      </c>
      <c r="C513" s="151" t="s">
        <v>3919</v>
      </c>
      <c r="D513" s="151" t="s">
        <v>17</v>
      </c>
      <c r="E513" s="151" t="s">
        <v>3978</v>
      </c>
      <c r="F513" s="151" t="s">
        <v>544</v>
      </c>
      <c r="G513" s="151" t="s">
        <v>2173</v>
      </c>
      <c r="H513" s="151" t="s">
        <v>1183</v>
      </c>
      <c r="I513" s="151" t="s">
        <v>1184</v>
      </c>
      <c r="J513" s="151" t="s">
        <v>3871</v>
      </c>
      <c r="K513" s="151" t="s">
        <v>3979</v>
      </c>
      <c r="L513" s="151" t="s">
        <v>3596</v>
      </c>
      <c r="M513" s="151" t="s">
        <v>361</v>
      </c>
      <c r="N513" s="151"/>
      <c r="O513" s="151"/>
      <c r="P513" s="151"/>
      <c r="Q513" s="151"/>
      <c r="R513" s="151" t="s">
        <v>2177</v>
      </c>
      <c r="S513" s="151" t="s">
        <v>361</v>
      </c>
      <c r="T513" s="151" t="s">
        <v>3668</v>
      </c>
      <c r="U513" s="151" t="s">
        <v>2179</v>
      </c>
      <c r="V513" s="151" t="s">
        <v>49</v>
      </c>
      <c r="W513" s="151" t="s">
        <v>2373</v>
      </c>
      <c r="X513" s="151" t="s">
        <v>49</v>
      </c>
      <c r="Y513" s="151" t="s">
        <v>2179</v>
      </c>
      <c r="Z513" s="151"/>
      <c r="AA513" s="151"/>
      <c r="AB513" s="151" t="s">
        <v>855</v>
      </c>
      <c r="AC513" s="342"/>
    </row>
    <row r="514" spans="1:29">
      <c r="A514" s="151" t="s">
        <v>3593</v>
      </c>
      <c r="B514" s="151" t="s">
        <v>3980</v>
      </c>
      <c r="C514" s="151" t="s">
        <v>3919</v>
      </c>
      <c r="D514" s="151" t="s">
        <v>17</v>
      </c>
      <c r="E514" s="151" t="s">
        <v>3981</v>
      </c>
      <c r="F514" s="151" t="s">
        <v>544</v>
      </c>
      <c r="G514" s="151" t="s">
        <v>2173</v>
      </c>
      <c r="H514" s="151" t="s">
        <v>1183</v>
      </c>
      <c r="I514" s="151" t="s">
        <v>1184</v>
      </c>
      <c r="J514" s="151" t="s">
        <v>3871</v>
      </c>
      <c r="K514" s="151" t="s">
        <v>3982</v>
      </c>
      <c r="L514" s="151" t="s">
        <v>3596</v>
      </c>
      <c r="M514" s="151" t="s">
        <v>361</v>
      </c>
      <c r="N514" s="151"/>
      <c r="O514" s="151"/>
      <c r="P514" s="151"/>
      <c r="Q514" s="151"/>
      <c r="R514" s="151" t="s">
        <v>2177</v>
      </c>
      <c r="S514" s="151" t="s">
        <v>361</v>
      </c>
      <c r="T514" s="151" t="s">
        <v>3668</v>
      </c>
      <c r="U514" s="151" t="s">
        <v>2179</v>
      </c>
      <c r="V514" s="151" t="s">
        <v>49</v>
      </c>
      <c r="W514" s="151" t="s">
        <v>2373</v>
      </c>
      <c r="X514" s="151" t="s">
        <v>49</v>
      </c>
      <c r="Y514" s="151" t="s">
        <v>2179</v>
      </c>
      <c r="Z514" s="151"/>
      <c r="AA514" s="151"/>
      <c r="AB514" s="151" t="s">
        <v>855</v>
      </c>
      <c r="AC514" s="342"/>
    </row>
    <row r="515" spans="1:29">
      <c r="A515" s="151" t="s">
        <v>3593</v>
      </c>
      <c r="B515" s="151" t="s">
        <v>3983</v>
      </c>
      <c r="C515" s="151" t="s">
        <v>3919</v>
      </c>
      <c r="D515" s="151" t="s">
        <v>17</v>
      </c>
      <c r="E515" s="151" t="s">
        <v>3984</v>
      </c>
      <c r="F515" s="151" t="s">
        <v>544</v>
      </c>
      <c r="G515" s="151" t="s">
        <v>2173</v>
      </c>
      <c r="H515" s="151" t="s">
        <v>1183</v>
      </c>
      <c r="I515" s="151" t="s">
        <v>1184</v>
      </c>
      <c r="J515" s="151" t="s">
        <v>797</v>
      </c>
      <c r="K515" s="151" t="s">
        <v>3985</v>
      </c>
      <c r="L515" s="151" t="s">
        <v>3854</v>
      </c>
      <c r="M515" s="151" t="s">
        <v>361</v>
      </c>
      <c r="N515" s="151"/>
      <c r="O515" s="151"/>
      <c r="P515" s="151"/>
      <c r="Q515" s="151"/>
      <c r="R515" s="151" t="s">
        <v>2177</v>
      </c>
      <c r="S515" s="151" t="s">
        <v>361</v>
      </c>
      <c r="T515" s="151" t="s">
        <v>3668</v>
      </c>
      <c r="U515" s="151" t="s">
        <v>3608</v>
      </c>
      <c r="V515" s="151" t="s">
        <v>49</v>
      </c>
      <c r="W515" s="151" t="s">
        <v>3973</v>
      </c>
      <c r="X515" s="151" t="s">
        <v>49</v>
      </c>
      <c r="Y515" s="151" t="s">
        <v>3608</v>
      </c>
      <c r="Z515" s="151"/>
      <c r="AA515" s="151"/>
      <c r="AB515" s="151" t="s">
        <v>855</v>
      </c>
      <c r="AC515" s="342"/>
    </row>
    <row r="516" spans="1:29">
      <c r="A516" s="151" t="s">
        <v>3593</v>
      </c>
      <c r="B516" s="151" t="s">
        <v>3986</v>
      </c>
      <c r="C516" s="151" t="s">
        <v>3919</v>
      </c>
      <c r="D516" s="151" t="s">
        <v>17</v>
      </c>
      <c r="E516" s="151" t="s">
        <v>3987</v>
      </c>
      <c r="F516" s="151" t="s">
        <v>544</v>
      </c>
      <c r="G516" s="151" t="s">
        <v>2173</v>
      </c>
      <c r="H516" s="151" t="s">
        <v>1183</v>
      </c>
      <c r="I516" s="151" t="s">
        <v>1184</v>
      </c>
      <c r="J516" s="151" t="s">
        <v>805</v>
      </c>
      <c r="K516" s="151" t="s">
        <v>3988</v>
      </c>
      <c r="L516" s="151" t="s">
        <v>3706</v>
      </c>
      <c r="M516" s="151" t="s">
        <v>361</v>
      </c>
      <c r="N516" s="151"/>
      <c r="O516" s="151"/>
      <c r="P516" s="151"/>
      <c r="Q516" s="151"/>
      <c r="R516" s="151" t="s">
        <v>2177</v>
      </c>
      <c r="S516" s="151" t="s">
        <v>361</v>
      </c>
      <c r="T516" s="151" t="s">
        <v>3668</v>
      </c>
      <c r="U516" s="151" t="s">
        <v>3608</v>
      </c>
      <c r="V516" s="151" t="s">
        <v>49</v>
      </c>
      <c r="W516" s="151" t="s">
        <v>2373</v>
      </c>
      <c r="X516" s="151" t="s">
        <v>49</v>
      </c>
      <c r="Y516" s="151" t="s">
        <v>3608</v>
      </c>
      <c r="Z516" s="151"/>
      <c r="AA516" s="151"/>
      <c r="AB516" s="151" t="s">
        <v>855</v>
      </c>
      <c r="AC516" s="342"/>
    </row>
    <row r="517" spans="1:29">
      <c r="A517" s="151" t="s">
        <v>3593</v>
      </c>
      <c r="B517" s="151" t="s">
        <v>3989</v>
      </c>
      <c r="C517" s="151" t="s">
        <v>3919</v>
      </c>
      <c r="D517" s="151" t="s">
        <v>17</v>
      </c>
      <c r="E517" s="151" t="s">
        <v>3990</v>
      </c>
      <c r="F517" s="151" t="s">
        <v>544</v>
      </c>
      <c r="G517" s="151" t="s">
        <v>2173</v>
      </c>
      <c r="H517" s="151" t="s">
        <v>1183</v>
      </c>
      <c r="I517" s="151" t="s">
        <v>1184</v>
      </c>
      <c r="J517" s="151" t="s">
        <v>805</v>
      </c>
      <c r="K517" s="151" t="s">
        <v>3991</v>
      </c>
      <c r="L517" s="151" t="s">
        <v>3706</v>
      </c>
      <c r="M517" s="151" t="s">
        <v>361</v>
      </c>
      <c r="N517" s="151"/>
      <c r="O517" s="151"/>
      <c r="P517" s="151"/>
      <c r="Q517" s="151"/>
      <c r="R517" s="151" t="s">
        <v>2177</v>
      </c>
      <c r="S517" s="151" t="s">
        <v>361</v>
      </c>
      <c r="T517" s="151" t="s">
        <v>3668</v>
      </c>
      <c r="U517" s="151" t="s">
        <v>2179</v>
      </c>
      <c r="V517" s="151" t="s">
        <v>49</v>
      </c>
      <c r="W517" s="151" t="s">
        <v>2373</v>
      </c>
      <c r="X517" s="151" t="s">
        <v>49</v>
      </c>
      <c r="Y517" s="151" t="s">
        <v>2179</v>
      </c>
      <c r="Z517" s="151"/>
      <c r="AA517" s="151"/>
      <c r="AB517" s="151" t="s">
        <v>855</v>
      </c>
      <c r="AC517" s="342"/>
    </row>
    <row r="518" spans="1:29">
      <c r="A518" s="151" t="s">
        <v>3593</v>
      </c>
      <c r="B518" s="151" t="s">
        <v>3992</v>
      </c>
      <c r="C518" s="151" t="s">
        <v>3919</v>
      </c>
      <c r="D518" s="151" t="s">
        <v>17</v>
      </c>
      <c r="E518" s="151" t="s">
        <v>3993</v>
      </c>
      <c r="F518" s="151" t="s">
        <v>544</v>
      </c>
      <c r="G518" s="151" t="s">
        <v>2173</v>
      </c>
      <c r="H518" s="151" t="s">
        <v>1183</v>
      </c>
      <c r="I518" s="151" t="s">
        <v>1184</v>
      </c>
      <c r="J518" s="151" t="s">
        <v>806</v>
      </c>
      <c r="K518" s="151" t="s">
        <v>3994</v>
      </c>
      <c r="L518" s="151" t="s">
        <v>3596</v>
      </c>
      <c r="M518" s="151" t="s">
        <v>361</v>
      </c>
      <c r="N518" s="151"/>
      <c r="O518" s="151"/>
      <c r="P518" s="151"/>
      <c r="Q518" s="151"/>
      <c r="R518" s="151" t="s">
        <v>2177</v>
      </c>
      <c r="S518" s="151" t="s">
        <v>361</v>
      </c>
      <c r="T518" s="151" t="s">
        <v>2213</v>
      </c>
      <c r="U518" s="151" t="s">
        <v>3582</v>
      </c>
      <c r="V518" s="151">
        <v>3</v>
      </c>
      <c r="W518" s="151" t="s">
        <v>3615</v>
      </c>
      <c r="X518" s="151" t="s">
        <v>2445</v>
      </c>
      <c r="Y518" s="151" t="s">
        <v>3582</v>
      </c>
      <c r="Z518" s="151"/>
      <c r="AA518" s="151"/>
      <c r="AB518" s="151" t="s">
        <v>855</v>
      </c>
      <c r="AC518" s="342"/>
    </row>
    <row r="519" spans="1:29">
      <c r="A519" s="151" t="s">
        <v>3593</v>
      </c>
      <c r="B519" s="151" t="s">
        <v>3995</v>
      </c>
      <c r="C519" s="151" t="s">
        <v>3919</v>
      </c>
      <c r="D519" s="151" t="s">
        <v>17</v>
      </c>
      <c r="E519" s="151" t="s">
        <v>3996</v>
      </c>
      <c r="F519" s="151" t="s">
        <v>544</v>
      </c>
      <c r="G519" s="151" t="s">
        <v>2173</v>
      </c>
      <c r="H519" s="151" t="s">
        <v>1183</v>
      </c>
      <c r="I519" s="151" t="s">
        <v>1184</v>
      </c>
      <c r="J519" s="151" t="s">
        <v>805</v>
      </c>
      <c r="K519" s="151" t="s">
        <v>3997</v>
      </c>
      <c r="L519" s="151" t="s">
        <v>3706</v>
      </c>
      <c r="M519" s="151" t="s">
        <v>361</v>
      </c>
      <c r="N519" s="151"/>
      <c r="O519" s="151"/>
      <c r="P519" s="151"/>
      <c r="Q519" s="151"/>
      <c r="R519" s="151" t="s">
        <v>2177</v>
      </c>
      <c r="S519" s="151" t="s">
        <v>361</v>
      </c>
      <c r="T519" s="151" t="s">
        <v>435</v>
      </c>
      <c r="U519" s="151" t="s">
        <v>3582</v>
      </c>
      <c r="V519" s="151" t="s">
        <v>49</v>
      </c>
      <c r="W519" s="151" t="s">
        <v>2250</v>
      </c>
      <c r="X519" s="151" t="s">
        <v>431</v>
      </c>
      <c r="Y519" s="151" t="s">
        <v>3582</v>
      </c>
      <c r="Z519" s="151"/>
      <c r="AA519" s="151"/>
      <c r="AB519" s="151" t="s">
        <v>855</v>
      </c>
      <c r="AC519" s="342"/>
    </row>
    <row r="520" spans="1:29">
      <c r="A520" s="151" t="s">
        <v>3593</v>
      </c>
      <c r="B520" s="151" t="s">
        <v>3998</v>
      </c>
      <c r="C520" s="151" t="s">
        <v>3999</v>
      </c>
      <c r="D520" s="151" t="s">
        <v>17</v>
      </c>
      <c r="E520" s="151" t="s">
        <v>4000</v>
      </c>
      <c r="F520" s="151" t="s">
        <v>544</v>
      </c>
      <c r="G520" s="151" t="s">
        <v>2173</v>
      </c>
      <c r="H520" s="151" t="s">
        <v>1183</v>
      </c>
      <c r="I520" s="151" t="s">
        <v>1184</v>
      </c>
      <c r="J520" s="151" t="s">
        <v>4001</v>
      </c>
      <c r="K520" s="151" t="s">
        <v>4002</v>
      </c>
      <c r="L520" s="151" t="s">
        <v>4003</v>
      </c>
      <c r="M520" s="151" t="s">
        <v>4004</v>
      </c>
      <c r="N520" s="151"/>
      <c r="O520" s="151"/>
      <c r="P520" s="151"/>
      <c r="Q520" s="151"/>
      <c r="R520" s="151" t="s">
        <v>2177</v>
      </c>
      <c r="S520" s="151" t="s">
        <v>361</v>
      </c>
      <c r="T520" s="151" t="s">
        <v>2445</v>
      </c>
      <c r="U520" s="151" t="s">
        <v>3608</v>
      </c>
      <c r="V520" s="151">
        <v>1</v>
      </c>
      <c r="W520" s="151">
        <v>1</v>
      </c>
      <c r="X520" s="151" t="s">
        <v>2445</v>
      </c>
      <c r="Y520" s="151" t="s">
        <v>3608</v>
      </c>
      <c r="Z520" s="151"/>
      <c r="AA520" s="151"/>
      <c r="AB520" s="151" t="s">
        <v>855</v>
      </c>
      <c r="AC520" s="342"/>
    </row>
    <row r="521" spans="1:29">
      <c r="A521" s="151" t="s">
        <v>3593</v>
      </c>
      <c r="B521" s="151" t="s">
        <v>4005</v>
      </c>
      <c r="C521" s="151" t="s">
        <v>3999</v>
      </c>
      <c r="D521" s="151" t="s">
        <v>17</v>
      </c>
      <c r="E521" s="151" t="s">
        <v>4006</v>
      </c>
      <c r="F521" s="151" t="s">
        <v>544</v>
      </c>
      <c r="G521" s="151" t="s">
        <v>2173</v>
      </c>
      <c r="H521" s="151" t="s">
        <v>1183</v>
      </c>
      <c r="I521" s="151" t="s">
        <v>1184</v>
      </c>
      <c r="J521" s="151" t="s">
        <v>4001</v>
      </c>
      <c r="K521" s="151" t="s">
        <v>4007</v>
      </c>
      <c r="L521" s="151" t="s">
        <v>4003</v>
      </c>
      <c r="M521" s="151" t="s">
        <v>4004</v>
      </c>
      <c r="N521" s="151"/>
      <c r="O521" s="151"/>
      <c r="P521" s="151"/>
      <c r="Q521" s="151"/>
      <c r="R521" s="151" t="s">
        <v>2177</v>
      </c>
      <c r="S521" s="151" t="s">
        <v>361</v>
      </c>
      <c r="T521" s="151" t="s">
        <v>2213</v>
      </c>
      <c r="U521" s="151" t="s">
        <v>2507</v>
      </c>
      <c r="V521" s="151">
        <v>24</v>
      </c>
      <c r="W521" s="151" t="s">
        <v>2507</v>
      </c>
      <c r="X521" s="151" t="s">
        <v>2445</v>
      </c>
      <c r="Y521" s="151" t="s">
        <v>2507</v>
      </c>
      <c r="Z521" s="151"/>
      <c r="AA521" s="151"/>
      <c r="AB521" s="151" t="s">
        <v>855</v>
      </c>
      <c r="AC521" s="342"/>
    </row>
    <row r="522" spans="1:29">
      <c r="A522" s="151" t="s">
        <v>3593</v>
      </c>
      <c r="B522" s="151" t="s">
        <v>4008</v>
      </c>
      <c r="C522" s="151" t="s">
        <v>3999</v>
      </c>
      <c r="D522" s="151" t="s">
        <v>17</v>
      </c>
      <c r="E522" s="151" t="s">
        <v>4009</v>
      </c>
      <c r="F522" s="151" t="s">
        <v>544</v>
      </c>
      <c r="G522" s="151" t="s">
        <v>2173</v>
      </c>
      <c r="H522" s="151" t="s">
        <v>1183</v>
      </c>
      <c r="I522" s="151" t="s">
        <v>1184</v>
      </c>
      <c r="J522" s="151"/>
      <c r="K522" s="151"/>
      <c r="L522" s="151" t="s">
        <v>361</v>
      </c>
      <c r="M522" s="151" t="s">
        <v>361</v>
      </c>
      <c r="N522" s="151"/>
      <c r="O522" s="151"/>
      <c r="P522" s="151"/>
      <c r="Q522" s="151"/>
      <c r="R522" s="151" t="s">
        <v>2177</v>
      </c>
      <c r="S522" s="151" t="s">
        <v>4010</v>
      </c>
      <c r="T522" s="151" t="s">
        <v>2445</v>
      </c>
      <c r="U522" s="151" t="s">
        <v>3582</v>
      </c>
      <c r="V522" s="151">
        <v>5</v>
      </c>
      <c r="W522" s="151" t="s">
        <v>2250</v>
      </c>
      <c r="X522" s="151" t="s">
        <v>2445</v>
      </c>
      <c r="Y522" s="151" t="s">
        <v>3582</v>
      </c>
      <c r="Z522" s="151"/>
      <c r="AA522" s="151"/>
      <c r="AB522" s="151" t="s">
        <v>855</v>
      </c>
      <c r="AC522" s="342"/>
    </row>
    <row r="523" spans="1:29">
      <c r="A523" s="151" t="s">
        <v>3593</v>
      </c>
      <c r="B523" s="151" t="s">
        <v>4011</v>
      </c>
      <c r="C523" s="151" t="s">
        <v>3999</v>
      </c>
      <c r="D523" s="151" t="s">
        <v>17</v>
      </c>
      <c r="E523" s="151" t="s">
        <v>4012</v>
      </c>
      <c r="F523" s="151" t="s">
        <v>544</v>
      </c>
      <c r="G523" s="151" t="s">
        <v>2173</v>
      </c>
      <c r="H523" s="151" t="s">
        <v>1183</v>
      </c>
      <c r="I523" s="151" t="s">
        <v>1184</v>
      </c>
      <c r="J523" s="151" t="s">
        <v>4001</v>
      </c>
      <c r="K523" s="151" t="s">
        <v>4013</v>
      </c>
      <c r="L523" s="151" t="s">
        <v>4003</v>
      </c>
      <c r="M523" s="151" t="s">
        <v>4004</v>
      </c>
      <c r="N523" s="151"/>
      <c r="O523" s="151"/>
      <c r="P523" s="151"/>
      <c r="Q523" s="151"/>
      <c r="R523" s="151" t="s">
        <v>2177</v>
      </c>
      <c r="S523" s="151" t="s">
        <v>361</v>
      </c>
      <c r="T523" s="151" t="s">
        <v>2213</v>
      </c>
      <c r="U523" s="151" t="s">
        <v>2507</v>
      </c>
      <c r="V523" s="151">
        <v>24</v>
      </c>
      <c r="W523" s="151" t="s">
        <v>2507</v>
      </c>
      <c r="X523" s="151" t="s">
        <v>2445</v>
      </c>
      <c r="Y523" s="151" t="s">
        <v>2507</v>
      </c>
      <c r="Z523" s="151"/>
      <c r="AA523" s="151"/>
      <c r="AB523" s="151" t="s">
        <v>855</v>
      </c>
      <c r="AC523" s="342"/>
    </row>
    <row r="524" spans="1:29">
      <c r="A524" s="151" t="s">
        <v>3593</v>
      </c>
      <c r="B524" s="151" t="s">
        <v>4014</v>
      </c>
      <c r="C524" s="151" t="s">
        <v>4015</v>
      </c>
      <c r="D524" s="151" t="s">
        <v>17</v>
      </c>
      <c r="E524" s="151" t="s">
        <v>4016</v>
      </c>
      <c r="F524" s="151" t="s">
        <v>544</v>
      </c>
      <c r="G524" s="151" t="s">
        <v>2173</v>
      </c>
      <c r="H524" s="151" t="s">
        <v>1183</v>
      </c>
      <c r="I524" s="151" t="s">
        <v>1184</v>
      </c>
      <c r="J524" s="151" t="s">
        <v>4017</v>
      </c>
      <c r="K524" s="437" t="s">
        <v>4018</v>
      </c>
      <c r="L524" s="151" t="s">
        <v>4019</v>
      </c>
      <c r="M524" s="151" t="s">
        <v>4020</v>
      </c>
      <c r="N524" s="151"/>
      <c r="O524" s="151"/>
      <c r="P524" s="151"/>
      <c r="Q524" s="151"/>
      <c r="R524" s="151" t="s">
        <v>2177</v>
      </c>
      <c r="S524" s="151" t="s">
        <v>361</v>
      </c>
      <c r="T524" s="151" t="s">
        <v>435</v>
      </c>
      <c r="U524" s="151" t="s">
        <v>2179</v>
      </c>
      <c r="V524" s="151">
        <v>24</v>
      </c>
      <c r="W524" s="151" t="s">
        <v>2615</v>
      </c>
      <c r="X524" s="151" t="s">
        <v>431</v>
      </c>
      <c r="Y524" s="151" t="s">
        <v>2179</v>
      </c>
      <c r="Z524" s="151"/>
      <c r="AA524" s="151"/>
      <c r="AB524" s="151" t="s">
        <v>855</v>
      </c>
      <c r="AC524" s="342"/>
    </row>
    <row r="525" spans="1:29">
      <c r="A525" s="151" t="s">
        <v>3593</v>
      </c>
      <c r="B525" s="151" t="s">
        <v>4021</v>
      </c>
      <c r="C525" s="151" t="s">
        <v>4015</v>
      </c>
      <c r="D525" s="151" t="s">
        <v>17</v>
      </c>
      <c r="E525" s="151" t="s">
        <v>4022</v>
      </c>
      <c r="F525" s="151" t="s">
        <v>544</v>
      </c>
      <c r="G525" s="151" t="s">
        <v>2173</v>
      </c>
      <c r="H525" s="151" t="s">
        <v>1183</v>
      </c>
      <c r="I525" s="151" t="s">
        <v>1184</v>
      </c>
      <c r="J525" s="151" t="s">
        <v>4017</v>
      </c>
      <c r="K525" s="151" t="s">
        <v>4023</v>
      </c>
      <c r="L525" s="151" t="s">
        <v>4019</v>
      </c>
      <c r="M525" s="151" t="s">
        <v>4024</v>
      </c>
      <c r="N525" s="151"/>
      <c r="O525" s="151"/>
      <c r="P525" s="151"/>
      <c r="Q525" s="151"/>
      <c r="R525" s="151" t="s">
        <v>2177</v>
      </c>
      <c r="S525" s="151" t="s">
        <v>361</v>
      </c>
      <c r="T525" s="151" t="s">
        <v>435</v>
      </c>
      <c r="U525" s="151" t="s">
        <v>2179</v>
      </c>
      <c r="V525" s="151">
        <v>8</v>
      </c>
      <c r="W525" s="151" t="s">
        <v>2615</v>
      </c>
      <c r="X525" s="151" t="s">
        <v>431</v>
      </c>
      <c r="Y525" s="151" t="s">
        <v>2179</v>
      </c>
      <c r="Z525" s="151"/>
      <c r="AA525" s="151"/>
      <c r="AB525" s="151" t="s">
        <v>855</v>
      </c>
      <c r="AC525" s="342"/>
    </row>
    <row r="526" spans="1:29">
      <c r="A526" s="151" t="s">
        <v>3593</v>
      </c>
      <c r="B526" s="151" t="s">
        <v>4025</v>
      </c>
      <c r="C526" s="151" t="s">
        <v>4015</v>
      </c>
      <c r="D526" s="151" t="s">
        <v>17</v>
      </c>
      <c r="E526" s="151" t="s">
        <v>4026</v>
      </c>
      <c r="F526" s="151" t="s">
        <v>544</v>
      </c>
      <c r="G526" s="151" t="s">
        <v>2173</v>
      </c>
      <c r="H526" s="151" t="s">
        <v>1183</v>
      </c>
      <c r="I526" s="151" t="s">
        <v>1184</v>
      </c>
      <c r="J526" s="151" t="s">
        <v>4017</v>
      </c>
      <c r="K526" s="151" t="s">
        <v>4027</v>
      </c>
      <c r="L526" s="151" t="s">
        <v>4019</v>
      </c>
      <c r="M526" s="151" t="s">
        <v>4024</v>
      </c>
      <c r="N526" s="151"/>
      <c r="O526" s="151"/>
      <c r="P526" s="151"/>
      <c r="Q526" s="151"/>
      <c r="R526" s="151" t="s">
        <v>2177</v>
      </c>
      <c r="S526" s="151" t="s">
        <v>361</v>
      </c>
      <c r="T526" s="151" t="s">
        <v>435</v>
      </c>
      <c r="U526" s="151" t="s">
        <v>2179</v>
      </c>
      <c r="V526" s="151">
        <v>31</v>
      </c>
      <c r="W526" s="151" t="s">
        <v>4028</v>
      </c>
      <c r="X526" s="151" t="s">
        <v>431</v>
      </c>
      <c r="Y526" s="151" t="s">
        <v>2179</v>
      </c>
      <c r="Z526" s="151"/>
      <c r="AA526" s="151"/>
      <c r="AB526" s="151" t="s">
        <v>855</v>
      </c>
      <c r="AC526" s="342"/>
    </row>
    <row r="527" spans="1:29">
      <c r="A527" s="151" t="s">
        <v>3593</v>
      </c>
      <c r="B527" s="151" t="s">
        <v>2246</v>
      </c>
      <c r="C527" s="151" t="s">
        <v>4015</v>
      </c>
      <c r="D527" s="151" t="s">
        <v>17</v>
      </c>
      <c r="E527" s="151" t="s">
        <v>4029</v>
      </c>
      <c r="F527" s="151" t="s">
        <v>544</v>
      </c>
      <c r="G527" s="151" t="s">
        <v>2173</v>
      </c>
      <c r="H527" s="151" t="s">
        <v>1183</v>
      </c>
      <c r="I527" s="151" t="s">
        <v>1184</v>
      </c>
      <c r="J527" s="151" t="s">
        <v>737</v>
      </c>
      <c r="K527" s="151" t="s">
        <v>4030</v>
      </c>
      <c r="L527" s="151" t="s">
        <v>4031</v>
      </c>
      <c r="M527" s="151" t="s">
        <v>4024</v>
      </c>
      <c r="N527" s="151"/>
      <c r="O527" s="151"/>
      <c r="P527" s="151"/>
      <c r="Q527" s="151"/>
      <c r="R527" s="151" t="s">
        <v>2177</v>
      </c>
      <c r="S527" s="151" t="s">
        <v>4032</v>
      </c>
      <c r="T527" s="151" t="s">
        <v>435</v>
      </c>
      <c r="U527" s="151" t="s">
        <v>2179</v>
      </c>
      <c r="V527" s="151" t="s">
        <v>49</v>
      </c>
      <c r="W527" s="151" t="s">
        <v>3131</v>
      </c>
      <c r="X527" s="151" t="s">
        <v>431</v>
      </c>
      <c r="Y527" s="151" t="s">
        <v>2179</v>
      </c>
      <c r="Z527" s="151"/>
      <c r="AA527" s="151"/>
      <c r="AB527" s="151" t="s">
        <v>855</v>
      </c>
      <c r="AC527" s="342"/>
    </row>
    <row r="528" spans="1:29">
      <c r="A528" s="151" t="s">
        <v>3593</v>
      </c>
      <c r="B528" s="151" t="s">
        <v>2181</v>
      </c>
      <c r="C528" s="151" t="s">
        <v>4015</v>
      </c>
      <c r="D528" s="151" t="s">
        <v>17</v>
      </c>
      <c r="E528" s="151" t="s">
        <v>4033</v>
      </c>
      <c r="F528" s="151" t="s">
        <v>544</v>
      </c>
      <c r="G528" s="151" t="s">
        <v>2173</v>
      </c>
      <c r="H528" s="151" t="s">
        <v>1183</v>
      </c>
      <c r="I528" s="151" t="s">
        <v>1184</v>
      </c>
      <c r="J528" s="151" t="s">
        <v>737</v>
      </c>
      <c r="K528" s="151" t="s">
        <v>2183</v>
      </c>
      <c r="L528" s="151" t="s">
        <v>4034</v>
      </c>
      <c r="M528" s="151" t="s">
        <v>4024</v>
      </c>
      <c r="N528" s="151"/>
      <c r="O528" s="151"/>
      <c r="P528" s="151"/>
      <c r="Q528" s="151"/>
      <c r="R528" s="151" t="s">
        <v>2177</v>
      </c>
      <c r="S528" s="151" t="s">
        <v>4035</v>
      </c>
      <c r="T528" s="151" t="s">
        <v>435</v>
      </c>
      <c r="U528" s="151" t="s">
        <v>2179</v>
      </c>
      <c r="V528" s="151">
        <v>10</v>
      </c>
      <c r="W528" s="151" t="s">
        <v>2363</v>
      </c>
      <c r="X528" s="151" t="s">
        <v>431</v>
      </c>
      <c r="Y528" s="151" t="s">
        <v>2179</v>
      </c>
      <c r="Z528" s="151"/>
      <c r="AA528" s="151"/>
      <c r="AB528" s="151" t="s">
        <v>855</v>
      </c>
      <c r="AC528" s="342"/>
    </row>
    <row r="529" spans="1:29">
      <c r="A529" s="151" t="s">
        <v>3593</v>
      </c>
      <c r="B529" s="151" t="s">
        <v>4036</v>
      </c>
      <c r="C529" s="151" t="s">
        <v>4015</v>
      </c>
      <c r="D529" s="151" t="s">
        <v>17</v>
      </c>
      <c r="E529" s="151" t="s">
        <v>4037</v>
      </c>
      <c r="F529" s="151" t="s">
        <v>544</v>
      </c>
      <c r="G529" s="151" t="s">
        <v>2173</v>
      </c>
      <c r="H529" s="151" t="s">
        <v>1183</v>
      </c>
      <c r="I529" s="151" t="s">
        <v>1184</v>
      </c>
      <c r="J529" s="151" t="s">
        <v>4017</v>
      </c>
      <c r="K529" s="151" t="s">
        <v>4038</v>
      </c>
      <c r="L529" s="151" t="s">
        <v>4019</v>
      </c>
      <c r="M529" s="151" t="s">
        <v>4024</v>
      </c>
      <c r="N529" s="151"/>
      <c r="O529" s="151"/>
      <c r="P529" s="151"/>
      <c r="Q529" s="151"/>
      <c r="R529" s="151" t="s">
        <v>2177</v>
      </c>
      <c r="S529" s="151" t="s">
        <v>361</v>
      </c>
      <c r="T529" s="151" t="s">
        <v>3607</v>
      </c>
      <c r="U529" s="151" t="s">
        <v>3608</v>
      </c>
      <c r="V529" s="151" t="s">
        <v>49</v>
      </c>
      <c r="W529" s="151" t="s">
        <v>2373</v>
      </c>
      <c r="X529" s="151" t="s">
        <v>49</v>
      </c>
      <c r="Y529" s="151" t="s">
        <v>3608</v>
      </c>
      <c r="Z529" s="151"/>
      <c r="AA529" s="151"/>
      <c r="AB529" s="151" t="s">
        <v>855</v>
      </c>
      <c r="AC529" s="342"/>
    </row>
    <row r="530" spans="1:29">
      <c r="A530" s="151" t="s">
        <v>3593</v>
      </c>
      <c r="B530" s="151" t="s">
        <v>4039</v>
      </c>
      <c r="C530" s="151" t="s">
        <v>4015</v>
      </c>
      <c r="D530" s="151" t="s">
        <v>17</v>
      </c>
      <c r="E530" s="151" t="s">
        <v>4040</v>
      </c>
      <c r="F530" s="151" t="s">
        <v>544</v>
      </c>
      <c r="G530" s="151" t="s">
        <v>2173</v>
      </c>
      <c r="H530" s="151" t="s">
        <v>1183</v>
      </c>
      <c r="I530" s="151" t="s">
        <v>1184</v>
      </c>
      <c r="J530" s="151" t="s">
        <v>4017</v>
      </c>
      <c r="K530" s="151" t="s">
        <v>4041</v>
      </c>
      <c r="L530" s="151" t="s">
        <v>4019</v>
      </c>
      <c r="M530" s="151" t="s">
        <v>4024</v>
      </c>
      <c r="N530" s="151"/>
      <c r="O530" s="151"/>
      <c r="P530" s="151"/>
      <c r="Q530" s="151"/>
      <c r="R530" s="151" t="s">
        <v>2177</v>
      </c>
      <c r="S530" s="151" t="s">
        <v>361</v>
      </c>
      <c r="T530" s="151" t="s">
        <v>3607</v>
      </c>
      <c r="U530" s="151" t="s">
        <v>3608</v>
      </c>
      <c r="V530" s="151" t="s">
        <v>49</v>
      </c>
      <c r="W530" s="151" t="s">
        <v>2373</v>
      </c>
      <c r="X530" s="151" t="s">
        <v>49</v>
      </c>
      <c r="Y530" s="151" t="s">
        <v>3608</v>
      </c>
      <c r="Z530" s="151"/>
      <c r="AA530" s="151"/>
      <c r="AB530" s="151" t="s">
        <v>855</v>
      </c>
      <c r="AC530" s="342"/>
    </row>
    <row r="531" spans="1:29">
      <c r="A531" s="151" t="s">
        <v>3593</v>
      </c>
      <c r="B531" s="151" t="s">
        <v>4042</v>
      </c>
      <c r="C531" s="151" t="s">
        <v>4015</v>
      </c>
      <c r="D531" s="151" t="s">
        <v>17</v>
      </c>
      <c r="E531" s="151" t="s">
        <v>4043</v>
      </c>
      <c r="F531" s="151" t="s">
        <v>544</v>
      </c>
      <c r="G531" s="151" t="s">
        <v>2173</v>
      </c>
      <c r="H531" s="151" t="s">
        <v>1183</v>
      </c>
      <c r="I531" s="151" t="s">
        <v>1184</v>
      </c>
      <c r="J531" s="151" t="s">
        <v>4017</v>
      </c>
      <c r="K531" s="151" t="s">
        <v>4044</v>
      </c>
      <c r="L531" s="151" t="s">
        <v>4019</v>
      </c>
      <c r="M531" s="151" t="s">
        <v>4024</v>
      </c>
      <c r="N531" s="151"/>
      <c r="O531" s="151"/>
      <c r="P531" s="151"/>
      <c r="Q531" s="151"/>
      <c r="R531" s="151" t="s">
        <v>2177</v>
      </c>
      <c r="S531" s="151" t="s">
        <v>361</v>
      </c>
      <c r="T531" s="151" t="s">
        <v>3607</v>
      </c>
      <c r="U531" s="151" t="s">
        <v>3608</v>
      </c>
      <c r="V531" s="151" t="s">
        <v>49</v>
      </c>
      <c r="W531" s="151" t="s">
        <v>2373</v>
      </c>
      <c r="X531" s="151" t="s">
        <v>49</v>
      </c>
      <c r="Y531" s="151" t="s">
        <v>3608</v>
      </c>
      <c r="Z531" s="151"/>
      <c r="AA531" s="151"/>
      <c r="AB531" s="151" t="s">
        <v>855</v>
      </c>
      <c r="AC531" s="342"/>
    </row>
    <row r="532" spans="1:29">
      <c r="A532" s="151" t="s">
        <v>3593</v>
      </c>
      <c r="B532" s="151" t="s">
        <v>4045</v>
      </c>
      <c r="C532" s="151" t="s">
        <v>4015</v>
      </c>
      <c r="D532" s="151" t="s">
        <v>17</v>
      </c>
      <c r="E532" s="151" t="s">
        <v>4046</v>
      </c>
      <c r="F532" s="151" t="s">
        <v>544</v>
      </c>
      <c r="G532" s="151" t="s">
        <v>2173</v>
      </c>
      <c r="H532" s="151" t="s">
        <v>1183</v>
      </c>
      <c r="I532" s="151" t="s">
        <v>1184</v>
      </c>
      <c r="J532" s="151" t="s">
        <v>4017</v>
      </c>
      <c r="K532" s="151" t="s">
        <v>4047</v>
      </c>
      <c r="L532" s="151" t="s">
        <v>4019</v>
      </c>
      <c r="M532" s="151" t="s">
        <v>4024</v>
      </c>
      <c r="N532" s="151"/>
      <c r="O532" s="151"/>
      <c r="P532" s="151"/>
      <c r="Q532" s="151"/>
      <c r="R532" s="151" t="s">
        <v>2177</v>
      </c>
      <c r="S532" s="151" t="s">
        <v>361</v>
      </c>
      <c r="T532" s="151" t="s">
        <v>3607</v>
      </c>
      <c r="U532" s="151" t="s">
        <v>3608</v>
      </c>
      <c r="V532" s="151" t="s">
        <v>49</v>
      </c>
      <c r="W532" s="151" t="s">
        <v>2373</v>
      </c>
      <c r="X532" s="151" t="s">
        <v>49</v>
      </c>
      <c r="Y532" s="151" t="s">
        <v>3608</v>
      </c>
      <c r="Z532" s="151"/>
      <c r="AA532" s="151"/>
      <c r="AB532" s="151" t="s">
        <v>855</v>
      </c>
      <c r="AC532" s="342"/>
    </row>
    <row r="533" spans="1:29">
      <c r="A533" s="151" t="s">
        <v>3593</v>
      </c>
      <c r="B533" s="151" t="s">
        <v>4048</v>
      </c>
      <c r="C533" s="151" t="s">
        <v>4015</v>
      </c>
      <c r="D533" s="151" t="s">
        <v>17</v>
      </c>
      <c r="E533" s="151" t="s">
        <v>4049</v>
      </c>
      <c r="F533" s="151" t="s">
        <v>544</v>
      </c>
      <c r="G533" s="151" t="s">
        <v>2173</v>
      </c>
      <c r="H533" s="151" t="s">
        <v>1183</v>
      </c>
      <c r="I533" s="151" t="s">
        <v>1184</v>
      </c>
      <c r="J533" s="151" t="s">
        <v>4017</v>
      </c>
      <c r="K533" s="151" t="s">
        <v>4050</v>
      </c>
      <c r="L533" s="151" t="s">
        <v>4019</v>
      </c>
      <c r="M533" s="151" t="s">
        <v>4024</v>
      </c>
      <c r="N533" s="151"/>
      <c r="O533" s="151"/>
      <c r="P533" s="151"/>
      <c r="Q533" s="151"/>
      <c r="R533" s="151" t="s">
        <v>2177</v>
      </c>
      <c r="S533" s="151" t="s">
        <v>361</v>
      </c>
      <c r="T533" s="151" t="s">
        <v>3607</v>
      </c>
      <c r="U533" s="151" t="s">
        <v>3608</v>
      </c>
      <c r="V533" s="151" t="s">
        <v>49</v>
      </c>
      <c r="W533" s="151" t="s">
        <v>2373</v>
      </c>
      <c r="X533" s="151" t="s">
        <v>49</v>
      </c>
      <c r="Y533" s="151" t="s">
        <v>3608</v>
      </c>
      <c r="Z533" s="151"/>
      <c r="AA533" s="151"/>
      <c r="AB533" s="151" t="s">
        <v>855</v>
      </c>
      <c r="AC533" s="342"/>
    </row>
    <row r="534" spans="1:29">
      <c r="A534" s="151" t="s">
        <v>3593</v>
      </c>
      <c r="B534" s="151" t="s">
        <v>4051</v>
      </c>
      <c r="C534" s="151" t="s">
        <v>4015</v>
      </c>
      <c r="D534" s="151" t="s">
        <v>17</v>
      </c>
      <c r="E534" s="151" t="s">
        <v>4052</v>
      </c>
      <c r="F534" s="151" t="s">
        <v>544</v>
      </c>
      <c r="G534" s="151" t="s">
        <v>2173</v>
      </c>
      <c r="H534" s="151" t="s">
        <v>1183</v>
      </c>
      <c r="I534" s="151" t="s">
        <v>1184</v>
      </c>
      <c r="J534" s="151" t="s">
        <v>4017</v>
      </c>
      <c r="K534" s="151" t="s">
        <v>4053</v>
      </c>
      <c r="L534" s="151" t="s">
        <v>4019</v>
      </c>
      <c r="M534" s="151" t="s">
        <v>4024</v>
      </c>
      <c r="N534" s="151"/>
      <c r="O534" s="151"/>
      <c r="P534" s="151"/>
      <c r="Q534" s="151"/>
      <c r="R534" s="151" t="s">
        <v>2177</v>
      </c>
      <c r="S534" s="151" t="s">
        <v>361</v>
      </c>
      <c r="T534" s="151" t="s">
        <v>3607</v>
      </c>
      <c r="U534" s="151" t="s">
        <v>3608</v>
      </c>
      <c r="V534" s="151" t="s">
        <v>49</v>
      </c>
      <c r="W534" s="151" t="s">
        <v>2373</v>
      </c>
      <c r="X534" s="151" t="s">
        <v>49</v>
      </c>
      <c r="Y534" s="151" t="s">
        <v>3608</v>
      </c>
      <c r="Z534" s="151"/>
      <c r="AA534" s="151"/>
      <c r="AB534" s="151" t="s">
        <v>855</v>
      </c>
      <c r="AC534" s="342"/>
    </row>
    <row r="535" spans="1:29">
      <c r="A535" s="151" t="s">
        <v>3593</v>
      </c>
      <c r="B535" s="151" t="s">
        <v>4054</v>
      </c>
      <c r="C535" s="151" t="s">
        <v>4015</v>
      </c>
      <c r="D535" s="151" t="s">
        <v>17</v>
      </c>
      <c r="E535" s="151" t="s">
        <v>4055</v>
      </c>
      <c r="F535" s="151" t="s">
        <v>544</v>
      </c>
      <c r="G535" s="151" t="s">
        <v>2173</v>
      </c>
      <c r="H535" s="151" t="s">
        <v>1183</v>
      </c>
      <c r="I535" s="151" t="s">
        <v>1184</v>
      </c>
      <c r="J535" s="151" t="s">
        <v>4017</v>
      </c>
      <c r="K535" s="151" t="s">
        <v>4056</v>
      </c>
      <c r="L535" s="151" t="s">
        <v>4019</v>
      </c>
      <c r="M535" s="151" t="s">
        <v>4024</v>
      </c>
      <c r="N535" s="151"/>
      <c r="O535" s="151"/>
      <c r="P535" s="151"/>
      <c r="Q535" s="151"/>
      <c r="R535" s="151" t="s">
        <v>2177</v>
      </c>
      <c r="S535" s="151" t="s">
        <v>361</v>
      </c>
      <c r="T535" s="151" t="s">
        <v>3607</v>
      </c>
      <c r="U535" s="151" t="s">
        <v>3608</v>
      </c>
      <c r="V535" s="151" t="s">
        <v>49</v>
      </c>
      <c r="W535" s="151" t="s">
        <v>2373</v>
      </c>
      <c r="X535" s="151" t="s">
        <v>49</v>
      </c>
      <c r="Y535" s="151" t="s">
        <v>3608</v>
      </c>
      <c r="Z535" s="151"/>
      <c r="AA535" s="151"/>
      <c r="AB535" s="151" t="s">
        <v>855</v>
      </c>
      <c r="AC535" s="342"/>
    </row>
    <row r="536" spans="1:29" ht="75">
      <c r="A536" s="151" t="s">
        <v>3593</v>
      </c>
      <c r="B536" s="151" t="s">
        <v>3594</v>
      </c>
      <c r="C536" s="151" t="s">
        <v>4057</v>
      </c>
      <c r="D536" s="151" t="s">
        <v>17</v>
      </c>
      <c r="E536" s="151" t="s">
        <v>4058</v>
      </c>
      <c r="F536" s="151" t="s">
        <v>2527</v>
      </c>
      <c r="G536" s="151" t="s">
        <v>2173</v>
      </c>
      <c r="H536" s="151" t="s">
        <v>1183</v>
      </c>
      <c r="I536" s="151" t="s">
        <v>1184</v>
      </c>
      <c r="J536" s="151" t="s">
        <v>806</v>
      </c>
      <c r="K536" s="151" t="s">
        <v>1830</v>
      </c>
      <c r="L536" s="151" t="s">
        <v>3596</v>
      </c>
      <c r="M536" s="151" t="s">
        <v>361</v>
      </c>
      <c r="N536" s="341" t="s">
        <v>4059</v>
      </c>
      <c r="O536" s="151">
        <v>89277</v>
      </c>
      <c r="P536" s="151"/>
      <c r="Q536" s="151"/>
      <c r="R536" s="151" t="s">
        <v>2177</v>
      </c>
      <c r="S536" s="151" t="s">
        <v>361</v>
      </c>
      <c r="T536" s="151" t="s">
        <v>435</v>
      </c>
      <c r="U536" s="151" t="s">
        <v>3582</v>
      </c>
      <c r="V536" s="151" t="s">
        <v>49</v>
      </c>
      <c r="W536" s="151" t="s">
        <v>3598</v>
      </c>
      <c r="X536" s="151" t="s">
        <v>431</v>
      </c>
      <c r="Y536" s="151" t="s">
        <v>3582</v>
      </c>
      <c r="Z536" s="151"/>
      <c r="AA536" s="151"/>
      <c r="AB536" s="151" t="s">
        <v>855</v>
      </c>
      <c r="AC536" s="342"/>
    </row>
    <row r="537" spans="1:29">
      <c r="A537" s="151" t="s">
        <v>3593</v>
      </c>
      <c r="B537" s="151" t="s">
        <v>4060</v>
      </c>
      <c r="C537" s="151" t="s">
        <v>4057</v>
      </c>
      <c r="D537" s="151" t="s">
        <v>17</v>
      </c>
      <c r="E537" s="151" t="s">
        <v>4061</v>
      </c>
      <c r="F537" s="151" t="s">
        <v>2527</v>
      </c>
      <c r="G537" s="151" t="s">
        <v>2173</v>
      </c>
      <c r="H537" s="151" t="s">
        <v>1183</v>
      </c>
      <c r="I537" s="151" t="s">
        <v>1184</v>
      </c>
      <c r="J537" s="151" t="s">
        <v>806</v>
      </c>
      <c r="K537" s="151" t="s">
        <v>3628</v>
      </c>
      <c r="L537" s="151" t="s">
        <v>3596</v>
      </c>
      <c r="M537" s="151" t="s">
        <v>361</v>
      </c>
      <c r="N537" s="151" t="s">
        <v>4062</v>
      </c>
      <c r="O537" s="151">
        <v>89277</v>
      </c>
      <c r="P537" s="151"/>
      <c r="Q537" s="151"/>
      <c r="R537" s="151" t="s">
        <v>2177</v>
      </c>
      <c r="S537" s="151" t="s">
        <v>361</v>
      </c>
      <c r="T537" s="151" t="s">
        <v>435</v>
      </c>
      <c r="U537" s="151" t="s">
        <v>2400</v>
      </c>
      <c r="V537" s="151" t="s">
        <v>49</v>
      </c>
      <c r="W537" s="151" t="s">
        <v>2400</v>
      </c>
      <c r="X537" s="151" t="s">
        <v>431</v>
      </c>
      <c r="Y537" s="151" t="s">
        <v>2400</v>
      </c>
      <c r="Z537" s="151"/>
      <c r="AA537" s="151"/>
      <c r="AB537" s="151" t="s">
        <v>855</v>
      </c>
      <c r="AC537" s="342"/>
    </row>
    <row r="538" spans="1:29">
      <c r="A538" s="151" t="s">
        <v>3593</v>
      </c>
      <c r="B538" s="151" t="s">
        <v>4063</v>
      </c>
      <c r="C538" s="151" t="s">
        <v>4057</v>
      </c>
      <c r="D538" s="151" t="s">
        <v>17</v>
      </c>
      <c r="E538" s="151" t="s">
        <v>4064</v>
      </c>
      <c r="F538" s="151" t="s">
        <v>2527</v>
      </c>
      <c r="G538" s="151" t="s">
        <v>2173</v>
      </c>
      <c r="H538" s="151" t="s">
        <v>1183</v>
      </c>
      <c r="I538" s="151" t="s">
        <v>1184</v>
      </c>
      <c r="J538" s="151" t="s">
        <v>806</v>
      </c>
      <c r="K538" s="151" t="s">
        <v>3659</v>
      </c>
      <c r="L538" s="151" t="s">
        <v>3596</v>
      </c>
      <c r="M538" s="151" t="s">
        <v>361</v>
      </c>
      <c r="N538" s="151" t="s">
        <v>4065</v>
      </c>
      <c r="O538" s="151">
        <v>89277</v>
      </c>
      <c r="P538" s="151"/>
      <c r="Q538" s="151"/>
      <c r="R538" s="151" t="s">
        <v>2177</v>
      </c>
      <c r="S538" s="151" t="s">
        <v>361</v>
      </c>
      <c r="T538" s="151" t="s">
        <v>435</v>
      </c>
      <c r="U538" s="151" t="s">
        <v>2507</v>
      </c>
      <c r="V538" s="151" t="s">
        <v>49</v>
      </c>
      <c r="W538" s="151" t="s">
        <v>2507</v>
      </c>
      <c r="X538" s="151" t="s">
        <v>431</v>
      </c>
      <c r="Y538" s="151" t="s">
        <v>2507</v>
      </c>
      <c r="Z538" s="151"/>
      <c r="AA538" s="151"/>
      <c r="AB538" s="151" t="s">
        <v>855</v>
      </c>
      <c r="AC538" s="342"/>
    </row>
    <row r="539" spans="1:29">
      <c r="A539" s="151" t="s">
        <v>3593</v>
      </c>
      <c r="B539" s="151" t="s">
        <v>4066</v>
      </c>
      <c r="C539" s="151" t="s">
        <v>4057</v>
      </c>
      <c r="D539" s="151" t="s">
        <v>17</v>
      </c>
      <c r="E539" s="151" t="s">
        <v>4067</v>
      </c>
      <c r="F539" s="151" t="s">
        <v>2527</v>
      </c>
      <c r="G539" s="151" t="s">
        <v>2173</v>
      </c>
      <c r="H539" s="151" t="s">
        <v>1183</v>
      </c>
      <c r="I539" s="151" t="s">
        <v>1184</v>
      </c>
      <c r="J539" s="151" t="s">
        <v>814</v>
      </c>
      <c r="K539" s="151" t="s">
        <v>4068</v>
      </c>
      <c r="L539" s="151" t="s">
        <v>4069</v>
      </c>
      <c r="M539" s="151" t="s">
        <v>361</v>
      </c>
      <c r="N539" s="151" t="s">
        <v>4070</v>
      </c>
      <c r="O539" s="151">
        <v>89277</v>
      </c>
      <c r="P539" s="151"/>
      <c r="Q539" s="151"/>
      <c r="R539" s="151" t="s">
        <v>2177</v>
      </c>
      <c r="S539" s="151" t="s">
        <v>361</v>
      </c>
      <c r="T539" s="151" t="s">
        <v>435</v>
      </c>
      <c r="U539" s="151" t="s">
        <v>2400</v>
      </c>
      <c r="V539" s="151" t="s">
        <v>49</v>
      </c>
      <c r="W539" s="151" t="s">
        <v>2400</v>
      </c>
      <c r="X539" s="151" t="s">
        <v>431</v>
      </c>
      <c r="Y539" s="151" t="s">
        <v>2400</v>
      </c>
      <c r="Z539" s="151"/>
      <c r="AA539" s="151"/>
      <c r="AB539" s="151" t="s">
        <v>855</v>
      </c>
      <c r="AC539" s="342"/>
    </row>
    <row r="540" spans="1:29" ht="135">
      <c r="A540" s="151" t="s">
        <v>3593</v>
      </c>
      <c r="B540" s="151" t="s">
        <v>4071</v>
      </c>
      <c r="C540" s="151" t="s">
        <v>4057</v>
      </c>
      <c r="D540" s="151" t="s">
        <v>17</v>
      </c>
      <c r="E540" s="151" t="s">
        <v>4072</v>
      </c>
      <c r="F540" s="151" t="s">
        <v>2527</v>
      </c>
      <c r="G540" s="151" t="s">
        <v>2173</v>
      </c>
      <c r="H540" s="151" t="s">
        <v>1183</v>
      </c>
      <c r="I540" s="151" t="s">
        <v>1184</v>
      </c>
      <c r="J540" s="151" t="s">
        <v>814</v>
      </c>
      <c r="K540" s="151" t="s">
        <v>4073</v>
      </c>
      <c r="L540" s="151" t="s">
        <v>4069</v>
      </c>
      <c r="M540" s="151" t="s">
        <v>361</v>
      </c>
      <c r="N540" s="341" t="s">
        <v>4074</v>
      </c>
      <c r="O540" s="151">
        <v>89277</v>
      </c>
      <c r="P540" s="151"/>
      <c r="Q540" s="151"/>
      <c r="R540" s="151" t="s">
        <v>2177</v>
      </c>
      <c r="S540" s="151" t="s">
        <v>361</v>
      </c>
      <c r="T540" s="151" t="s">
        <v>435</v>
      </c>
      <c r="U540" s="151" t="s">
        <v>2507</v>
      </c>
      <c r="V540" s="151" t="s">
        <v>49</v>
      </c>
      <c r="W540" s="151" t="s">
        <v>2507</v>
      </c>
      <c r="X540" s="151" t="s">
        <v>431</v>
      </c>
      <c r="Y540" s="151" t="s">
        <v>2507</v>
      </c>
      <c r="Z540" s="151"/>
      <c r="AA540" s="151"/>
      <c r="AB540" s="151" t="s">
        <v>855</v>
      </c>
      <c r="AC540" s="342"/>
    </row>
    <row r="541" spans="1:29" ht="135">
      <c r="A541" s="151" t="s">
        <v>3593</v>
      </c>
      <c r="B541" s="151" t="s">
        <v>159</v>
      </c>
      <c r="C541" s="151" t="s">
        <v>4057</v>
      </c>
      <c r="D541" s="151" t="s">
        <v>17</v>
      </c>
      <c r="E541" s="151" t="s">
        <v>4075</v>
      </c>
      <c r="F541" s="151" t="s">
        <v>2527</v>
      </c>
      <c r="G541" s="151" t="s">
        <v>2173</v>
      </c>
      <c r="H541" s="151" t="s">
        <v>1183</v>
      </c>
      <c r="I541" s="151" t="s">
        <v>1184</v>
      </c>
      <c r="J541" s="151" t="s">
        <v>814</v>
      </c>
      <c r="K541" s="151" t="s">
        <v>3605</v>
      </c>
      <c r="L541" s="151" t="s">
        <v>4069</v>
      </c>
      <c r="M541" s="151" t="s">
        <v>361</v>
      </c>
      <c r="N541" s="341" t="s">
        <v>4076</v>
      </c>
      <c r="O541" s="151">
        <v>89277</v>
      </c>
      <c r="P541" s="151"/>
      <c r="Q541" s="151"/>
      <c r="R541" s="151" t="s">
        <v>2177</v>
      </c>
      <c r="S541" s="151" t="s">
        <v>361</v>
      </c>
      <c r="T541" s="151" t="s">
        <v>435</v>
      </c>
      <c r="U541" s="151" t="s">
        <v>3608</v>
      </c>
      <c r="V541" s="151" t="s">
        <v>49</v>
      </c>
      <c r="W541" s="151" t="s">
        <v>2373</v>
      </c>
      <c r="X541" s="151" t="s">
        <v>431</v>
      </c>
      <c r="Y541" s="151" t="s">
        <v>3608</v>
      </c>
      <c r="Z541" s="151"/>
      <c r="AA541" s="151"/>
      <c r="AB541" s="151" t="s">
        <v>855</v>
      </c>
      <c r="AC541" s="342"/>
    </row>
    <row r="542" spans="1:29">
      <c r="A542" s="151" t="s">
        <v>3593</v>
      </c>
      <c r="B542" s="151" t="s">
        <v>4077</v>
      </c>
      <c r="C542" s="151" t="s">
        <v>4057</v>
      </c>
      <c r="D542" s="151" t="s">
        <v>17</v>
      </c>
      <c r="E542" s="151" t="s">
        <v>4078</v>
      </c>
      <c r="F542" s="151" t="s">
        <v>2527</v>
      </c>
      <c r="G542" s="151" t="s">
        <v>2173</v>
      </c>
      <c r="H542" s="151" t="s">
        <v>1183</v>
      </c>
      <c r="I542" s="151" t="s">
        <v>1184</v>
      </c>
      <c r="J542" s="151" t="s">
        <v>806</v>
      </c>
      <c r="K542" s="151" t="s">
        <v>4079</v>
      </c>
      <c r="L542" s="151" t="s">
        <v>3596</v>
      </c>
      <c r="M542" s="151" t="s">
        <v>361</v>
      </c>
      <c r="N542" s="151" t="s">
        <v>4080</v>
      </c>
      <c r="O542" s="151">
        <v>89277</v>
      </c>
      <c r="P542" s="151"/>
      <c r="Q542" s="151"/>
      <c r="R542" s="151" t="s">
        <v>2177</v>
      </c>
      <c r="S542" s="151" t="s">
        <v>361</v>
      </c>
      <c r="T542" s="151" t="s">
        <v>435</v>
      </c>
      <c r="U542" s="151" t="s">
        <v>3582</v>
      </c>
      <c r="V542" s="151" t="s">
        <v>49</v>
      </c>
      <c r="W542" s="151" t="s">
        <v>2373</v>
      </c>
      <c r="X542" s="151" t="s">
        <v>431</v>
      </c>
      <c r="Y542" s="151" t="s">
        <v>3582</v>
      </c>
      <c r="Z542" s="151"/>
      <c r="AA542" s="151"/>
      <c r="AB542" s="151" t="s">
        <v>855</v>
      </c>
      <c r="AC542" s="342"/>
    </row>
    <row r="543" spans="1:29">
      <c r="A543" s="151" t="s">
        <v>3593</v>
      </c>
      <c r="B543" s="151" t="s">
        <v>4081</v>
      </c>
      <c r="C543" s="151" t="s">
        <v>4057</v>
      </c>
      <c r="D543" s="151" t="s">
        <v>17</v>
      </c>
      <c r="E543" s="151" t="s">
        <v>4082</v>
      </c>
      <c r="F543" s="151" t="s">
        <v>2527</v>
      </c>
      <c r="G543" s="151" t="s">
        <v>2173</v>
      </c>
      <c r="H543" s="151" t="s">
        <v>1183</v>
      </c>
      <c r="I543" s="151" t="s">
        <v>1184</v>
      </c>
      <c r="J543" s="151" t="s">
        <v>1822</v>
      </c>
      <c r="K543" s="151" t="s">
        <v>3618</v>
      </c>
      <c r="L543" s="151" t="s">
        <v>4083</v>
      </c>
      <c r="M543" s="151" t="s">
        <v>361</v>
      </c>
      <c r="N543" s="151" t="s">
        <v>4084</v>
      </c>
      <c r="O543" s="151">
        <v>386</v>
      </c>
      <c r="P543" s="151"/>
      <c r="Q543" s="151"/>
      <c r="R543" s="151" t="s">
        <v>2177</v>
      </c>
      <c r="S543" s="151" t="s">
        <v>361</v>
      </c>
      <c r="T543" s="151" t="s">
        <v>435</v>
      </c>
      <c r="U543" s="151" t="s">
        <v>3582</v>
      </c>
      <c r="V543" s="151">
        <v>5</v>
      </c>
      <c r="W543" s="151" t="s">
        <v>2250</v>
      </c>
      <c r="X543" s="151" t="s">
        <v>431</v>
      </c>
      <c r="Y543" s="151" t="s">
        <v>3582</v>
      </c>
      <c r="Z543" s="151"/>
      <c r="AA543" s="151"/>
      <c r="AB543" s="151" t="s">
        <v>855</v>
      </c>
      <c r="AC543" s="342"/>
    </row>
    <row r="544" spans="1:29">
      <c r="A544" s="151" t="s">
        <v>3593</v>
      </c>
      <c r="B544" s="151" t="s">
        <v>4085</v>
      </c>
      <c r="C544" s="151" t="s">
        <v>4057</v>
      </c>
      <c r="D544" s="151" t="s">
        <v>17</v>
      </c>
      <c r="E544" s="151" t="s">
        <v>4086</v>
      </c>
      <c r="F544" s="151" t="s">
        <v>2527</v>
      </c>
      <c r="G544" s="151" t="s">
        <v>2173</v>
      </c>
      <c r="H544" s="151" t="s">
        <v>1183</v>
      </c>
      <c r="I544" s="151" t="s">
        <v>1184</v>
      </c>
      <c r="J544" s="151" t="s">
        <v>1822</v>
      </c>
      <c r="K544" s="151" t="s">
        <v>4087</v>
      </c>
      <c r="L544" s="151" t="s">
        <v>4083</v>
      </c>
      <c r="M544" s="151" t="s">
        <v>361</v>
      </c>
      <c r="N544" s="151" t="s">
        <v>4088</v>
      </c>
      <c r="O544" s="151">
        <v>386</v>
      </c>
      <c r="P544" s="151"/>
      <c r="Q544" s="151"/>
      <c r="R544" s="151" t="s">
        <v>2177</v>
      </c>
      <c r="S544" s="151" t="s">
        <v>361</v>
      </c>
      <c r="T544" s="151" t="s">
        <v>3607</v>
      </c>
      <c r="U544" s="151" t="s">
        <v>3608</v>
      </c>
      <c r="V544" s="151" t="s">
        <v>49</v>
      </c>
      <c r="W544" s="151" t="s">
        <v>2373</v>
      </c>
      <c r="X544" s="151" t="s">
        <v>431</v>
      </c>
      <c r="Y544" s="151" t="s">
        <v>3608</v>
      </c>
      <c r="Z544" s="151"/>
      <c r="AA544" s="151"/>
      <c r="AB544" s="151" t="s">
        <v>855</v>
      </c>
      <c r="AC544" s="342"/>
    </row>
    <row r="545" spans="1:29" ht="210">
      <c r="A545" s="151" t="s">
        <v>3593</v>
      </c>
      <c r="B545" t="s">
        <v>3642</v>
      </c>
      <c r="C545" s="151" t="s">
        <v>4057</v>
      </c>
      <c r="D545" s="151" t="s">
        <v>17</v>
      </c>
      <c r="E545" s="151" t="s">
        <v>4089</v>
      </c>
      <c r="F545" s="151" t="s">
        <v>2527</v>
      </c>
      <c r="G545" s="151" t="s">
        <v>2173</v>
      </c>
      <c r="H545" s="151" t="s">
        <v>1183</v>
      </c>
      <c r="I545" s="151" t="s">
        <v>1184</v>
      </c>
      <c r="J545" s="151" t="s">
        <v>1822</v>
      </c>
      <c r="K545" s="151" t="s">
        <v>4090</v>
      </c>
      <c r="L545" s="151" t="s">
        <v>4083</v>
      </c>
      <c r="M545" s="151" t="s">
        <v>361</v>
      </c>
      <c r="N545" s="341" t="s">
        <v>4091</v>
      </c>
      <c r="O545" s="151">
        <v>386</v>
      </c>
      <c r="P545" s="151"/>
      <c r="Q545" s="151"/>
      <c r="R545" s="151" t="s">
        <v>2177</v>
      </c>
      <c r="S545" s="151" t="s">
        <v>361</v>
      </c>
      <c r="T545" s="151" t="s">
        <v>435</v>
      </c>
      <c r="U545" s="151" t="s">
        <v>4092</v>
      </c>
      <c r="V545" s="151" t="s">
        <v>49</v>
      </c>
      <c r="W545" s="151" t="s">
        <v>4092</v>
      </c>
      <c r="X545" s="151" t="s">
        <v>431</v>
      </c>
      <c r="Y545" s="151" t="s">
        <v>4092</v>
      </c>
      <c r="Z545" s="151"/>
      <c r="AA545" s="151"/>
      <c r="AB545" s="151" t="s">
        <v>855</v>
      </c>
      <c r="AC545" s="342"/>
    </row>
    <row r="546" spans="1:29">
      <c r="A546" s="151" t="s">
        <v>3593</v>
      </c>
      <c r="B546" s="151" t="s">
        <v>4093</v>
      </c>
      <c r="C546" s="151" t="s">
        <v>4057</v>
      </c>
      <c r="D546" s="151" t="s">
        <v>17</v>
      </c>
      <c r="E546" s="151" t="s">
        <v>4094</v>
      </c>
      <c r="F546" s="151" t="s">
        <v>2527</v>
      </c>
      <c r="G546" s="151" t="s">
        <v>2173</v>
      </c>
      <c r="H546" s="151" t="s">
        <v>1183</v>
      </c>
      <c r="I546" s="151" t="s">
        <v>1184</v>
      </c>
      <c r="J546" s="151" t="s">
        <v>1822</v>
      </c>
      <c r="K546" s="151" t="s">
        <v>4095</v>
      </c>
      <c r="L546" s="151" t="s">
        <v>4083</v>
      </c>
      <c r="M546" s="151" t="s">
        <v>361</v>
      </c>
      <c r="N546" s="151" t="s">
        <v>4096</v>
      </c>
      <c r="O546" s="151">
        <v>386</v>
      </c>
      <c r="P546" s="151"/>
      <c r="Q546" s="151"/>
      <c r="R546" s="151" t="s">
        <v>2177</v>
      </c>
      <c r="S546" s="151" t="s">
        <v>361</v>
      </c>
      <c r="T546" s="151" t="s">
        <v>435</v>
      </c>
      <c r="U546" s="151" t="s">
        <v>2507</v>
      </c>
      <c r="V546" s="151" t="s">
        <v>49</v>
      </c>
      <c r="W546" s="151" t="s">
        <v>2507</v>
      </c>
      <c r="X546" s="151" t="s">
        <v>431</v>
      </c>
      <c r="Y546" s="151" t="s">
        <v>2507</v>
      </c>
      <c r="Z546" s="151"/>
      <c r="AA546" s="151"/>
      <c r="AB546" s="151" t="s">
        <v>855</v>
      </c>
      <c r="AC546" s="342"/>
    </row>
    <row r="547" spans="1:29" ht="210">
      <c r="A547" s="151" t="s">
        <v>3593</v>
      </c>
      <c r="B547" s="151" t="s">
        <v>4097</v>
      </c>
      <c r="C547" s="151" t="s">
        <v>4057</v>
      </c>
      <c r="D547" s="151" t="s">
        <v>17</v>
      </c>
      <c r="E547" s="151" t="s">
        <v>4098</v>
      </c>
      <c r="F547" s="151" t="s">
        <v>2527</v>
      </c>
      <c r="G547" s="151" t="s">
        <v>2173</v>
      </c>
      <c r="H547" s="151" t="s">
        <v>1183</v>
      </c>
      <c r="I547" s="151" t="s">
        <v>1184</v>
      </c>
      <c r="J547" t="s">
        <v>1822</v>
      </c>
      <c r="K547" s="151" t="s">
        <v>4099</v>
      </c>
      <c r="L547" s="151" t="s">
        <v>3675</v>
      </c>
      <c r="M547" s="151" t="s">
        <v>361</v>
      </c>
      <c r="N547" s="341" t="s">
        <v>4100</v>
      </c>
      <c r="O547" s="151">
        <v>388</v>
      </c>
      <c r="P547" s="151"/>
      <c r="Q547" s="151"/>
      <c r="R547" s="151" t="s">
        <v>2177</v>
      </c>
      <c r="S547" s="151" t="s">
        <v>361</v>
      </c>
      <c r="T547" s="151" t="s">
        <v>435</v>
      </c>
      <c r="U547" s="151" t="s">
        <v>2179</v>
      </c>
      <c r="V547" s="151">
        <v>7</v>
      </c>
      <c r="W547" s="151" t="s">
        <v>2250</v>
      </c>
      <c r="X547" s="151" t="s">
        <v>431</v>
      </c>
      <c r="Y547" s="151" t="s">
        <v>2179</v>
      </c>
      <c r="Z547" s="151"/>
      <c r="AA547" s="151"/>
      <c r="AB547" s="151" t="s">
        <v>855</v>
      </c>
      <c r="AC547" s="342"/>
    </row>
    <row r="548" spans="1:29">
      <c r="A548" s="151" t="s">
        <v>3593</v>
      </c>
      <c r="B548" s="151" t="s">
        <v>4101</v>
      </c>
      <c r="C548" s="151" t="s">
        <v>4057</v>
      </c>
      <c r="D548" s="151" t="s">
        <v>17</v>
      </c>
      <c r="E548" s="151" t="s">
        <v>4102</v>
      </c>
      <c r="F548" s="151" t="s">
        <v>2527</v>
      </c>
      <c r="G548" s="151" t="s">
        <v>2173</v>
      </c>
      <c r="H548" s="151" t="s">
        <v>1183</v>
      </c>
      <c r="I548" s="151" t="s">
        <v>1184</v>
      </c>
      <c r="J548" s="151" t="s">
        <v>1822</v>
      </c>
      <c r="K548" t="s">
        <v>3642</v>
      </c>
      <c r="L548" s="151" t="s">
        <v>4083</v>
      </c>
      <c r="M548" s="151" t="s">
        <v>361</v>
      </c>
      <c r="N548" s="151" t="s">
        <v>4103</v>
      </c>
      <c r="O548" s="151">
        <v>386</v>
      </c>
      <c r="P548" s="151" t="s">
        <v>4104</v>
      </c>
      <c r="Q548" s="151"/>
      <c r="R548" s="151" t="s">
        <v>2177</v>
      </c>
      <c r="S548" s="151" t="s">
        <v>361</v>
      </c>
      <c r="T548" s="151" t="s">
        <v>435</v>
      </c>
      <c r="U548" s="151" t="s">
        <v>3582</v>
      </c>
      <c r="V548" s="151" t="s">
        <v>49</v>
      </c>
      <c r="W548" s="151" t="s">
        <v>2250</v>
      </c>
      <c r="X548" s="151" t="s">
        <v>49</v>
      </c>
      <c r="Y548" s="151" t="s">
        <v>3582</v>
      </c>
      <c r="Z548" s="151"/>
      <c r="AA548" s="151"/>
      <c r="AB548" s="151" t="s">
        <v>855</v>
      </c>
      <c r="AC548" s="342"/>
    </row>
    <row r="549" spans="1:29" ht="255">
      <c r="A549" s="151" t="s">
        <v>3593</v>
      </c>
      <c r="B549" s="151" t="s">
        <v>4105</v>
      </c>
      <c r="C549" s="151" t="s">
        <v>4057</v>
      </c>
      <c r="D549" s="151" t="s">
        <v>17</v>
      </c>
      <c r="E549" s="151" t="s">
        <v>4106</v>
      </c>
      <c r="F549" s="151" t="s">
        <v>2527</v>
      </c>
      <c r="G549" s="151" t="s">
        <v>2173</v>
      </c>
      <c r="H549" s="151" t="s">
        <v>1183</v>
      </c>
      <c r="I549" s="151" t="s">
        <v>1184</v>
      </c>
      <c r="J549" s="151" t="s">
        <v>1822</v>
      </c>
      <c r="K549" s="151" t="s">
        <v>4107</v>
      </c>
      <c r="L549" s="151" t="s">
        <v>4083</v>
      </c>
      <c r="M549" s="151" t="s">
        <v>361</v>
      </c>
      <c r="N549" s="341" t="s">
        <v>4108</v>
      </c>
      <c r="O549" s="151">
        <v>386</v>
      </c>
      <c r="P549" s="151"/>
      <c r="Q549" s="151" t="s">
        <v>4109</v>
      </c>
      <c r="R549" s="151" t="s">
        <v>2177</v>
      </c>
      <c r="S549" s="341" t="s">
        <v>4110</v>
      </c>
      <c r="T549" s="151" t="s">
        <v>3668</v>
      </c>
      <c r="U549" s="151" t="s">
        <v>3582</v>
      </c>
      <c r="V549" s="151" t="s">
        <v>49</v>
      </c>
      <c r="W549" s="151" t="s">
        <v>2373</v>
      </c>
      <c r="X549" s="151" t="s">
        <v>431</v>
      </c>
      <c r="Y549" s="151" t="s">
        <v>3582</v>
      </c>
      <c r="Z549" s="151"/>
      <c r="AA549" s="151"/>
      <c r="AB549" s="151" t="s">
        <v>855</v>
      </c>
      <c r="AC549" s="342"/>
    </row>
    <row r="550" spans="1:29">
      <c r="A550" s="151" t="s">
        <v>3593</v>
      </c>
      <c r="B550" s="151" t="s">
        <v>4111</v>
      </c>
      <c r="C550" s="151" t="s">
        <v>4057</v>
      </c>
      <c r="D550" s="151" t="s">
        <v>17</v>
      </c>
      <c r="E550" s="151" t="s">
        <v>4112</v>
      </c>
      <c r="F550" s="151" t="s">
        <v>2527</v>
      </c>
      <c r="G550" s="151" t="s">
        <v>2173</v>
      </c>
      <c r="H550" s="151" t="s">
        <v>1183</v>
      </c>
      <c r="I550" s="151" t="s">
        <v>1184</v>
      </c>
      <c r="J550" s="151" t="s">
        <v>1822</v>
      </c>
      <c r="K550" s="151" t="s">
        <v>4113</v>
      </c>
      <c r="L550" s="151" t="s">
        <v>4083</v>
      </c>
      <c r="M550" s="151" t="s">
        <v>361</v>
      </c>
      <c r="N550" s="151" t="s">
        <v>4114</v>
      </c>
      <c r="O550" s="151">
        <v>386</v>
      </c>
      <c r="P550" s="151"/>
      <c r="Q550" s="151"/>
      <c r="R550" s="151" t="s">
        <v>2177</v>
      </c>
      <c r="S550" s="151" t="s">
        <v>361</v>
      </c>
      <c r="T550" s="151" t="s">
        <v>435</v>
      </c>
      <c r="U550" s="151" t="s">
        <v>4092</v>
      </c>
      <c r="V550" s="151">
        <v>10</v>
      </c>
      <c r="W550" s="151" t="s">
        <v>4092</v>
      </c>
      <c r="X550" s="151" t="s">
        <v>431</v>
      </c>
      <c r="Y550" s="151" t="s">
        <v>4092</v>
      </c>
      <c r="Z550" s="151"/>
      <c r="AA550" s="151"/>
      <c r="AB550" s="151" t="s">
        <v>855</v>
      </c>
      <c r="AC550" s="342"/>
    </row>
    <row r="551" spans="1:29">
      <c r="A551" s="151" t="s">
        <v>3593</v>
      </c>
      <c r="B551" s="151" t="s">
        <v>4115</v>
      </c>
      <c r="C551" s="151" t="s">
        <v>4057</v>
      </c>
      <c r="D551" s="151" t="s">
        <v>17</v>
      </c>
      <c r="E551" s="151" t="s">
        <v>4116</v>
      </c>
      <c r="F551" s="151" t="s">
        <v>2527</v>
      </c>
      <c r="G551" s="151" t="s">
        <v>2173</v>
      </c>
      <c r="H551" s="151" t="s">
        <v>1183</v>
      </c>
      <c r="I551" s="151" t="s">
        <v>1184</v>
      </c>
      <c r="J551" s="151" t="s">
        <v>1822</v>
      </c>
      <c r="K551" s="151" t="s">
        <v>4117</v>
      </c>
      <c r="L551" s="151" t="s">
        <v>4083</v>
      </c>
      <c r="M551" s="151" t="s">
        <v>361</v>
      </c>
      <c r="N551" s="151" t="s">
        <v>4118</v>
      </c>
      <c r="O551" s="151">
        <v>233</v>
      </c>
      <c r="P551" s="151"/>
      <c r="Q551" s="151"/>
      <c r="R551" s="151" t="s">
        <v>2177</v>
      </c>
      <c r="S551" s="151" t="s">
        <v>361</v>
      </c>
      <c r="T551" s="151" t="s">
        <v>435</v>
      </c>
      <c r="U551" s="151" t="s">
        <v>3582</v>
      </c>
      <c r="V551" s="151">
        <v>5</v>
      </c>
      <c r="W551" s="151" t="s">
        <v>2250</v>
      </c>
      <c r="X551" s="151" t="s">
        <v>431</v>
      </c>
      <c r="Y551" s="151" t="s">
        <v>3582</v>
      </c>
      <c r="Z551" s="151"/>
      <c r="AA551" s="151"/>
      <c r="AB551" s="151" t="s">
        <v>855</v>
      </c>
      <c r="AC551" s="342"/>
    </row>
    <row r="552" spans="1:29">
      <c r="A552" s="151" t="s">
        <v>3593</v>
      </c>
      <c r="B552" s="151" t="s">
        <v>4119</v>
      </c>
      <c r="C552" s="151" t="s">
        <v>4057</v>
      </c>
      <c r="D552" s="151" t="s">
        <v>17</v>
      </c>
      <c r="E552" s="151" t="s">
        <v>4120</v>
      </c>
      <c r="F552" s="151" t="s">
        <v>2527</v>
      </c>
      <c r="G552" s="151" t="s">
        <v>2173</v>
      </c>
      <c r="H552" s="151" t="s">
        <v>1183</v>
      </c>
      <c r="I552" s="151" t="s">
        <v>1184</v>
      </c>
      <c r="J552" s="151" t="s">
        <v>1822</v>
      </c>
      <c r="K552" s="151" t="s">
        <v>4121</v>
      </c>
      <c r="L552" s="151" t="s">
        <v>4083</v>
      </c>
      <c r="M552" s="151" t="s">
        <v>361</v>
      </c>
      <c r="N552" s="151" t="s">
        <v>4122</v>
      </c>
      <c r="O552" s="151">
        <v>386</v>
      </c>
      <c r="P552" s="151" t="s">
        <v>4123</v>
      </c>
      <c r="Q552" s="151"/>
      <c r="R552" s="151" t="s">
        <v>2177</v>
      </c>
      <c r="S552" s="151" t="s">
        <v>361</v>
      </c>
      <c r="T552" s="151" t="s">
        <v>435</v>
      </c>
      <c r="U552" s="151" t="s">
        <v>3582</v>
      </c>
      <c r="V552" s="151">
        <v>5</v>
      </c>
      <c r="W552" s="151" t="s">
        <v>2250</v>
      </c>
      <c r="X552" s="151" t="s">
        <v>431</v>
      </c>
      <c r="Y552" s="151" t="s">
        <v>3582</v>
      </c>
      <c r="Z552" s="151"/>
      <c r="AA552" s="151"/>
      <c r="AB552" s="151" t="s">
        <v>855</v>
      </c>
      <c r="AC552" s="342"/>
    </row>
    <row r="553" spans="1:29">
      <c r="A553" s="151" t="s">
        <v>3593</v>
      </c>
      <c r="B553" s="151" t="s">
        <v>4124</v>
      </c>
      <c r="C553" s="151" t="s">
        <v>4057</v>
      </c>
      <c r="D553" s="151" t="s">
        <v>17</v>
      </c>
      <c r="E553" s="151" t="s">
        <v>4125</v>
      </c>
      <c r="F553" s="151" t="s">
        <v>2527</v>
      </c>
      <c r="G553" s="151" t="s">
        <v>2173</v>
      </c>
      <c r="H553" s="151" t="s">
        <v>1183</v>
      </c>
      <c r="I553" s="151" t="s">
        <v>1184</v>
      </c>
      <c r="J553" s="151" t="s">
        <v>4126</v>
      </c>
      <c r="K553" s="151" t="s">
        <v>4127</v>
      </c>
      <c r="L553" s="161" t="s">
        <v>4128</v>
      </c>
      <c r="M553" s="431" t="s">
        <v>4129</v>
      </c>
      <c r="N553" s="431" t="s">
        <v>4130</v>
      </c>
      <c r="O553" s="431"/>
      <c r="P553" s="151" t="s">
        <v>4131</v>
      </c>
      <c r="Q553" s="151" t="s">
        <v>4132</v>
      </c>
      <c r="R553" s="151" t="s">
        <v>2177</v>
      </c>
      <c r="S553" s="151" t="s">
        <v>361</v>
      </c>
      <c r="T553" s="151" t="s">
        <v>435</v>
      </c>
      <c r="U553" s="151" t="s">
        <v>3582</v>
      </c>
      <c r="V553" s="151">
        <v>20</v>
      </c>
      <c r="W553" s="151" t="s">
        <v>2594</v>
      </c>
      <c r="X553" s="151" t="s">
        <v>431</v>
      </c>
      <c r="Y553" s="151" t="s">
        <v>3582</v>
      </c>
      <c r="Z553" s="151"/>
      <c r="AA553" s="151"/>
      <c r="AB553" s="151" t="s">
        <v>855</v>
      </c>
      <c r="AC553" s="342"/>
    </row>
    <row r="554" spans="1:29" ht="135">
      <c r="A554" s="151" t="s">
        <v>3593</v>
      </c>
      <c r="B554" s="151" t="s">
        <v>4133</v>
      </c>
      <c r="C554" s="151" t="s">
        <v>4057</v>
      </c>
      <c r="D554" s="151" t="s">
        <v>17</v>
      </c>
      <c r="E554" s="151" t="s">
        <v>4134</v>
      </c>
      <c r="F554" s="151" t="s">
        <v>2527</v>
      </c>
      <c r="G554" s="151" t="s">
        <v>2173</v>
      </c>
      <c r="H554" s="151" t="s">
        <v>1183</v>
      </c>
      <c r="I554" s="151" t="s">
        <v>1184</v>
      </c>
      <c r="J554" s="151" t="s">
        <v>1822</v>
      </c>
      <c r="K554" s="151" t="s">
        <v>4135</v>
      </c>
      <c r="L554" s="151" t="s">
        <v>4083</v>
      </c>
      <c r="M554" s="151" t="s">
        <v>361</v>
      </c>
      <c r="N554" s="341" t="s">
        <v>4136</v>
      </c>
      <c r="O554" s="151">
        <v>386</v>
      </c>
      <c r="P554" s="151"/>
      <c r="Q554" s="151"/>
      <c r="R554" s="151" t="s">
        <v>2177</v>
      </c>
      <c r="S554" s="151" t="s">
        <v>361</v>
      </c>
      <c r="T554" s="151" t="s">
        <v>435</v>
      </c>
      <c r="U554" s="151" t="s">
        <v>2400</v>
      </c>
      <c r="V554" s="151">
        <v>10</v>
      </c>
      <c r="W554" s="151" t="s">
        <v>2400</v>
      </c>
      <c r="X554" s="151" t="s">
        <v>431</v>
      </c>
      <c r="Y554" s="151" t="s">
        <v>2400</v>
      </c>
      <c r="Z554" s="151"/>
      <c r="AA554" s="151"/>
      <c r="AB554" s="151" t="s">
        <v>855</v>
      </c>
      <c r="AC554" s="342"/>
    </row>
    <row r="555" spans="1:29">
      <c r="A555" s="151" t="s">
        <v>3593</v>
      </c>
      <c r="B555" s="151" t="s">
        <v>4137</v>
      </c>
      <c r="C555" s="151" t="s">
        <v>4057</v>
      </c>
      <c r="D555" s="151" t="s">
        <v>17</v>
      </c>
      <c r="E555" s="151" t="s">
        <v>4138</v>
      </c>
      <c r="F555" s="151" t="s">
        <v>2527</v>
      </c>
      <c r="G555" s="151" t="s">
        <v>2173</v>
      </c>
      <c r="H555" s="151" t="s">
        <v>1183</v>
      </c>
      <c r="I555" s="151" t="s">
        <v>1184</v>
      </c>
      <c r="J555" s="151" t="s">
        <v>1822</v>
      </c>
      <c r="K555" s="151" t="s">
        <v>4139</v>
      </c>
      <c r="L555" s="151" t="s">
        <v>4083</v>
      </c>
      <c r="M555" s="151" t="s">
        <v>361</v>
      </c>
      <c r="N555" s="151" t="s">
        <v>4140</v>
      </c>
      <c r="O555" s="151"/>
      <c r="P555" s="151"/>
      <c r="Q555" s="151"/>
      <c r="R555" s="151" t="s">
        <v>2177</v>
      </c>
      <c r="S555" s="151" t="s">
        <v>361</v>
      </c>
      <c r="T555" s="151" t="s">
        <v>435</v>
      </c>
      <c r="U555" s="151" t="s">
        <v>3582</v>
      </c>
      <c r="V555" s="151">
        <v>20</v>
      </c>
      <c r="W555" s="151" t="s">
        <v>4141</v>
      </c>
      <c r="X555" s="151" t="s">
        <v>431</v>
      </c>
      <c r="Y555" s="151" t="s">
        <v>3582</v>
      </c>
      <c r="Z555" s="151"/>
      <c r="AA555" s="151"/>
      <c r="AB555" s="151" t="s">
        <v>855</v>
      </c>
      <c r="AC555" s="342"/>
    </row>
    <row r="556" spans="1:29">
      <c r="A556" s="151" t="s">
        <v>3593</v>
      </c>
      <c r="B556" s="151" t="s">
        <v>4142</v>
      </c>
      <c r="C556" s="151" t="s">
        <v>4057</v>
      </c>
      <c r="D556" s="151" t="s">
        <v>17</v>
      </c>
      <c r="E556" s="151" t="s">
        <v>4143</v>
      </c>
      <c r="F556" s="151" t="s">
        <v>2527</v>
      </c>
      <c r="G556" s="151" t="s">
        <v>2173</v>
      </c>
      <c r="H556" s="151" t="s">
        <v>1183</v>
      </c>
      <c r="I556" s="151" t="s">
        <v>1184</v>
      </c>
      <c r="J556" s="151" t="s">
        <v>1822</v>
      </c>
      <c r="K556" s="151" t="s">
        <v>4144</v>
      </c>
      <c r="L556" s="151" t="s">
        <v>4083</v>
      </c>
      <c r="M556" s="151" t="s">
        <v>361</v>
      </c>
      <c r="N556" s="151" t="s">
        <v>4145</v>
      </c>
      <c r="O556" s="151">
        <v>386</v>
      </c>
      <c r="P556" s="151"/>
      <c r="Q556" s="151"/>
      <c r="R556" s="151" t="s">
        <v>2177</v>
      </c>
      <c r="S556" s="151" t="s">
        <v>361</v>
      </c>
      <c r="T556" s="151" t="s">
        <v>435</v>
      </c>
      <c r="U556" s="151" t="s">
        <v>4146</v>
      </c>
      <c r="V556" s="151">
        <v>20</v>
      </c>
      <c r="W556" s="151" t="s">
        <v>4146</v>
      </c>
      <c r="X556" s="151" t="s">
        <v>431</v>
      </c>
      <c r="Y556" s="151" t="s">
        <v>4146</v>
      </c>
      <c r="Z556" s="151"/>
      <c r="AA556" s="151"/>
      <c r="AB556" s="151" t="s">
        <v>855</v>
      </c>
      <c r="AC556" s="342"/>
    </row>
    <row r="557" spans="1:29" ht="47.1" customHeight="1">
      <c r="A557" s="151" t="s">
        <v>3593</v>
      </c>
      <c r="B557" s="151" t="s">
        <v>4147</v>
      </c>
      <c r="C557" s="151" t="s">
        <v>4057</v>
      </c>
      <c r="D557" s="151" t="s">
        <v>17</v>
      </c>
      <c r="E557" s="151" t="s">
        <v>4148</v>
      </c>
      <c r="F557" s="151" t="s">
        <v>2527</v>
      </c>
      <c r="G557" s="151" t="s">
        <v>2173</v>
      </c>
      <c r="H557" s="151" t="s">
        <v>1183</v>
      </c>
      <c r="I557" s="151" t="s">
        <v>1184</v>
      </c>
      <c r="J557" s="151" t="s">
        <v>1822</v>
      </c>
      <c r="K557" s="341" t="s">
        <v>4149</v>
      </c>
      <c r="L557" s="151" t="s">
        <v>4083</v>
      </c>
      <c r="M557" s="151" t="s">
        <v>361</v>
      </c>
      <c r="N557" s="151" t="s">
        <v>4150</v>
      </c>
      <c r="O557" s="151"/>
      <c r="P557" s="151"/>
      <c r="Q557" s="151"/>
      <c r="R557" s="151" t="s">
        <v>2177</v>
      </c>
      <c r="S557" s="151" t="s">
        <v>361</v>
      </c>
      <c r="T557" s="151" t="s">
        <v>435</v>
      </c>
      <c r="U557" s="151" t="s">
        <v>4151</v>
      </c>
      <c r="V557" s="151" t="s">
        <v>49</v>
      </c>
      <c r="W557" s="151" t="s">
        <v>4151</v>
      </c>
      <c r="X557" s="151" t="s">
        <v>431</v>
      </c>
      <c r="Y557" s="151" t="s">
        <v>4151</v>
      </c>
      <c r="Z557" s="151"/>
      <c r="AA557" s="151"/>
      <c r="AB557" s="151" t="s">
        <v>855</v>
      </c>
      <c r="AC557" s="342"/>
    </row>
    <row r="558" spans="1:29">
      <c r="A558" s="151" t="s">
        <v>3593</v>
      </c>
      <c r="B558" s="151" t="s">
        <v>4152</v>
      </c>
      <c r="C558" s="151" t="s">
        <v>4057</v>
      </c>
      <c r="D558" s="151" t="s">
        <v>17</v>
      </c>
      <c r="E558" s="151" t="s">
        <v>4153</v>
      </c>
      <c r="F558" s="151" t="s">
        <v>2527</v>
      </c>
      <c r="G558" s="151" t="s">
        <v>2173</v>
      </c>
      <c r="H558" s="151" t="s">
        <v>1183</v>
      </c>
      <c r="I558" s="151" t="s">
        <v>1184</v>
      </c>
      <c r="J558" s="151" t="s">
        <v>1822</v>
      </c>
      <c r="K558" s="151" t="s">
        <v>4154</v>
      </c>
      <c r="L558" s="151" t="s">
        <v>4083</v>
      </c>
      <c r="M558" s="151" t="s">
        <v>361</v>
      </c>
      <c r="N558" s="151" t="s">
        <v>4155</v>
      </c>
      <c r="O558" s="151">
        <v>386</v>
      </c>
      <c r="P558" s="151"/>
      <c r="Q558" s="151"/>
      <c r="R558" s="151" t="s">
        <v>2177</v>
      </c>
      <c r="S558" s="151" t="s">
        <v>361</v>
      </c>
      <c r="T558" s="151" t="s">
        <v>3668</v>
      </c>
      <c r="U558" s="151" t="s">
        <v>3582</v>
      </c>
      <c r="V558" s="151" t="s">
        <v>49</v>
      </c>
      <c r="W558" s="151" t="s">
        <v>2373</v>
      </c>
      <c r="X558" s="151" t="s">
        <v>431</v>
      </c>
      <c r="Y558" s="151" t="s">
        <v>3582</v>
      </c>
      <c r="Z558" s="151"/>
      <c r="AA558" s="151"/>
      <c r="AB558" s="151" t="s">
        <v>855</v>
      </c>
      <c r="AC558" s="342"/>
    </row>
    <row r="559" spans="1:29">
      <c r="A559" s="151" t="s">
        <v>3593</v>
      </c>
      <c r="B559" s="151" t="s">
        <v>4156</v>
      </c>
      <c r="C559" s="151" t="s">
        <v>4057</v>
      </c>
      <c r="D559" s="151" t="s">
        <v>17</v>
      </c>
      <c r="E559" s="151" t="s">
        <v>4157</v>
      </c>
      <c r="F559" s="151" t="s">
        <v>2527</v>
      </c>
      <c r="G559" s="151" t="s">
        <v>2173</v>
      </c>
      <c r="H559" s="151" t="s">
        <v>1183</v>
      </c>
      <c r="I559" s="151" t="s">
        <v>1184</v>
      </c>
      <c r="J559" s="151" t="s">
        <v>1822</v>
      </c>
      <c r="K559" s="151" t="s">
        <v>4158</v>
      </c>
      <c r="L559" s="151" t="s">
        <v>4083</v>
      </c>
      <c r="M559" s="151" t="s">
        <v>361</v>
      </c>
      <c r="N559" s="151" t="s">
        <v>4159</v>
      </c>
      <c r="O559" s="151">
        <v>233</v>
      </c>
      <c r="P559" s="151"/>
      <c r="Q559" s="151"/>
      <c r="R559" s="151" t="s">
        <v>2177</v>
      </c>
      <c r="S559" s="151" t="s">
        <v>361</v>
      </c>
      <c r="T559" s="151" t="s">
        <v>435</v>
      </c>
      <c r="U559" s="151" t="s">
        <v>3582</v>
      </c>
      <c r="V559" s="151">
        <v>5</v>
      </c>
      <c r="W559" s="151" t="s">
        <v>2250</v>
      </c>
      <c r="X559" s="151" t="s">
        <v>431</v>
      </c>
      <c r="Y559" s="151" t="s">
        <v>3582</v>
      </c>
      <c r="Z559" s="151"/>
      <c r="AA559" s="151"/>
      <c r="AB559" s="151" t="s">
        <v>855</v>
      </c>
      <c r="AC559" s="342"/>
    </row>
    <row r="560" spans="1:29">
      <c r="A560" s="151" t="s">
        <v>3593</v>
      </c>
      <c r="B560" s="151" t="s">
        <v>4160</v>
      </c>
      <c r="C560" s="151" t="s">
        <v>4057</v>
      </c>
      <c r="D560" s="151" t="s">
        <v>17</v>
      </c>
      <c r="E560" s="151" t="s">
        <v>4161</v>
      </c>
      <c r="F560" s="151" t="s">
        <v>2527</v>
      </c>
      <c r="G560" s="151" t="s">
        <v>2173</v>
      </c>
      <c r="H560" s="151" t="s">
        <v>1183</v>
      </c>
      <c r="I560" s="151" t="s">
        <v>1184</v>
      </c>
      <c r="J560" s="151" t="s">
        <v>1822</v>
      </c>
      <c r="K560" s="151" t="s">
        <v>4162</v>
      </c>
      <c r="L560" s="151" t="s">
        <v>4083</v>
      </c>
      <c r="M560" s="151" t="s">
        <v>361</v>
      </c>
      <c r="N560" s="151" t="s">
        <v>4163</v>
      </c>
      <c r="O560" s="151">
        <v>235</v>
      </c>
      <c r="P560" s="151"/>
      <c r="Q560" s="151"/>
      <c r="R560" s="151" t="s">
        <v>2177</v>
      </c>
      <c r="S560" s="151" t="s">
        <v>361</v>
      </c>
      <c r="T560" s="151" t="s">
        <v>435</v>
      </c>
      <c r="U560" s="151" t="s">
        <v>3582</v>
      </c>
      <c r="V560" s="151">
        <v>5</v>
      </c>
      <c r="W560" s="151" t="s">
        <v>2250</v>
      </c>
      <c r="X560" s="151" t="s">
        <v>431</v>
      </c>
      <c r="Y560" s="151" t="s">
        <v>3582</v>
      </c>
      <c r="Z560" s="151"/>
      <c r="AA560" s="151"/>
      <c r="AB560" s="151" t="s">
        <v>855</v>
      </c>
      <c r="AC560" s="342"/>
    </row>
    <row r="561" spans="1:29">
      <c r="A561" s="151" t="s">
        <v>3593</v>
      </c>
      <c r="B561" s="151" t="s">
        <v>4164</v>
      </c>
      <c r="C561" s="151" t="s">
        <v>4057</v>
      </c>
      <c r="D561" s="151" t="s">
        <v>17</v>
      </c>
      <c r="E561" s="151" t="s">
        <v>4165</v>
      </c>
      <c r="F561" s="151" t="s">
        <v>2527</v>
      </c>
      <c r="G561" s="151" t="s">
        <v>2173</v>
      </c>
      <c r="H561" s="151" t="s">
        <v>1183</v>
      </c>
      <c r="I561" s="151" t="s">
        <v>1184</v>
      </c>
      <c r="J561" s="151" t="s">
        <v>1822</v>
      </c>
      <c r="K561" s="151" t="s">
        <v>4166</v>
      </c>
      <c r="L561" s="151" t="s">
        <v>4083</v>
      </c>
      <c r="M561" s="151" t="s">
        <v>361</v>
      </c>
      <c r="N561" s="151" t="s">
        <v>4167</v>
      </c>
      <c r="O561" s="151">
        <v>386</v>
      </c>
      <c r="P561" s="151"/>
      <c r="Q561" s="151"/>
      <c r="R561" s="151" t="s">
        <v>2177</v>
      </c>
      <c r="S561" s="151" t="s">
        <v>361</v>
      </c>
      <c r="T561" s="151" t="s">
        <v>3668</v>
      </c>
      <c r="U561" s="151" t="s">
        <v>3582</v>
      </c>
      <c r="V561" s="151" t="s">
        <v>49</v>
      </c>
      <c r="W561" s="151" t="s">
        <v>2373</v>
      </c>
      <c r="X561" s="151" t="s">
        <v>431</v>
      </c>
      <c r="Y561" s="151" t="s">
        <v>3582</v>
      </c>
      <c r="Z561" s="151"/>
      <c r="AA561" s="151"/>
      <c r="AB561" s="151" t="s">
        <v>855</v>
      </c>
      <c r="AC561" s="342"/>
    </row>
    <row r="562" spans="1:29">
      <c r="A562" s="151" t="s">
        <v>3593</v>
      </c>
      <c r="B562" s="151" t="s">
        <v>4168</v>
      </c>
      <c r="C562" s="151" t="s">
        <v>4057</v>
      </c>
      <c r="D562" s="151" t="s">
        <v>17</v>
      </c>
      <c r="E562" s="151" t="s">
        <v>4169</v>
      </c>
      <c r="F562" s="151" t="s">
        <v>2527</v>
      </c>
      <c r="G562" s="151" t="s">
        <v>2173</v>
      </c>
      <c r="H562" s="151" t="s">
        <v>1183</v>
      </c>
      <c r="I562" s="151" t="s">
        <v>1184</v>
      </c>
      <c r="J562" s="151" t="s">
        <v>1822</v>
      </c>
      <c r="K562" s="151" t="s">
        <v>3910</v>
      </c>
      <c r="L562" s="151" t="s">
        <v>4083</v>
      </c>
      <c r="M562" s="151" t="s">
        <v>361</v>
      </c>
      <c r="N562" s="151" t="s">
        <v>4170</v>
      </c>
      <c r="O562" s="151">
        <v>386</v>
      </c>
      <c r="P562" s="151"/>
      <c r="Q562" s="151"/>
      <c r="R562" s="151" t="s">
        <v>2177</v>
      </c>
      <c r="S562" s="151" t="s">
        <v>361</v>
      </c>
      <c r="T562" s="151" t="s">
        <v>435</v>
      </c>
      <c r="U562" s="151" t="s">
        <v>2507</v>
      </c>
      <c r="V562" s="151">
        <v>20</v>
      </c>
      <c r="W562" s="151" t="s">
        <v>2507</v>
      </c>
      <c r="X562" s="151" t="s">
        <v>431</v>
      </c>
      <c r="Y562" s="151" t="s">
        <v>2507</v>
      </c>
      <c r="Z562" s="151"/>
      <c r="AA562" s="151"/>
      <c r="AB562" s="151" t="s">
        <v>855</v>
      </c>
      <c r="AC562" s="342"/>
    </row>
    <row r="563" spans="1:29">
      <c r="A563" s="151" t="s">
        <v>3593</v>
      </c>
      <c r="B563" s="151" t="s">
        <v>4171</v>
      </c>
      <c r="C563" s="151" t="s">
        <v>4172</v>
      </c>
      <c r="D563" s="151" t="s">
        <v>17</v>
      </c>
      <c r="E563" s="151" t="s">
        <v>4173</v>
      </c>
      <c r="F563" s="151" t="s">
        <v>551</v>
      </c>
      <c r="G563" s="151" t="s">
        <v>2173</v>
      </c>
      <c r="H563" s="151" t="s">
        <v>1183</v>
      </c>
      <c r="I563" s="151" t="s">
        <v>1184</v>
      </c>
      <c r="J563" s="151" t="s">
        <v>796</v>
      </c>
      <c r="K563" s="151" t="s">
        <v>1216</v>
      </c>
      <c r="L563" s="151" t="s">
        <v>4174</v>
      </c>
      <c r="M563" s="151" t="s">
        <v>361</v>
      </c>
      <c r="N563" s="151"/>
      <c r="O563" s="151"/>
      <c r="P563" s="151"/>
      <c r="Q563" s="151"/>
      <c r="R563" s="151" t="s">
        <v>2177</v>
      </c>
      <c r="S563" s="151" t="s">
        <v>361</v>
      </c>
      <c r="T563" s="151" t="s">
        <v>49</v>
      </c>
      <c r="U563" s="151" t="s">
        <v>2207</v>
      </c>
      <c r="V563" s="151" t="s">
        <v>49</v>
      </c>
      <c r="W563" s="151" t="s">
        <v>2207</v>
      </c>
      <c r="X563" s="151" t="s">
        <v>431</v>
      </c>
      <c r="Y563" s="151" t="s">
        <v>2207</v>
      </c>
      <c r="Z563" s="151"/>
      <c r="AA563" s="151"/>
      <c r="AB563" s="151" t="s">
        <v>855</v>
      </c>
      <c r="AC563" s="342"/>
    </row>
    <row r="564" spans="1:29">
      <c r="A564" s="151" t="s">
        <v>3593</v>
      </c>
      <c r="B564" s="151" t="s">
        <v>4175</v>
      </c>
      <c r="C564" s="151" t="s">
        <v>4172</v>
      </c>
      <c r="D564" s="151" t="s">
        <v>17</v>
      </c>
      <c r="E564" s="151" t="s">
        <v>4176</v>
      </c>
      <c r="F564" s="151" t="s">
        <v>551</v>
      </c>
      <c r="G564" s="151" t="s">
        <v>2173</v>
      </c>
      <c r="H564" s="151" t="s">
        <v>1183</v>
      </c>
      <c r="I564" s="151" t="s">
        <v>1184</v>
      </c>
      <c r="J564" s="151" t="s">
        <v>796</v>
      </c>
      <c r="K564" s="151" t="s">
        <v>4177</v>
      </c>
      <c r="L564" s="151" t="s">
        <v>4174</v>
      </c>
      <c r="M564" s="151" t="s">
        <v>361</v>
      </c>
      <c r="N564" s="151"/>
      <c r="O564" s="151"/>
      <c r="P564" s="151"/>
      <c r="Q564" s="151"/>
      <c r="R564" s="151" t="s">
        <v>2177</v>
      </c>
      <c r="S564" s="151" t="s">
        <v>361</v>
      </c>
      <c r="T564" s="151" t="s">
        <v>435</v>
      </c>
      <c r="U564" s="151" t="s">
        <v>3582</v>
      </c>
      <c r="V564" s="151" t="s">
        <v>49</v>
      </c>
      <c r="W564" s="151" t="s">
        <v>4178</v>
      </c>
      <c r="X564" s="151" t="s">
        <v>431</v>
      </c>
      <c r="Y564" s="151" t="s">
        <v>3582</v>
      </c>
      <c r="Z564" s="151"/>
      <c r="AA564" s="151"/>
      <c r="AB564" s="151" t="s">
        <v>855</v>
      </c>
      <c r="AC564" s="342"/>
    </row>
    <row r="565" spans="1:29">
      <c r="A565" s="151" t="s">
        <v>3593</v>
      </c>
      <c r="B565" s="151" t="s">
        <v>4179</v>
      </c>
      <c r="C565" s="151" t="s">
        <v>4172</v>
      </c>
      <c r="D565" s="151" t="s">
        <v>17</v>
      </c>
      <c r="E565" s="151" t="s">
        <v>4180</v>
      </c>
      <c r="F565" s="151" t="s">
        <v>551</v>
      </c>
      <c r="G565" s="151" t="s">
        <v>2173</v>
      </c>
      <c r="H565" s="151" t="s">
        <v>1183</v>
      </c>
      <c r="I565" s="151" t="s">
        <v>1184</v>
      </c>
      <c r="J565" s="151" t="s">
        <v>796</v>
      </c>
      <c r="K565" s="151" t="s">
        <v>3662</v>
      </c>
      <c r="L565" s="151" t="s">
        <v>4174</v>
      </c>
      <c r="M565" s="151" t="s">
        <v>361</v>
      </c>
      <c r="N565" s="151"/>
      <c r="O565" s="151"/>
      <c r="P565" s="151"/>
      <c r="Q565" s="151"/>
      <c r="R565" s="151" t="s">
        <v>2177</v>
      </c>
      <c r="S565" s="151" t="s">
        <v>361</v>
      </c>
      <c r="T565" s="151" t="s">
        <v>435</v>
      </c>
      <c r="U565" s="151" t="s">
        <v>2507</v>
      </c>
      <c r="V565" s="151" t="s">
        <v>49</v>
      </c>
      <c r="W565" s="151" t="s">
        <v>2507</v>
      </c>
      <c r="X565" s="151" t="s">
        <v>431</v>
      </c>
      <c r="Y565" s="151" t="s">
        <v>2507</v>
      </c>
      <c r="Z565" s="151"/>
      <c r="AA565" s="151"/>
      <c r="AB565" s="151" t="s">
        <v>855</v>
      </c>
      <c r="AC565" s="342"/>
    </row>
    <row r="566" spans="1:29">
      <c r="A566" s="151" t="s">
        <v>3593</v>
      </c>
      <c r="B566" s="151" t="s">
        <v>2350</v>
      </c>
      <c r="C566" s="151" t="s">
        <v>4172</v>
      </c>
      <c r="D566" s="151" t="s">
        <v>17</v>
      </c>
      <c r="E566" s="151" t="s">
        <v>4181</v>
      </c>
      <c r="F566" s="151" t="s">
        <v>551</v>
      </c>
      <c r="G566" s="151" t="s">
        <v>2173</v>
      </c>
      <c r="H566" s="151" t="s">
        <v>1183</v>
      </c>
      <c r="I566" s="151" t="s">
        <v>1184</v>
      </c>
      <c r="J566" s="151" t="s">
        <v>796</v>
      </c>
      <c r="K566" s="151" t="s">
        <v>4182</v>
      </c>
      <c r="L566" s="151" t="s">
        <v>4174</v>
      </c>
      <c r="M566" s="151" t="s">
        <v>361</v>
      </c>
      <c r="N566" s="151"/>
      <c r="O566" s="151"/>
      <c r="P566" s="151"/>
      <c r="Q566" s="151"/>
      <c r="R566" s="151" t="s">
        <v>2177</v>
      </c>
      <c r="S566" s="151" t="s">
        <v>361</v>
      </c>
      <c r="T566" s="151" t="s">
        <v>435</v>
      </c>
      <c r="U566" s="151" t="s">
        <v>2400</v>
      </c>
      <c r="V566" s="151" t="s">
        <v>49</v>
      </c>
      <c r="W566" s="151" t="s">
        <v>2400</v>
      </c>
      <c r="X566" s="151" t="s">
        <v>431</v>
      </c>
      <c r="Y566" s="151" t="s">
        <v>2400</v>
      </c>
      <c r="Z566" s="151"/>
      <c r="AA566" s="151"/>
      <c r="AB566" s="151" t="s">
        <v>855</v>
      </c>
      <c r="AC566" s="342"/>
    </row>
    <row r="567" spans="1:29">
      <c r="A567" s="151" t="s">
        <v>3593</v>
      </c>
      <c r="B567" s="151" t="s">
        <v>4183</v>
      </c>
      <c r="C567" s="151" t="s">
        <v>4172</v>
      </c>
      <c r="D567" s="151" t="s">
        <v>17</v>
      </c>
      <c r="E567" s="151" t="s">
        <v>4184</v>
      </c>
      <c r="F567" s="151" t="s">
        <v>551</v>
      </c>
      <c r="G567" s="151" t="s">
        <v>2173</v>
      </c>
      <c r="H567" s="151" t="s">
        <v>1183</v>
      </c>
      <c r="I567" s="151" t="s">
        <v>1184</v>
      </c>
      <c r="J567" s="151" t="s">
        <v>796</v>
      </c>
      <c r="K567" s="151" t="s">
        <v>4185</v>
      </c>
      <c r="L567" s="151" t="s">
        <v>4174</v>
      </c>
      <c r="M567" s="151" t="s">
        <v>361</v>
      </c>
      <c r="N567" s="151"/>
      <c r="O567" s="151"/>
      <c r="P567" s="151"/>
      <c r="Q567" s="151"/>
      <c r="R567" s="151" t="s">
        <v>2177</v>
      </c>
      <c r="S567" s="151" t="s">
        <v>361</v>
      </c>
      <c r="T567" s="151" t="s">
        <v>435</v>
      </c>
      <c r="U567" s="151" t="s">
        <v>3582</v>
      </c>
      <c r="V567" s="151" t="s">
        <v>49</v>
      </c>
      <c r="W567" s="151" t="s">
        <v>2250</v>
      </c>
      <c r="X567" s="151" t="s">
        <v>431</v>
      </c>
      <c r="Y567" s="151" t="s">
        <v>3582</v>
      </c>
      <c r="Z567" s="151"/>
      <c r="AA567" s="151"/>
      <c r="AB567" s="151" t="s">
        <v>855</v>
      </c>
      <c r="AC567" s="342"/>
    </row>
    <row r="568" spans="1:29">
      <c r="A568" s="151" t="s">
        <v>3593</v>
      </c>
      <c r="B568" s="151" t="s">
        <v>4186</v>
      </c>
      <c r="C568" s="151" t="s">
        <v>4172</v>
      </c>
      <c r="D568" s="151" t="s">
        <v>17</v>
      </c>
      <c r="E568" s="151" t="s">
        <v>4187</v>
      </c>
      <c r="F568" s="151" t="s">
        <v>551</v>
      </c>
      <c r="G568" s="151" t="s">
        <v>2173</v>
      </c>
      <c r="H568" s="151" t="s">
        <v>1183</v>
      </c>
      <c r="I568" s="151" t="s">
        <v>1184</v>
      </c>
      <c r="J568" s="151" t="s">
        <v>796</v>
      </c>
      <c r="K568" s="151" t="s">
        <v>4188</v>
      </c>
      <c r="L568" s="151" t="s">
        <v>4174</v>
      </c>
      <c r="M568" s="151" t="s">
        <v>361</v>
      </c>
      <c r="N568" s="151"/>
      <c r="O568" s="151"/>
      <c r="P568" s="151"/>
      <c r="Q568" s="151"/>
      <c r="R568" s="151" t="s">
        <v>2177</v>
      </c>
      <c r="S568" s="151" t="s">
        <v>361</v>
      </c>
      <c r="T568" s="151" t="s">
        <v>435</v>
      </c>
      <c r="U568" s="151" t="s">
        <v>3582</v>
      </c>
      <c r="V568" s="151" t="s">
        <v>49</v>
      </c>
      <c r="W568" s="151" t="s">
        <v>2257</v>
      </c>
      <c r="X568" s="151" t="s">
        <v>431</v>
      </c>
      <c r="Y568" s="151" t="s">
        <v>3582</v>
      </c>
      <c r="Z568" s="151"/>
      <c r="AA568" s="151"/>
      <c r="AB568" s="151" t="s">
        <v>855</v>
      </c>
      <c r="AC568" s="342"/>
    </row>
    <row r="569" spans="1:29">
      <c r="A569" s="151" t="s">
        <v>3593</v>
      </c>
      <c r="B569" s="151" t="s">
        <v>4189</v>
      </c>
      <c r="C569" s="151" t="s">
        <v>4172</v>
      </c>
      <c r="D569" s="151" t="s">
        <v>17</v>
      </c>
      <c r="E569" s="151" t="s">
        <v>4190</v>
      </c>
      <c r="F569" s="151" t="s">
        <v>551</v>
      </c>
      <c r="G569" s="151" t="s">
        <v>2173</v>
      </c>
      <c r="H569" s="151" t="s">
        <v>1183</v>
      </c>
      <c r="I569" s="151" t="s">
        <v>1184</v>
      </c>
      <c r="J569" s="151" t="s">
        <v>796</v>
      </c>
      <c r="K569" s="151" t="s">
        <v>4191</v>
      </c>
      <c r="L569" s="151" t="s">
        <v>4174</v>
      </c>
      <c r="M569" s="151" t="s">
        <v>361</v>
      </c>
      <c r="N569" s="151"/>
      <c r="O569" s="151"/>
      <c r="P569" s="151"/>
      <c r="Q569" s="151"/>
      <c r="R569" s="151" t="s">
        <v>2177</v>
      </c>
      <c r="S569" s="151" t="s">
        <v>361</v>
      </c>
      <c r="T569" s="151" t="s">
        <v>435</v>
      </c>
      <c r="U569" s="151" t="s">
        <v>3582</v>
      </c>
      <c r="V569" s="151" t="s">
        <v>49</v>
      </c>
      <c r="W569" s="151" t="s">
        <v>2257</v>
      </c>
      <c r="X569" s="151" t="s">
        <v>431</v>
      </c>
      <c r="Y569" s="151" t="s">
        <v>3582</v>
      </c>
      <c r="Z569" s="151"/>
      <c r="AA569" s="151"/>
      <c r="AB569" s="151" t="s">
        <v>855</v>
      </c>
      <c r="AC569" s="342"/>
    </row>
    <row r="570" spans="1:29">
      <c r="A570" s="151" t="s">
        <v>3593</v>
      </c>
      <c r="B570" s="151" t="s">
        <v>2769</v>
      </c>
      <c r="C570" s="151" t="s">
        <v>4172</v>
      </c>
      <c r="D570" s="151" t="s">
        <v>17</v>
      </c>
      <c r="E570" s="151" t="s">
        <v>4192</v>
      </c>
      <c r="F570" s="151" t="s">
        <v>551</v>
      </c>
      <c r="G570" s="151" t="s">
        <v>2173</v>
      </c>
      <c r="H570" s="151" t="s">
        <v>1183</v>
      </c>
      <c r="I570" s="151" t="s">
        <v>1184</v>
      </c>
      <c r="J570" s="151" t="s">
        <v>796</v>
      </c>
      <c r="K570" s="151" t="s">
        <v>4193</v>
      </c>
      <c r="L570" s="151" t="s">
        <v>4174</v>
      </c>
      <c r="M570" s="151" t="s">
        <v>361</v>
      </c>
      <c r="N570" s="151"/>
      <c r="O570" s="151"/>
      <c r="P570" s="151"/>
      <c r="Q570" s="151"/>
      <c r="R570" s="151" t="s">
        <v>2177</v>
      </c>
      <c r="S570" s="151" t="s">
        <v>361</v>
      </c>
      <c r="T570" s="151" t="s">
        <v>435</v>
      </c>
      <c r="U570" s="151" t="s">
        <v>3582</v>
      </c>
      <c r="V570" s="151" t="s">
        <v>49</v>
      </c>
      <c r="W570" s="151" t="s">
        <v>2257</v>
      </c>
      <c r="X570" s="151" t="s">
        <v>431</v>
      </c>
      <c r="Y570" s="151" t="s">
        <v>3582</v>
      </c>
      <c r="Z570" s="151"/>
      <c r="AA570" s="151"/>
      <c r="AB570" s="151" t="s">
        <v>855</v>
      </c>
      <c r="AC570" s="342"/>
    </row>
    <row r="571" spans="1:29">
      <c r="A571" s="151" t="s">
        <v>3593</v>
      </c>
      <c r="B571" s="151" t="s">
        <v>2364</v>
      </c>
      <c r="C571" s="151" t="s">
        <v>4172</v>
      </c>
      <c r="D571" s="151" t="s">
        <v>17</v>
      </c>
      <c r="E571" s="151" t="s">
        <v>4194</v>
      </c>
      <c r="F571" s="151" t="s">
        <v>551</v>
      </c>
      <c r="G571" s="151" t="s">
        <v>2173</v>
      </c>
      <c r="H571" s="151" t="s">
        <v>1183</v>
      </c>
      <c r="I571" s="151" t="s">
        <v>1184</v>
      </c>
      <c r="J571" s="151" t="s">
        <v>796</v>
      </c>
      <c r="K571" s="151" t="s">
        <v>4195</v>
      </c>
      <c r="L571" s="151" t="s">
        <v>4174</v>
      </c>
      <c r="M571" s="151" t="s">
        <v>361</v>
      </c>
      <c r="N571" s="151"/>
      <c r="O571" s="151"/>
      <c r="P571" s="151"/>
      <c r="Q571" s="151"/>
      <c r="R571" s="151" t="s">
        <v>2177</v>
      </c>
      <c r="S571" s="151" t="s">
        <v>361</v>
      </c>
      <c r="T571" s="151" t="s">
        <v>49</v>
      </c>
      <c r="U571" s="151" t="s">
        <v>3582</v>
      </c>
      <c r="V571" s="151" t="s">
        <v>49</v>
      </c>
      <c r="W571" s="151" t="s">
        <v>2635</v>
      </c>
      <c r="X571" s="151" t="s">
        <v>431</v>
      </c>
      <c r="Y571" s="151" t="s">
        <v>3582</v>
      </c>
      <c r="Z571" s="151"/>
      <c r="AA571" s="151"/>
      <c r="AB571" s="151" t="s">
        <v>855</v>
      </c>
      <c r="AC571" s="342"/>
    </row>
    <row r="572" spans="1:29">
      <c r="A572" s="151" t="s">
        <v>3593</v>
      </c>
      <c r="B572" s="151" t="s">
        <v>4196</v>
      </c>
      <c r="C572" s="151" t="s">
        <v>4172</v>
      </c>
      <c r="D572" s="151" t="s">
        <v>17</v>
      </c>
      <c r="E572" s="151" t="s">
        <v>4197</v>
      </c>
      <c r="F572" s="151" t="s">
        <v>551</v>
      </c>
      <c r="G572" s="151" t="s">
        <v>2173</v>
      </c>
      <c r="H572" s="151" t="s">
        <v>1183</v>
      </c>
      <c r="I572" s="151" t="s">
        <v>1184</v>
      </c>
      <c r="J572" s="151" t="s">
        <v>796</v>
      </c>
      <c r="K572" s="151" t="s">
        <v>4198</v>
      </c>
      <c r="L572" s="151" t="s">
        <v>4174</v>
      </c>
      <c r="M572" s="151" t="s">
        <v>361</v>
      </c>
      <c r="N572" s="151"/>
      <c r="O572" s="151"/>
      <c r="P572" s="151"/>
      <c r="Q572" s="151"/>
      <c r="R572" s="151" t="s">
        <v>2177</v>
      </c>
      <c r="S572" s="151" t="s">
        <v>361</v>
      </c>
      <c r="T572" s="151" t="s">
        <v>49</v>
      </c>
      <c r="U572" s="151" t="s">
        <v>3582</v>
      </c>
      <c r="V572" s="151" t="s">
        <v>49</v>
      </c>
      <c r="W572" s="151" t="s">
        <v>2635</v>
      </c>
      <c r="X572" s="151" t="s">
        <v>431</v>
      </c>
      <c r="Y572" s="151" t="s">
        <v>3582</v>
      </c>
      <c r="Z572" s="151"/>
      <c r="AA572" s="151"/>
      <c r="AB572" s="151" t="s">
        <v>855</v>
      </c>
      <c r="AC572" s="342"/>
    </row>
    <row r="573" spans="1:29">
      <c r="A573" s="151" t="s">
        <v>3593</v>
      </c>
      <c r="B573" s="151" t="s">
        <v>4199</v>
      </c>
      <c r="C573" s="151" t="s">
        <v>4172</v>
      </c>
      <c r="D573" s="151" t="s">
        <v>17</v>
      </c>
      <c r="E573" s="151" t="s">
        <v>4200</v>
      </c>
      <c r="F573" s="151" t="s">
        <v>551</v>
      </c>
      <c r="G573" s="151" t="s">
        <v>2173</v>
      </c>
      <c r="H573" s="151" t="s">
        <v>1183</v>
      </c>
      <c r="I573" s="151" t="s">
        <v>1184</v>
      </c>
      <c r="J573" s="151" t="s">
        <v>795</v>
      </c>
      <c r="K573" s="151" t="s">
        <v>4198</v>
      </c>
      <c r="L573" s="161" t="s">
        <v>4201</v>
      </c>
      <c r="M573" s="151" t="s">
        <v>361</v>
      </c>
      <c r="N573" s="151"/>
      <c r="O573" s="151"/>
      <c r="P573" s="151"/>
      <c r="Q573" s="151"/>
      <c r="R573" s="151" t="s">
        <v>2177</v>
      </c>
      <c r="S573" s="151" t="s">
        <v>361</v>
      </c>
      <c r="T573" s="151" t="s">
        <v>49</v>
      </c>
      <c r="U573" s="151" t="s">
        <v>3582</v>
      </c>
      <c r="V573" s="151" t="s">
        <v>49</v>
      </c>
      <c r="W573" s="151" t="s">
        <v>2635</v>
      </c>
      <c r="X573" s="151" t="s">
        <v>431</v>
      </c>
      <c r="Y573" s="151" t="s">
        <v>3582</v>
      </c>
      <c r="Z573" s="151"/>
      <c r="AA573" s="151"/>
      <c r="AB573" s="151" t="s">
        <v>855</v>
      </c>
      <c r="AC573" s="342"/>
    </row>
    <row r="574" spans="1:29">
      <c r="A574" s="151" t="s">
        <v>3593</v>
      </c>
      <c r="B574" s="151" t="s">
        <v>4202</v>
      </c>
      <c r="C574" s="151" t="s">
        <v>4172</v>
      </c>
      <c r="D574" s="151" t="s">
        <v>17</v>
      </c>
      <c r="E574" s="151" t="s">
        <v>4203</v>
      </c>
      <c r="F574" s="151" t="s">
        <v>551</v>
      </c>
      <c r="G574" s="151" t="s">
        <v>2173</v>
      </c>
      <c r="H574" s="151" t="s">
        <v>1183</v>
      </c>
      <c r="I574" s="151" t="s">
        <v>1184</v>
      </c>
      <c r="J574" s="151" t="s">
        <v>795</v>
      </c>
      <c r="K574" s="151" t="s">
        <v>4204</v>
      </c>
      <c r="L574" s="161" t="s">
        <v>4201</v>
      </c>
      <c r="M574" s="151" t="s">
        <v>361</v>
      </c>
      <c r="N574" s="151"/>
      <c r="O574" s="151"/>
      <c r="P574" s="151"/>
      <c r="Q574" s="151"/>
      <c r="R574" s="151" t="s">
        <v>2177</v>
      </c>
      <c r="S574" s="151" t="s">
        <v>361</v>
      </c>
      <c r="T574" s="151"/>
      <c r="U574" s="151"/>
      <c r="V574" s="151"/>
      <c r="W574" s="151"/>
      <c r="X574" s="151"/>
      <c r="Y574" s="151"/>
      <c r="Z574" s="151"/>
      <c r="AA574" s="151"/>
      <c r="AB574" s="151"/>
      <c r="AC574" s="342"/>
    </row>
    <row r="575" spans="1:29">
      <c r="A575" s="151" t="s">
        <v>3593</v>
      </c>
      <c r="B575" s="151" t="s">
        <v>4205</v>
      </c>
      <c r="C575" s="151" t="s">
        <v>4172</v>
      </c>
      <c r="D575" s="151" t="s">
        <v>17</v>
      </c>
      <c r="E575" s="151" t="s">
        <v>4206</v>
      </c>
      <c r="F575" s="151" t="s">
        <v>551</v>
      </c>
      <c r="G575" s="151" t="s">
        <v>2173</v>
      </c>
      <c r="H575" s="151" t="s">
        <v>1183</v>
      </c>
      <c r="I575" s="151" t="s">
        <v>1184</v>
      </c>
      <c r="J575" s="151" t="s">
        <v>795</v>
      </c>
      <c r="K575" s="151" t="s">
        <v>1216</v>
      </c>
      <c r="L575" s="161" t="s">
        <v>4201</v>
      </c>
      <c r="M575" s="151" t="s">
        <v>361</v>
      </c>
      <c r="N575" s="151"/>
      <c r="O575" s="151"/>
      <c r="P575" s="151"/>
      <c r="Q575" s="151"/>
      <c r="R575" s="151" t="s">
        <v>2177</v>
      </c>
      <c r="S575" s="151" t="s">
        <v>361</v>
      </c>
      <c r="T575" s="151"/>
      <c r="U575" s="151"/>
      <c r="V575" s="151"/>
      <c r="W575" s="151"/>
      <c r="X575" s="151"/>
      <c r="Y575" s="151"/>
      <c r="Z575" s="151"/>
      <c r="AA575" s="151"/>
      <c r="AB575" s="151"/>
      <c r="AC575" s="342"/>
    </row>
    <row r="576" spans="1:29">
      <c r="A576" s="151" t="s">
        <v>3593</v>
      </c>
      <c r="B576" s="151" t="s">
        <v>2637</v>
      </c>
      <c r="C576" s="151" t="s">
        <v>4172</v>
      </c>
      <c r="D576" s="151" t="s">
        <v>17</v>
      </c>
      <c r="E576" s="151" t="s">
        <v>4207</v>
      </c>
      <c r="F576" s="151" t="s">
        <v>551</v>
      </c>
      <c r="G576" s="151" t="s">
        <v>2173</v>
      </c>
      <c r="H576" s="151" t="s">
        <v>1183</v>
      </c>
      <c r="I576" s="151" t="s">
        <v>1184</v>
      </c>
      <c r="J576" s="151" t="s">
        <v>796</v>
      </c>
      <c r="K576" s="151" t="s">
        <v>4208</v>
      </c>
      <c r="L576" s="151" t="s">
        <v>4174</v>
      </c>
      <c r="M576" s="151" t="s">
        <v>361</v>
      </c>
      <c r="N576" s="151"/>
      <c r="O576" s="151"/>
      <c r="P576" s="151"/>
      <c r="Q576" s="151"/>
      <c r="R576" s="151" t="s">
        <v>2177</v>
      </c>
      <c r="S576" s="151" t="s">
        <v>361</v>
      </c>
      <c r="T576" s="151" t="s">
        <v>49</v>
      </c>
      <c r="U576" s="151" t="s">
        <v>3582</v>
      </c>
      <c r="V576" s="151" t="s">
        <v>49</v>
      </c>
      <c r="W576" s="151" t="s">
        <v>2180</v>
      </c>
      <c r="X576" s="151" t="s">
        <v>431</v>
      </c>
      <c r="Y576" s="151" t="s">
        <v>3582</v>
      </c>
      <c r="Z576" s="151"/>
      <c r="AA576" s="151"/>
      <c r="AB576" s="151" t="s">
        <v>855</v>
      </c>
      <c r="AC576" s="342"/>
    </row>
    <row r="577" spans="1:29">
      <c r="A577" s="151" t="s">
        <v>3593</v>
      </c>
      <c r="B577" s="151" t="s">
        <v>4209</v>
      </c>
      <c r="C577" s="151" t="s">
        <v>4210</v>
      </c>
      <c r="D577" s="151" t="s">
        <v>17</v>
      </c>
      <c r="E577" s="151" t="s">
        <v>4211</v>
      </c>
      <c r="F577" s="151" t="s">
        <v>551</v>
      </c>
      <c r="G577" s="151" t="s">
        <v>2173</v>
      </c>
      <c r="H577" s="151" t="s">
        <v>1183</v>
      </c>
      <c r="I577" s="151" t="s">
        <v>1184</v>
      </c>
      <c r="J577" s="151" t="s">
        <v>795</v>
      </c>
      <c r="K577" s="151" t="s">
        <v>4212</v>
      </c>
      <c r="L577" s="151" t="s">
        <v>4213</v>
      </c>
      <c r="M577" s="151" t="s">
        <v>361</v>
      </c>
      <c r="N577" s="151"/>
      <c r="O577" s="151"/>
      <c r="P577" s="151"/>
      <c r="Q577" s="151"/>
      <c r="R577" s="151" t="s">
        <v>2177</v>
      </c>
      <c r="S577" s="151" t="s">
        <v>361</v>
      </c>
      <c r="T577" s="151" t="s">
        <v>435</v>
      </c>
      <c r="U577" s="151" t="s">
        <v>3582</v>
      </c>
      <c r="V577" s="151" t="s">
        <v>49</v>
      </c>
      <c r="W577" s="151" t="s">
        <v>2250</v>
      </c>
      <c r="X577" s="151" t="s">
        <v>431</v>
      </c>
      <c r="Y577" s="151" t="s">
        <v>3582</v>
      </c>
      <c r="Z577" s="151"/>
      <c r="AA577" s="151"/>
      <c r="AB577" s="151" t="s">
        <v>855</v>
      </c>
      <c r="AC577" s="342"/>
    </row>
    <row r="578" spans="1:29">
      <c r="A578" s="151" t="s">
        <v>3593</v>
      </c>
      <c r="B578" s="151" t="s">
        <v>4214</v>
      </c>
      <c r="C578" s="151" t="s">
        <v>4210</v>
      </c>
      <c r="D578" s="151" t="s">
        <v>17</v>
      </c>
      <c r="E578" s="151" t="s">
        <v>4215</v>
      </c>
      <c r="F578" s="151" t="s">
        <v>551</v>
      </c>
      <c r="G578" s="151" t="s">
        <v>2173</v>
      </c>
      <c r="H578" s="151" t="s">
        <v>1183</v>
      </c>
      <c r="I578" s="151" t="s">
        <v>1184</v>
      </c>
      <c r="J578" s="151" t="s">
        <v>795</v>
      </c>
      <c r="K578" s="151" t="s">
        <v>3662</v>
      </c>
      <c r="L578" s="151" t="s">
        <v>4213</v>
      </c>
      <c r="M578" s="151" t="s">
        <v>361</v>
      </c>
      <c r="N578" s="151"/>
      <c r="O578" s="151"/>
      <c r="P578" s="151"/>
      <c r="Q578" s="151"/>
      <c r="R578" s="151" t="s">
        <v>2177</v>
      </c>
      <c r="S578" s="151" t="s">
        <v>361</v>
      </c>
      <c r="T578" s="151" t="s">
        <v>435</v>
      </c>
      <c r="U578" s="151" t="s">
        <v>2507</v>
      </c>
      <c r="V578" s="151" t="s">
        <v>49</v>
      </c>
      <c r="W578" s="151" t="s">
        <v>2507</v>
      </c>
      <c r="X578" s="151" t="s">
        <v>431</v>
      </c>
      <c r="Y578" s="151" t="s">
        <v>2507</v>
      </c>
      <c r="Z578" s="151"/>
      <c r="AA578" s="151"/>
      <c r="AB578" s="151" t="s">
        <v>855</v>
      </c>
      <c r="AC578" s="342"/>
    </row>
    <row r="579" spans="1:29">
      <c r="A579" s="151" t="s">
        <v>3593</v>
      </c>
      <c r="B579" s="151" t="s">
        <v>4216</v>
      </c>
      <c r="C579" s="151" t="s">
        <v>4210</v>
      </c>
      <c r="D579" s="151" t="s">
        <v>17</v>
      </c>
      <c r="E579" s="151" t="s">
        <v>4217</v>
      </c>
      <c r="F579" s="151" t="s">
        <v>551</v>
      </c>
      <c r="G579" s="151" t="s">
        <v>2173</v>
      </c>
      <c r="H579" s="151" t="s">
        <v>1183</v>
      </c>
      <c r="I579" s="151" t="s">
        <v>1184</v>
      </c>
      <c r="J579" s="151" t="s">
        <v>795</v>
      </c>
      <c r="K579" s="151" t="s">
        <v>4218</v>
      </c>
      <c r="L579" s="151" t="s">
        <v>4213</v>
      </c>
      <c r="M579" s="151" t="s">
        <v>361</v>
      </c>
      <c r="N579" s="151"/>
      <c r="O579" s="151"/>
      <c r="P579" s="151"/>
      <c r="Q579" s="151"/>
      <c r="R579" s="151" t="s">
        <v>2177</v>
      </c>
      <c r="S579" s="151" t="s">
        <v>361</v>
      </c>
      <c r="T579" s="151" t="s">
        <v>49</v>
      </c>
      <c r="U579" s="151" t="s">
        <v>2507</v>
      </c>
      <c r="V579" s="151" t="s">
        <v>49</v>
      </c>
      <c r="W579" s="151" t="s">
        <v>2507</v>
      </c>
      <c r="X579" s="151" t="s">
        <v>49</v>
      </c>
      <c r="Y579" s="151" t="s">
        <v>2507</v>
      </c>
      <c r="Z579" s="151"/>
      <c r="AA579" s="151"/>
      <c r="AB579" s="151" t="s">
        <v>855</v>
      </c>
      <c r="AC579" s="342"/>
    </row>
    <row r="580" spans="1:29">
      <c r="A580" s="151" t="s">
        <v>3593</v>
      </c>
      <c r="B580" s="151" t="s">
        <v>4219</v>
      </c>
      <c r="C580" s="151" t="s">
        <v>4210</v>
      </c>
      <c r="D580" s="151" t="s">
        <v>17</v>
      </c>
      <c r="E580" s="151" t="s">
        <v>4220</v>
      </c>
      <c r="F580" s="151" t="s">
        <v>551</v>
      </c>
      <c r="G580" s="151" t="s">
        <v>2173</v>
      </c>
      <c r="H580" s="151" t="s">
        <v>1183</v>
      </c>
      <c r="I580" s="151" t="s">
        <v>1184</v>
      </c>
      <c r="J580" s="151" t="s">
        <v>795</v>
      </c>
      <c r="K580" s="151" t="s">
        <v>4218</v>
      </c>
      <c r="L580" s="151" t="s">
        <v>4213</v>
      </c>
      <c r="M580" s="151" t="s">
        <v>4221</v>
      </c>
      <c r="N580" s="151"/>
      <c r="O580" s="151"/>
      <c r="P580" s="151"/>
      <c r="Q580" s="151"/>
      <c r="R580" s="151" t="s">
        <v>2177</v>
      </c>
      <c r="S580" s="151" t="s">
        <v>361</v>
      </c>
      <c r="T580" s="151" t="s">
        <v>49</v>
      </c>
      <c r="U580" s="151" t="s">
        <v>2507</v>
      </c>
      <c r="V580" s="151" t="s">
        <v>49</v>
      </c>
      <c r="W580" s="151" t="s">
        <v>2507</v>
      </c>
      <c r="X580" s="151" t="s">
        <v>49</v>
      </c>
      <c r="Y580" s="151" t="s">
        <v>2507</v>
      </c>
      <c r="Z580" s="151"/>
      <c r="AA580" s="151"/>
      <c r="AB580" s="151" t="s">
        <v>855</v>
      </c>
      <c r="AC580" s="342"/>
    </row>
    <row r="581" spans="1:29">
      <c r="A581" s="151" t="s">
        <v>3593</v>
      </c>
      <c r="B581" s="151" t="s">
        <v>4222</v>
      </c>
      <c r="C581" s="151" t="s">
        <v>4210</v>
      </c>
      <c r="D581" s="151" t="s">
        <v>17</v>
      </c>
      <c r="E581" s="151" t="s">
        <v>4223</v>
      </c>
      <c r="F581" s="151" t="s">
        <v>551</v>
      </c>
      <c r="G581" s="151" t="s">
        <v>2173</v>
      </c>
      <c r="H581" s="151" t="s">
        <v>1183</v>
      </c>
      <c r="I581" s="151" t="s">
        <v>1184</v>
      </c>
      <c r="J581" s="151" t="s">
        <v>795</v>
      </c>
      <c r="K581" s="151" t="s">
        <v>4224</v>
      </c>
      <c r="L581" s="151" t="s">
        <v>4213</v>
      </c>
      <c r="M581" s="151" t="s">
        <v>361</v>
      </c>
      <c r="N581" s="151"/>
      <c r="O581" s="151"/>
      <c r="P581" s="151"/>
      <c r="Q581" s="151"/>
      <c r="R581" s="151" t="s">
        <v>2177</v>
      </c>
      <c r="S581" s="151" t="s">
        <v>361</v>
      </c>
      <c r="T581" s="151" t="s">
        <v>435</v>
      </c>
      <c r="U581" s="151" t="s">
        <v>2400</v>
      </c>
      <c r="V581" s="151" t="s">
        <v>49</v>
      </c>
      <c r="W581" s="151" t="s">
        <v>2400</v>
      </c>
      <c r="X581" s="151" t="s">
        <v>431</v>
      </c>
      <c r="Y581" s="151" t="s">
        <v>2400</v>
      </c>
      <c r="Z581" s="151"/>
      <c r="AA581" s="151"/>
      <c r="AB581" s="151" t="s">
        <v>855</v>
      </c>
      <c r="AC581" s="342"/>
    </row>
    <row r="582" spans="1:29">
      <c r="A582" s="151" t="s">
        <v>3593</v>
      </c>
      <c r="B582" s="151" t="s">
        <v>4175</v>
      </c>
      <c r="C582" s="151" t="s">
        <v>4210</v>
      </c>
      <c r="D582" s="151" t="s">
        <v>17</v>
      </c>
      <c r="E582" s="151" t="s">
        <v>4225</v>
      </c>
      <c r="F582" s="151" t="s">
        <v>551</v>
      </c>
      <c r="G582" s="151" t="s">
        <v>2173</v>
      </c>
      <c r="H582" s="151" t="s">
        <v>1183</v>
      </c>
      <c r="I582" s="151" t="s">
        <v>1184</v>
      </c>
      <c r="J582" s="151" t="s">
        <v>795</v>
      </c>
      <c r="K582" s="151" t="s">
        <v>4177</v>
      </c>
      <c r="L582" s="151" t="s">
        <v>4213</v>
      </c>
      <c r="M582" s="151" t="s">
        <v>361</v>
      </c>
      <c r="N582" s="151"/>
      <c r="O582" s="151"/>
      <c r="P582" s="151"/>
      <c r="Q582" s="151"/>
      <c r="R582" s="151" t="s">
        <v>2177</v>
      </c>
      <c r="S582" s="151" t="s">
        <v>361</v>
      </c>
      <c r="T582" s="151" t="s">
        <v>435</v>
      </c>
      <c r="U582" s="151" t="s">
        <v>3582</v>
      </c>
      <c r="V582" s="151" t="s">
        <v>49</v>
      </c>
      <c r="W582" s="151" t="s">
        <v>4178</v>
      </c>
      <c r="X582" s="151" t="s">
        <v>431</v>
      </c>
      <c r="Y582" s="151" t="s">
        <v>3582</v>
      </c>
      <c r="Z582" s="151"/>
      <c r="AA582" s="151"/>
      <c r="AB582" s="151" t="s">
        <v>855</v>
      </c>
      <c r="AC582" s="342"/>
    </row>
    <row r="583" spans="1:29">
      <c r="A583" s="151" t="s">
        <v>3593</v>
      </c>
      <c r="B583" s="151" t="s">
        <v>4183</v>
      </c>
      <c r="C583" s="151" t="s">
        <v>4210</v>
      </c>
      <c r="D583" s="151" t="s">
        <v>17</v>
      </c>
      <c r="E583" s="151" t="s">
        <v>4226</v>
      </c>
      <c r="F583" s="151" t="s">
        <v>551</v>
      </c>
      <c r="G583" s="151" t="s">
        <v>2173</v>
      </c>
      <c r="H583" s="151" t="s">
        <v>1183</v>
      </c>
      <c r="I583" s="151" t="s">
        <v>1184</v>
      </c>
      <c r="J583" s="151" t="s">
        <v>795</v>
      </c>
      <c r="K583" s="151" t="s">
        <v>4185</v>
      </c>
      <c r="L583" s="151" t="s">
        <v>4213</v>
      </c>
      <c r="M583" s="151" t="s">
        <v>361</v>
      </c>
      <c r="N583" s="151"/>
      <c r="O583" s="151"/>
      <c r="P583" s="151"/>
      <c r="Q583" s="151"/>
      <c r="R583" s="151" t="s">
        <v>2177</v>
      </c>
      <c r="S583" s="151" t="s">
        <v>361</v>
      </c>
      <c r="T583" s="151" t="s">
        <v>435</v>
      </c>
      <c r="U583" s="151" t="s">
        <v>3582</v>
      </c>
      <c r="V583" s="151" t="s">
        <v>49</v>
      </c>
      <c r="W583" s="151" t="s">
        <v>2250</v>
      </c>
      <c r="X583" s="151" t="s">
        <v>431</v>
      </c>
      <c r="Y583" s="151" t="s">
        <v>3582</v>
      </c>
      <c r="Z583" s="151"/>
      <c r="AA583" s="151"/>
      <c r="AB583" s="151" t="s">
        <v>855</v>
      </c>
      <c r="AC583" s="342"/>
    </row>
    <row r="584" spans="1:29">
      <c r="A584" s="151" t="s">
        <v>3593</v>
      </c>
      <c r="B584" s="151" t="s">
        <v>2350</v>
      </c>
      <c r="C584" s="151" t="s">
        <v>4210</v>
      </c>
      <c r="D584" s="151" t="s">
        <v>17</v>
      </c>
      <c r="E584" s="151" t="s">
        <v>4227</v>
      </c>
      <c r="F584" s="151" t="s">
        <v>551</v>
      </c>
      <c r="G584" s="151" t="s">
        <v>2173</v>
      </c>
      <c r="H584" s="151" t="s">
        <v>1183</v>
      </c>
      <c r="I584" s="151" t="s">
        <v>1184</v>
      </c>
      <c r="J584" s="151" t="s">
        <v>795</v>
      </c>
      <c r="K584" s="151" t="s">
        <v>4182</v>
      </c>
      <c r="L584" s="151" t="s">
        <v>4213</v>
      </c>
      <c r="M584" s="151" t="s">
        <v>361</v>
      </c>
      <c r="N584" s="151"/>
      <c r="O584" s="151"/>
      <c r="P584" s="151"/>
      <c r="Q584" s="151"/>
      <c r="R584" s="151" t="s">
        <v>2177</v>
      </c>
      <c r="S584" s="151" t="s">
        <v>361</v>
      </c>
      <c r="T584" s="151" t="s">
        <v>435</v>
      </c>
      <c r="U584" s="151" t="s">
        <v>2400</v>
      </c>
      <c r="V584" s="151" t="s">
        <v>49</v>
      </c>
      <c r="W584" s="151" t="s">
        <v>2400</v>
      </c>
      <c r="X584" s="151" t="s">
        <v>431</v>
      </c>
      <c r="Y584" s="151" t="s">
        <v>2400</v>
      </c>
      <c r="Z584" s="151"/>
      <c r="AA584" s="151"/>
      <c r="AB584" s="151" t="s">
        <v>855</v>
      </c>
      <c r="AC584" s="342"/>
    </row>
    <row r="585" spans="1:29">
      <c r="A585" s="151" t="s">
        <v>3593</v>
      </c>
      <c r="B585" s="151" t="s">
        <v>4186</v>
      </c>
      <c r="C585" s="151" t="s">
        <v>4210</v>
      </c>
      <c r="D585" s="151" t="s">
        <v>17</v>
      </c>
      <c r="E585" s="151" t="s">
        <v>4228</v>
      </c>
      <c r="F585" s="151" t="s">
        <v>551</v>
      </c>
      <c r="G585" s="151" t="s">
        <v>2173</v>
      </c>
      <c r="H585" s="151" t="s">
        <v>1183</v>
      </c>
      <c r="I585" s="151" t="s">
        <v>1184</v>
      </c>
      <c r="J585" s="151" t="s">
        <v>795</v>
      </c>
      <c r="K585" s="151" t="s">
        <v>4188</v>
      </c>
      <c r="L585" s="151" t="s">
        <v>4213</v>
      </c>
      <c r="M585" s="151" t="s">
        <v>361</v>
      </c>
      <c r="N585" s="151"/>
      <c r="O585" s="151"/>
      <c r="P585" s="151"/>
      <c r="Q585" s="151"/>
      <c r="R585" s="151" t="s">
        <v>2177</v>
      </c>
      <c r="S585" s="151" t="s">
        <v>361</v>
      </c>
      <c r="T585" s="151" t="s">
        <v>435</v>
      </c>
      <c r="U585" s="151" t="s">
        <v>3582</v>
      </c>
      <c r="V585" s="151" t="s">
        <v>49</v>
      </c>
      <c r="W585" s="151" t="s">
        <v>2257</v>
      </c>
      <c r="X585" s="151" t="s">
        <v>431</v>
      </c>
      <c r="Y585" s="151" t="s">
        <v>3582</v>
      </c>
      <c r="Z585" s="151"/>
      <c r="AA585" s="151"/>
      <c r="AB585" s="151" t="s">
        <v>855</v>
      </c>
      <c r="AC585" s="342"/>
    </row>
    <row r="586" spans="1:29">
      <c r="A586" s="151" t="s">
        <v>3593</v>
      </c>
      <c r="B586" s="151" t="s">
        <v>4189</v>
      </c>
      <c r="C586" s="151" t="s">
        <v>4210</v>
      </c>
      <c r="D586" s="151" t="s">
        <v>17</v>
      </c>
      <c r="E586" s="151" t="s">
        <v>4229</v>
      </c>
      <c r="F586" s="151" t="s">
        <v>551</v>
      </c>
      <c r="G586" s="151" t="s">
        <v>2173</v>
      </c>
      <c r="H586" s="151" t="s">
        <v>1183</v>
      </c>
      <c r="I586" s="151" t="s">
        <v>1184</v>
      </c>
      <c r="J586" s="151" t="s">
        <v>795</v>
      </c>
      <c r="K586" s="151" t="s">
        <v>4191</v>
      </c>
      <c r="L586" s="151" t="s">
        <v>4213</v>
      </c>
      <c r="M586" s="151" t="s">
        <v>361</v>
      </c>
      <c r="N586" s="151"/>
      <c r="O586" s="151"/>
      <c r="P586" s="151"/>
      <c r="Q586" s="151"/>
      <c r="R586" s="151" t="s">
        <v>2177</v>
      </c>
      <c r="S586" s="151" t="s">
        <v>361</v>
      </c>
      <c r="T586" s="151" t="s">
        <v>435</v>
      </c>
      <c r="U586" s="151" t="s">
        <v>3582</v>
      </c>
      <c r="V586" s="151" t="s">
        <v>49</v>
      </c>
      <c r="W586" s="151" t="s">
        <v>2257</v>
      </c>
      <c r="X586" s="151" t="s">
        <v>431</v>
      </c>
      <c r="Y586" s="151" t="s">
        <v>3582</v>
      </c>
      <c r="Z586" s="151"/>
      <c r="AA586" s="151"/>
      <c r="AB586" s="151" t="s">
        <v>855</v>
      </c>
      <c r="AC586" s="342"/>
    </row>
    <row r="587" spans="1:29">
      <c r="A587" s="151" t="s">
        <v>3593</v>
      </c>
      <c r="B587" s="151" t="s">
        <v>2769</v>
      </c>
      <c r="C587" s="151" t="s">
        <v>4210</v>
      </c>
      <c r="D587" s="151" t="s">
        <v>17</v>
      </c>
      <c r="E587" s="151" t="s">
        <v>4230</v>
      </c>
      <c r="F587" s="151" t="s">
        <v>551</v>
      </c>
      <c r="G587" s="151" t="s">
        <v>2173</v>
      </c>
      <c r="H587" s="151" t="s">
        <v>1183</v>
      </c>
      <c r="I587" s="151" t="s">
        <v>1184</v>
      </c>
      <c r="J587" s="151" t="s">
        <v>795</v>
      </c>
      <c r="K587" s="151" t="s">
        <v>4193</v>
      </c>
      <c r="L587" s="151" t="s">
        <v>4213</v>
      </c>
      <c r="M587" s="151" t="s">
        <v>361</v>
      </c>
      <c r="N587" s="151"/>
      <c r="O587" s="151"/>
      <c r="P587" s="151"/>
      <c r="Q587" s="151"/>
      <c r="R587" s="151" t="s">
        <v>2177</v>
      </c>
      <c r="S587" s="151" t="s">
        <v>361</v>
      </c>
      <c r="T587" s="151" t="s">
        <v>435</v>
      </c>
      <c r="U587" s="151" t="s">
        <v>3582</v>
      </c>
      <c r="V587" s="151" t="s">
        <v>49</v>
      </c>
      <c r="W587" s="151" t="s">
        <v>2257</v>
      </c>
      <c r="X587" s="151" t="s">
        <v>431</v>
      </c>
      <c r="Y587" s="151" t="s">
        <v>3582</v>
      </c>
      <c r="Z587" s="151"/>
      <c r="AA587" s="151"/>
      <c r="AB587" s="151" t="s">
        <v>855</v>
      </c>
      <c r="AC587" s="342"/>
    </row>
    <row r="588" spans="1:29">
      <c r="A588" s="151" t="s">
        <v>3593</v>
      </c>
      <c r="B588" s="151" t="s">
        <v>2637</v>
      </c>
      <c r="C588" s="151" t="s">
        <v>4210</v>
      </c>
      <c r="D588" s="151" t="s">
        <v>17</v>
      </c>
      <c r="E588" s="151" t="s">
        <v>4231</v>
      </c>
      <c r="F588" s="151" t="s">
        <v>551</v>
      </c>
      <c r="G588" s="151" t="s">
        <v>2173</v>
      </c>
      <c r="H588" s="151" t="s">
        <v>1183</v>
      </c>
      <c r="I588" s="151" t="s">
        <v>1184</v>
      </c>
      <c r="J588" s="151" t="s">
        <v>795</v>
      </c>
      <c r="K588" s="151" t="s">
        <v>4195</v>
      </c>
      <c r="L588" s="151" t="s">
        <v>4213</v>
      </c>
      <c r="M588" s="151" t="s">
        <v>361</v>
      </c>
      <c r="N588" s="151"/>
      <c r="O588" s="151"/>
      <c r="P588" s="151"/>
      <c r="Q588" s="151"/>
      <c r="R588" s="151" t="s">
        <v>2177</v>
      </c>
      <c r="S588" s="151" t="s">
        <v>361</v>
      </c>
      <c r="T588" s="151" t="s">
        <v>435</v>
      </c>
      <c r="U588" s="151" t="s">
        <v>3582</v>
      </c>
      <c r="V588" s="151" t="s">
        <v>49</v>
      </c>
      <c r="W588" s="151" t="s">
        <v>2635</v>
      </c>
      <c r="X588" s="151" t="s">
        <v>431</v>
      </c>
      <c r="Y588" s="151" t="s">
        <v>3582</v>
      </c>
      <c r="Z588" s="151"/>
      <c r="AA588" s="151"/>
      <c r="AB588" s="151" t="s">
        <v>855</v>
      </c>
      <c r="AC588" s="342"/>
    </row>
    <row r="589" spans="1:29">
      <c r="A589" s="151" t="s">
        <v>3593</v>
      </c>
      <c r="B589" s="151" t="s">
        <v>2364</v>
      </c>
      <c r="C589" s="151" t="s">
        <v>4210</v>
      </c>
      <c r="D589" s="151" t="s">
        <v>17</v>
      </c>
      <c r="E589" s="151" t="s">
        <v>4232</v>
      </c>
      <c r="F589" s="151" t="s">
        <v>551</v>
      </c>
      <c r="G589" s="151" t="s">
        <v>2173</v>
      </c>
      <c r="H589" s="151" t="s">
        <v>1183</v>
      </c>
      <c r="I589" s="151" t="s">
        <v>1184</v>
      </c>
      <c r="J589" s="151" t="s">
        <v>795</v>
      </c>
      <c r="K589" s="151" t="s">
        <v>4198</v>
      </c>
      <c r="L589" s="151" t="s">
        <v>4213</v>
      </c>
      <c r="M589" s="151" t="s">
        <v>361</v>
      </c>
      <c r="N589" s="151"/>
      <c r="O589" s="151"/>
      <c r="P589" s="151"/>
      <c r="Q589" s="151"/>
      <c r="R589" s="151" t="s">
        <v>2177</v>
      </c>
      <c r="S589" s="151" t="s">
        <v>361</v>
      </c>
      <c r="T589" s="151" t="s">
        <v>435</v>
      </c>
      <c r="U589" s="151" t="s">
        <v>3582</v>
      </c>
      <c r="V589" s="151" t="s">
        <v>49</v>
      </c>
      <c r="W589" s="151" t="s">
        <v>2635</v>
      </c>
      <c r="X589" s="151" t="s">
        <v>431</v>
      </c>
      <c r="Y589" s="151" t="s">
        <v>3582</v>
      </c>
      <c r="Z589" s="151"/>
      <c r="AA589" s="151"/>
      <c r="AB589" s="151" t="s">
        <v>855</v>
      </c>
      <c r="AC589" s="342"/>
    </row>
    <row r="590" spans="1:29">
      <c r="A590" s="151" t="s">
        <v>3593</v>
      </c>
      <c r="B590" s="151" t="s">
        <v>4196</v>
      </c>
      <c r="C590" s="151" t="s">
        <v>4210</v>
      </c>
      <c r="D590" s="151" t="s">
        <v>17</v>
      </c>
      <c r="E590" s="151" t="s">
        <v>4233</v>
      </c>
      <c r="F590" s="151" t="s">
        <v>551</v>
      </c>
      <c r="G590" s="151" t="s">
        <v>2173</v>
      </c>
      <c r="H590" s="151" t="s">
        <v>1183</v>
      </c>
      <c r="I590" s="151" t="s">
        <v>1184</v>
      </c>
      <c r="J590" s="151" t="s">
        <v>795</v>
      </c>
      <c r="K590" s="151" t="s">
        <v>4234</v>
      </c>
      <c r="L590" s="151" t="s">
        <v>4213</v>
      </c>
      <c r="M590" s="151" t="s">
        <v>361</v>
      </c>
      <c r="N590" s="151"/>
      <c r="O590" s="151"/>
      <c r="P590" s="151"/>
      <c r="Q590" s="151"/>
      <c r="R590" s="151" t="s">
        <v>2177</v>
      </c>
      <c r="S590" s="151" t="s">
        <v>361</v>
      </c>
      <c r="T590" s="151" t="s">
        <v>435</v>
      </c>
      <c r="U590" s="151" t="s">
        <v>3582</v>
      </c>
      <c r="V590" s="151" t="s">
        <v>49</v>
      </c>
      <c r="W590" s="151" t="s">
        <v>2635</v>
      </c>
      <c r="X590" s="151" t="s">
        <v>431</v>
      </c>
      <c r="Y590" s="151" t="s">
        <v>3582</v>
      </c>
      <c r="Z590" s="151"/>
      <c r="AA590" s="151"/>
      <c r="AB590" s="151" t="s">
        <v>855</v>
      </c>
      <c r="AC590" s="342"/>
    </row>
    <row r="591" spans="1:29">
      <c r="A591" s="151" t="s">
        <v>3593</v>
      </c>
      <c r="B591" s="151" t="s">
        <v>4202</v>
      </c>
      <c r="C591" s="151" t="s">
        <v>4210</v>
      </c>
      <c r="D591" s="151" t="s">
        <v>17</v>
      </c>
      <c r="E591" s="151" t="s">
        <v>4235</v>
      </c>
      <c r="F591" s="151" t="s">
        <v>551</v>
      </c>
      <c r="G591" s="151" t="s">
        <v>2173</v>
      </c>
      <c r="H591" s="151" t="s">
        <v>1183</v>
      </c>
      <c r="I591" s="151" t="s">
        <v>1184</v>
      </c>
      <c r="J591" s="151" t="s">
        <v>795</v>
      </c>
      <c r="K591" s="151" t="s">
        <v>4204</v>
      </c>
      <c r="L591" s="151" t="s">
        <v>4213</v>
      </c>
      <c r="M591" s="151" t="s">
        <v>361</v>
      </c>
      <c r="N591" s="151"/>
      <c r="O591" s="151"/>
      <c r="P591" s="151"/>
      <c r="Q591" s="151"/>
      <c r="R591" s="151" t="s">
        <v>2177</v>
      </c>
      <c r="S591" s="151" t="s">
        <v>361</v>
      </c>
      <c r="T591" s="151" t="s">
        <v>435</v>
      </c>
      <c r="U591" s="151" t="s">
        <v>2400</v>
      </c>
      <c r="V591" s="151" t="s">
        <v>49</v>
      </c>
      <c r="W591" s="151" t="s">
        <v>2400</v>
      </c>
      <c r="X591" s="151" t="s">
        <v>431</v>
      </c>
      <c r="Y591" s="151" t="s">
        <v>2400</v>
      </c>
      <c r="Z591" s="151"/>
      <c r="AA591" s="151"/>
      <c r="AB591" s="151" t="s">
        <v>855</v>
      </c>
      <c r="AC591" s="342"/>
    </row>
    <row r="592" spans="1:29">
      <c r="A592" s="151" t="s">
        <v>3593</v>
      </c>
      <c r="B592" s="151" t="s">
        <v>4205</v>
      </c>
      <c r="C592" s="151" t="s">
        <v>4210</v>
      </c>
      <c r="D592" s="151" t="s">
        <v>17</v>
      </c>
      <c r="E592" s="151" t="s">
        <v>4236</v>
      </c>
      <c r="F592" s="151" t="s">
        <v>551</v>
      </c>
      <c r="G592" s="151" t="s">
        <v>2173</v>
      </c>
      <c r="H592" s="151" t="s">
        <v>1183</v>
      </c>
      <c r="I592" s="151" t="s">
        <v>1184</v>
      </c>
      <c r="J592" s="151" t="s">
        <v>795</v>
      </c>
      <c r="K592" s="151" t="s">
        <v>1216</v>
      </c>
      <c r="L592" s="151" t="s">
        <v>4213</v>
      </c>
      <c r="M592" s="151" t="s">
        <v>361</v>
      </c>
      <c r="N592" s="151"/>
      <c r="O592" s="151"/>
      <c r="P592" s="151"/>
      <c r="Q592" s="151"/>
      <c r="R592" s="151" t="s">
        <v>2177</v>
      </c>
      <c r="S592" s="151" t="s">
        <v>361</v>
      </c>
      <c r="T592" s="151" t="s">
        <v>435</v>
      </c>
      <c r="U592" s="151" t="s">
        <v>2400</v>
      </c>
      <c r="V592" s="151" t="s">
        <v>49</v>
      </c>
      <c r="W592" s="151" t="s">
        <v>2400</v>
      </c>
      <c r="X592" s="151" t="s">
        <v>431</v>
      </c>
      <c r="Y592" s="151" t="s">
        <v>2400</v>
      </c>
      <c r="Z592" s="151"/>
      <c r="AA592" s="151"/>
      <c r="AB592" s="151" t="s">
        <v>855</v>
      </c>
      <c r="AC592" s="342"/>
    </row>
    <row r="593" spans="1:29">
      <c r="A593" s="151" t="s">
        <v>3593</v>
      </c>
      <c r="B593" s="151" t="s">
        <v>4237</v>
      </c>
      <c r="C593" s="151" t="s">
        <v>4238</v>
      </c>
      <c r="D593" s="151" t="s">
        <v>17</v>
      </c>
      <c r="E593" s="151" t="s">
        <v>4239</v>
      </c>
      <c r="F593" s="151" t="s">
        <v>544</v>
      </c>
      <c r="G593" s="151" t="s">
        <v>2173</v>
      </c>
      <c r="H593" s="151" t="s">
        <v>1183</v>
      </c>
      <c r="I593" s="151" t="s">
        <v>1184</v>
      </c>
      <c r="J593" s="151" t="s">
        <v>4240</v>
      </c>
      <c r="K593" s="151" t="s">
        <v>1190</v>
      </c>
      <c r="L593" s="151" t="s">
        <v>4241</v>
      </c>
      <c r="M593" s="151" t="s">
        <v>361</v>
      </c>
      <c r="N593" s="151"/>
      <c r="O593" s="151"/>
      <c r="P593" s="151"/>
      <c r="Q593" s="151"/>
      <c r="R593" s="151" t="s">
        <v>2177</v>
      </c>
      <c r="S593" s="151" t="s">
        <v>361</v>
      </c>
      <c r="T593" s="151" t="s">
        <v>2213</v>
      </c>
      <c r="U593" s="151" t="s">
        <v>2207</v>
      </c>
      <c r="V593" s="151">
        <v>10</v>
      </c>
      <c r="W593" s="151" t="s">
        <v>2207</v>
      </c>
      <c r="X593" s="151" t="s">
        <v>2445</v>
      </c>
      <c r="Y593" s="151" t="s">
        <v>2207</v>
      </c>
      <c r="Z593" s="151"/>
      <c r="AA593" s="151"/>
      <c r="AB593" s="151" t="s">
        <v>855</v>
      </c>
      <c r="AC593" s="342"/>
    </row>
    <row r="594" spans="1:29">
      <c r="A594" s="151" t="s">
        <v>3593</v>
      </c>
      <c r="B594" s="151" t="s">
        <v>4242</v>
      </c>
      <c r="C594" s="151" t="s">
        <v>4238</v>
      </c>
      <c r="D594" s="151" t="s">
        <v>17</v>
      </c>
      <c r="E594" s="151" t="s">
        <v>4243</v>
      </c>
      <c r="F594" s="151" t="s">
        <v>544</v>
      </c>
      <c r="G594" s="151" t="s">
        <v>2173</v>
      </c>
      <c r="H594" s="151" t="s">
        <v>1183</v>
      </c>
      <c r="I594" s="151" t="s">
        <v>1184</v>
      </c>
      <c r="J594" s="151" t="s">
        <v>802</v>
      </c>
      <c r="K594" s="151" t="s">
        <v>4244</v>
      </c>
      <c r="L594" s="151" t="s">
        <v>4245</v>
      </c>
      <c r="M594" s="151" t="s">
        <v>361</v>
      </c>
      <c r="N594" s="151"/>
      <c r="O594" s="151"/>
      <c r="P594" s="151"/>
      <c r="Q594" s="151"/>
      <c r="R594" s="151" t="s">
        <v>2177</v>
      </c>
      <c r="S594" s="151" t="s">
        <v>361</v>
      </c>
      <c r="T594" s="151" t="s">
        <v>2213</v>
      </c>
      <c r="U594" s="151" t="s">
        <v>2207</v>
      </c>
      <c r="V594" s="151">
        <v>10</v>
      </c>
      <c r="W594" s="151" t="s">
        <v>2207</v>
      </c>
      <c r="X594" s="151" t="s">
        <v>2445</v>
      </c>
      <c r="Y594" s="151" t="s">
        <v>2207</v>
      </c>
      <c r="Z594" s="151"/>
      <c r="AA594" s="151"/>
      <c r="AB594" s="151" t="s">
        <v>855</v>
      </c>
      <c r="AC594" s="342"/>
    </row>
    <row r="595" spans="1:29">
      <c r="A595" s="151" t="s">
        <v>3593</v>
      </c>
      <c r="B595" s="151" t="s">
        <v>4246</v>
      </c>
      <c r="C595" s="151" t="s">
        <v>4238</v>
      </c>
      <c r="D595" s="151" t="s">
        <v>17</v>
      </c>
      <c r="E595" s="151" t="s">
        <v>4247</v>
      </c>
      <c r="F595" s="151" t="s">
        <v>544</v>
      </c>
      <c r="G595" s="151" t="s">
        <v>2173</v>
      </c>
      <c r="H595" s="151" t="s">
        <v>1183</v>
      </c>
      <c r="I595" s="151" t="s">
        <v>1184</v>
      </c>
      <c r="J595" s="151" t="s">
        <v>802</v>
      </c>
      <c r="K595" s="151" t="s">
        <v>4248</v>
      </c>
      <c r="L595" s="151" t="s">
        <v>4245</v>
      </c>
      <c r="M595" s="151" t="s">
        <v>361</v>
      </c>
      <c r="N595" s="151"/>
      <c r="O595" s="151"/>
      <c r="P595" s="151"/>
      <c r="Q595" s="151"/>
      <c r="R595" s="151" t="s">
        <v>2177</v>
      </c>
      <c r="S595" s="151" t="s">
        <v>361</v>
      </c>
      <c r="T595" s="151" t="s">
        <v>2213</v>
      </c>
      <c r="U595" s="151" t="s">
        <v>3582</v>
      </c>
      <c r="V595" s="151">
        <v>25</v>
      </c>
      <c r="W595" s="151" t="s">
        <v>2250</v>
      </c>
      <c r="X595" s="151" t="s">
        <v>2445</v>
      </c>
      <c r="Y595" s="151" t="s">
        <v>3582</v>
      </c>
      <c r="Z595" s="151"/>
      <c r="AA595" s="151"/>
      <c r="AB595" s="151" t="s">
        <v>855</v>
      </c>
      <c r="AC595" s="342"/>
    </row>
    <row r="596" spans="1:29">
      <c r="A596" s="151" t="s">
        <v>3593</v>
      </c>
      <c r="B596" s="151" t="s">
        <v>4249</v>
      </c>
      <c r="C596" s="151" t="s">
        <v>4238</v>
      </c>
      <c r="D596" s="151" t="s">
        <v>17</v>
      </c>
      <c r="E596" s="151" t="s">
        <v>4250</v>
      </c>
      <c r="F596" s="151" t="s">
        <v>544</v>
      </c>
      <c r="G596" s="151" t="s">
        <v>2173</v>
      </c>
      <c r="H596" s="151" t="s">
        <v>1183</v>
      </c>
      <c r="I596" s="151" t="s">
        <v>1184</v>
      </c>
      <c r="J596" s="151" t="s">
        <v>802</v>
      </c>
      <c r="K596" s="151" t="s">
        <v>4251</v>
      </c>
      <c r="L596" s="151" t="s">
        <v>4245</v>
      </c>
      <c r="M596" s="151" t="s">
        <v>361</v>
      </c>
      <c r="N596" s="151"/>
      <c r="O596" s="151"/>
      <c r="P596" s="151"/>
      <c r="Q596" s="151"/>
      <c r="R596" s="151" t="s">
        <v>2177</v>
      </c>
      <c r="S596" s="151" t="s">
        <v>361</v>
      </c>
      <c r="T596" s="151" t="s">
        <v>2213</v>
      </c>
      <c r="U596" s="151" t="s">
        <v>3608</v>
      </c>
      <c r="V596" s="151">
        <v>25</v>
      </c>
      <c r="W596" s="151" t="s">
        <v>4252</v>
      </c>
      <c r="X596" s="151" t="s">
        <v>2445</v>
      </c>
      <c r="Y596" s="151" t="s">
        <v>3608</v>
      </c>
      <c r="Z596" s="151"/>
      <c r="AA596" s="151"/>
      <c r="AB596" s="151" t="s">
        <v>855</v>
      </c>
      <c r="AC596" s="342"/>
    </row>
    <row r="597" spans="1:29">
      <c r="A597" s="151" t="s">
        <v>3593</v>
      </c>
      <c r="B597" s="151" t="s">
        <v>4253</v>
      </c>
      <c r="C597" s="151" t="s">
        <v>4238</v>
      </c>
      <c r="D597" s="151" t="s">
        <v>17</v>
      </c>
      <c r="E597" s="151" t="s">
        <v>4254</v>
      </c>
      <c r="F597" s="151" t="s">
        <v>544</v>
      </c>
      <c r="G597" s="151" t="s">
        <v>2173</v>
      </c>
      <c r="H597" s="151" t="s">
        <v>1183</v>
      </c>
      <c r="I597" s="151" t="s">
        <v>1184</v>
      </c>
      <c r="J597" s="151" t="s">
        <v>802</v>
      </c>
      <c r="K597" s="151" t="s">
        <v>1657</v>
      </c>
      <c r="L597" s="151" t="s">
        <v>4245</v>
      </c>
      <c r="M597" s="151" t="s">
        <v>361</v>
      </c>
      <c r="N597" s="151"/>
      <c r="O597" s="151"/>
      <c r="P597" s="151"/>
      <c r="Q597" s="151"/>
      <c r="R597" s="151" t="s">
        <v>2177</v>
      </c>
      <c r="S597" s="151" t="s">
        <v>361</v>
      </c>
      <c r="T597" s="151" t="s">
        <v>2213</v>
      </c>
      <c r="U597" s="151" t="s">
        <v>3582</v>
      </c>
      <c r="V597" s="151">
        <v>2</v>
      </c>
      <c r="W597" s="151" t="s">
        <v>4255</v>
      </c>
      <c r="X597" s="151" t="s">
        <v>2445</v>
      </c>
      <c r="Y597" s="151" t="s">
        <v>3582</v>
      </c>
      <c r="Z597" s="151"/>
      <c r="AA597" s="151"/>
      <c r="AB597" s="151" t="s">
        <v>855</v>
      </c>
      <c r="AC597" s="342"/>
    </row>
    <row r="598" spans="1:29">
      <c r="A598" s="151" t="s">
        <v>3593</v>
      </c>
      <c r="B598" s="151" t="s">
        <v>4256</v>
      </c>
      <c r="C598" s="151" t="s">
        <v>4238</v>
      </c>
      <c r="D598" s="151" t="s">
        <v>17</v>
      </c>
      <c r="E598" s="151" t="s">
        <v>4257</v>
      </c>
      <c r="F598" s="151" t="s">
        <v>544</v>
      </c>
      <c r="G598" s="151" t="s">
        <v>2173</v>
      </c>
      <c r="H598" s="151" t="s">
        <v>1183</v>
      </c>
      <c r="I598" s="151" t="s">
        <v>1184</v>
      </c>
      <c r="J598" s="151" t="s">
        <v>802</v>
      </c>
      <c r="K598" s="151" t="s">
        <v>4258</v>
      </c>
      <c r="L598" s="151" t="s">
        <v>4245</v>
      </c>
      <c r="M598" s="151" t="s">
        <v>361</v>
      </c>
      <c r="N598" s="151"/>
      <c r="O598" s="151"/>
      <c r="P598" s="151"/>
      <c r="Q598" s="151"/>
      <c r="R598" s="151" t="s">
        <v>2177</v>
      </c>
      <c r="S598" s="151" t="s">
        <v>361</v>
      </c>
      <c r="T598" s="151" t="s">
        <v>49</v>
      </c>
      <c r="U598" s="151" t="s">
        <v>3608</v>
      </c>
      <c r="V598" s="151" t="s">
        <v>49</v>
      </c>
      <c r="W598" s="151" t="s">
        <v>4259</v>
      </c>
      <c r="X598" s="151" t="s">
        <v>49</v>
      </c>
      <c r="Y598" s="151" t="s">
        <v>3608</v>
      </c>
      <c r="Z598" s="151"/>
      <c r="AA598" s="151"/>
      <c r="AB598" s="151" t="s">
        <v>855</v>
      </c>
      <c r="AC598" s="342"/>
    </row>
    <row r="599" spans="1:29">
      <c r="A599" s="151" t="s">
        <v>3593</v>
      </c>
      <c r="B599" s="151" t="s">
        <v>4260</v>
      </c>
      <c r="C599" s="151" t="s">
        <v>4238</v>
      </c>
      <c r="D599" s="151" t="s">
        <v>17</v>
      </c>
      <c r="E599" s="151" t="s">
        <v>4261</v>
      </c>
      <c r="F599" s="151" t="s">
        <v>544</v>
      </c>
      <c r="G599" s="151" t="s">
        <v>2173</v>
      </c>
      <c r="H599" s="151" t="s">
        <v>1183</v>
      </c>
      <c r="I599" s="151" t="s">
        <v>1184</v>
      </c>
      <c r="J599" s="151" t="s">
        <v>802</v>
      </c>
      <c r="K599" s="151" t="s">
        <v>4262</v>
      </c>
      <c r="L599" s="151" t="s">
        <v>4245</v>
      </c>
      <c r="M599" s="151" t="s">
        <v>361</v>
      </c>
      <c r="N599" s="151"/>
      <c r="O599" s="151"/>
      <c r="P599" s="151"/>
      <c r="Q599" s="151"/>
      <c r="R599" s="151" t="s">
        <v>2177</v>
      </c>
      <c r="S599" s="151" t="s">
        <v>361</v>
      </c>
      <c r="T599" s="151" t="s">
        <v>2213</v>
      </c>
      <c r="U599" s="151" t="s">
        <v>4146</v>
      </c>
      <c r="V599" s="151">
        <v>23</v>
      </c>
      <c r="W599" s="151" t="s">
        <v>4146</v>
      </c>
      <c r="X599" s="151" t="s">
        <v>2445</v>
      </c>
      <c r="Y599" s="151" t="s">
        <v>4146</v>
      </c>
      <c r="Z599" s="151"/>
      <c r="AA599" s="151"/>
      <c r="AB599" s="151" t="s">
        <v>855</v>
      </c>
      <c r="AC599" s="342"/>
    </row>
    <row r="600" spans="1:29">
      <c r="A600" s="151" t="s">
        <v>3593</v>
      </c>
      <c r="B600" s="151" t="s">
        <v>4263</v>
      </c>
      <c r="C600" s="151" t="s">
        <v>4238</v>
      </c>
      <c r="D600" s="151" t="s">
        <v>17</v>
      </c>
      <c r="E600" s="151" t="s">
        <v>4264</v>
      </c>
      <c r="F600" s="151" t="s">
        <v>544</v>
      </c>
      <c r="G600" s="151" t="s">
        <v>2173</v>
      </c>
      <c r="H600" s="151" t="s">
        <v>1183</v>
      </c>
      <c r="I600" s="151" t="s">
        <v>1184</v>
      </c>
      <c r="J600" s="151" t="s">
        <v>802</v>
      </c>
      <c r="K600" s="151" t="s">
        <v>4265</v>
      </c>
      <c r="L600" s="151" t="s">
        <v>4245</v>
      </c>
      <c r="M600" s="151" t="s">
        <v>361</v>
      </c>
      <c r="N600" s="151"/>
      <c r="O600" s="151"/>
      <c r="P600" s="151"/>
      <c r="Q600" s="151"/>
      <c r="R600" s="151" t="s">
        <v>2177</v>
      </c>
      <c r="S600" s="151" t="s">
        <v>361</v>
      </c>
      <c r="T600" s="151" t="s">
        <v>2213</v>
      </c>
      <c r="U600" s="151" t="s">
        <v>2507</v>
      </c>
      <c r="V600" s="151">
        <v>24</v>
      </c>
      <c r="W600" s="151" t="s">
        <v>2507</v>
      </c>
      <c r="X600" s="151" t="s">
        <v>2445</v>
      </c>
      <c r="Y600" s="151" t="s">
        <v>2507</v>
      </c>
      <c r="Z600" s="151"/>
      <c r="AA600" s="151"/>
      <c r="AB600" s="151" t="s">
        <v>855</v>
      </c>
      <c r="AC600" s="342"/>
    </row>
    <row r="601" spans="1:29">
      <c r="A601" s="151" t="s">
        <v>3593</v>
      </c>
      <c r="B601" s="151" t="s">
        <v>4266</v>
      </c>
      <c r="C601" s="151" t="s">
        <v>4238</v>
      </c>
      <c r="D601" s="151" t="s">
        <v>17</v>
      </c>
      <c r="E601" s="151" t="s">
        <v>4267</v>
      </c>
      <c r="F601" s="151" t="s">
        <v>544</v>
      </c>
      <c r="G601" s="151" t="s">
        <v>2173</v>
      </c>
      <c r="H601" s="151" t="s">
        <v>1183</v>
      </c>
      <c r="I601" s="151" t="s">
        <v>1184</v>
      </c>
      <c r="J601" s="151" t="s">
        <v>802</v>
      </c>
      <c r="K601" s="151" t="s">
        <v>4268</v>
      </c>
      <c r="L601" s="151" t="s">
        <v>4245</v>
      </c>
      <c r="M601" s="151" t="s">
        <v>361</v>
      </c>
      <c r="N601" s="151"/>
      <c r="O601" s="151"/>
      <c r="P601" s="151"/>
      <c r="Q601" s="151"/>
      <c r="R601" s="151" t="s">
        <v>2177</v>
      </c>
      <c r="S601" s="151" t="s">
        <v>361</v>
      </c>
      <c r="T601" s="151" t="s">
        <v>2213</v>
      </c>
      <c r="U601" s="151" t="s">
        <v>3582</v>
      </c>
      <c r="V601" s="151">
        <v>3</v>
      </c>
      <c r="W601" s="151" t="s">
        <v>3615</v>
      </c>
      <c r="X601" s="151" t="s">
        <v>2445</v>
      </c>
      <c r="Y601" s="151" t="s">
        <v>3582</v>
      </c>
      <c r="Z601" s="151"/>
      <c r="AA601" s="151"/>
      <c r="AB601" s="151" t="s">
        <v>855</v>
      </c>
      <c r="AC601" s="342"/>
    </row>
    <row r="602" spans="1:29">
      <c r="A602" s="151" t="s">
        <v>3593</v>
      </c>
      <c r="B602" s="151" t="s">
        <v>4269</v>
      </c>
      <c r="C602" s="151" t="s">
        <v>4238</v>
      </c>
      <c r="D602" s="151" t="s">
        <v>17</v>
      </c>
      <c r="E602" s="151" t="s">
        <v>4270</v>
      </c>
      <c r="F602" s="151" t="s">
        <v>544</v>
      </c>
      <c r="G602" s="151" t="s">
        <v>2173</v>
      </c>
      <c r="H602" s="151" t="s">
        <v>1183</v>
      </c>
      <c r="I602" s="151" t="s">
        <v>1184</v>
      </c>
      <c r="J602" s="151" t="s">
        <v>806</v>
      </c>
      <c r="K602" s="151" t="s">
        <v>3659</v>
      </c>
      <c r="L602" s="151" t="s">
        <v>3596</v>
      </c>
      <c r="M602" s="151" t="s">
        <v>361</v>
      </c>
      <c r="N602" s="151"/>
      <c r="O602" s="151"/>
      <c r="P602" s="151"/>
      <c r="Q602" s="151"/>
      <c r="R602" s="151" t="s">
        <v>2177</v>
      </c>
      <c r="S602" s="151" t="s">
        <v>361</v>
      </c>
      <c r="T602" s="151" t="s">
        <v>2213</v>
      </c>
      <c r="U602" s="151" t="s">
        <v>4271</v>
      </c>
      <c r="V602" s="151">
        <v>23</v>
      </c>
      <c r="W602" s="151" t="s">
        <v>4272</v>
      </c>
      <c r="X602" s="151" t="s">
        <v>2445</v>
      </c>
      <c r="Y602" s="151" t="s">
        <v>4271</v>
      </c>
      <c r="Z602" s="151"/>
      <c r="AA602" s="151"/>
      <c r="AB602" s="151" t="s">
        <v>855</v>
      </c>
      <c r="AC602" s="342"/>
    </row>
    <row r="603" spans="1:29">
      <c r="A603" s="151" t="s">
        <v>3593</v>
      </c>
      <c r="B603" s="151" t="s">
        <v>4273</v>
      </c>
      <c r="C603" s="151" t="s">
        <v>4238</v>
      </c>
      <c r="D603" s="151" t="s">
        <v>17</v>
      </c>
      <c r="E603" s="151" t="s">
        <v>4274</v>
      </c>
      <c r="F603" s="151" t="s">
        <v>544</v>
      </c>
      <c r="G603" s="151" t="s">
        <v>2173</v>
      </c>
      <c r="H603" s="151" t="s">
        <v>1183</v>
      </c>
      <c r="I603" s="151" t="s">
        <v>1184</v>
      </c>
      <c r="J603" s="151" t="s">
        <v>802</v>
      </c>
      <c r="K603" s="151" t="s">
        <v>4275</v>
      </c>
      <c r="L603" s="151" t="s">
        <v>4245</v>
      </c>
      <c r="M603" s="151" t="s">
        <v>361</v>
      </c>
      <c r="N603" s="151"/>
      <c r="O603" s="151"/>
      <c r="P603" s="151"/>
      <c r="Q603" s="151"/>
      <c r="R603" s="151" t="s">
        <v>2177</v>
      </c>
      <c r="S603" s="151" t="s">
        <v>361</v>
      </c>
      <c r="T603" s="151" t="s">
        <v>2213</v>
      </c>
      <c r="U603" s="151" t="s">
        <v>3582</v>
      </c>
      <c r="V603" s="151">
        <v>16</v>
      </c>
      <c r="W603" s="151" t="s">
        <v>4276</v>
      </c>
      <c r="X603" s="151" t="s">
        <v>2445</v>
      </c>
      <c r="Y603" s="151" t="s">
        <v>3582</v>
      </c>
      <c r="Z603" s="151"/>
      <c r="AA603" s="151"/>
      <c r="AB603" s="151" t="s">
        <v>855</v>
      </c>
      <c r="AC603" s="342"/>
    </row>
    <row r="604" spans="1:29">
      <c r="A604" s="151" t="s">
        <v>3593</v>
      </c>
      <c r="B604" s="151" t="s">
        <v>4277</v>
      </c>
      <c r="C604" s="151" t="s">
        <v>4238</v>
      </c>
      <c r="D604" s="151" t="s">
        <v>17</v>
      </c>
      <c r="E604" s="151" t="s">
        <v>4278</v>
      </c>
      <c r="F604" s="151" t="s">
        <v>544</v>
      </c>
      <c r="G604" s="151" t="s">
        <v>2173</v>
      </c>
      <c r="H604" s="151" t="s">
        <v>1183</v>
      </c>
      <c r="I604" s="151" t="s">
        <v>1184</v>
      </c>
      <c r="J604" s="151" t="s">
        <v>802</v>
      </c>
      <c r="K604" s="151" t="s">
        <v>4279</v>
      </c>
      <c r="L604" s="151" t="s">
        <v>4245</v>
      </c>
      <c r="M604" s="151" t="s">
        <v>361</v>
      </c>
      <c r="N604" s="151"/>
      <c r="O604" s="151"/>
      <c r="P604" s="151"/>
      <c r="Q604" s="151"/>
      <c r="R604" s="151" t="s">
        <v>2177</v>
      </c>
      <c r="S604" s="151" t="s">
        <v>361</v>
      </c>
      <c r="T604" s="151" t="s">
        <v>2213</v>
      </c>
      <c r="U604" s="151" t="s">
        <v>3582</v>
      </c>
      <c r="V604" s="151">
        <v>5</v>
      </c>
      <c r="W604" s="151" t="s">
        <v>2250</v>
      </c>
      <c r="X604" s="151" t="s">
        <v>2445</v>
      </c>
      <c r="Y604" s="151" t="s">
        <v>3582</v>
      </c>
      <c r="Z604" s="151"/>
      <c r="AA604" s="151"/>
      <c r="AB604" s="151" t="s">
        <v>855</v>
      </c>
      <c r="AC604" s="342"/>
    </row>
    <row r="605" spans="1:29">
      <c r="A605" s="151" t="s">
        <v>3593</v>
      </c>
      <c r="B605" s="151" t="s">
        <v>4280</v>
      </c>
      <c r="C605" s="151" t="s">
        <v>4238</v>
      </c>
      <c r="D605" s="151" t="s">
        <v>17</v>
      </c>
      <c r="E605" s="151" t="s">
        <v>4281</v>
      </c>
      <c r="F605" s="151" t="s">
        <v>544</v>
      </c>
      <c r="G605" s="151" t="s">
        <v>2173</v>
      </c>
      <c r="H605" s="151" t="s">
        <v>1183</v>
      </c>
      <c r="I605" s="151" t="s">
        <v>1184</v>
      </c>
      <c r="J605" s="151" t="s">
        <v>802</v>
      </c>
      <c r="K605" s="151" t="s">
        <v>4282</v>
      </c>
      <c r="L605" s="151" t="s">
        <v>4245</v>
      </c>
      <c r="M605" s="151" t="s">
        <v>361</v>
      </c>
      <c r="N605" s="151"/>
      <c r="O605" s="151"/>
      <c r="P605" s="151"/>
      <c r="Q605" s="151"/>
      <c r="R605" s="151" t="s">
        <v>2177</v>
      </c>
      <c r="S605" s="151" t="s">
        <v>361</v>
      </c>
      <c r="T605" s="151" t="s">
        <v>2213</v>
      </c>
      <c r="U605" s="151" t="s">
        <v>2207</v>
      </c>
      <c r="V605" s="151">
        <v>10</v>
      </c>
      <c r="W605" s="151" t="s">
        <v>2207</v>
      </c>
      <c r="X605" s="151" t="s">
        <v>2445</v>
      </c>
      <c r="Y605" s="151" t="s">
        <v>2207</v>
      </c>
      <c r="Z605" s="151"/>
      <c r="AA605" s="151"/>
      <c r="AB605" s="151" t="s">
        <v>855</v>
      </c>
      <c r="AC605" s="342"/>
    </row>
    <row r="606" spans="1:29">
      <c r="A606" s="151" t="s">
        <v>3593</v>
      </c>
      <c r="B606" s="151" t="s">
        <v>4283</v>
      </c>
      <c r="C606" s="151" t="s">
        <v>4238</v>
      </c>
      <c r="D606" s="151" t="s">
        <v>17</v>
      </c>
      <c r="E606" s="151" t="s">
        <v>4284</v>
      </c>
      <c r="F606" s="151" t="s">
        <v>544</v>
      </c>
      <c r="G606" s="151" t="s">
        <v>2173</v>
      </c>
      <c r="H606" s="151" t="s">
        <v>1183</v>
      </c>
      <c r="I606" s="151" t="s">
        <v>1184</v>
      </c>
      <c r="J606" s="151" t="s">
        <v>802</v>
      </c>
      <c r="K606" s="151" t="s">
        <v>4285</v>
      </c>
      <c r="L606" s="151" t="s">
        <v>4245</v>
      </c>
      <c r="M606" s="151" t="s">
        <v>361</v>
      </c>
      <c r="N606" s="151"/>
      <c r="O606" s="151"/>
      <c r="P606" s="151"/>
      <c r="Q606" s="151"/>
      <c r="R606" s="151" t="s">
        <v>2177</v>
      </c>
      <c r="S606" s="151" t="s">
        <v>361</v>
      </c>
      <c r="T606" s="151" t="s">
        <v>2213</v>
      </c>
      <c r="U606" s="151" t="s">
        <v>3582</v>
      </c>
      <c r="V606" s="151" t="s">
        <v>49</v>
      </c>
      <c r="W606" s="151" t="s">
        <v>4286</v>
      </c>
      <c r="X606" s="151" t="s">
        <v>2445</v>
      </c>
      <c r="Y606" s="151" t="s">
        <v>3582</v>
      </c>
      <c r="Z606" s="151"/>
      <c r="AA606" s="151"/>
      <c r="AB606" s="151" t="s">
        <v>855</v>
      </c>
      <c r="AC606" s="342"/>
    </row>
    <row r="607" spans="1:29">
      <c r="A607" s="151" t="s">
        <v>3593</v>
      </c>
      <c r="B607" s="151" t="s">
        <v>4287</v>
      </c>
      <c r="C607" s="151" t="s">
        <v>4238</v>
      </c>
      <c r="D607" s="151" t="s">
        <v>17</v>
      </c>
      <c r="E607" s="151" t="s">
        <v>4288</v>
      </c>
      <c r="F607" s="151" t="s">
        <v>544</v>
      </c>
      <c r="G607" s="151" t="s">
        <v>2173</v>
      </c>
      <c r="H607" s="151" t="s">
        <v>1183</v>
      </c>
      <c r="I607" s="151" t="s">
        <v>1184</v>
      </c>
      <c r="J607" s="151" t="s">
        <v>802</v>
      </c>
      <c r="K607" s="151" t="s">
        <v>4289</v>
      </c>
      <c r="L607" s="151" t="s">
        <v>4245</v>
      </c>
      <c r="M607" s="151" t="s">
        <v>361</v>
      </c>
      <c r="N607" s="151"/>
      <c r="O607" s="151"/>
      <c r="P607" s="151"/>
      <c r="Q607" s="151"/>
      <c r="R607" s="151" t="s">
        <v>2177</v>
      </c>
      <c r="S607" s="151" t="s">
        <v>361</v>
      </c>
      <c r="T607" s="151" t="s">
        <v>2213</v>
      </c>
      <c r="U607" s="151" t="s">
        <v>3582</v>
      </c>
      <c r="V607" s="151">
        <v>50</v>
      </c>
      <c r="W607" s="151" t="s">
        <v>4290</v>
      </c>
      <c r="X607" s="151"/>
      <c r="Y607" s="151" t="s">
        <v>3582</v>
      </c>
      <c r="Z607" s="151"/>
      <c r="AA607" s="151"/>
      <c r="AB607" s="151" t="s">
        <v>855</v>
      </c>
      <c r="AC607" s="342"/>
    </row>
    <row r="608" spans="1:29">
      <c r="A608" s="151" t="s">
        <v>3593</v>
      </c>
      <c r="B608" s="151" t="s">
        <v>159</v>
      </c>
      <c r="C608" s="151" t="s">
        <v>4238</v>
      </c>
      <c r="D608" s="151" t="s">
        <v>17</v>
      </c>
      <c r="E608" s="151" t="s">
        <v>4291</v>
      </c>
      <c r="F608" s="151" t="s">
        <v>544</v>
      </c>
      <c r="G608" s="151" t="s">
        <v>2173</v>
      </c>
      <c r="H608" s="151" t="s">
        <v>1183</v>
      </c>
      <c r="I608" s="151" t="s">
        <v>1184</v>
      </c>
      <c r="J608" s="151" t="s">
        <v>802</v>
      </c>
      <c r="K608" s="151" t="s">
        <v>4292</v>
      </c>
      <c r="L608" s="151" t="s">
        <v>4245</v>
      </c>
      <c r="M608" s="151" t="s">
        <v>361</v>
      </c>
      <c r="N608" s="151"/>
      <c r="O608" s="151"/>
      <c r="P608" s="151"/>
      <c r="Q608" s="151"/>
      <c r="R608" s="151" t="s">
        <v>2177</v>
      </c>
      <c r="S608" s="151" t="s">
        <v>361</v>
      </c>
      <c r="T608" s="151" t="s">
        <v>2213</v>
      </c>
      <c r="U608" s="151" t="s">
        <v>3608</v>
      </c>
      <c r="V608" s="151"/>
      <c r="W608" s="151">
        <v>1</v>
      </c>
      <c r="X608" s="151"/>
      <c r="Y608" s="151" t="s">
        <v>3608</v>
      </c>
      <c r="Z608" s="151"/>
      <c r="AA608" s="151"/>
      <c r="AB608" s="151" t="s">
        <v>855</v>
      </c>
      <c r="AC608" s="342"/>
    </row>
    <row r="609" spans="1:29">
      <c r="A609" s="151" t="s">
        <v>3593</v>
      </c>
      <c r="B609" s="151" t="s">
        <v>4293</v>
      </c>
      <c r="C609" s="151" t="s">
        <v>4238</v>
      </c>
      <c r="D609" s="151" t="s">
        <v>17</v>
      </c>
      <c r="E609" s="151" t="s">
        <v>4294</v>
      </c>
      <c r="F609" s="151" t="s">
        <v>544</v>
      </c>
      <c r="G609" s="151" t="s">
        <v>2173</v>
      </c>
      <c r="H609" s="151" t="s">
        <v>1183</v>
      </c>
      <c r="I609" s="151" t="s">
        <v>1184</v>
      </c>
      <c r="J609" s="151" t="s">
        <v>802</v>
      </c>
      <c r="K609" s="151" t="s">
        <v>1512</v>
      </c>
      <c r="L609" s="151" t="s">
        <v>4245</v>
      </c>
      <c r="M609" s="151" t="s">
        <v>361</v>
      </c>
      <c r="N609" s="151"/>
      <c r="O609" s="151"/>
      <c r="P609" s="151"/>
      <c r="Q609" s="151"/>
      <c r="R609" s="151" t="s">
        <v>2177</v>
      </c>
      <c r="S609" s="151" t="s">
        <v>361</v>
      </c>
      <c r="T609" s="151" t="s">
        <v>2213</v>
      </c>
      <c r="U609" s="151" t="s">
        <v>3582</v>
      </c>
      <c r="V609" s="151">
        <v>9</v>
      </c>
      <c r="W609" s="151" t="s">
        <v>4295</v>
      </c>
      <c r="X609" s="151" t="s">
        <v>2445</v>
      </c>
      <c r="Y609" s="151" t="s">
        <v>3582</v>
      </c>
      <c r="Z609" s="151"/>
      <c r="AA609" s="151"/>
      <c r="AB609" s="151" t="s">
        <v>855</v>
      </c>
      <c r="AC609" s="342"/>
    </row>
    <row r="610" spans="1:29">
      <c r="A610" s="151" t="s">
        <v>3593</v>
      </c>
      <c r="B610" s="151" t="s">
        <v>4296</v>
      </c>
      <c r="C610" s="151" t="s">
        <v>4238</v>
      </c>
      <c r="D610" s="151" t="s">
        <v>17</v>
      </c>
      <c r="E610" s="151" t="s">
        <v>4297</v>
      </c>
      <c r="F610" s="151" t="s">
        <v>544</v>
      </c>
      <c r="G610" s="151" t="s">
        <v>2173</v>
      </c>
      <c r="H610" s="151" t="s">
        <v>1183</v>
      </c>
      <c r="I610" s="151" t="s">
        <v>1184</v>
      </c>
      <c r="J610" s="151" t="s">
        <v>802</v>
      </c>
      <c r="K610" s="151" t="s">
        <v>4285</v>
      </c>
      <c r="L610" s="151" t="s">
        <v>4245</v>
      </c>
      <c r="M610" s="151" t="s">
        <v>361</v>
      </c>
      <c r="N610" s="151"/>
      <c r="O610" s="151"/>
      <c r="P610" s="151"/>
      <c r="Q610" s="151"/>
      <c r="R610" s="151" t="s">
        <v>2177</v>
      </c>
      <c r="S610" s="151" t="s">
        <v>361</v>
      </c>
      <c r="T610" s="151" t="s">
        <v>2213</v>
      </c>
      <c r="U610" s="151" t="s">
        <v>3582</v>
      </c>
      <c r="V610" s="151">
        <v>25</v>
      </c>
      <c r="W610" s="151" t="s">
        <v>4286</v>
      </c>
      <c r="X610" s="151" t="s">
        <v>2445</v>
      </c>
      <c r="Y610" s="151" t="s">
        <v>3582</v>
      </c>
      <c r="Z610" s="151"/>
      <c r="AA610" s="151"/>
      <c r="AB610" s="151" t="s">
        <v>855</v>
      </c>
      <c r="AC610" s="342"/>
    </row>
    <row r="611" spans="1:29">
      <c r="A611" s="151" t="s">
        <v>3593</v>
      </c>
      <c r="B611" s="151" t="s">
        <v>4298</v>
      </c>
      <c r="C611" s="151" t="s">
        <v>4238</v>
      </c>
      <c r="D611" s="151" t="s">
        <v>17</v>
      </c>
      <c r="E611" s="151" t="s">
        <v>4299</v>
      </c>
      <c r="F611" s="151" t="s">
        <v>544</v>
      </c>
      <c r="G611" s="151" t="s">
        <v>2173</v>
      </c>
      <c r="H611" s="151" t="s">
        <v>1183</v>
      </c>
      <c r="I611" s="151" t="s">
        <v>1184</v>
      </c>
      <c r="J611" s="151" t="s">
        <v>802</v>
      </c>
      <c r="K611" s="151" t="s">
        <v>4300</v>
      </c>
      <c r="L611" s="151" t="s">
        <v>4245</v>
      </c>
      <c r="M611" s="151" t="s">
        <v>361</v>
      </c>
      <c r="N611" s="151"/>
      <c r="O611" s="151"/>
      <c r="P611" s="151"/>
      <c r="Q611" s="151"/>
      <c r="R611" s="151" t="s">
        <v>2177</v>
      </c>
      <c r="S611" s="151" t="s">
        <v>361</v>
      </c>
      <c r="T611" s="151" t="s">
        <v>2213</v>
      </c>
      <c r="U611" s="151" t="s">
        <v>3608</v>
      </c>
      <c r="V611" s="151"/>
      <c r="W611" s="151" t="s">
        <v>4301</v>
      </c>
      <c r="X611" s="151" t="s">
        <v>2445</v>
      </c>
      <c r="Y611" s="151" t="s">
        <v>3608</v>
      </c>
      <c r="Z611" s="151"/>
      <c r="AA611" s="151"/>
      <c r="AB611" s="151" t="s">
        <v>855</v>
      </c>
      <c r="AC611" s="342"/>
    </row>
    <row r="612" spans="1:29">
      <c r="A612" s="151" t="s">
        <v>3593</v>
      </c>
      <c r="B612" s="151" t="s">
        <v>4302</v>
      </c>
      <c r="C612" s="151" t="s">
        <v>4238</v>
      </c>
      <c r="D612" s="151" t="s">
        <v>17</v>
      </c>
      <c r="E612" s="151" t="s">
        <v>4303</v>
      </c>
      <c r="F612" s="151" t="s">
        <v>544</v>
      </c>
      <c r="G612" s="151" t="s">
        <v>2173</v>
      </c>
      <c r="H612" s="151" t="s">
        <v>1183</v>
      </c>
      <c r="I612" s="151" t="s">
        <v>1184</v>
      </c>
      <c r="J612" s="151" t="s">
        <v>4304</v>
      </c>
      <c r="K612" s="151" t="s">
        <v>4305</v>
      </c>
      <c r="L612" s="151" t="s">
        <v>4306</v>
      </c>
      <c r="M612" s="151" t="s">
        <v>361</v>
      </c>
      <c r="N612" s="151"/>
      <c r="O612" s="151"/>
      <c r="P612" s="151"/>
      <c r="Q612" s="151"/>
      <c r="R612" s="151" t="s">
        <v>2177</v>
      </c>
      <c r="S612" s="151" t="s">
        <v>361</v>
      </c>
      <c r="T612" s="151" t="s">
        <v>2213</v>
      </c>
      <c r="U612" s="151" t="s">
        <v>3582</v>
      </c>
      <c r="V612" s="151">
        <v>9</v>
      </c>
      <c r="W612" s="151" t="s">
        <v>2250</v>
      </c>
      <c r="X612" s="151" t="s">
        <v>2445</v>
      </c>
      <c r="Y612" s="151" t="s">
        <v>3582</v>
      </c>
      <c r="Z612" s="151"/>
      <c r="AA612" s="151"/>
      <c r="AB612" s="151" t="s">
        <v>855</v>
      </c>
      <c r="AC612" s="342"/>
    </row>
    <row r="613" spans="1:29">
      <c r="A613" s="151" t="s">
        <v>3593</v>
      </c>
      <c r="B613" s="151" t="s">
        <v>4307</v>
      </c>
      <c r="C613" s="151" t="s">
        <v>4238</v>
      </c>
      <c r="D613" s="151" t="s">
        <v>17</v>
      </c>
      <c r="E613" s="151" t="s">
        <v>4308</v>
      </c>
      <c r="F613" s="151" t="s">
        <v>544</v>
      </c>
      <c r="G613" s="151" t="s">
        <v>2173</v>
      </c>
      <c r="H613" s="151" t="s">
        <v>1183</v>
      </c>
      <c r="I613" s="151" t="s">
        <v>1184</v>
      </c>
      <c r="J613" s="151" t="s">
        <v>802</v>
      </c>
      <c r="K613" s="151" t="s">
        <v>4309</v>
      </c>
      <c r="L613" s="151" t="s">
        <v>4245</v>
      </c>
      <c r="M613" s="151" t="s">
        <v>361</v>
      </c>
      <c r="N613" s="151"/>
      <c r="O613" s="151"/>
      <c r="P613" s="151"/>
      <c r="Q613" s="151"/>
      <c r="R613" s="151" t="s">
        <v>2177</v>
      </c>
      <c r="S613" s="151" t="s">
        <v>361</v>
      </c>
      <c r="T613" s="151" t="s">
        <v>2213</v>
      </c>
      <c r="U613" s="151" t="s">
        <v>4310</v>
      </c>
      <c r="V613" s="151">
        <v>9</v>
      </c>
      <c r="W613" s="151" t="s">
        <v>4310</v>
      </c>
      <c r="X613" s="151" t="s">
        <v>2445</v>
      </c>
      <c r="Y613" s="151" t="s">
        <v>4310</v>
      </c>
      <c r="Z613" s="151"/>
      <c r="AA613" s="151"/>
      <c r="AB613" s="151" t="s">
        <v>855</v>
      </c>
      <c r="AC613" s="342"/>
    </row>
    <row r="614" spans="1:29">
      <c r="A614" s="151" t="s">
        <v>3593</v>
      </c>
      <c r="B614" s="151" t="s">
        <v>4311</v>
      </c>
      <c r="C614" s="151" t="s">
        <v>4238</v>
      </c>
      <c r="D614" s="151" t="s">
        <v>17</v>
      </c>
      <c r="E614" s="151" t="s">
        <v>4312</v>
      </c>
      <c r="F614" s="151" t="s">
        <v>544</v>
      </c>
      <c r="G614" s="151" t="s">
        <v>3656</v>
      </c>
      <c r="H614" s="151" t="s">
        <v>361</v>
      </c>
      <c r="I614" s="151" t="s">
        <v>1184</v>
      </c>
      <c r="J614" s="151" t="s">
        <v>361</v>
      </c>
      <c r="K614" s="151" t="s">
        <v>361</v>
      </c>
      <c r="L614" s="151" t="s">
        <v>361</v>
      </c>
      <c r="M614" s="151" t="s">
        <v>361</v>
      </c>
      <c r="N614" s="151"/>
      <c r="O614" s="151"/>
      <c r="P614" s="151"/>
      <c r="Q614" s="151"/>
      <c r="R614" s="151" t="s">
        <v>3576</v>
      </c>
      <c r="S614" s="151" t="s">
        <v>361</v>
      </c>
      <c r="T614" s="151"/>
      <c r="U614" s="151"/>
      <c r="V614" s="151"/>
      <c r="W614" s="151"/>
      <c r="X614" s="151"/>
      <c r="Y614" s="151"/>
      <c r="Z614" s="151"/>
      <c r="AA614" s="151"/>
      <c r="AB614" s="151"/>
      <c r="AC614" s="342"/>
    </row>
    <row r="615" spans="1:29">
      <c r="A615" s="151" t="s">
        <v>3593</v>
      </c>
      <c r="B615" s="151" t="s">
        <v>4313</v>
      </c>
      <c r="C615" s="151" t="s">
        <v>4238</v>
      </c>
      <c r="D615" s="151" t="s">
        <v>17</v>
      </c>
      <c r="E615" s="151" t="s">
        <v>4314</v>
      </c>
      <c r="F615" s="151" t="s">
        <v>544</v>
      </c>
      <c r="G615" s="151" t="s">
        <v>2173</v>
      </c>
      <c r="H615" s="151" t="s">
        <v>1183</v>
      </c>
      <c r="I615" s="151" t="s">
        <v>1184</v>
      </c>
      <c r="J615" s="151" t="s">
        <v>802</v>
      </c>
      <c r="K615" s="151" t="s">
        <v>4315</v>
      </c>
      <c r="L615" s="151" t="s">
        <v>4245</v>
      </c>
      <c r="M615" s="151" t="s">
        <v>361</v>
      </c>
      <c r="N615" s="151"/>
      <c r="O615" s="151"/>
      <c r="P615" s="151"/>
      <c r="Q615" s="151"/>
      <c r="R615" s="151" t="s">
        <v>2177</v>
      </c>
      <c r="S615" s="151" t="s">
        <v>361</v>
      </c>
      <c r="T615" s="151" t="s">
        <v>2213</v>
      </c>
      <c r="U615" s="151" t="s">
        <v>3582</v>
      </c>
      <c r="V615" s="151">
        <v>9</v>
      </c>
      <c r="W615" s="151" t="s">
        <v>4316</v>
      </c>
      <c r="X615" s="151" t="s">
        <v>2445</v>
      </c>
      <c r="Y615" s="151" t="s">
        <v>3582</v>
      </c>
      <c r="Z615" s="151"/>
      <c r="AA615" s="151"/>
      <c r="AB615" s="151" t="s">
        <v>855</v>
      </c>
      <c r="AC615" s="342"/>
    </row>
    <row r="616" spans="1:29">
      <c r="A616" s="151" t="s">
        <v>3593</v>
      </c>
      <c r="B616" s="151" t="s">
        <v>4317</v>
      </c>
      <c r="C616" s="151" t="s">
        <v>4238</v>
      </c>
      <c r="D616" s="151" t="s">
        <v>17</v>
      </c>
      <c r="E616" s="151" t="s">
        <v>4318</v>
      </c>
      <c r="F616" s="151" t="s">
        <v>544</v>
      </c>
      <c r="G616" s="151" t="s">
        <v>2173</v>
      </c>
      <c r="H616" s="151" t="s">
        <v>1183</v>
      </c>
      <c r="I616" s="151" t="s">
        <v>1184</v>
      </c>
      <c r="J616" s="151" t="s">
        <v>4240</v>
      </c>
      <c r="K616" s="151" t="s">
        <v>4319</v>
      </c>
      <c r="L616" s="151" t="s">
        <v>4241</v>
      </c>
      <c r="M616" s="151" t="s">
        <v>361</v>
      </c>
      <c r="N616" s="151"/>
      <c r="O616" s="151"/>
      <c r="P616" s="151"/>
      <c r="Q616" s="151"/>
      <c r="R616" s="151" t="s">
        <v>2177</v>
      </c>
      <c r="S616" s="151" t="s">
        <v>361</v>
      </c>
      <c r="T616" s="151" t="s">
        <v>2213</v>
      </c>
      <c r="U616" s="151" t="s">
        <v>3582</v>
      </c>
      <c r="V616" s="151">
        <v>15</v>
      </c>
      <c r="W616" s="151" t="s">
        <v>4320</v>
      </c>
      <c r="X616" s="151" t="s">
        <v>2445</v>
      </c>
      <c r="Y616" s="151" t="s">
        <v>3582</v>
      </c>
      <c r="Z616" s="151"/>
      <c r="AA616" s="151"/>
      <c r="AB616" s="151" t="s">
        <v>855</v>
      </c>
      <c r="AC616" s="342"/>
    </row>
    <row r="617" spans="1:29">
      <c r="A617" s="151" t="s">
        <v>3593</v>
      </c>
      <c r="B617" s="151" t="s">
        <v>4321</v>
      </c>
      <c r="C617" s="151" t="s">
        <v>4238</v>
      </c>
      <c r="D617" s="151" t="s">
        <v>17</v>
      </c>
      <c r="E617" s="326" t="s">
        <v>4322</v>
      </c>
      <c r="F617" s="326" t="s">
        <v>544</v>
      </c>
      <c r="G617" s="326" t="s">
        <v>2173</v>
      </c>
      <c r="H617" s="326" t="s">
        <v>1183</v>
      </c>
      <c r="I617" s="326" t="s">
        <v>1184</v>
      </c>
      <c r="J617" s="326" t="s">
        <v>802</v>
      </c>
      <c r="K617" s="326" t="s">
        <v>4319</v>
      </c>
      <c r="L617" s="326" t="s">
        <v>4245</v>
      </c>
      <c r="M617" s="326" t="s">
        <v>361</v>
      </c>
      <c r="N617" s="326"/>
      <c r="O617" s="326"/>
      <c r="P617" s="326"/>
      <c r="Q617" s="326"/>
      <c r="R617" s="326" t="s">
        <v>2177</v>
      </c>
      <c r="S617" s="326" t="s">
        <v>361</v>
      </c>
      <c r="T617" s="326" t="s">
        <v>2213</v>
      </c>
      <c r="U617" s="326" t="s">
        <v>3582</v>
      </c>
      <c r="V617" s="424" t="s">
        <v>2635</v>
      </c>
      <c r="W617" s="424">
        <v>15</v>
      </c>
      <c r="X617" s="424" t="s">
        <v>2213</v>
      </c>
      <c r="Y617" s="424" t="s">
        <v>3582</v>
      </c>
      <c r="Z617" s="151"/>
      <c r="AA617" s="151"/>
      <c r="AB617" s="151" t="s">
        <v>855</v>
      </c>
      <c r="AC617" s="342"/>
    </row>
    <row r="618" spans="1:29">
      <c r="A618" s="151" t="s">
        <v>3593</v>
      </c>
      <c r="B618" s="151" t="s">
        <v>4323</v>
      </c>
      <c r="C618" s="151" t="s">
        <v>4238</v>
      </c>
      <c r="D618" s="151" t="s">
        <v>17</v>
      </c>
      <c r="E618" s="326" t="s">
        <v>4324</v>
      </c>
      <c r="F618" s="326" t="s">
        <v>544</v>
      </c>
      <c r="G618" s="326" t="s">
        <v>2173</v>
      </c>
      <c r="H618" s="326" t="s">
        <v>1183</v>
      </c>
      <c r="I618" s="326" t="s">
        <v>1184</v>
      </c>
      <c r="J618" s="326" t="s">
        <v>802</v>
      </c>
      <c r="K618" s="326" t="s">
        <v>4325</v>
      </c>
      <c r="L618" s="326" t="s">
        <v>4245</v>
      </c>
      <c r="M618" s="326" t="s">
        <v>361</v>
      </c>
      <c r="N618" s="326"/>
      <c r="O618" s="326"/>
      <c r="P618" s="326"/>
      <c r="Q618" s="326"/>
      <c r="R618" s="326" t="s">
        <v>2177</v>
      </c>
      <c r="S618" s="326" t="s">
        <v>361</v>
      </c>
      <c r="T618" s="326" t="s">
        <v>2213</v>
      </c>
      <c r="U618" s="326" t="s">
        <v>3582</v>
      </c>
      <c r="V618" s="424" t="s">
        <v>2635</v>
      </c>
      <c r="W618" s="424">
        <v>15</v>
      </c>
      <c r="X618" s="424" t="s">
        <v>2213</v>
      </c>
      <c r="Y618" s="424" t="s">
        <v>3582</v>
      </c>
      <c r="Z618" s="151"/>
      <c r="AA618" s="151"/>
      <c r="AB618" s="151" t="s">
        <v>855</v>
      </c>
      <c r="AC618" s="342"/>
    </row>
    <row r="619" spans="1:29">
      <c r="A619" s="151" t="s">
        <v>3593</v>
      </c>
      <c r="B619" s="151" t="s">
        <v>4326</v>
      </c>
      <c r="C619" s="151" t="s">
        <v>4238</v>
      </c>
      <c r="D619" s="151" t="s">
        <v>17</v>
      </c>
      <c r="E619" s="326" t="s">
        <v>4327</v>
      </c>
      <c r="F619" s="326" t="s">
        <v>544</v>
      </c>
      <c r="G619" s="326" t="s">
        <v>2173</v>
      </c>
      <c r="H619" s="326" t="s">
        <v>1183</v>
      </c>
      <c r="I619" s="326" t="s">
        <v>1184</v>
      </c>
      <c r="J619" s="326" t="s">
        <v>4240</v>
      </c>
      <c r="K619" s="326" t="s">
        <v>4328</v>
      </c>
      <c r="L619" s="326" t="s">
        <v>4241</v>
      </c>
      <c r="M619" s="326" t="s">
        <v>361</v>
      </c>
      <c r="N619" s="326"/>
      <c r="O619" s="326"/>
      <c r="P619" s="326"/>
      <c r="Q619" s="326"/>
      <c r="R619" s="326" t="s">
        <v>2177</v>
      </c>
      <c r="S619" s="326" t="s">
        <v>361</v>
      </c>
      <c r="T619" s="326" t="s">
        <v>2213</v>
      </c>
      <c r="U619" s="326" t="s">
        <v>3608</v>
      </c>
      <c r="V619" s="424"/>
      <c r="W619" s="424">
        <v>1</v>
      </c>
      <c r="X619" s="424"/>
      <c r="Y619" s="424" t="s">
        <v>3608</v>
      </c>
      <c r="Z619" s="151"/>
      <c r="AA619" s="151"/>
      <c r="AB619" s="151" t="s">
        <v>855</v>
      </c>
      <c r="AC619" s="342"/>
    </row>
    <row r="620" spans="1:29">
      <c r="A620" s="151" t="s">
        <v>3593</v>
      </c>
      <c r="B620" s="151" t="s">
        <v>4329</v>
      </c>
      <c r="C620" s="151" t="s">
        <v>4330</v>
      </c>
      <c r="D620" s="151" t="s">
        <v>17</v>
      </c>
      <c r="E620" s="151" t="s">
        <v>4331</v>
      </c>
      <c r="F620" s="151" t="s">
        <v>551</v>
      </c>
      <c r="G620" s="151" t="s">
        <v>2173</v>
      </c>
      <c r="H620" s="151" t="s">
        <v>1183</v>
      </c>
      <c r="I620" s="151" t="s">
        <v>1184</v>
      </c>
      <c r="J620" s="151" t="s">
        <v>813</v>
      </c>
      <c r="K620" s="151" t="s">
        <v>4332</v>
      </c>
      <c r="L620" s="151" t="s">
        <v>4333</v>
      </c>
      <c r="M620" s="151" t="s">
        <v>361</v>
      </c>
      <c r="N620" s="151"/>
      <c r="O620" s="151"/>
      <c r="P620" s="151"/>
      <c r="Q620" s="151"/>
      <c r="R620" s="151" t="s">
        <v>2177</v>
      </c>
      <c r="S620" s="151" t="s">
        <v>361</v>
      </c>
      <c r="T620" s="151" t="s">
        <v>4334</v>
      </c>
      <c r="U620" s="151" t="s">
        <v>3608</v>
      </c>
      <c r="V620" s="151"/>
      <c r="W620" s="151">
        <v>1</v>
      </c>
      <c r="X620" s="151"/>
      <c r="Y620" s="151" t="s">
        <v>3608</v>
      </c>
      <c r="Z620" s="151" t="s">
        <v>4335</v>
      </c>
      <c r="AA620" s="151"/>
      <c r="AB620" s="151" t="s">
        <v>855</v>
      </c>
      <c r="AC620" s="342"/>
    </row>
    <row r="621" spans="1:29">
      <c r="A621" s="151" t="s">
        <v>3593</v>
      </c>
      <c r="B621" s="151" t="s">
        <v>438</v>
      </c>
      <c r="C621" s="151" t="s">
        <v>4330</v>
      </c>
      <c r="D621" s="151" t="s">
        <v>17</v>
      </c>
      <c r="E621" s="151" t="s">
        <v>4336</v>
      </c>
      <c r="F621" s="151" t="s">
        <v>551</v>
      </c>
      <c r="G621" s="151" t="s">
        <v>2173</v>
      </c>
      <c r="H621" s="151" t="s">
        <v>1183</v>
      </c>
      <c r="I621" s="151" t="s">
        <v>1184</v>
      </c>
      <c r="J621" s="151" t="s">
        <v>813</v>
      </c>
      <c r="K621" s="151" t="s">
        <v>4337</v>
      </c>
      <c r="L621" s="151" t="s">
        <v>4333</v>
      </c>
      <c r="M621" s="151" t="s">
        <v>361</v>
      </c>
      <c r="N621" s="151"/>
      <c r="O621" s="151"/>
      <c r="P621" s="151"/>
      <c r="Q621" s="151"/>
      <c r="R621" s="151" t="s">
        <v>2177</v>
      </c>
      <c r="S621" s="151" t="s">
        <v>361</v>
      </c>
      <c r="T621" s="151" t="s">
        <v>2213</v>
      </c>
      <c r="U621" s="151" t="s">
        <v>3582</v>
      </c>
      <c r="V621" s="151">
        <v>5</v>
      </c>
      <c r="W621" s="151" t="s">
        <v>4338</v>
      </c>
      <c r="X621" s="151" t="s">
        <v>2445</v>
      </c>
      <c r="Y621" s="151" t="s">
        <v>3582</v>
      </c>
      <c r="Z621" s="151"/>
      <c r="AA621" s="151"/>
      <c r="AB621" s="151" t="s">
        <v>855</v>
      </c>
      <c r="AC621" s="342"/>
    </row>
    <row r="622" spans="1:29">
      <c r="A622" s="151" t="s">
        <v>3593</v>
      </c>
      <c r="B622" s="151" t="s">
        <v>4339</v>
      </c>
      <c r="C622" s="151" t="s">
        <v>4330</v>
      </c>
      <c r="D622" s="151" t="s">
        <v>17</v>
      </c>
      <c r="E622" s="151" t="s">
        <v>4340</v>
      </c>
      <c r="F622" s="151" t="s">
        <v>551</v>
      </c>
      <c r="G622" s="151" t="s">
        <v>2173</v>
      </c>
      <c r="H622" s="151" t="s">
        <v>1183</v>
      </c>
      <c r="I622" s="151" t="s">
        <v>1184</v>
      </c>
      <c r="J622" s="151" t="s">
        <v>813</v>
      </c>
      <c r="K622" s="151" t="s">
        <v>4341</v>
      </c>
      <c r="L622" s="151" t="s">
        <v>4333</v>
      </c>
      <c r="M622" s="151" t="s">
        <v>361</v>
      </c>
      <c r="N622" s="151"/>
      <c r="O622" s="151"/>
      <c r="P622" s="151"/>
      <c r="Q622" s="151"/>
      <c r="R622" s="151" t="s">
        <v>2177</v>
      </c>
      <c r="S622" s="151" t="s">
        <v>361</v>
      </c>
      <c r="T622" s="151" t="s">
        <v>2213</v>
      </c>
      <c r="U622" s="151" t="s">
        <v>3608</v>
      </c>
      <c r="V622" s="151"/>
      <c r="W622" s="151">
        <v>1</v>
      </c>
      <c r="X622" s="151" t="s">
        <v>2445</v>
      </c>
      <c r="Y622" s="151" t="s">
        <v>3608</v>
      </c>
      <c r="Z622" s="151"/>
      <c r="AA622" s="151"/>
      <c r="AB622" s="151" t="s">
        <v>855</v>
      </c>
      <c r="AC622" s="342"/>
    </row>
    <row r="623" spans="1:29">
      <c r="A623" s="151" t="s">
        <v>3593</v>
      </c>
      <c r="B623" s="151" t="s">
        <v>4342</v>
      </c>
      <c r="C623" s="151" t="s">
        <v>4330</v>
      </c>
      <c r="D623" s="151" t="s">
        <v>17</v>
      </c>
      <c r="E623" s="151" t="s">
        <v>4343</v>
      </c>
      <c r="F623" s="151" t="s">
        <v>551</v>
      </c>
      <c r="G623" s="151" t="s">
        <v>2173</v>
      </c>
      <c r="H623" s="151" t="s">
        <v>1183</v>
      </c>
      <c r="I623" s="151" t="s">
        <v>1184</v>
      </c>
      <c r="J623" s="151" t="s">
        <v>813</v>
      </c>
      <c r="K623" s="151" t="s">
        <v>4344</v>
      </c>
      <c r="L623" s="151" t="s">
        <v>4333</v>
      </c>
      <c r="M623" s="151" t="s">
        <v>361</v>
      </c>
      <c r="N623" s="151"/>
      <c r="O623" s="151"/>
      <c r="P623" s="151"/>
      <c r="Q623" s="151"/>
      <c r="R623" s="151" t="s">
        <v>2177</v>
      </c>
      <c r="S623" s="151" t="s">
        <v>361</v>
      </c>
      <c r="T623" s="151" t="s">
        <v>2213</v>
      </c>
      <c r="U623" s="151" t="s">
        <v>2207</v>
      </c>
      <c r="V623" s="151">
        <v>10</v>
      </c>
      <c r="W623" s="151" t="s">
        <v>2207</v>
      </c>
      <c r="X623" s="151" t="s">
        <v>2445</v>
      </c>
      <c r="Y623" s="151" t="s">
        <v>2207</v>
      </c>
      <c r="Z623" s="151"/>
      <c r="AA623" s="151"/>
      <c r="AB623" s="151" t="s">
        <v>855</v>
      </c>
      <c r="AC623" s="342"/>
    </row>
    <row r="624" spans="1:29">
      <c r="A624" s="151" t="s">
        <v>3593</v>
      </c>
      <c r="B624" s="151" t="s">
        <v>4345</v>
      </c>
      <c r="C624" s="151" t="s">
        <v>4330</v>
      </c>
      <c r="D624" s="151" t="s">
        <v>17</v>
      </c>
      <c r="E624" s="151" t="s">
        <v>4346</v>
      </c>
      <c r="F624" s="151" t="s">
        <v>551</v>
      </c>
      <c r="G624" s="151" t="s">
        <v>2173</v>
      </c>
      <c r="H624" s="151" t="s">
        <v>1183</v>
      </c>
      <c r="I624" s="151" t="s">
        <v>1184</v>
      </c>
      <c r="J624" s="151" t="s">
        <v>813</v>
      </c>
      <c r="K624" s="151" t="s">
        <v>4347</v>
      </c>
      <c r="L624" s="151" t="s">
        <v>4333</v>
      </c>
      <c r="M624" s="151" t="s">
        <v>361</v>
      </c>
      <c r="N624" s="151"/>
      <c r="O624" s="151"/>
      <c r="P624" s="151"/>
      <c r="Q624" s="151"/>
      <c r="R624" s="151" t="s">
        <v>2177</v>
      </c>
      <c r="S624" s="151" t="s">
        <v>361</v>
      </c>
      <c r="T624" s="151" t="s">
        <v>2213</v>
      </c>
      <c r="U624" s="151" t="s">
        <v>2207</v>
      </c>
      <c r="V624" s="151">
        <v>10</v>
      </c>
      <c r="W624" s="151" t="s">
        <v>2207</v>
      </c>
      <c r="X624" s="151" t="s">
        <v>2445</v>
      </c>
      <c r="Y624" s="151" t="s">
        <v>2207</v>
      </c>
      <c r="Z624" s="151"/>
      <c r="AA624" s="151"/>
      <c r="AB624" s="151" t="s">
        <v>855</v>
      </c>
      <c r="AC624" s="342"/>
    </row>
    <row r="625" spans="1:29">
      <c r="A625" s="151" t="s">
        <v>3593</v>
      </c>
      <c r="B625" s="151" t="s">
        <v>4348</v>
      </c>
      <c r="C625" s="151" t="s">
        <v>4330</v>
      </c>
      <c r="D625" s="151" t="s">
        <v>17</v>
      </c>
      <c r="E625" s="151" t="s">
        <v>4349</v>
      </c>
      <c r="F625" s="151" t="s">
        <v>551</v>
      </c>
      <c r="G625" s="151" t="s">
        <v>2173</v>
      </c>
      <c r="H625" s="151" t="s">
        <v>1183</v>
      </c>
      <c r="I625" s="151" t="s">
        <v>1184</v>
      </c>
      <c r="J625" s="151" t="s">
        <v>813</v>
      </c>
      <c r="K625" s="151" t="s">
        <v>4350</v>
      </c>
      <c r="L625" s="151" t="s">
        <v>4333</v>
      </c>
      <c r="M625" s="151" t="s">
        <v>361</v>
      </c>
      <c r="N625" s="151"/>
      <c r="O625" s="151"/>
      <c r="P625" s="151"/>
      <c r="Q625" s="151"/>
      <c r="R625" s="151" t="s">
        <v>2177</v>
      </c>
      <c r="S625" s="151" t="s">
        <v>361</v>
      </c>
      <c r="T625" s="151" t="s">
        <v>2213</v>
      </c>
      <c r="U625" s="151" t="s">
        <v>2207</v>
      </c>
      <c r="V625" s="151">
        <v>10</v>
      </c>
      <c r="W625" s="151" t="s">
        <v>2207</v>
      </c>
      <c r="X625" s="151" t="s">
        <v>2445</v>
      </c>
      <c r="Y625" s="151" t="s">
        <v>2207</v>
      </c>
      <c r="Z625" s="151"/>
      <c r="AA625" s="151"/>
      <c r="AB625" s="151" t="s">
        <v>855</v>
      </c>
      <c r="AC625" s="342"/>
    </row>
    <row r="626" spans="1:29">
      <c r="A626" s="151" t="s">
        <v>3593</v>
      </c>
      <c r="B626" s="151" t="s">
        <v>159</v>
      </c>
      <c r="C626" s="151" t="s">
        <v>4330</v>
      </c>
      <c r="D626" s="151" t="s">
        <v>17</v>
      </c>
      <c r="E626" s="151" t="s">
        <v>4351</v>
      </c>
      <c r="F626" s="151" t="s">
        <v>551</v>
      </c>
      <c r="G626" s="151" t="s">
        <v>2173</v>
      </c>
      <c r="H626" s="151" t="s">
        <v>1183</v>
      </c>
      <c r="I626" s="151" t="s">
        <v>1184</v>
      </c>
      <c r="J626" s="151" t="s">
        <v>813</v>
      </c>
      <c r="K626" s="151" t="s">
        <v>4352</v>
      </c>
      <c r="L626" s="151" t="s">
        <v>4333</v>
      </c>
      <c r="M626" s="151" t="s">
        <v>361</v>
      </c>
      <c r="N626" s="151"/>
      <c r="O626" s="151"/>
      <c r="P626" s="151"/>
      <c r="Q626" s="151"/>
      <c r="R626" s="151" t="s">
        <v>2177</v>
      </c>
      <c r="S626" s="151" t="s">
        <v>361</v>
      </c>
      <c r="T626" s="151" t="s">
        <v>2213</v>
      </c>
      <c r="U626" s="151" t="s">
        <v>3608</v>
      </c>
      <c r="V626" s="151">
        <v>1</v>
      </c>
      <c r="W626" s="151" t="s">
        <v>4353</v>
      </c>
      <c r="X626" s="151" t="s">
        <v>2445</v>
      </c>
      <c r="Y626" s="151" t="s">
        <v>3608</v>
      </c>
      <c r="Z626" s="151"/>
      <c r="AA626" s="151"/>
      <c r="AB626" s="151" t="s">
        <v>855</v>
      </c>
      <c r="AC626" s="342"/>
    </row>
    <row r="627" spans="1:29">
      <c r="A627" s="151" t="s">
        <v>3593</v>
      </c>
      <c r="B627" s="151" t="s">
        <v>4354</v>
      </c>
      <c r="C627" s="151" t="s">
        <v>4330</v>
      </c>
      <c r="D627" s="151" t="s">
        <v>17</v>
      </c>
      <c r="E627" s="151" t="s">
        <v>4355</v>
      </c>
      <c r="F627" s="151" t="s">
        <v>551</v>
      </c>
      <c r="G627" s="151" t="s">
        <v>2173</v>
      </c>
      <c r="H627" s="151" t="s">
        <v>1183</v>
      </c>
      <c r="I627" s="151" t="s">
        <v>1184</v>
      </c>
      <c r="J627" s="151" t="s">
        <v>806</v>
      </c>
      <c r="K627" s="151" t="s">
        <v>1830</v>
      </c>
      <c r="L627" s="151" t="s">
        <v>3596</v>
      </c>
      <c r="M627" s="151" t="s">
        <v>361</v>
      </c>
      <c r="N627" s="151"/>
      <c r="O627" s="151"/>
      <c r="P627" s="151"/>
      <c r="Q627" s="151"/>
      <c r="R627" s="151" t="s">
        <v>2177</v>
      </c>
      <c r="S627" s="151" t="s">
        <v>361</v>
      </c>
      <c r="T627" s="151" t="s">
        <v>2213</v>
      </c>
      <c r="U627" s="151" t="s">
        <v>3582</v>
      </c>
      <c r="V627" s="151">
        <v>20</v>
      </c>
      <c r="W627" s="151" t="s">
        <v>4276</v>
      </c>
      <c r="X627" s="151" t="s">
        <v>2445</v>
      </c>
      <c r="Y627" s="151" t="s">
        <v>3582</v>
      </c>
      <c r="Z627" s="151"/>
      <c r="AA627" s="151"/>
      <c r="AB627" s="151" t="s">
        <v>855</v>
      </c>
      <c r="AC627" s="342"/>
    </row>
    <row r="628" spans="1:29">
      <c r="A628" s="151" t="s">
        <v>3593</v>
      </c>
      <c r="B628" s="151" t="s">
        <v>4356</v>
      </c>
      <c r="C628" s="151" t="s">
        <v>4330</v>
      </c>
      <c r="D628" s="151" t="s">
        <v>17</v>
      </c>
      <c r="E628" s="151" t="s">
        <v>4357</v>
      </c>
      <c r="F628" s="151" t="s">
        <v>551</v>
      </c>
      <c r="G628" s="151" t="s">
        <v>2173</v>
      </c>
      <c r="H628" s="151" t="s">
        <v>1183</v>
      </c>
      <c r="I628" s="151" t="s">
        <v>1184</v>
      </c>
      <c r="J628" s="151" t="s">
        <v>806</v>
      </c>
      <c r="K628" s="151" t="s">
        <v>1830</v>
      </c>
      <c r="L628" s="151" t="s">
        <v>3596</v>
      </c>
      <c r="M628" s="151" t="s">
        <v>361</v>
      </c>
      <c r="N628" s="151"/>
      <c r="O628" s="151"/>
      <c r="P628" s="151"/>
      <c r="Q628" s="151"/>
      <c r="R628" s="151" t="s">
        <v>2177</v>
      </c>
      <c r="S628" s="151" t="s">
        <v>361</v>
      </c>
      <c r="T628" s="151" t="s">
        <v>2213</v>
      </c>
      <c r="U628" s="151" t="s">
        <v>3582</v>
      </c>
      <c r="V628" s="151">
        <v>20</v>
      </c>
      <c r="W628" s="151" t="s">
        <v>4276</v>
      </c>
      <c r="X628" s="151" t="s">
        <v>2445</v>
      </c>
      <c r="Y628" s="151" t="s">
        <v>3582</v>
      </c>
      <c r="Z628" s="151"/>
      <c r="AA628" s="151"/>
      <c r="AB628" s="151" t="s">
        <v>855</v>
      </c>
      <c r="AC628" s="342"/>
    </row>
    <row r="629" spans="1:29">
      <c r="A629" s="151" t="s">
        <v>3593</v>
      </c>
      <c r="B629" s="151" t="s">
        <v>4358</v>
      </c>
      <c r="C629" s="151" t="s">
        <v>4330</v>
      </c>
      <c r="D629" s="151" t="s">
        <v>17</v>
      </c>
      <c r="E629" s="151" t="s">
        <v>4359</v>
      </c>
      <c r="F629" s="151" t="s">
        <v>551</v>
      </c>
      <c r="G629" s="151" t="s">
        <v>2173</v>
      </c>
      <c r="H629" s="151" t="s">
        <v>1183</v>
      </c>
      <c r="I629" s="151" t="s">
        <v>1184</v>
      </c>
      <c r="J629" s="151" t="s">
        <v>794</v>
      </c>
      <c r="K629" s="151" t="s">
        <v>4360</v>
      </c>
      <c r="L629" s="151" t="s">
        <v>4361</v>
      </c>
      <c r="M629" s="151" t="s">
        <v>361</v>
      </c>
      <c r="N629" s="151"/>
      <c r="O629" s="151"/>
      <c r="P629" s="151"/>
      <c r="Q629" s="151"/>
      <c r="R629" s="151" t="s">
        <v>2177</v>
      </c>
      <c r="S629" s="151" t="s">
        <v>361</v>
      </c>
      <c r="T629" s="151" t="s">
        <v>2213</v>
      </c>
      <c r="U629" s="151" t="s">
        <v>3608</v>
      </c>
      <c r="V629" s="151" t="s">
        <v>49</v>
      </c>
      <c r="W629" s="151" t="s">
        <v>3615</v>
      </c>
      <c r="X629" s="151" t="s">
        <v>2445</v>
      </c>
      <c r="Y629" s="151" t="s">
        <v>3608</v>
      </c>
      <c r="Z629" s="151"/>
      <c r="AA629" s="151"/>
      <c r="AB629" s="151" t="s">
        <v>855</v>
      </c>
      <c r="AC629" s="342"/>
    </row>
    <row r="630" spans="1:29">
      <c r="A630" s="151" t="s">
        <v>3593</v>
      </c>
      <c r="B630" s="151" t="s">
        <v>2669</v>
      </c>
      <c r="C630" s="151" t="s">
        <v>4330</v>
      </c>
      <c r="D630" s="151" t="s">
        <v>17</v>
      </c>
      <c r="E630" s="151" t="s">
        <v>4362</v>
      </c>
      <c r="F630" s="151" t="s">
        <v>551</v>
      </c>
      <c r="G630" s="151" t="s">
        <v>2173</v>
      </c>
      <c r="H630" s="151" t="s">
        <v>1183</v>
      </c>
      <c r="I630" s="151" t="s">
        <v>1184</v>
      </c>
      <c r="J630" s="151" t="s">
        <v>802</v>
      </c>
      <c r="K630" s="151" t="s">
        <v>3614</v>
      </c>
      <c r="L630" s="151" t="s">
        <v>4245</v>
      </c>
      <c r="M630" s="151" t="s">
        <v>361</v>
      </c>
      <c r="N630" s="151"/>
      <c r="O630" s="151"/>
      <c r="P630" s="151"/>
      <c r="Q630" s="151"/>
      <c r="R630" s="151" t="s">
        <v>2177</v>
      </c>
      <c r="S630" s="151" t="s">
        <v>361</v>
      </c>
      <c r="T630" s="151" t="s">
        <v>2213</v>
      </c>
      <c r="U630" s="151" t="s">
        <v>3582</v>
      </c>
      <c r="V630" s="151">
        <v>5</v>
      </c>
      <c r="W630" s="151" t="s">
        <v>4338</v>
      </c>
      <c r="X630" s="151" t="s">
        <v>2445</v>
      </c>
      <c r="Y630" s="151" t="s">
        <v>3582</v>
      </c>
      <c r="Z630" s="151"/>
      <c r="AA630" s="151"/>
      <c r="AB630" s="151" t="s">
        <v>855</v>
      </c>
      <c r="AC630" s="342"/>
    </row>
    <row r="631" spans="1:29">
      <c r="A631" s="151" t="s">
        <v>3593</v>
      </c>
      <c r="B631" s="151" t="s">
        <v>4363</v>
      </c>
      <c r="C631" s="151" t="s">
        <v>4330</v>
      </c>
      <c r="D631" s="151" t="s">
        <v>17</v>
      </c>
      <c r="E631" s="151" t="s">
        <v>4364</v>
      </c>
      <c r="F631" s="151" t="s">
        <v>551</v>
      </c>
      <c r="G631" s="151" t="s">
        <v>2173</v>
      </c>
      <c r="H631" s="151" t="s">
        <v>1183</v>
      </c>
      <c r="I631" s="151" t="s">
        <v>1184</v>
      </c>
      <c r="J631" s="151" t="s">
        <v>794</v>
      </c>
      <c r="K631" s="151" t="s">
        <v>4365</v>
      </c>
      <c r="L631" s="151" t="s">
        <v>4361</v>
      </c>
      <c r="M631" s="151" t="s">
        <v>361</v>
      </c>
      <c r="N631" s="151"/>
      <c r="O631" s="151"/>
      <c r="P631" s="151"/>
      <c r="Q631" s="151"/>
      <c r="R631" s="151" t="s">
        <v>2177</v>
      </c>
      <c r="S631" s="151" t="s">
        <v>361</v>
      </c>
      <c r="T631" s="151" t="s">
        <v>2213</v>
      </c>
      <c r="U631" s="151" t="s">
        <v>2507</v>
      </c>
      <c r="V631" s="151">
        <v>12</v>
      </c>
      <c r="W631" s="151" t="s">
        <v>2507</v>
      </c>
      <c r="X631" s="151" t="s">
        <v>2445</v>
      </c>
      <c r="Y631" s="151" t="s">
        <v>2507</v>
      </c>
      <c r="Z631" s="151"/>
      <c r="AA631" s="151"/>
      <c r="AB631" s="151" t="s">
        <v>855</v>
      </c>
      <c r="AC631" s="342"/>
    </row>
    <row r="632" spans="1:29">
      <c r="A632" s="151" t="s">
        <v>3593</v>
      </c>
      <c r="B632" s="151" t="s">
        <v>16</v>
      </c>
      <c r="C632" s="151" t="s">
        <v>4330</v>
      </c>
      <c r="D632" s="151" t="s">
        <v>17</v>
      </c>
      <c r="E632" s="151" t="s">
        <v>4366</v>
      </c>
      <c r="F632" s="151" t="s">
        <v>551</v>
      </c>
      <c r="G632" s="151" t="s">
        <v>2173</v>
      </c>
      <c r="H632" s="151" t="s">
        <v>1183</v>
      </c>
      <c r="I632" s="151" t="s">
        <v>1184</v>
      </c>
      <c r="J632" s="151" t="s">
        <v>813</v>
      </c>
      <c r="K632" s="151" t="s">
        <v>4367</v>
      </c>
      <c r="L632" s="151" t="s">
        <v>4333</v>
      </c>
      <c r="M632" s="151" t="s">
        <v>361</v>
      </c>
      <c r="N632" s="151"/>
      <c r="O632" s="151"/>
      <c r="P632" s="151"/>
      <c r="Q632" s="151"/>
      <c r="R632" s="151" t="s">
        <v>2177</v>
      </c>
      <c r="S632" s="151" t="s">
        <v>361</v>
      </c>
      <c r="T632" s="151" t="s">
        <v>2213</v>
      </c>
      <c r="U632" s="151" t="s">
        <v>4368</v>
      </c>
      <c r="V632" s="151"/>
      <c r="W632" s="151" t="s">
        <v>4369</v>
      </c>
      <c r="X632" s="151" t="s">
        <v>2445</v>
      </c>
      <c r="Y632" s="151" t="s">
        <v>3582</v>
      </c>
      <c r="Z632" s="151"/>
      <c r="AA632" s="151"/>
      <c r="AB632" s="151" t="s">
        <v>855</v>
      </c>
      <c r="AC632" s="342"/>
    </row>
    <row r="633" spans="1:29">
      <c r="A633" s="151" t="s">
        <v>3593</v>
      </c>
      <c r="B633" s="151" t="s">
        <v>4370</v>
      </c>
      <c r="C633" s="151" t="s">
        <v>4330</v>
      </c>
      <c r="D633" s="151" t="s">
        <v>17</v>
      </c>
      <c r="E633" s="151" t="s">
        <v>4371</v>
      </c>
      <c r="F633" s="151" t="s">
        <v>551</v>
      </c>
      <c r="G633" s="151" t="s">
        <v>2173</v>
      </c>
      <c r="H633" s="151" t="s">
        <v>1183</v>
      </c>
      <c r="I633" s="151" t="s">
        <v>1184</v>
      </c>
      <c r="J633" s="151" t="s">
        <v>813</v>
      </c>
      <c r="K633" s="151" t="s">
        <v>4372</v>
      </c>
      <c r="L633" s="151" t="s">
        <v>4333</v>
      </c>
      <c r="M633" s="151" t="s">
        <v>361</v>
      </c>
      <c r="N633" s="151"/>
      <c r="O633" s="151"/>
      <c r="P633" s="151"/>
      <c r="Q633" s="151"/>
      <c r="R633" s="151" t="s">
        <v>2177</v>
      </c>
      <c r="S633" s="151" t="s">
        <v>361</v>
      </c>
      <c r="T633" s="151" t="s">
        <v>2213</v>
      </c>
      <c r="U633" s="151" t="s">
        <v>2207</v>
      </c>
      <c r="V633" s="151">
        <v>10</v>
      </c>
      <c r="W633" s="151" t="s">
        <v>2207</v>
      </c>
      <c r="X633" s="151" t="s">
        <v>2445</v>
      </c>
      <c r="Y633" s="151" t="s">
        <v>2207</v>
      </c>
      <c r="Z633" s="151"/>
      <c r="AA633" s="151"/>
      <c r="AB633" s="151" t="s">
        <v>855</v>
      </c>
      <c r="AC633" s="342"/>
    </row>
    <row r="634" spans="1:29">
      <c r="A634" s="151" t="s">
        <v>3593</v>
      </c>
      <c r="B634" s="151" t="s">
        <v>4373</v>
      </c>
      <c r="C634" s="151" t="s">
        <v>4330</v>
      </c>
      <c r="D634" s="151" t="s">
        <v>17</v>
      </c>
      <c r="E634" s="151" t="s">
        <v>4374</v>
      </c>
      <c r="F634" s="151" t="s">
        <v>551</v>
      </c>
      <c r="G634" s="151" t="s">
        <v>2173</v>
      </c>
      <c r="H634" s="151" t="s">
        <v>1183</v>
      </c>
      <c r="I634" s="151" t="s">
        <v>1184</v>
      </c>
      <c r="J634" s="151" t="s">
        <v>813</v>
      </c>
      <c r="K634" s="151" t="s">
        <v>4375</v>
      </c>
      <c r="L634" s="151" t="s">
        <v>4333</v>
      </c>
      <c r="M634" s="151" t="s">
        <v>361</v>
      </c>
      <c r="N634" s="151"/>
      <c r="O634" s="151"/>
      <c r="P634" s="151"/>
      <c r="Q634" s="151"/>
      <c r="R634" s="151" t="s">
        <v>2177</v>
      </c>
      <c r="S634" s="151" t="s">
        <v>361</v>
      </c>
      <c r="T634" s="151" t="s">
        <v>2213</v>
      </c>
      <c r="U634" s="151" t="s">
        <v>2207</v>
      </c>
      <c r="V634" s="151">
        <v>10</v>
      </c>
      <c r="W634" s="151" t="s">
        <v>2207</v>
      </c>
      <c r="X634" s="151" t="s">
        <v>2445</v>
      </c>
      <c r="Y634" s="151" t="s">
        <v>2207</v>
      </c>
      <c r="Z634" s="151"/>
      <c r="AA634" s="151"/>
      <c r="AB634" s="151" t="s">
        <v>855</v>
      </c>
      <c r="AC634" s="342"/>
    </row>
    <row r="635" spans="1:29">
      <c r="A635" s="151" t="s">
        <v>3593</v>
      </c>
      <c r="B635" s="151" t="s">
        <v>4376</v>
      </c>
      <c r="C635" s="151" t="s">
        <v>4330</v>
      </c>
      <c r="D635" s="151" t="s">
        <v>17</v>
      </c>
      <c r="E635" s="151" t="s">
        <v>4377</v>
      </c>
      <c r="F635" s="151" t="s">
        <v>551</v>
      </c>
      <c r="G635" s="151" t="s">
        <v>2173</v>
      </c>
      <c r="H635" s="151" t="s">
        <v>1183</v>
      </c>
      <c r="I635" s="151" t="s">
        <v>1184</v>
      </c>
      <c r="J635" s="151" t="s">
        <v>812</v>
      </c>
      <c r="K635" s="151" t="s">
        <v>4378</v>
      </c>
      <c r="L635" s="151" t="s">
        <v>4379</v>
      </c>
      <c r="M635" s="151" t="s">
        <v>361</v>
      </c>
      <c r="N635" s="151"/>
      <c r="O635" s="151"/>
      <c r="P635" s="151"/>
      <c r="Q635" s="151"/>
      <c r="R635" s="151" t="s">
        <v>2177</v>
      </c>
      <c r="S635" s="151" t="s">
        <v>361</v>
      </c>
      <c r="T635" s="151" t="s">
        <v>2213</v>
      </c>
      <c r="U635" s="151" t="s">
        <v>3582</v>
      </c>
      <c r="V635" s="151">
        <v>4</v>
      </c>
      <c r="W635" s="151" t="s">
        <v>4380</v>
      </c>
      <c r="X635" s="151" t="s">
        <v>2445</v>
      </c>
      <c r="Y635" s="151" t="s">
        <v>3582</v>
      </c>
      <c r="Z635" s="151"/>
      <c r="AA635" s="151"/>
      <c r="AB635" s="151" t="s">
        <v>855</v>
      </c>
      <c r="AC635" s="342"/>
    </row>
    <row r="636" spans="1:29">
      <c r="A636" s="151" t="s">
        <v>3593</v>
      </c>
      <c r="B636" s="151" t="s">
        <v>4381</v>
      </c>
      <c r="C636" s="151" t="s">
        <v>4330</v>
      </c>
      <c r="D636" s="151" t="s">
        <v>17</v>
      </c>
      <c r="E636" s="151" t="s">
        <v>4382</v>
      </c>
      <c r="F636" s="151" t="s">
        <v>551</v>
      </c>
      <c r="G636" s="151" t="s">
        <v>2173</v>
      </c>
      <c r="H636" s="151" t="s">
        <v>1183</v>
      </c>
      <c r="I636" s="151" t="s">
        <v>1184</v>
      </c>
      <c r="J636" s="151" t="s">
        <v>812</v>
      </c>
      <c r="K636" s="151" t="s">
        <v>4383</v>
      </c>
      <c r="L636" s="151" t="s">
        <v>4379</v>
      </c>
      <c r="M636" s="151" t="s">
        <v>361</v>
      </c>
      <c r="N636" s="151"/>
      <c r="O636" s="151"/>
      <c r="P636" s="151"/>
      <c r="Q636" s="151"/>
      <c r="R636" s="151" t="s">
        <v>2177</v>
      </c>
      <c r="S636" s="151" t="s">
        <v>361</v>
      </c>
      <c r="T636" s="151" t="s">
        <v>2213</v>
      </c>
      <c r="U636" s="151" t="s">
        <v>3582</v>
      </c>
      <c r="V636" s="151">
        <v>3</v>
      </c>
      <c r="W636" s="151" t="s">
        <v>4338</v>
      </c>
      <c r="X636" s="151" t="s">
        <v>2445</v>
      </c>
      <c r="Y636" s="151" t="s">
        <v>3582</v>
      </c>
      <c r="Z636" s="151"/>
      <c r="AA636" s="151"/>
      <c r="AB636" s="151" t="s">
        <v>855</v>
      </c>
      <c r="AC636" s="342"/>
    </row>
    <row r="637" spans="1:29">
      <c r="A637" s="151" t="s">
        <v>3593</v>
      </c>
      <c r="B637" s="151" t="s">
        <v>4384</v>
      </c>
      <c r="C637" s="151" t="s">
        <v>4330</v>
      </c>
      <c r="D637" s="151" t="s">
        <v>17</v>
      </c>
      <c r="E637" s="151" t="s">
        <v>4385</v>
      </c>
      <c r="F637" s="151" t="s">
        <v>551</v>
      </c>
      <c r="G637" s="151" t="s">
        <v>2173</v>
      </c>
      <c r="H637" s="151" t="s">
        <v>1183</v>
      </c>
      <c r="I637" s="151" t="s">
        <v>1184</v>
      </c>
      <c r="J637" s="151" t="s">
        <v>812</v>
      </c>
      <c r="K637" s="151" t="s">
        <v>4386</v>
      </c>
      <c r="L637" s="151" t="s">
        <v>4379</v>
      </c>
      <c r="M637" s="151" t="s">
        <v>361</v>
      </c>
      <c r="N637" s="151"/>
      <c r="O637" s="151"/>
      <c r="P637" s="151"/>
      <c r="Q637" s="151"/>
      <c r="R637" s="151" t="s">
        <v>2177</v>
      </c>
      <c r="S637" s="151" t="s">
        <v>361</v>
      </c>
      <c r="T637" s="151" t="s">
        <v>2213</v>
      </c>
      <c r="U637" s="151" t="s">
        <v>3582</v>
      </c>
      <c r="V637" s="151">
        <v>5</v>
      </c>
      <c r="W637" s="151" t="s">
        <v>4380</v>
      </c>
      <c r="X637" s="151" t="s">
        <v>2445</v>
      </c>
      <c r="Y637" s="151" t="s">
        <v>3582</v>
      </c>
      <c r="Z637" s="151"/>
      <c r="AA637" s="151"/>
      <c r="AB637" s="151" t="s">
        <v>855</v>
      </c>
      <c r="AC637" s="342"/>
    </row>
    <row r="638" spans="1:29">
      <c r="A638" s="151" t="s">
        <v>3593</v>
      </c>
      <c r="B638" s="151" t="s">
        <v>4387</v>
      </c>
      <c r="C638" s="151" t="s">
        <v>4330</v>
      </c>
      <c r="D638" s="151" t="s">
        <v>17</v>
      </c>
      <c r="E638" s="151" t="s">
        <v>4388</v>
      </c>
      <c r="F638" s="151" t="s">
        <v>551</v>
      </c>
      <c r="G638" s="151" t="s">
        <v>2173</v>
      </c>
      <c r="H638" s="151" t="s">
        <v>1183</v>
      </c>
      <c r="I638" s="151" t="s">
        <v>1184</v>
      </c>
      <c r="J638" s="151" t="s">
        <v>806</v>
      </c>
      <c r="K638" s="151" t="s">
        <v>1830</v>
      </c>
      <c r="L638" s="151" t="s">
        <v>3596</v>
      </c>
      <c r="M638" s="151" t="s">
        <v>361</v>
      </c>
      <c r="N638" s="151"/>
      <c r="O638" s="151"/>
      <c r="P638" s="151"/>
      <c r="Q638" s="151"/>
      <c r="R638" s="151" t="s">
        <v>2177</v>
      </c>
      <c r="S638" s="151" t="s">
        <v>361</v>
      </c>
      <c r="T638" s="151" t="s">
        <v>2213</v>
      </c>
      <c r="U638" s="151" t="s">
        <v>3582</v>
      </c>
      <c r="V638" s="151">
        <v>20</v>
      </c>
      <c r="W638" s="151" t="s">
        <v>4276</v>
      </c>
      <c r="X638" s="151" t="s">
        <v>2445</v>
      </c>
      <c r="Y638" s="151" t="s">
        <v>3582</v>
      </c>
      <c r="Z638" s="151"/>
      <c r="AA638" s="151"/>
      <c r="AB638" s="151" t="s">
        <v>855</v>
      </c>
      <c r="AC638" s="342"/>
    </row>
    <row r="639" spans="1:29">
      <c r="A639" s="151" t="s">
        <v>3593</v>
      </c>
      <c r="B639" s="151" t="s">
        <v>4389</v>
      </c>
      <c r="C639" s="151" t="s">
        <v>4330</v>
      </c>
      <c r="D639" s="151" t="s">
        <v>17</v>
      </c>
      <c r="E639" s="151" t="s">
        <v>4390</v>
      </c>
      <c r="F639" s="151" t="s">
        <v>551</v>
      </c>
      <c r="G639" s="151" t="s">
        <v>2546</v>
      </c>
      <c r="H639" s="151" t="s">
        <v>1183</v>
      </c>
      <c r="I639" s="151" t="s">
        <v>1184</v>
      </c>
      <c r="J639" s="151" t="s">
        <v>812</v>
      </c>
      <c r="K639" s="151" t="s">
        <v>4391</v>
      </c>
      <c r="L639" s="151" t="s">
        <v>4392</v>
      </c>
      <c r="M639" s="151" t="s">
        <v>361</v>
      </c>
      <c r="N639" s="151"/>
      <c r="O639" s="151"/>
      <c r="P639" s="151"/>
      <c r="Q639" s="151"/>
      <c r="R639" s="151"/>
      <c r="S639" s="151"/>
      <c r="T639" s="151"/>
      <c r="U639" s="151"/>
      <c r="V639" s="151"/>
      <c r="W639" s="151"/>
      <c r="X639" s="151"/>
      <c r="Y639" s="151"/>
      <c r="Z639" s="151"/>
      <c r="AA639" s="151"/>
      <c r="AB639" s="151"/>
      <c r="AC639" s="342"/>
    </row>
    <row r="640" spans="1:29">
      <c r="A640" s="151" t="s">
        <v>3593</v>
      </c>
      <c r="B640" s="151" t="s">
        <v>4393</v>
      </c>
      <c r="C640" s="151" t="s">
        <v>4330</v>
      </c>
      <c r="D640" s="151" t="s">
        <v>17</v>
      </c>
      <c r="E640" s="151" t="s">
        <v>4394</v>
      </c>
      <c r="F640" s="151" t="s">
        <v>551</v>
      </c>
      <c r="G640" s="151" t="s">
        <v>2546</v>
      </c>
      <c r="H640" s="151" t="s">
        <v>1183</v>
      </c>
      <c r="I640" s="151" t="s">
        <v>1184</v>
      </c>
      <c r="J640" s="151" t="s">
        <v>812</v>
      </c>
      <c r="K640" s="151" t="s">
        <v>4395</v>
      </c>
      <c r="L640" s="151" t="s">
        <v>4392</v>
      </c>
      <c r="M640" s="151" t="s">
        <v>361</v>
      </c>
      <c r="N640" s="151"/>
      <c r="O640" s="151"/>
      <c r="P640" s="151"/>
      <c r="Q640" s="151"/>
      <c r="R640" s="151"/>
      <c r="S640" s="151"/>
      <c r="T640" s="151"/>
      <c r="U640" s="151"/>
      <c r="V640" s="151"/>
      <c r="W640" s="151"/>
      <c r="X640" s="151"/>
      <c r="Y640" s="151"/>
      <c r="Z640" s="151"/>
      <c r="AA640" s="151"/>
      <c r="AB640" s="151"/>
      <c r="AC640" s="342"/>
    </row>
    <row r="641" spans="1:29">
      <c r="A641" s="151" t="s">
        <v>3593</v>
      </c>
      <c r="B641" s="151" t="s">
        <v>4396</v>
      </c>
      <c r="C641" s="151" t="s">
        <v>4330</v>
      </c>
      <c r="D641" s="151" t="s">
        <v>17</v>
      </c>
      <c r="E641" s="151" t="s">
        <v>4397</v>
      </c>
      <c r="F641" s="151" t="s">
        <v>551</v>
      </c>
      <c r="G641" s="151" t="s">
        <v>2546</v>
      </c>
      <c r="H641" s="151" t="s">
        <v>1183</v>
      </c>
      <c r="I641" s="151" t="s">
        <v>1184</v>
      </c>
      <c r="J641" s="151" t="s">
        <v>812</v>
      </c>
      <c r="K641" s="151" t="s">
        <v>4398</v>
      </c>
      <c r="L641" s="151" t="s">
        <v>4392</v>
      </c>
      <c r="M641" s="151" t="s">
        <v>361</v>
      </c>
      <c r="N641" s="151"/>
      <c r="O641" s="151"/>
      <c r="P641" s="151"/>
      <c r="Q641" s="151"/>
      <c r="R641" s="151"/>
      <c r="S641" s="151"/>
      <c r="T641" s="151"/>
      <c r="U641" s="151"/>
      <c r="V641" s="151"/>
      <c r="W641" s="151"/>
      <c r="X641" s="151"/>
      <c r="Y641" s="151"/>
      <c r="Z641" s="151"/>
      <c r="AA641" s="151"/>
      <c r="AB641" s="151"/>
      <c r="AC641" s="342"/>
    </row>
    <row r="642" spans="1:29">
      <c r="A642" s="151" t="s">
        <v>3593</v>
      </c>
      <c r="B642" s="151" t="s">
        <v>4399</v>
      </c>
      <c r="C642" s="151" t="s">
        <v>4330</v>
      </c>
      <c r="D642" s="151" t="s">
        <v>17</v>
      </c>
      <c r="E642" s="151" t="s">
        <v>4400</v>
      </c>
      <c r="F642" s="151" t="s">
        <v>551</v>
      </c>
      <c r="G642" s="151" t="s">
        <v>2546</v>
      </c>
      <c r="H642" s="151" t="s">
        <v>1183</v>
      </c>
      <c r="I642" s="151" t="s">
        <v>1184</v>
      </c>
      <c r="J642" s="151" t="s">
        <v>812</v>
      </c>
      <c r="K642" s="151" t="s">
        <v>4401</v>
      </c>
      <c r="L642" s="151" t="s">
        <v>4392</v>
      </c>
      <c r="M642" s="151" t="s">
        <v>361</v>
      </c>
      <c r="N642" s="151"/>
      <c r="O642" s="151"/>
      <c r="P642" s="151"/>
      <c r="Q642" s="151"/>
      <c r="R642" s="151"/>
      <c r="S642" s="151"/>
      <c r="T642" s="151"/>
      <c r="U642" s="151"/>
      <c r="V642" s="151"/>
      <c r="W642" s="151"/>
      <c r="X642" s="151"/>
      <c r="Y642" s="151"/>
      <c r="Z642" s="151"/>
      <c r="AA642" s="151"/>
      <c r="AB642" s="151"/>
      <c r="AC642" s="342"/>
    </row>
    <row r="643" spans="1:29">
      <c r="A643" s="151" t="s">
        <v>3593</v>
      </c>
      <c r="B643" s="151" t="s">
        <v>4402</v>
      </c>
      <c r="C643" s="151" t="s">
        <v>4330</v>
      </c>
      <c r="D643" s="151" t="s">
        <v>17</v>
      </c>
      <c r="E643" s="151" t="s">
        <v>4403</v>
      </c>
      <c r="F643" s="151" t="s">
        <v>551</v>
      </c>
      <c r="G643" s="151" t="s">
        <v>2546</v>
      </c>
      <c r="H643" s="151" t="s">
        <v>1183</v>
      </c>
      <c r="I643" s="151" t="s">
        <v>1184</v>
      </c>
      <c r="J643" s="151" t="s">
        <v>812</v>
      </c>
      <c r="K643" s="151" t="s">
        <v>4404</v>
      </c>
      <c r="L643" s="151" t="s">
        <v>4392</v>
      </c>
      <c r="M643" s="151" t="s">
        <v>361</v>
      </c>
      <c r="N643" s="151"/>
      <c r="O643" s="151"/>
      <c r="P643" s="151"/>
      <c r="Q643" s="151"/>
      <c r="R643" s="151"/>
      <c r="S643" s="151"/>
      <c r="T643" s="151"/>
      <c r="U643" s="151"/>
      <c r="V643" s="151"/>
      <c r="W643" s="151"/>
      <c r="X643" s="151"/>
      <c r="Y643" s="151"/>
      <c r="Z643" s="151"/>
      <c r="AA643" s="151"/>
      <c r="AB643" s="151"/>
      <c r="AC643" s="342"/>
    </row>
    <row r="644" spans="1:29">
      <c r="A644" s="151" t="s">
        <v>3593</v>
      </c>
      <c r="B644" s="151" t="s">
        <v>4405</v>
      </c>
      <c r="C644" s="151" t="s">
        <v>4330</v>
      </c>
      <c r="D644" s="151" t="s">
        <v>17</v>
      </c>
      <c r="E644" s="151" t="s">
        <v>4406</v>
      </c>
      <c r="F644" s="151" t="s">
        <v>551</v>
      </c>
      <c r="G644" s="151" t="s">
        <v>2546</v>
      </c>
      <c r="H644" s="151" t="s">
        <v>1183</v>
      </c>
      <c r="I644" s="151" t="s">
        <v>1184</v>
      </c>
      <c r="J644" s="151" t="s">
        <v>812</v>
      </c>
      <c r="K644" s="151" t="s">
        <v>4407</v>
      </c>
      <c r="L644" s="151" t="s">
        <v>4392</v>
      </c>
      <c r="M644" s="151" t="s">
        <v>361</v>
      </c>
      <c r="N644" s="151"/>
      <c r="O644" s="151"/>
      <c r="P644" s="151"/>
      <c r="Q644" s="151"/>
      <c r="R644" s="151"/>
      <c r="S644" s="151"/>
      <c r="T644" s="151"/>
      <c r="U644" s="151"/>
      <c r="V644" s="151"/>
      <c r="W644" s="151"/>
      <c r="X644" s="151"/>
      <c r="Y644" s="151"/>
      <c r="Z644" s="151"/>
      <c r="AA644" s="151"/>
      <c r="AB644" s="151"/>
      <c r="AC644" s="342"/>
    </row>
    <row r="645" spans="1:29">
      <c r="A645" s="151" t="s">
        <v>3593</v>
      </c>
      <c r="B645" s="151" t="s">
        <v>2821</v>
      </c>
      <c r="C645" s="151" t="s">
        <v>4330</v>
      </c>
      <c r="D645" s="151" t="s">
        <v>17</v>
      </c>
      <c r="E645" s="151" t="s">
        <v>4408</v>
      </c>
      <c r="F645" s="151" t="s">
        <v>551</v>
      </c>
      <c r="G645" s="151" t="s">
        <v>2546</v>
      </c>
      <c r="H645" s="151" t="s">
        <v>1183</v>
      </c>
      <c r="I645" s="151" t="s">
        <v>1184</v>
      </c>
      <c r="J645" s="151" t="s">
        <v>812</v>
      </c>
      <c r="K645" s="151" t="s">
        <v>4409</v>
      </c>
      <c r="L645" s="151" t="s">
        <v>4392</v>
      </c>
      <c r="M645" s="151" t="s">
        <v>361</v>
      </c>
      <c r="N645" s="151"/>
      <c r="O645" s="151"/>
      <c r="P645" s="151"/>
      <c r="Q645" s="151"/>
      <c r="R645" s="151"/>
      <c r="S645" s="151"/>
      <c r="T645" s="151"/>
      <c r="U645" s="151"/>
      <c r="V645" s="151"/>
      <c r="W645" s="151"/>
      <c r="X645" s="151"/>
      <c r="Y645" s="151"/>
      <c r="Z645" s="151"/>
      <c r="AA645" s="151"/>
      <c r="AB645" s="151"/>
      <c r="AC645" s="342"/>
    </row>
    <row r="646" spans="1:29">
      <c r="A646" s="151" t="s">
        <v>3593</v>
      </c>
      <c r="B646" s="151" t="s">
        <v>4410</v>
      </c>
      <c r="C646" s="151" t="s">
        <v>4330</v>
      </c>
      <c r="D646" s="151" t="s">
        <v>17</v>
      </c>
      <c r="E646" s="151" t="s">
        <v>4411</v>
      </c>
      <c r="F646" s="151" t="s">
        <v>551</v>
      </c>
      <c r="G646" s="151" t="s">
        <v>2173</v>
      </c>
      <c r="H646" s="151" t="s">
        <v>1183</v>
      </c>
      <c r="I646" s="151" t="s">
        <v>1184</v>
      </c>
      <c r="J646" s="151" t="s">
        <v>813</v>
      </c>
      <c r="K646" s="151" t="s">
        <v>4412</v>
      </c>
      <c r="L646" s="151" t="s">
        <v>4333</v>
      </c>
      <c r="M646" s="151" t="s">
        <v>361</v>
      </c>
      <c r="N646" s="151"/>
      <c r="O646" s="151"/>
      <c r="P646" s="151"/>
      <c r="Q646" s="151"/>
      <c r="R646" s="151" t="s">
        <v>2177</v>
      </c>
      <c r="S646" s="151" t="s">
        <v>361</v>
      </c>
      <c r="T646" s="151" t="s">
        <v>2213</v>
      </c>
      <c r="U646" s="151" t="s">
        <v>2207</v>
      </c>
      <c r="V646" s="151"/>
      <c r="W646" s="151" t="s">
        <v>2207</v>
      </c>
      <c r="X646" s="151" t="s">
        <v>2445</v>
      </c>
      <c r="Y646" s="151" t="s">
        <v>2207</v>
      </c>
      <c r="Z646" s="151"/>
      <c r="AA646" s="151"/>
      <c r="AB646" s="151" t="s">
        <v>855</v>
      </c>
      <c r="AC646" s="342"/>
    </row>
    <row r="647" spans="1:29">
      <c r="A647" s="151" t="s">
        <v>3593</v>
      </c>
      <c r="B647" s="151" t="s">
        <v>4413</v>
      </c>
      <c r="C647" s="151" t="s">
        <v>4330</v>
      </c>
      <c r="D647" s="151" t="s">
        <v>17</v>
      </c>
      <c r="E647" s="151" t="s">
        <v>4414</v>
      </c>
      <c r="F647" s="151" t="s">
        <v>551</v>
      </c>
      <c r="G647" s="151" t="s">
        <v>2173</v>
      </c>
      <c r="H647" s="151" t="s">
        <v>1183</v>
      </c>
      <c r="I647" s="151" t="s">
        <v>1184</v>
      </c>
      <c r="J647" s="151" t="s">
        <v>813</v>
      </c>
      <c r="K647" s="151" t="s">
        <v>4415</v>
      </c>
      <c r="L647" s="151" t="s">
        <v>4333</v>
      </c>
      <c r="M647" s="151" t="s">
        <v>361</v>
      </c>
      <c r="N647" s="151"/>
      <c r="O647" s="151"/>
      <c r="P647" s="151"/>
      <c r="Q647" s="151"/>
      <c r="R647" s="151" t="s">
        <v>2177</v>
      </c>
      <c r="S647" s="151" t="s">
        <v>361</v>
      </c>
      <c r="T647" s="151" t="s">
        <v>2213</v>
      </c>
      <c r="U647" s="151" t="s">
        <v>4416</v>
      </c>
      <c r="V647" s="151"/>
      <c r="W647" s="151" t="s">
        <v>4416</v>
      </c>
      <c r="X647" s="151" t="s">
        <v>2445</v>
      </c>
      <c r="Y647" s="151" t="s">
        <v>4416</v>
      </c>
      <c r="Z647" s="151"/>
      <c r="AA647" s="151"/>
      <c r="AB647" s="151" t="s">
        <v>855</v>
      </c>
      <c r="AC647" s="342"/>
    </row>
    <row r="648" spans="1:29">
      <c r="A648" s="151" t="s">
        <v>3593</v>
      </c>
      <c r="B648" s="151" t="s">
        <v>4417</v>
      </c>
      <c r="C648" s="151" t="s">
        <v>4330</v>
      </c>
      <c r="D648" s="151" t="s">
        <v>17</v>
      </c>
      <c r="E648" s="151" t="s">
        <v>4418</v>
      </c>
      <c r="F648" s="151" t="s">
        <v>551</v>
      </c>
      <c r="G648" s="151" t="s">
        <v>2173</v>
      </c>
      <c r="H648" s="151" t="s">
        <v>1183</v>
      </c>
      <c r="I648" s="151" t="s">
        <v>1184</v>
      </c>
      <c r="J648" s="151" t="s">
        <v>813</v>
      </c>
      <c r="K648" s="151" t="s">
        <v>4419</v>
      </c>
      <c r="L648" s="151" t="s">
        <v>4333</v>
      </c>
      <c r="M648" s="151" t="s">
        <v>361</v>
      </c>
      <c r="N648" s="151"/>
      <c r="O648" s="151"/>
      <c r="P648" s="151"/>
      <c r="Q648" s="151"/>
      <c r="R648" s="151" t="s">
        <v>2177</v>
      </c>
      <c r="S648" s="151" t="s">
        <v>361</v>
      </c>
      <c r="T648" s="151" t="s">
        <v>2213</v>
      </c>
      <c r="U648" s="151" t="s">
        <v>4416</v>
      </c>
      <c r="V648" s="151"/>
      <c r="W648" s="151" t="s">
        <v>4416</v>
      </c>
      <c r="X648" s="151" t="s">
        <v>2445</v>
      </c>
      <c r="Y648" s="151" t="s">
        <v>4416</v>
      </c>
      <c r="Z648" s="151"/>
      <c r="AA648" s="151"/>
      <c r="AB648" s="151" t="s">
        <v>855</v>
      </c>
      <c r="AC648" s="342"/>
    </row>
    <row r="649" spans="1:29">
      <c r="A649" s="151" t="s">
        <v>3593</v>
      </c>
      <c r="B649" s="151" t="s">
        <v>4420</v>
      </c>
      <c r="C649" s="151" t="s">
        <v>4330</v>
      </c>
      <c r="D649" s="151" t="s">
        <v>17</v>
      </c>
      <c r="E649" s="151" t="s">
        <v>4421</v>
      </c>
      <c r="F649" s="151" t="s">
        <v>551</v>
      </c>
      <c r="G649" s="151" t="s">
        <v>2173</v>
      </c>
      <c r="H649" s="151" t="s">
        <v>1183</v>
      </c>
      <c r="I649" s="151" t="s">
        <v>1184</v>
      </c>
      <c r="J649" s="151" t="s">
        <v>813</v>
      </c>
      <c r="K649" s="151" t="s">
        <v>4422</v>
      </c>
      <c r="L649" s="151" t="s">
        <v>4333</v>
      </c>
      <c r="M649" s="151" t="s">
        <v>361</v>
      </c>
      <c r="N649" s="151"/>
      <c r="O649" s="151"/>
      <c r="P649" s="151"/>
      <c r="Q649" s="151"/>
      <c r="R649" s="151" t="s">
        <v>2177</v>
      </c>
      <c r="S649" s="151" t="s">
        <v>361</v>
      </c>
      <c r="T649" s="151" t="s">
        <v>2213</v>
      </c>
      <c r="U649" s="151" t="s">
        <v>3608</v>
      </c>
      <c r="V649" s="151"/>
      <c r="W649" s="151">
        <v>1</v>
      </c>
      <c r="X649" s="151" t="s">
        <v>2445</v>
      </c>
      <c r="Y649" s="151" t="s">
        <v>3608</v>
      </c>
      <c r="Z649" s="151"/>
      <c r="AA649" s="151"/>
      <c r="AB649" s="151" t="s">
        <v>855</v>
      </c>
      <c r="AC649" s="342"/>
    </row>
    <row r="650" spans="1:29">
      <c r="A650" s="151" t="s">
        <v>3593</v>
      </c>
      <c r="B650" s="151" t="s">
        <v>4423</v>
      </c>
      <c r="C650" s="151" t="s">
        <v>4330</v>
      </c>
      <c r="D650" s="151" t="s">
        <v>17</v>
      </c>
      <c r="E650" s="151" t="s">
        <v>4424</v>
      </c>
      <c r="F650" s="151" t="s">
        <v>551</v>
      </c>
      <c r="G650" s="151" t="s">
        <v>2173</v>
      </c>
      <c r="H650" s="151" t="s">
        <v>1183</v>
      </c>
      <c r="I650" s="151" t="s">
        <v>1184</v>
      </c>
      <c r="J650" s="151" t="s">
        <v>813</v>
      </c>
      <c r="K650" s="151" t="s">
        <v>4425</v>
      </c>
      <c r="L650" s="151" t="s">
        <v>4333</v>
      </c>
      <c r="M650" s="151" t="s">
        <v>361</v>
      </c>
      <c r="N650" s="151"/>
      <c r="O650" s="151"/>
      <c r="P650" s="151"/>
      <c r="Q650" s="151"/>
      <c r="R650" s="151" t="s">
        <v>2177</v>
      </c>
      <c r="S650" s="151" t="s">
        <v>361</v>
      </c>
      <c r="T650" s="151" t="s">
        <v>2213</v>
      </c>
      <c r="U650" s="151" t="s">
        <v>3608</v>
      </c>
      <c r="V650" s="151"/>
      <c r="W650" s="151">
        <v>1</v>
      </c>
      <c r="X650" s="151" t="s">
        <v>2445</v>
      </c>
      <c r="Y650" s="151" t="s">
        <v>3608</v>
      </c>
      <c r="Z650" s="151"/>
      <c r="AA650" s="151"/>
      <c r="AB650" s="151" t="s">
        <v>855</v>
      </c>
      <c r="AC650" s="342"/>
    </row>
    <row r="651" spans="1:29">
      <c r="A651" s="151" t="s">
        <v>3593</v>
      </c>
      <c r="B651" s="151" t="s">
        <v>2637</v>
      </c>
      <c r="C651" s="151" t="s">
        <v>4330</v>
      </c>
      <c r="D651" s="151" t="s">
        <v>17</v>
      </c>
      <c r="E651" s="151" t="s">
        <v>4426</v>
      </c>
      <c r="F651" s="151" t="s">
        <v>551</v>
      </c>
      <c r="G651" s="151" t="s">
        <v>2173</v>
      </c>
      <c r="H651" s="151" t="s">
        <v>1183</v>
      </c>
      <c r="I651" s="151" t="s">
        <v>1184</v>
      </c>
      <c r="J651" s="151" t="s">
        <v>813</v>
      </c>
      <c r="K651" s="151" t="s">
        <v>4367</v>
      </c>
      <c r="L651" s="151" t="s">
        <v>4333</v>
      </c>
      <c r="M651" s="151" t="s">
        <v>361</v>
      </c>
      <c r="N651" s="151"/>
      <c r="O651" s="151"/>
      <c r="P651" s="151"/>
      <c r="Q651" s="151"/>
      <c r="R651" s="151" t="s">
        <v>2177</v>
      </c>
      <c r="S651" s="151" t="s">
        <v>361</v>
      </c>
      <c r="T651" s="151" t="s">
        <v>2213</v>
      </c>
      <c r="U651" s="151" t="s">
        <v>3582</v>
      </c>
      <c r="V651" s="151"/>
      <c r="W651" s="151" t="s">
        <v>4290</v>
      </c>
      <c r="X651" s="151"/>
      <c r="Y651" s="151" t="s">
        <v>3582</v>
      </c>
      <c r="Z651" s="151"/>
      <c r="AA651" s="151"/>
      <c r="AB651" s="151" t="s">
        <v>855</v>
      </c>
      <c r="AC651" s="342"/>
    </row>
    <row r="652" spans="1:29">
      <c r="A652" s="151" t="s">
        <v>3593</v>
      </c>
      <c r="B652" s="151" t="s">
        <v>4427</v>
      </c>
      <c r="C652" s="151" t="s">
        <v>4428</v>
      </c>
      <c r="D652" s="151" t="s">
        <v>17</v>
      </c>
      <c r="E652" s="151" t="s">
        <v>4429</v>
      </c>
      <c r="F652" s="151" t="s">
        <v>551</v>
      </c>
      <c r="G652" s="151" t="s">
        <v>2173</v>
      </c>
      <c r="H652" s="151" t="s">
        <v>1183</v>
      </c>
      <c r="I652" s="151" t="s">
        <v>1184</v>
      </c>
      <c r="J652" s="151" t="s">
        <v>800</v>
      </c>
      <c r="K652" s="151" t="s">
        <v>4430</v>
      </c>
      <c r="L652" s="151" t="s">
        <v>4431</v>
      </c>
      <c r="M652" s="151" t="s">
        <v>361</v>
      </c>
      <c r="N652" s="151"/>
      <c r="O652" s="151"/>
      <c r="P652" s="151"/>
      <c r="Q652" s="151"/>
      <c r="R652" s="151" t="s">
        <v>2177</v>
      </c>
      <c r="S652" s="151" t="s">
        <v>361</v>
      </c>
      <c r="T652" s="151" t="s">
        <v>2213</v>
      </c>
      <c r="U652" s="151" t="s">
        <v>3582</v>
      </c>
      <c r="V652" s="151">
        <v>18</v>
      </c>
      <c r="W652" s="151" t="s">
        <v>4276</v>
      </c>
      <c r="X652" s="151" t="s">
        <v>2445</v>
      </c>
      <c r="Y652" s="151" t="s">
        <v>3582</v>
      </c>
      <c r="Z652" s="151"/>
      <c r="AA652" s="151"/>
      <c r="AB652" s="151" t="s">
        <v>855</v>
      </c>
      <c r="AC652" s="342"/>
    </row>
    <row r="653" spans="1:29">
      <c r="A653" s="151" t="s">
        <v>3593</v>
      </c>
      <c r="B653" s="151" t="s">
        <v>4432</v>
      </c>
      <c r="C653" s="151" t="s">
        <v>4428</v>
      </c>
      <c r="D653" s="151" t="s">
        <v>17</v>
      </c>
      <c r="E653" s="151" t="s">
        <v>4433</v>
      </c>
      <c r="F653" s="151" t="s">
        <v>551</v>
      </c>
      <c r="G653" s="151" t="s">
        <v>2173</v>
      </c>
      <c r="H653" s="151" t="s">
        <v>1183</v>
      </c>
      <c r="I653" s="151" t="s">
        <v>1184</v>
      </c>
      <c r="J653" s="151" t="s">
        <v>800</v>
      </c>
      <c r="K653" s="151" t="s">
        <v>4434</v>
      </c>
      <c r="L653" s="151" t="s">
        <v>4431</v>
      </c>
      <c r="M653" s="151" t="s">
        <v>4435</v>
      </c>
      <c r="N653" s="151"/>
      <c r="O653" s="151"/>
      <c r="P653" s="151"/>
      <c r="Q653" s="151"/>
      <c r="R653" s="151" t="s">
        <v>2177</v>
      </c>
      <c r="S653" s="151" t="s">
        <v>361</v>
      </c>
      <c r="T653" s="151" t="s">
        <v>2213</v>
      </c>
      <c r="U653" s="151" t="s">
        <v>2207</v>
      </c>
      <c r="V653" s="151" t="s">
        <v>49</v>
      </c>
      <c r="W653" s="151" t="s">
        <v>2207</v>
      </c>
      <c r="X653" s="151" t="s">
        <v>2445</v>
      </c>
      <c r="Y653" s="151" t="s">
        <v>2207</v>
      </c>
      <c r="Z653" s="151"/>
      <c r="AA653" s="151"/>
      <c r="AB653" s="151" t="s">
        <v>855</v>
      </c>
      <c r="AC653" s="342"/>
    </row>
    <row r="654" spans="1:29">
      <c r="A654" s="151" t="s">
        <v>3593</v>
      </c>
      <c r="B654" s="151" t="s">
        <v>4436</v>
      </c>
      <c r="C654" s="151" t="s">
        <v>4428</v>
      </c>
      <c r="D654" s="151" t="s">
        <v>17</v>
      </c>
      <c r="E654" s="151" t="s">
        <v>4437</v>
      </c>
      <c r="F654" s="151" t="s">
        <v>551</v>
      </c>
      <c r="G654" s="151" t="s">
        <v>2173</v>
      </c>
      <c r="H654" s="151" t="s">
        <v>1183</v>
      </c>
      <c r="I654" s="151" t="s">
        <v>1184</v>
      </c>
      <c r="J654" s="151" t="s">
        <v>800</v>
      </c>
      <c r="K654" s="151" t="s">
        <v>4438</v>
      </c>
      <c r="L654" s="151" t="s">
        <v>4431</v>
      </c>
      <c r="M654" s="151" t="s">
        <v>4435</v>
      </c>
      <c r="N654" s="151"/>
      <c r="O654" s="151"/>
      <c r="P654" s="151"/>
      <c r="Q654" s="151"/>
      <c r="R654" s="151" t="s">
        <v>2177</v>
      </c>
      <c r="S654" s="151" t="s">
        <v>361</v>
      </c>
      <c r="T654" s="151" t="s">
        <v>2213</v>
      </c>
      <c r="U654" s="151" t="s">
        <v>4439</v>
      </c>
      <c r="V654" s="151">
        <v>5</v>
      </c>
      <c r="W654" s="151" t="s">
        <v>4439</v>
      </c>
      <c r="X654" s="151" t="s">
        <v>2445</v>
      </c>
      <c r="Y654" s="151" t="s">
        <v>4439</v>
      </c>
      <c r="Z654" s="151"/>
      <c r="AA654" s="151"/>
      <c r="AB654" s="151" t="s">
        <v>855</v>
      </c>
      <c r="AC654" s="342"/>
    </row>
    <row r="655" spans="1:29">
      <c r="A655" s="151" t="s">
        <v>3593</v>
      </c>
      <c r="B655" s="151" t="s">
        <v>4440</v>
      </c>
      <c r="C655" s="151" t="s">
        <v>4428</v>
      </c>
      <c r="D655" s="151" t="s">
        <v>17</v>
      </c>
      <c r="E655" s="151" t="s">
        <v>4441</v>
      </c>
      <c r="F655" s="151" t="s">
        <v>551</v>
      </c>
      <c r="G655" s="151" t="s">
        <v>2173</v>
      </c>
      <c r="H655" s="151" t="s">
        <v>1183</v>
      </c>
      <c r="I655" s="151" t="s">
        <v>1184</v>
      </c>
      <c r="J655" s="151" t="s">
        <v>800</v>
      </c>
      <c r="K655" s="151" t="s">
        <v>4430</v>
      </c>
      <c r="L655" s="151" t="s">
        <v>4431</v>
      </c>
      <c r="M655" s="151" t="s">
        <v>361</v>
      </c>
      <c r="N655" s="151"/>
      <c r="O655" s="151"/>
      <c r="P655" s="151"/>
      <c r="Q655" s="151"/>
      <c r="R655" s="151" t="s">
        <v>2177</v>
      </c>
      <c r="S655" s="151" t="s">
        <v>361</v>
      </c>
      <c r="T655" s="151" t="s">
        <v>2213</v>
      </c>
      <c r="U655" s="151" t="s">
        <v>3582</v>
      </c>
      <c r="V655" s="151">
        <v>18</v>
      </c>
      <c r="W655" s="151" t="s">
        <v>4276</v>
      </c>
      <c r="X655" s="151" t="s">
        <v>2445</v>
      </c>
      <c r="Y655" s="151" t="s">
        <v>3582</v>
      </c>
      <c r="Z655" s="151"/>
      <c r="AA655" s="151"/>
      <c r="AB655" s="151" t="s">
        <v>855</v>
      </c>
      <c r="AC655" s="342"/>
    </row>
    <row r="656" spans="1:29">
      <c r="A656" s="151" t="s">
        <v>3593</v>
      </c>
      <c r="B656" s="151" t="s">
        <v>4442</v>
      </c>
      <c r="C656" s="151" t="s">
        <v>4428</v>
      </c>
      <c r="D656" s="151" t="s">
        <v>17</v>
      </c>
      <c r="E656" s="151" t="s">
        <v>4443</v>
      </c>
      <c r="F656" s="151" t="s">
        <v>551</v>
      </c>
      <c r="G656" s="151" t="s">
        <v>2173</v>
      </c>
      <c r="H656" s="151" t="s">
        <v>1183</v>
      </c>
      <c r="I656" s="151" t="s">
        <v>1184</v>
      </c>
      <c r="J656" s="151" t="s">
        <v>807</v>
      </c>
      <c r="K656" s="151" t="s">
        <v>4444</v>
      </c>
      <c r="L656" s="151" t="s">
        <v>3622</v>
      </c>
      <c r="M656" s="151" t="s">
        <v>361</v>
      </c>
      <c r="N656" s="151"/>
      <c r="O656" s="151"/>
      <c r="P656" s="151"/>
      <c r="Q656" s="151"/>
      <c r="R656" s="151" t="s">
        <v>2177</v>
      </c>
      <c r="S656" s="151" t="s">
        <v>361</v>
      </c>
      <c r="T656" s="151" t="s">
        <v>2213</v>
      </c>
      <c r="U656" s="151" t="s">
        <v>3582</v>
      </c>
      <c r="V656" s="151" t="s">
        <v>49</v>
      </c>
      <c r="W656" s="151" t="s">
        <v>4338</v>
      </c>
      <c r="X656" s="151" t="s">
        <v>2445</v>
      </c>
      <c r="Y656" s="151" t="s">
        <v>3582</v>
      </c>
      <c r="Z656" s="151"/>
      <c r="AA656" s="151"/>
      <c r="AB656" s="151" t="s">
        <v>855</v>
      </c>
      <c r="AC656" s="342"/>
    </row>
    <row r="657" spans="1:29">
      <c r="A657" s="151" t="s">
        <v>3593</v>
      </c>
      <c r="B657" s="151" t="s">
        <v>4445</v>
      </c>
      <c r="C657" s="151" t="s">
        <v>4428</v>
      </c>
      <c r="D657" s="151" t="s">
        <v>17</v>
      </c>
      <c r="E657" s="151" t="s">
        <v>4446</v>
      </c>
      <c r="F657" s="151" t="s">
        <v>551</v>
      </c>
      <c r="G657" s="151" t="s">
        <v>2546</v>
      </c>
      <c r="H657" s="151" t="s">
        <v>1183</v>
      </c>
      <c r="I657" s="151" t="s">
        <v>1184</v>
      </c>
      <c r="J657" s="151" t="s">
        <v>800</v>
      </c>
      <c r="K657" s="151" t="s">
        <v>4447</v>
      </c>
      <c r="L657" s="151" t="s">
        <v>361</v>
      </c>
      <c r="M657" s="151" t="s">
        <v>4448</v>
      </c>
      <c r="N657" s="151"/>
      <c r="O657" s="151"/>
      <c r="P657" s="151"/>
      <c r="Q657" s="151"/>
      <c r="R657" s="151" t="s">
        <v>4449</v>
      </c>
      <c r="S657" s="151" t="s">
        <v>4448</v>
      </c>
      <c r="T657" s="151" t="s">
        <v>49</v>
      </c>
      <c r="U657" s="151" t="s">
        <v>3582</v>
      </c>
      <c r="V657" s="151" t="s">
        <v>49</v>
      </c>
      <c r="W657" s="151" t="s">
        <v>4450</v>
      </c>
      <c r="X657" s="151" t="s">
        <v>49</v>
      </c>
      <c r="Y657" s="151" t="s">
        <v>3582</v>
      </c>
      <c r="Z657" s="151">
        <v>0</v>
      </c>
      <c r="AA657" s="151">
        <v>0</v>
      </c>
      <c r="AB657" s="151" t="s">
        <v>855</v>
      </c>
      <c r="AC657" s="342"/>
    </row>
    <row r="658" spans="1:29">
      <c r="A658" s="151" t="s">
        <v>3593</v>
      </c>
      <c r="B658" s="151" t="s">
        <v>4451</v>
      </c>
      <c r="C658" s="151" t="s">
        <v>4428</v>
      </c>
      <c r="D658" s="151" t="s">
        <v>17</v>
      </c>
      <c r="E658" s="151" t="s">
        <v>4452</v>
      </c>
      <c r="F658" s="151" t="s">
        <v>551</v>
      </c>
      <c r="G658" s="151" t="s">
        <v>2173</v>
      </c>
      <c r="H658" s="151" t="s">
        <v>1183</v>
      </c>
      <c r="I658" s="151" t="s">
        <v>1184</v>
      </c>
      <c r="J658" s="151" t="s">
        <v>807</v>
      </c>
      <c r="K658" s="151" t="s">
        <v>4453</v>
      </c>
      <c r="L658" s="151" t="s">
        <v>3622</v>
      </c>
      <c r="M658" s="151" t="s">
        <v>361</v>
      </c>
      <c r="N658" s="151"/>
      <c r="O658" s="151"/>
      <c r="P658" s="151"/>
      <c r="Q658" s="151"/>
      <c r="R658" s="151" t="s">
        <v>2177</v>
      </c>
      <c r="S658" s="151" t="s">
        <v>361</v>
      </c>
      <c r="T658" s="151" t="s">
        <v>2213</v>
      </c>
      <c r="U658" s="151" t="s">
        <v>3582</v>
      </c>
      <c r="V658" s="151" t="s">
        <v>49</v>
      </c>
      <c r="W658" s="151" t="s">
        <v>4338</v>
      </c>
      <c r="X658" s="151" t="s">
        <v>2445</v>
      </c>
      <c r="Y658" s="151" t="s">
        <v>3582</v>
      </c>
      <c r="Z658" s="151"/>
      <c r="AA658" s="151"/>
      <c r="AB658" s="151" t="s">
        <v>855</v>
      </c>
      <c r="AC658" s="342"/>
    </row>
    <row r="659" spans="1:29">
      <c r="A659" s="151" t="s">
        <v>3593</v>
      </c>
      <c r="B659" s="151" t="s">
        <v>4454</v>
      </c>
      <c r="C659" s="151" t="s">
        <v>4428</v>
      </c>
      <c r="D659" s="151" t="s">
        <v>17</v>
      </c>
      <c r="E659" s="151" t="s">
        <v>4455</v>
      </c>
      <c r="F659" s="151" t="s">
        <v>551</v>
      </c>
      <c r="G659" s="151" t="s">
        <v>2173</v>
      </c>
      <c r="H659" s="151" t="s">
        <v>1183</v>
      </c>
      <c r="I659" s="151" t="s">
        <v>1184</v>
      </c>
      <c r="J659" s="151" t="s">
        <v>807</v>
      </c>
      <c r="K659" s="151" t="s">
        <v>4456</v>
      </c>
      <c r="L659" s="151" t="s">
        <v>3622</v>
      </c>
      <c r="M659" s="151" t="s">
        <v>361</v>
      </c>
      <c r="N659" s="151"/>
      <c r="O659" s="151"/>
      <c r="P659" s="151"/>
      <c r="Q659" s="151"/>
      <c r="R659" s="151" t="s">
        <v>2177</v>
      </c>
      <c r="S659" s="151" t="s">
        <v>361</v>
      </c>
      <c r="T659" s="151" t="s">
        <v>2213</v>
      </c>
      <c r="U659" s="151" t="s">
        <v>3582</v>
      </c>
      <c r="V659" s="151" t="s">
        <v>49</v>
      </c>
      <c r="W659" s="151" t="s">
        <v>4338</v>
      </c>
      <c r="X659" s="151" t="s">
        <v>2445</v>
      </c>
      <c r="Y659" s="151" t="s">
        <v>3582</v>
      </c>
      <c r="Z659" s="151"/>
      <c r="AA659" s="151"/>
      <c r="AB659" s="151" t="s">
        <v>855</v>
      </c>
      <c r="AC659" s="342"/>
    </row>
    <row r="660" spans="1:29">
      <c r="A660" s="151" t="s">
        <v>3593</v>
      </c>
      <c r="B660" s="151" t="s">
        <v>4457</v>
      </c>
      <c r="C660" s="151" t="s">
        <v>4428</v>
      </c>
      <c r="D660" s="151" t="s">
        <v>17</v>
      </c>
      <c r="E660" s="151" t="s">
        <v>4458</v>
      </c>
      <c r="F660" s="151" t="s">
        <v>551</v>
      </c>
      <c r="G660" s="151" t="s">
        <v>2173</v>
      </c>
      <c r="H660" s="151" t="s">
        <v>1183</v>
      </c>
      <c r="I660" s="151" t="s">
        <v>1184</v>
      </c>
      <c r="J660" s="151" t="s">
        <v>807</v>
      </c>
      <c r="K660" s="151" t="s">
        <v>4459</v>
      </c>
      <c r="L660" s="151" t="s">
        <v>3622</v>
      </c>
      <c r="M660" s="151" t="s">
        <v>361</v>
      </c>
      <c r="N660" s="151"/>
      <c r="O660" s="151"/>
      <c r="P660" s="151"/>
      <c r="Q660" s="151"/>
      <c r="R660" s="151" t="s">
        <v>2177</v>
      </c>
      <c r="S660" s="151" t="s">
        <v>361</v>
      </c>
      <c r="T660" s="151" t="s">
        <v>2213</v>
      </c>
      <c r="U660" s="151" t="s">
        <v>3582</v>
      </c>
      <c r="V660" s="151" t="s">
        <v>49</v>
      </c>
      <c r="W660" s="151" t="s">
        <v>4338</v>
      </c>
      <c r="X660" s="151" t="s">
        <v>2445</v>
      </c>
      <c r="Y660" s="151" t="s">
        <v>3582</v>
      </c>
      <c r="Z660" s="151"/>
      <c r="AA660" s="151"/>
      <c r="AB660" s="151" t="s">
        <v>855</v>
      </c>
      <c r="AC660" s="342"/>
    </row>
    <row r="661" spans="1:29">
      <c r="A661" s="151" t="s">
        <v>3593</v>
      </c>
      <c r="B661" s="151" t="s">
        <v>4460</v>
      </c>
      <c r="C661" s="151" t="s">
        <v>4428</v>
      </c>
      <c r="D661" s="151" t="s">
        <v>17</v>
      </c>
      <c r="E661" s="151" t="s">
        <v>4461</v>
      </c>
      <c r="F661" s="151" t="s">
        <v>551</v>
      </c>
      <c r="G661" s="151" t="s">
        <v>2173</v>
      </c>
      <c r="H661" s="151" t="s">
        <v>1183</v>
      </c>
      <c r="I661" s="151" t="s">
        <v>1184</v>
      </c>
      <c r="J661" s="151" t="s">
        <v>807</v>
      </c>
      <c r="K661" s="151" t="s">
        <v>4462</v>
      </c>
      <c r="L661" s="151" t="s">
        <v>3622</v>
      </c>
      <c r="M661" s="151" t="s">
        <v>361</v>
      </c>
      <c r="N661" s="151"/>
      <c r="O661" s="151"/>
      <c r="P661" s="151"/>
      <c r="Q661" s="151"/>
      <c r="R661" s="151" t="s">
        <v>2177</v>
      </c>
      <c r="S661" s="151" t="s">
        <v>361</v>
      </c>
      <c r="T661" s="151" t="s">
        <v>2213</v>
      </c>
      <c r="U661" s="151" t="s">
        <v>3582</v>
      </c>
      <c r="V661" s="151" t="s">
        <v>49</v>
      </c>
      <c r="W661" s="151" t="s">
        <v>4338</v>
      </c>
      <c r="X661" s="151" t="s">
        <v>2445</v>
      </c>
      <c r="Y661" s="151" t="s">
        <v>3582</v>
      </c>
      <c r="Z661" s="151"/>
      <c r="AA661" s="151"/>
      <c r="AB661" s="151" t="s">
        <v>855</v>
      </c>
      <c r="AC661" s="342"/>
    </row>
    <row r="662" spans="1:29">
      <c r="A662" s="151" t="s">
        <v>3593</v>
      </c>
      <c r="B662" s="151" t="s">
        <v>4463</v>
      </c>
      <c r="C662" s="151" t="s">
        <v>4428</v>
      </c>
      <c r="D662" s="151" t="s">
        <v>17</v>
      </c>
      <c r="E662" s="151" t="s">
        <v>4464</v>
      </c>
      <c r="F662" s="151" t="s">
        <v>551</v>
      </c>
      <c r="G662" s="151" t="s">
        <v>2546</v>
      </c>
      <c r="H662" s="151" t="s">
        <v>1183</v>
      </c>
      <c r="I662" s="151" t="s">
        <v>1184</v>
      </c>
      <c r="J662" s="151" t="s">
        <v>800</v>
      </c>
      <c r="K662" s="151" t="s">
        <v>4447</v>
      </c>
      <c r="L662" s="151" t="s">
        <v>361</v>
      </c>
      <c r="M662" s="151" t="s">
        <v>4465</v>
      </c>
      <c r="N662" s="151"/>
      <c r="O662" s="151"/>
      <c r="P662" s="151"/>
      <c r="Q662" s="151"/>
      <c r="R662" s="151" t="s">
        <v>4449</v>
      </c>
      <c r="S662" s="151" t="s">
        <v>4466</v>
      </c>
      <c r="T662" s="151" t="s">
        <v>49</v>
      </c>
      <c r="U662" s="151" t="s">
        <v>3582</v>
      </c>
      <c r="V662" s="151" t="s">
        <v>49</v>
      </c>
      <c r="W662" s="151" t="s">
        <v>4450</v>
      </c>
      <c r="X662" s="151" t="s">
        <v>49</v>
      </c>
      <c r="Y662" s="151" t="s">
        <v>3582</v>
      </c>
      <c r="Z662" s="151">
        <v>0</v>
      </c>
      <c r="AA662" s="151">
        <v>0</v>
      </c>
      <c r="AB662" s="151" t="s">
        <v>855</v>
      </c>
      <c r="AC662"/>
    </row>
    <row r="663" spans="1:29">
      <c r="A663" s="151" t="s">
        <v>3593</v>
      </c>
      <c r="B663" s="151" t="s">
        <v>4467</v>
      </c>
      <c r="C663" s="151" t="s">
        <v>4428</v>
      </c>
      <c r="D663" s="151" t="s">
        <v>17</v>
      </c>
      <c r="E663" s="151" t="s">
        <v>4468</v>
      </c>
      <c r="F663" s="151" t="s">
        <v>551</v>
      </c>
      <c r="G663" s="151" t="s">
        <v>2173</v>
      </c>
      <c r="H663" s="151" t="s">
        <v>1183</v>
      </c>
      <c r="I663" s="151" t="s">
        <v>1184</v>
      </c>
      <c r="J663" s="151" t="s">
        <v>807</v>
      </c>
      <c r="K663" s="151" t="s">
        <v>4469</v>
      </c>
      <c r="L663" s="151" t="s">
        <v>3622</v>
      </c>
      <c r="M663" s="151" t="s">
        <v>361</v>
      </c>
      <c r="N663" s="151"/>
      <c r="O663" s="151"/>
      <c r="P663" s="151"/>
      <c r="Q663" s="151"/>
      <c r="R663" s="151" t="s">
        <v>2177</v>
      </c>
      <c r="S663" s="151" t="s">
        <v>361</v>
      </c>
      <c r="T663" s="151" t="s">
        <v>2213</v>
      </c>
      <c r="U663" s="151" t="s">
        <v>3582</v>
      </c>
      <c r="V663" s="151" t="s">
        <v>49</v>
      </c>
      <c r="W663" s="151" t="s">
        <v>4338</v>
      </c>
      <c r="X663" s="151" t="s">
        <v>2445</v>
      </c>
      <c r="Y663" s="151" t="s">
        <v>3582</v>
      </c>
      <c r="Z663" s="151"/>
      <c r="AA663" s="151"/>
      <c r="AB663" s="151" t="s">
        <v>855</v>
      </c>
      <c r="AC663" s="342"/>
    </row>
    <row r="664" spans="1:29">
      <c r="A664" s="151" t="s">
        <v>3593</v>
      </c>
      <c r="B664" s="151" t="s">
        <v>4470</v>
      </c>
      <c r="C664" s="151" t="s">
        <v>4428</v>
      </c>
      <c r="D664" s="151" t="s">
        <v>17</v>
      </c>
      <c r="E664" s="151" t="s">
        <v>4471</v>
      </c>
      <c r="F664" s="151" t="s">
        <v>551</v>
      </c>
      <c r="G664" s="151" t="s">
        <v>2173</v>
      </c>
      <c r="H664" s="151" t="s">
        <v>1183</v>
      </c>
      <c r="I664" s="151" t="s">
        <v>1184</v>
      </c>
      <c r="J664" s="151" t="s">
        <v>800</v>
      </c>
      <c r="K664" s="151" t="s">
        <v>4079</v>
      </c>
      <c r="L664" s="151" t="s">
        <v>4431</v>
      </c>
      <c r="M664" s="151" t="s">
        <v>4435</v>
      </c>
      <c r="N664" s="151"/>
      <c r="O664" s="151"/>
      <c r="P664" s="151"/>
      <c r="Q664" s="151"/>
      <c r="R664" s="151" t="s">
        <v>2177</v>
      </c>
      <c r="S664" s="151" t="s">
        <v>361</v>
      </c>
      <c r="T664" s="151" t="s">
        <v>49</v>
      </c>
      <c r="U664" s="151" t="s">
        <v>3608</v>
      </c>
      <c r="V664" s="151" t="s">
        <v>49</v>
      </c>
      <c r="W664" s="151" t="s">
        <v>2373</v>
      </c>
      <c r="X664" s="151" t="s">
        <v>49</v>
      </c>
      <c r="Y664" s="151" t="s">
        <v>3608</v>
      </c>
      <c r="Z664" s="151"/>
      <c r="AA664" s="151"/>
      <c r="AB664" s="151" t="s">
        <v>855</v>
      </c>
      <c r="AC664" s="342"/>
    </row>
    <row r="665" spans="1:29">
      <c r="A665" s="151" t="s">
        <v>3593</v>
      </c>
      <c r="B665" s="151" t="s">
        <v>4427</v>
      </c>
      <c r="C665" s="151" t="s">
        <v>4472</v>
      </c>
      <c r="D665" s="151" t="s">
        <v>17</v>
      </c>
      <c r="E665" s="151" t="s">
        <v>4473</v>
      </c>
      <c r="F665" s="151" t="s">
        <v>551</v>
      </c>
      <c r="G665" s="151" t="s">
        <v>2173</v>
      </c>
      <c r="H665" s="151" t="s">
        <v>1183</v>
      </c>
      <c r="I665" s="151" t="s">
        <v>1184</v>
      </c>
      <c r="J665" s="151" t="s">
        <v>800</v>
      </c>
      <c r="K665" s="151" t="s">
        <v>4430</v>
      </c>
      <c r="L665" s="151" t="s">
        <v>4431</v>
      </c>
      <c r="M665" s="151" t="s">
        <v>361</v>
      </c>
      <c r="N665" s="151"/>
      <c r="O665" s="151"/>
      <c r="P665" s="151"/>
      <c r="Q665" s="151"/>
      <c r="R665" s="151" t="s">
        <v>2177</v>
      </c>
      <c r="S665" s="151" t="s">
        <v>361</v>
      </c>
      <c r="T665" s="151" t="s">
        <v>2213</v>
      </c>
      <c r="U665" s="151" t="s">
        <v>3582</v>
      </c>
      <c r="V665" s="151">
        <v>18</v>
      </c>
      <c r="W665" s="151" t="s">
        <v>4276</v>
      </c>
      <c r="X665" s="151" t="s">
        <v>2445</v>
      </c>
      <c r="Y665" s="151" t="s">
        <v>3582</v>
      </c>
      <c r="Z665" s="151"/>
      <c r="AA665" s="151"/>
      <c r="AB665" s="151" t="s">
        <v>855</v>
      </c>
      <c r="AC665" s="342"/>
    </row>
    <row r="666" spans="1:29" ht="75">
      <c r="A666" s="151" t="s">
        <v>3593</v>
      </c>
      <c r="B666" s="151" t="s">
        <v>159</v>
      </c>
      <c r="C666" s="151" t="s">
        <v>4472</v>
      </c>
      <c r="D666" s="151" t="s">
        <v>17</v>
      </c>
      <c r="E666" s="151" t="s">
        <v>4474</v>
      </c>
      <c r="F666" s="151" t="s">
        <v>551</v>
      </c>
      <c r="G666" s="151" t="s">
        <v>2173</v>
      </c>
      <c r="H666" s="151" t="s">
        <v>1183</v>
      </c>
      <c r="I666" s="151" t="s">
        <v>1184</v>
      </c>
      <c r="J666" s="151" t="s">
        <v>800</v>
      </c>
      <c r="K666" s="151" t="s">
        <v>4447</v>
      </c>
      <c r="L666" s="151" t="s">
        <v>4431</v>
      </c>
      <c r="M666" s="341" t="s">
        <v>4435</v>
      </c>
      <c r="N666" s="341"/>
      <c r="O666" s="341"/>
      <c r="P666" s="151"/>
      <c r="Q666" s="151"/>
      <c r="R666" s="151" t="s">
        <v>2177</v>
      </c>
      <c r="S666" s="151" t="s">
        <v>361</v>
      </c>
      <c r="T666" s="151" t="s">
        <v>2213</v>
      </c>
      <c r="U666" s="151" t="s">
        <v>3582</v>
      </c>
      <c r="V666" s="151" t="s">
        <v>49</v>
      </c>
      <c r="W666" s="151" t="s">
        <v>4475</v>
      </c>
      <c r="X666" s="151" t="s">
        <v>2445</v>
      </c>
      <c r="Y666" s="151" t="s">
        <v>3582</v>
      </c>
      <c r="Z666" s="151"/>
      <c r="AA666" s="151"/>
      <c r="AB666" s="151" t="s">
        <v>855</v>
      </c>
      <c r="AC666" s="342"/>
    </row>
    <row r="667" spans="1:29">
      <c r="A667" s="151" t="s">
        <v>3593</v>
      </c>
      <c r="B667" s="151" t="s">
        <v>4427</v>
      </c>
      <c r="C667" s="151" t="s">
        <v>4476</v>
      </c>
      <c r="D667" s="151" t="s">
        <v>17</v>
      </c>
      <c r="E667" s="151" t="s">
        <v>4477</v>
      </c>
      <c r="F667" s="151" t="s">
        <v>551</v>
      </c>
      <c r="G667" s="151" t="s">
        <v>2173</v>
      </c>
      <c r="H667" s="151" t="s">
        <v>4478</v>
      </c>
      <c r="I667" s="151" t="s">
        <v>1184</v>
      </c>
      <c r="J667" s="151" t="s">
        <v>799</v>
      </c>
      <c r="K667" s="151" t="s">
        <v>4275</v>
      </c>
      <c r="L667" s="151" t="s">
        <v>4479</v>
      </c>
      <c r="M667" s="151" t="s">
        <v>361</v>
      </c>
      <c r="N667" s="151"/>
      <c r="O667" s="151"/>
      <c r="P667" s="151"/>
      <c r="Q667" s="151"/>
      <c r="R667" s="151" t="s">
        <v>2177</v>
      </c>
      <c r="S667" s="151" t="s">
        <v>361</v>
      </c>
      <c r="T667" s="151" t="s">
        <v>2213</v>
      </c>
      <c r="U667" s="151" t="s">
        <v>3582</v>
      </c>
      <c r="V667" s="151">
        <v>16</v>
      </c>
      <c r="W667" s="151" t="s">
        <v>4276</v>
      </c>
      <c r="X667" s="151" t="s">
        <v>2445</v>
      </c>
      <c r="Y667" s="151" t="s">
        <v>3582</v>
      </c>
      <c r="Z667" s="151"/>
      <c r="AA667" s="151"/>
      <c r="AB667" s="151" t="s">
        <v>855</v>
      </c>
      <c r="AC667" s="342"/>
    </row>
    <row r="668" spans="1:29">
      <c r="A668" s="151" t="s">
        <v>3593</v>
      </c>
      <c r="B668" s="151" t="s">
        <v>4480</v>
      </c>
      <c r="C668" s="151" t="s">
        <v>4476</v>
      </c>
      <c r="D668" s="151" t="s">
        <v>17</v>
      </c>
      <c r="E668" s="151" t="s">
        <v>4481</v>
      </c>
      <c r="F668" s="151" t="s">
        <v>551</v>
      </c>
      <c r="G668" s="151" t="s">
        <v>2173</v>
      </c>
      <c r="H668" s="151" t="s">
        <v>4478</v>
      </c>
      <c r="I668" s="151" t="s">
        <v>1184</v>
      </c>
      <c r="J668" s="151" t="s">
        <v>799</v>
      </c>
      <c r="K668" s="151" t="s">
        <v>4482</v>
      </c>
      <c r="L668" s="151" t="s">
        <v>4479</v>
      </c>
      <c r="M668" s="151" t="s">
        <v>361</v>
      </c>
      <c r="N668" s="151"/>
      <c r="O668" s="151"/>
      <c r="P668" s="151"/>
      <c r="Q668" s="151"/>
      <c r="R668" s="151" t="s">
        <v>2177</v>
      </c>
      <c r="S668" s="151" t="s">
        <v>361</v>
      </c>
      <c r="T668" s="151" t="s">
        <v>2213</v>
      </c>
      <c r="U668" s="151" t="s">
        <v>4483</v>
      </c>
      <c r="V668" s="151">
        <v>20</v>
      </c>
      <c r="W668" s="151" t="s">
        <v>2507</v>
      </c>
      <c r="X668" s="151" t="s">
        <v>2445</v>
      </c>
      <c r="Y668" s="151" t="s">
        <v>2507</v>
      </c>
      <c r="Z668" s="151"/>
      <c r="AA668" s="151"/>
      <c r="AB668" s="151" t="s">
        <v>855</v>
      </c>
      <c r="AC668" s="342"/>
    </row>
    <row r="669" spans="1:29">
      <c r="A669" s="151" t="s">
        <v>3593</v>
      </c>
      <c r="B669" s="151" t="s">
        <v>4484</v>
      </c>
      <c r="C669" s="151" t="s">
        <v>4476</v>
      </c>
      <c r="D669" s="151" t="s">
        <v>17</v>
      </c>
      <c r="E669" s="151" t="s">
        <v>4485</v>
      </c>
      <c r="F669" s="151" t="s">
        <v>551</v>
      </c>
      <c r="G669" s="151" t="s">
        <v>2173</v>
      </c>
      <c r="H669" s="151" t="s">
        <v>4478</v>
      </c>
      <c r="I669" s="151" t="s">
        <v>1184</v>
      </c>
      <c r="J669" s="151" t="s">
        <v>799</v>
      </c>
      <c r="K669" s="151" t="s">
        <v>4486</v>
      </c>
      <c r="L669" s="151" t="s">
        <v>4479</v>
      </c>
      <c r="M669" s="151" t="s">
        <v>361</v>
      </c>
      <c r="N669" s="151"/>
      <c r="O669" s="151"/>
      <c r="P669" s="151"/>
      <c r="Q669" s="151"/>
      <c r="R669" s="151" t="s">
        <v>2177</v>
      </c>
      <c r="S669" s="151" t="s">
        <v>361</v>
      </c>
      <c r="T669" s="151" t="s">
        <v>2213</v>
      </c>
      <c r="U669" s="151" t="s">
        <v>2207</v>
      </c>
      <c r="V669" s="151">
        <v>10</v>
      </c>
      <c r="W669" s="151" t="s">
        <v>2207</v>
      </c>
      <c r="X669" s="151" t="s">
        <v>2445</v>
      </c>
      <c r="Y669" s="151" t="s">
        <v>2207</v>
      </c>
      <c r="Z669" s="151"/>
      <c r="AA669" s="151"/>
      <c r="AB669" s="151" t="s">
        <v>855</v>
      </c>
      <c r="AC669" s="342"/>
    </row>
    <row r="670" spans="1:29">
      <c r="A670" s="151" t="s">
        <v>3593</v>
      </c>
      <c r="B670" s="151" t="s">
        <v>4487</v>
      </c>
      <c r="C670" s="151" t="s">
        <v>4476</v>
      </c>
      <c r="D670" s="151" t="s">
        <v>17</v>
      </c>
      <c r="E670" s="151" t="s">
        <v>4488</v>
      </c>
      <c r="F670" s="151" t="s">
        <v>551</v>
      </c>
      <c r="G670" s="151" t="s">
        <v>2173</v>
      </c>
      <c r="H670" s="151" t="s">
        <v>4478</v>
      </c>
      <c r="I670" s="151" t="s">
        <v>1184</v>
      </c>
      <c r="J670" s="151" t="s">
        <v>4489</v>
      </c>
      <c r="K670" s="151" t="s">
        <v>4490</v>
      </c>
      <c r="L670" s="151" t="s">
        <v>4491</v>
      </c>
      <c r="M670" s="151" t="s">
        <v>361</v>
      </c>
      <c r="N670" s="151"/>
      <c r="O670" s="151"/>
      <c r="P670" s="151"/>
      <c r="Q670" s="151"/>
      <c r="R670" s="151" t="s">
        <v>2177</v>
      </c>
      <c r="S670" s="151" t="s">
        <v>361</v>
      </c>
      <c r="T670" s="151" t="s">
        <v>2213</v>
      </c>
      <c r="U670" s="151" t="s">
        <v>4492</v>
      </c>
      <c r="V670" s="151">
        <v>4</v>
      </c>
      <c r="W670" s="151" t="s">
        <v>4492</v>
      </c>
      <c r="X670" s="151" t="s">
        <v>2445</v>
      </c>
      <c r="Y670" s="151" t="s">
        <v>4492</v>
      </c>
      <c r="Z670" s="151"/>
      <c r="AA670" s="151"/>
      <c r="AB670" s="151" t="s">
        <v>855</v>
      </c>
      <c r="AC670" s="342"/>
    </row>
    <row r="671" spans="1:29">
      <c r="A671" s="151" t="s">
        <v>3593</v>
      </c>
      <c r="B671" s="151" t="s">
        <v>4493</v>
      </c>
      <c r="C671" s="151" t="s">
        <v>4476</v>
      </c>
      <c r="D671" s="151" t="s">
        <v>17</v>
      </c>
      <c r="E671" s="151" t="s">
        <v>4494</v>
      </c>
      <c r="F671" s="151" t="s">
        <v>551</v>
      </c>
      <c r="G671" s="151" t="s">
        <v>2173</v>
      </c>
      <c r="H671" s="151" t="s">
        <v>4478</v>
      </c>
      <c r="I671" s="151" t="s">
        <v>1184</v>
      </c>
      <c r="J671" s="151" t="s">
        <v>4489</v>
      </c>
      <c r="K671" s="151" t="s">
        <v>4495</v>
      </c>
      <c r="L671" s="151" t="s">
        <v>4491</v>
      </c>
      <c r="M671" s="151" t="s">
        <v>361</v>
      </c>
      <c r="N671" s="151"/>
      <c r="O671" s="151"/>
      <c r="P671" s="151"/>
      <c r="Q671" s="151"/>
      <c r="R671" s="151" t="s">
        <v>2177</v>
      </c>
      <c r="S671" s="151" t="s">
        <v>361</v>
      </c>
      <c r="T671" s="151" t="s">
        <v>2213</v>
      </c>
      <c r="U671" s="151" t="s">
        <v>4492</v>
      </c>
      <c r="V671" s="151">
        <v>4</v>
      </c>
      <c r="W671" s="151" t="s">
        <v>4492</v>
      </c>
      <c r="X671" s="151" t="s">
        <v>2445</v>
      </c>
      <c r="Y671" s="151" t="s">
        <v>4492</v>
      </c>
      <c r="Z671" s="151"/>
      <c r="AA671" s="151"/>
      <c r="AB671" s="151" t="s">
        <v>855</v>
      </c>
      <c r="AC671" s="342"/>
    </row>
    <row r="672" spans="1:29">
      <c r="A672" s="151" t="s">
        <v>3593</v>
      </c>
      <c r="B672" s="151" t="s">
        <v>4496</v>
      </c>
      <c r="C672" s="151" t="s">
        <v>4497</v>
      </c>
      <c r="D672" s="151" t="s">
        <v>17</v>
      </c>
      <c r="E672" s="151" t="s">
        <v>3658</v>
      </c>
      <c r="F672" s="151" t="s">
        <v>544</v>
      </c>
      <c r="G672" s="151" t="s">
        <v>2173</v>
      </c>
      <c r="H672" s="151" t="s">
        <v>1183</v>
      </c>
      <c r="I672" s="151" t="s">
        <v>1184</v>
      </c>
      <c r="J672" s="151" t="s">
        <v>806</v>
      </c>
      <c r="K672" s="151" t="s">
        <v>3659</v>
      </c>
      <c r="L672" s="151" t="s">
        <v>3596</v>
      </c>
      <c r="M672" s="151" t="s">
        <v>361</v>
      </c>
      <c r="N672" s="151"/>
      <c r="O672" s="151"/>
      <c r="P672" s="151"/>
      <c r="Q672" s="151"/>
      <c r="R672" s="151" t="s">
        <v>2177</v>
      </c>
      <c r="S672" s="151" t="s">
        <v>361</v>
      </c>
      <c r="T672" s="151" t="s">
        <v>2213</v>
      </c>
      <c r="U672" s="151" t="s">
        <v>2507</v>
      </c>
      <c r="V672" s="151">
        <v>20</v>
      </c>
      <c r="W672" s="151" t="s">
        <v>2507</v>
      </c>
      <c r="X672" s="151" t="s">
        <v>2213</v>
      </c>
      <c r="Y672" s="151" t="s">
        <v>2507</v>
      </c>
      <c r="Z672" s="151"/>
      <c r="AA672" s="151"/>
      <c r="AB672" s="151" t="s">
        <v>855</v>
      </c>
      <c r="AC672" s="342"/>
    </row>
    <row r="673" spans="1:29">
      <c r="A673" s="151" t="s">
        <v>3593</v>
      </c>
      <c r="B673" s="151" t="s">
        <v>4498</v>
      </c>
      <c r="C673" s="151" t="s">
        <v>4497</v>
      </c>
      <c r="D673" s="151" t="s">
        <v>17</v>
      </c>
      <c r="E673" s="151" t="s">
        <v>4499</v>
      </c>
      <c r="F673" s="151" t="s">
        <v>544</v>
      </c>
      <c r="G673" s="151" t="s">
        <v>2173</v>
      </c>
      <c r="H673" s="151" t="s">
        <v>1183</v>
      </c>
      <c r="I673" s="151" t="s">
        <v>1184</v>
      </c>
      <c r="J673" s="151" t="s">
        <v>806</v>
      </c>
      <c r="K673" s="151" t="s">
        <v>4500</v>
      </c>
      <c r="L673" s="151" t="s">
        <v>3596</v>
      </c>
      <c r="M673" s="151" t="s">
        <v>361</v>
      </c>
      <c r="N673" s="151"/>
      <c r="O673" s="151"/>
      <c r="P673" s="151"/>
      <c r="Q673" s="151"/>
      <c r="R673" s="151" t="s">
        <v>2177</v>
      </c>
      <c r="S673" s="151" t="s">
        <v>361</v>
      </c>
      <c r="T673" s="151" t="s">
        <v>2213</v>
      </c>
      <c r="U673" s="151" t="s">
        <v>2507</v>
      </c>
      <c r="V673" s="151">
        <v>20</v>
      </c>
      <c r="W673" s="151" t="s">
        <v>2507</v>
      </c>
      <c r="X673" s="151" t="s">
        <v>2213</v>
      </c>
      <c r="Y673" s="151" t="s">
        <v>2507</v>
      </c>
      <c r="Z673" s="151"/>
      <c r="AA673" s="151"/>
      <c r="AB673" s="151" t="s">
        <v>855</v>
      </c>
      <c r="AC673" s="342"/>
    </row>
    <row r="674" spans="1:29">
      <c r="A674" s="151" t="s">
        <v>3593</v>
      </c>
      <c r="B674" s="151" t="s">
        <v>4501</v>
      </c>
      <c r="C674" s="151" t="s">
        <v>4497</v>
      </c>
      <c r="D674" s="151" t="s">
        <v>17</v>
      </c>
      <c r="E674" s="151" t="s">
        <v>4502</v>
      </c>
      <c r="F674" s="151" t="s">
        <v>544</v>
      </c>
      <c r="G674" s="151" t="s">
        <v>2173</v>
      </c>
      <c r="H674" s="151" t="s">
        <v>1183</v>
      </c>
      <c r="I674" s="151" t="s">
        <v>1184</v>
      </c>
      <c r="J674" s="151" t="s">
        <v>806</v>
      </c>
      <c r="K674" s="151" t="s">
        <v>4503</v>
      </c>
      <c r="L674" s="151" t="s">
        <v>3596</v>
      </c>
      <c r="M674" s="151" t="s">
        <v>361</v>
      </c>
      <c r="N674" s="151"/>
      <c r="O674" s="151"/>
      <c r="P674" s="151"/>
      <c r="Q674" s="151"/>
      <c r="R674" s="151" t="s">
        <v>2177</v>
      </c>
      <c r="S674" s="151" t="s">
        <v>361</v>
      </c>
      <c r="T674" s="151" t="s">
        <v>2213</v>
      </c>
      <c r="U674" s="151" t="s">
        <v>2507</v>
      </c>
      <c r="V674" s="151">
        <v>20</v>
      </c>
      <c r="W674" s="151" t="s">
        <v>2507</v>
      </c>
      <c r="X674" s="151" t="s">
        <v>2213</v>
      </c>
      <c r="Y674" s="151" t="s">
        <v>2507</v>
      </c>
      <c r="Z674" s="151"/>
      <c r="AA674" s="151"/>
      <c r="AB674" s="151" t="s">
        <v>855</v>
      </c>
      <c r="AC674" s="342"/>
    </row>
    <row r="675" spans="1:29">
      <c r="A675" s="151" t="s">
        <v>3593</v>
      </c>
      <c r="B675" s="151" t="s">
        <v>4504</v>
      </c>
      <c r="C675" s="151" t="s">
        <v>4497</v>
      </c>
      <c r="D675" s="151" t="s">
        <v>17</v>
      </c>
      <c r="E675" s="151" t="s">
        <v>4505</v>
      </c>
      <c r="F675" s="151" t="s">
        <v>544</v>
      </c>
      <c r="G675" s="151" t="s">
        <v>4506</v>
      </c>
      <c r="H675" s="151" t="s">
        <v>1183</v>
      </c>
      <c r="I675" s="151" t="s">
        <v>1184</v>
      </c>
      <c r="J675" s="151" t="s">
        <v>733</v>
      </c>
      <c r="K675" s="151" t="s">
        <v>4507</v>
      </c>
      <c r="L675" s="151" t="s">
        <v>361</v>
      </c>
      <c r="M675" s="151" t="s">
        <v>361</v>
      </c>
      <c r="N675" s="151"/>
      <c r="O675" s="151"/>
      <c r="P675" s="151"/>
      <c r="Q675" s="151"/>
      <c r="R675" s="151" t="s">
        <v>2177</v>
      </c>
      <c r="S675" s="151" t="s">
        <v>361</v>
      </c>
      <c r="T675" s="151" t="s">
        <v>2213</v>
      </c>
      <c r="U675" s="151" t="s">
        <v>2507</v>
      </c>
      <c r="V675" s="151">
        <v>20</v>
      </c>
      <c r="W675" s="151" t="s">
        <v>2507</v>
      </c>
      <c r="X675" s="151" t="s">
        <v>2213</v>
      </c>
      <c r="Y675" s="151" t="s">
        <v>2507</v>
      </c>
      <c r="Z675" s="151"/>
      <c r="AA675" s="151"/>
      <c r="AB675" s="151" t="s">
        <v>855</v>
      </c>
      <c r="AC675" s="342"/>
    </row>
    <row r="676" spans="1:29">
      <c r="A676" s="151" t="s">
        <v>3593</v>
      </c>
      <c r="B676" s="151" t="s">
        <v>4508</v>
      </c>
      <c r="C676" s="151" t="s">
        <v>4497</v>
      </c>
      <c r="D676" s="151" t="s">
        <v>17</v>
      </c>
      <c r="E676" s="151" t="s">
        <v>4509</v>
      </c>
      <c r="F676" s="151" t="s">
        <v>544</v>
      </c>
      <c r="G676" s="151" t="s">
        <v>2173</v>
      </c>
      <c r="H676" s="151" t="s">
        <v>1183</v>
      </c>
      <c r="I676" s="151" t="s">
        <v>1184</v>
      </c>
      <c r="J676" s="151" t="s">
        <v>806</v>
      </c>
      <c r="K676" s="151" t="s">
        <v>4510</v>
      </c>
      <c r="L676" s="151" t="s">
        <v>3596</v>
      </c>
      <c r="M676" s="151" t="s">
        <v>361</v>
      </c>
      <c r="N676" s="151"/>
      <c r="O676" s="151"/>
      <c r="P676" s="151"/>
      <c r="Q676" s="151"/>
      <c r="R676" s="151" t="s">
        <v>2177</v>
      </c>
      <c r="S676" s="151" t="s">
        <v>361</v>
      </c>
      <c r="T676" s="151" t="s">
        <v>2213</v>
      </c>
      <c r="U676" s="151" t="s">
        <v>2507</v>
      </c>
      <c r="V676" s="151">
        <v>20</v>
      </c>
      <c r="W676" s="151" t="s">
        <v>2507</v>
      </c>
      <c r="X676" s="151" t="s">
        <v>2213</v>
      </c>
      <c r="Y676" s="151" t="s">
        <v>2507</v>
      </c>
      <c r="Z676" s="151"/>
      <c r="AA676" s="151"/>
      <c r="AB676" s="151" t="s">
        <v>855</v>
      </c>
      <c r="AC676" s="342"/>
    </row>
    <row r="677" spans="1:29">
      <c r="A677" s="151" t="s">
        <v>3593</v>
      </c>
      <c r="B677" s="151" t="s">
        <v>4511</v>
      </c>
      <c r="C677" s="151" t="s">
        <v>4497</v>
      </c>
      <c r="D677" s="151" t="s">
        <v>17</v>
      </c>
      <c r="E677" s="151" t="s">
        <v>4512</v>
      </c>
      <c r="F677" s="151" t="s">
        <v>544</v>
      </c>
      <c r="G677" s="151" t="s">
        <v>2173</v>
      </c>
      <c r="H677" s="151" t="s">
        <v>1183</v>
      </c>
      <c r="I677" s="151" t="s">
        <v>1184</v>
      </c>
      <c r="J677" s="151" t="s">
        <v>806</v>
      </c>
      <c r="K677" s="151" t="s">
        <v>4513</v>
      </c>
      <c r="L677" s="151" t="s">
        <v>3596</v>
      </c>
      <c r="M677" s="151" t="s">
        <v>361</v>
      </c>
      <c r="N677" s="151"/>
      <c r="O677" s="151"/>
      <c r="P677" s="151"/>
      <c r="Q677" s="151"/>
      <c r="R677" s="151" t="s">
        <v>2177</v>
      </c>
      <c r="S677" s="151" t="s">
        <v>361</v>
      </c>
      <c r="T677" s="151" t="s">
        <v>2213</v>
      </c>
      <c r="U677" s="151" t="s">
        <v>2507</v>
      </c>
      <c r="V677" s="151">
        <v>20</v>
      </c>
      <c r="W677" s="151" t="s">
        <v>2507</v>
      </c>
      <c r="X677" s="151" t="s">
        <v>2213</v>
      </c>
      <c r="Y677" s="151" t="s">
        <v>2507</v>
      </c>
      <c r="Z677" s="151"/>
      <c r="AA677" s="151"/>
      <c r="AB677" s="151" t="s">
        <v>855</v>
      </c>
      <c r="AC677" s="342"/>
    </row>
    <row r="678" spans="1:29">
      <c r="A678" s="151" t="s">
        <v>3593</v>
      </c>
      <c r="B678" s="151" t="s">
        <v>4514</v>
      </c>
      <c r="C678" s="151" t="s">
        <v>4497</v>
      </c>
      <c r="D678" s="151" t="s">
        <v>17</v>
      </c>
      <c r="E678" s="151" t="s">
        <v>4515</v>
      </c>
      <c r="F678" s="151" t="s">
        <v>544</v>
      </c>
      <c r="G678" s="151" t="s">
        <v>2173</v>
      </c>
      <c r="H678" s="151" t="s">
        <v>1183</v>
      </c>
      <c r="I678" s="151" t="s">
        <v>1184</v>
      </c>
      <c r="J678" s="151" t="s">
        <v>806</v>
      </c>
      <c r="K678" s="151" t="s">
        <v>4516</v>
      </c>
      <c r="L678" s="151" t="s">
        <v>3596</v>
      </c>
      <c r="M678" s="151" t="s">
        <v>361</v>
      </c>
      <c r="N678" s="151"/>
      <c r="O678" s="151"/>
      <c r="P678" s="151"/>
      <c r="Q678" s="151"/>
      <c r="R678" s="151" t="s">
        <v>2177</v>
      </c>
      <c r="S678" s="151" t="s">
        <v>361</v>
      </c>
      <c r="T678" s="151" t="s">
        <v>2213</v>
      </c>
      <c r="U678" s="151" t="s">
        <v>2507</v>
      </c>
      <c r="V678" s="151">
        <v>20</v>
      </c>
      <c r="W678" s="151" t="s">
        <v>2507</v>
      </c>
      <c r="X678" s="151" t="s">
        <v>2213</v>
      </c>
      <c r="Y678" s="151" t="s">
        <v>2507</v>
      </c>
      <c r="Z678" s="151"/>
      <c r="AA678" s="151"/>
      <c r="AB678" s="151" t="s">
        <v>855</v>
      </c>
      <c r="AC678" s="342"/>
    </row>
    <row r="679" spans="1:29">
      <c r="A679" s="151" t="s">
        <v>3593</v>
      </c>
      <c r="B679" s="151" t="s">
        <v>4517</v>
      </c>
      <c r="C679" s="151" t="s">
        <v>4497</v>
      </c>
      <c r="D679" s="151" t="s">
        <v>17</v>
      </c>
      <c r="E679" s="151" t="s">
        <v>4518</v>
      </c>
      <c r="F679" s="151" t="s">
        <v>544</v>
      </c>
      <c r="G679" s="151" t="s">
        <v>2173</v>
      </c>
      <c r="H679" s="151" t="s">
        <v>1183</v>
      </c>
      <c r="I679" s="151" t="s">
        <v>1184</v>
      </c>
      <c r="J679" s="151" t="s">
        <v>806</v>
      </c>
      <c r="K679" s="151" t="s">
        <v>4519</v>
      </c>
      <c r="L679" s="151" t="s">
        <v>3596</v>
      </c>
      <c r="M679" s="151" t="s">
        <v>361</v>
      </c>
      <c r="N679" s="151"/>
      <c r="O679" s="151"/>
      <c r="P679" s="151"/>
      <c r="Q679" s="151"/>
      <c r="R679" s="151" t="s">
        <v>2177</v>
      </c>
      <c r="S679" s="151" t="s">
        <v>361</v>
      </c>
      <c r="T679" s="151" t="s">
        <v>2213</v>
      </c>
      <c r="U679" s="151" t="s">
        <v>2507</v>
      </c>
      <c r="V679" s="151">
        <v>20</v>
      </c>
      <c r="W679" s="151" t="s">
        <v>2507</v>
      </c>
      <c r="X679" s="151" t="s">
        <v>2213</v>
      </c>
      <c r="Y679" s="151" t="s">
        <v>2507</v>
      </c>
      <c r="Z679" s="151"/>
      <c r="AA679" s="151"/>
      <c r="AB679" s="151" t="s">
        <v>855</v>
      </c>
      <c r="AC679" s="342"/>
    </row>
    <row r="680" spans="1:29">
      <c r="A680" s="151" t="s">
        <v>3593</v>
      </c>
      <c r="B680" s="151" t="s">
        <v>4520</v>
      </c>
      <c r="C680" s="151" t="s">
        <v>4497</v>
      </c>
      <c r="D680" s="151" t="s">
        <v>17</v>
      </c>
      <c r="E680" s="151" t="s">
        <v>3661</v>
      </c>
      <c r="F680" s="151" t="s">
        <v>544</v>
      </c>
      <c r="G680" s="151" t="s">
        <v>2173</v>
      </c>
      <c r="H680" s="151" t="s">
        <v>1183</v>
      </c>
      <c r="I680" s="151" t="s">
        <v>1184</v>
      </c>
      <c r="J680" s="151" t="s">
        <v>806</v>
      </c>
      <c r="K680" s="151" t="s">
        <v>3662</v>
      </c>
      <c r="L680" s="151" t="s">
        <v>3596</v>
      </c>
      <c r="M680" s="151" t="s">
        <v>361</v>
      </c>
      <c r="N680" s="151"/>
      <c r="O680" s="151"/>
      <c r="P680" s="151"/>
      <c r="Q680" s="151"/>
      <c r="R680" s="151" t="s">
        <v>2177</v>
      </c>
      <c r="S680" s="151" t="s">
        <v>361</v>
      </c>
      <c r="T680" s="151" t="s">
        <v>2213</v>
      </c>
      <c r="U680" s="151" t="s">
        <v>2507</v>
      </c>
      <c r="V680" s="151">
        <v>20</v>
      </c>
      <c r="W680" s="151" t="s">
        <v>2507</v>
      </c>
      <c r="X680" s="151" t="s">
        <v>2213</v>
      </c>
      <c r="Y680" s="151" t="s">
        <v>2507</v>
      </c>
      <c r="Z680" s="151"/>
      <c r="AA680" s="151"/>
      <c r="AB680" s="151" t="s">
        <v>855</v>
      </c>
      <c r="AC680" s="342"/>
    </row>
    <row r="681" spans="1:29">
      <c r="A681" s="151" t="s">
        <v>3593</v>
      </c>
      <c r="B681" s="151" t="s">
        <v>4521</v>
      </c>
      <c r="C681" s="151" t="s">
        <v>4497</v>
      </c>
      <c r="D681" s="151" t="s">
        <v>17</v>
      </c>
      <c r="E681" s="151" t="s">
        <v>4522</v>
      </c>
      <c r="F681" s="151" t="s">
        <v>544</v>
      </c>
      <c r="G681" s="151" t="s">
        <v>2173</v>
      </c>
      <c r="H681" s="151" t="s">
        <v>4523</v>
      </c>
      <c r="I681" s="151" t="s">
        <v>1184</v>
      </c>
      <c r="J681" s="151" t="s">
        <v>806</v>
      </c>
      <c r="K681" s="151" t="s">
        <v>4524</v>
      </c>
      <c r="L681" s="151" t="s">
        <v>3596</v>
      </c>
      <c r="M681" s="151" t="s">
        <v>361</v>
      </c>
      <c r="N681" s="151"/>
      <c r="O681" s="151"/>
      <c r="P681" s="151"/>
      <c r="Q681" s="151"/>
      <c r="R681" s="151" t="s">
        <v>2177</v>
      </c>
      <c r="S681" s="151" t="s">
        <v>361</v>
      </c>
      <c r="T681" s="151" t="s">
        <v>2213</v>
      </c>
      <c r="U681" s="151" t="s">
        <v>2507</v>
      </c>
      <c r="V681" s="151">
        <v>24</v>
      </c>
      <c r="W681" s="151" t="s">
        <v>2507</v>
      </c>
      <c r="X681" s="151" t="s">
        <v>2445</v>
      </c>
      <c r="Y681" s="151" t="s">
        <v>2507</v>
      </c>
      <c r="Z681" s="151"/>
      <c r="AA681" s="151"/>
      <c r="AB681" s="151" t="s">
        <v>855</v>
      </c>
      <c r="AC681" s="342"/>
    </row>
    <row r="682" spans="1:29">
      <c r="A682" s="151" t="s">
        <v>3593</v>
      </c>
      <c r="B682" s="151" t="s">
        <v>4525</v>
      </c>
      <c r="C682" s="151" t="s">
        <v>4497</v>
      </c>
      <c r="D682" s="151" t="s">
        <v>17</v>
      </c>
      <c r="E682" s="151" t="s">
        <v>4526</v>
      </c>
      <c r="F682" s="151" t="s">
        <v>544</v>
      </c>
      <c r="G682" s="151" t="s">
        <v>2173</v>
      </c>
      <c r="H682" s="151" t="s">
        <v>1183</v>
      </c>
      <c r="I682" s="151" t="s">
        <v>1184</v>
      </c>
      <c r="J682" s="151" t="s">
        <v>806</v>
      </c>
      <c r="K682" s="151" t="s">
        <v>4527</v>
      </c>
      <c r="L682" s="151" t="s">
        <v>3596</v>
      </c>
      <c r="M682" s="151" t="s">
        <v>361</v>
      </c>
      <c r="N682" s="151"/>
      <c r="O682" s="151"/>
      <c r="P682" s="151"/>
      <c r="Q682" s="151"/>
      <c r="R682" s="151" t="s">
        <v>2177</v>
      </c>
      <c r="S682" s="151" t="s">
        <v>361</v>
      </c>
      <c r="T682" s="151" t="s">
        <v>2213</v>
      </c>
      <c r="U682" s="151" t="s">
        <v>2507</v>
      </c>
      <c r="V682" s="151">
        <v>20</v>
      </c>
      <c r="W682" s="151" t="s">
        <v>2507</v>
      </c>
      <c r="X682" s="151" t="s">
        <v>2213</v>
      </c>
      <c r="Y682" s="151" t="s">
        <v>2507</v>
      </c>
      <c r="Z682" s="151"/>
      <c r="AA682" s="151"/>
      <c r="AB682" s="151" t="s">
        <v>855</v>
      </c>
      <c r="AC682" s="342"/>
    </row>
    <row r="683" spans="1:29">
      <c r="A683" s="151" t="s">
        <v>3593</v>
      </c>
      <c r="B683" s="151" t="s">
        <v>4528</v>
      </c>
      <c r="C683" s="151" t="s">
        <v>4497</v>
      </c>
      <c r="D683" s="151" t="s">
        <v>17</v>
      </c>
      <c r="E683" s="151" t="s">
        <v>4529</v>
      </c>
      <c r="F683" s="151" t="s">
        <v>544</v>
      </c>
      <c r="G683" s="151" t="s">
        <v>2173</v>
      </c>
      <c r="H683" s="151" t="s">
        <v>1183</v>
      </c>
      <c r="I683" s="151" t="s">
        <v>1184</v>
      </c>
      <c r="J683" s="151" t="s">
        <v>806</v>
      </c>
      <c r="K683" s="151" t="s">
        <v>4530</v>
      </c>
      <c r="L683" s="151" t="s">
        <v>3596</v>
      </c>
      <c r="M683" s="151" t="s">
        <v>361</v>
      </c>
      <c r="N683" s="151"/>
      <c r="O683" s="151"/>
      <c r="P683" s="151"/>
      <c r="Q683" s="151"/>
      <c r="R683" s="151" t="s">
        <v>2177</v>
      </c>
      <c r="S683" s="151" t="s">
        <v>361</v>
      </c>
      <c r="T683" s="151" t="s">
        <v>2213</v>
      </c>
      <c r="U683" s="151" t="s">
        <v>2507</v>
      </c>
      <c r="V683" s="151">
        <v>24</v>
      </c>
      <c r="W683" s="151">
        <v>24</v>
      </c>
      <c r="X683" s="151" t="s">
        <v>2445</v>
      </c>
      <c r="Y683" s="151" t="s">
        <v>2507</v>
      </c>
      <c r="Z683" s="151"/>
      <c r="AA683" s="151"/>
      <c r="AB683" s="151" t="s">
        <v>855</v>
      </c>
      <c r="AC683" s="342"/>
    </row>
    <row r="684" spans="1:29">
      <c r="A684" s="151" t="s">
        <v>3593</v>
      </c>
      <c r="B684" s="151" t="s">
        <v>4531</v>
      </c>
      <c r="C684" s="151" t="s">
        <v>4497</v>
      </c>
      <c r="D684" s="151" t="s">
        <v>17</v>
      </c>
      <c r="E684" s="151" t="s">
        <v>4532</v>
      </c>
      <c r="F684" s="151" t="s">
        <v>544</v>
      </c>
      <c r="G684" s="151" t="s">
        <v>2173</v>
      </c>
      <c r="H684" s="151" t="s">
        <v>1183</v>
      </c>
      <c r="I684" s="151" t="s">
        <v>1184</v>
      </c>
      <c r="J684" s="151" t="s">
        <v>806</v>
      </c>
      <c r="K684" s="151" t="s">
        <v>4533</v>
      </c>
      <c r="L684" s="151" t="s">
        <v>3596</v>
      </c>
      <c r="M684" s="151" t="s">
        <v>361</v>
      </c>
      <c r="N684" s="151"/>
      <c r="O684" s="151"/>
      <c r="P684" s="151"/>
      <c r="Q684" s="151"/>
      <c r="R684" s="151" t="s">
        <v>2177</v>
      </c>
      <c r="S684" s="151" t="s">
        <v>361</v>
      </c>
      <c r="T684" s="151" t="s">
        <v>2213</v>
      </c>
      <c r="U684" s="151" t="s">
        <v>2507</v>
      </c>
      <c r="V684" s="151">
        <v>20</v>
      </c>
      <c r="W684" s="151" t="s">
        <v>2507</v>
      </c>
      <c r="X684" s="151" t="s">
        <v>2213</v>
      </c>
      <c r="Y684" s="151" t="s">
        <v>2507</v>
      </c>
      <c r="Z684" s="151"/>
      <c r="AA684" s="151"/>
      <c r="AB684" s="151" t="s">
        <v>855</v>
      </c>
      <c r="AC684" s="342"/>
    </row>
    <row r="685" spans="1:29">
      <c r="A685" s="151" t="s">
        <v>3593</v>
      </c>
      <c r="B685" s="151" t="s">
        <v>4534</v>
      </c>
      <c r="C685" s="151" t="s">
        <v>4497</v>
      </c>
      <c r="D685" s="151" t="s">
        <v>17</v>
      </c>
      <c r="E685" s="151" t="s">
        <v>4535</v>
      </c>
      <c r="F685" s="151" t="s">
        <v>544</v>
      </c>
      <c r="G685" s="151" t="s">
        <v>3656</v>
      </c>
      <c r="H685" s="151" t="s">
        <v>361</v>
      </c>
      <c r="I685" s="151" t="s">
        <v>1184</v>
      </c>
      <c r="J685" s="151" t="s">
        <v>361</v>
      </c>
      <c r="K685" s="151" t="s">
        <v>361</v>
      </c>
      <c r="L685" s="151" t="s">
        <v>361</v>
      </c>
      <c r="M685" s="151" t="s">
        <v>361</v>
      </c>
      <c r="N685" s="151"/>
      <c r="O685" s="151"/>
      <c r="P685" s="151"/>
      <c r="Q685" s="151"/>
      <c r="R685" s="151" t="s">
        <v>3576</v>
      </c>
      <c r="S685" s="151" t="s">
        <v>361</v>
      </c>
      <c r="T685" s="151"/>
      <c r="U685" s="151"/>
      <c r="V685" s="151"/>
      <c r="W685" s="151"/>
      <c r="X685" s="151"/>
      <c r="Y685" s="151"/>
      <c r="Z685" s="151"/>
      <c r="AA685" s="151"/>
      <c r="AB685" s="151"/>
      <c r="AC685" s="342"/>
    </row>
    <row r="686" spans="1:29">
      <c r="A686" s="151" t="s">
        <v>3593</v>
      </c>
      <c r="B686" s="151" t="s">
        <v>4536</v>
      </c>
      <c r="C686" s="151" t="s">
        <v>4497</v>
      </c>
      <c r="D686" s="151" t="s">
        <v>17</v>
      </c>
      <c r="E686" s="151" t="s">
        <v>4537</v>
      </c>
      <c r="F686" s="151" t="s">
        <v>544</v>
      </c>
      <c r="G686" s="151" t="s">
        <v>4538</v>
      </c>
      <c r="H686" s="151" t="s">
        <v>1183</v>
      </c>
      <c r="I686" s="151" t="s">
        <v>1184</v>
      </c>
      <c r="J686" s="151" t="s">
        <v>733</v>
      </c>
      <c r="K686" s="151" t="s">
        <v>4539</v>
      </c>
      <c r="L686" s="151" t="s">
        <v>361</v>
      </c>
      <c r="M686" s="151" t="s">
        <v>361</v>
      </c>
      <c r="N686" s="151"/>
      <c r="O686" s="151"/>
      <c r="P686" s="151"/>
      <c r="Q686" s="151"/>
      <c r="R686" s="151" t="s">
        <v>2177</v>
      </c>
      <c r="S686" s="151" t="s">
        <v>361</v>
      </c>
      <c r="T686" s="151" t="s">
        <v>2213</v>
      </c>
      <c r="U686" s="151" t="s">
        <v>4540</v>
      </c>
      <c r="V686" s="151">
        <v>25</v>
      </c>
      <c r="W686" s="151" t="s">
        <v>4540</v>
      </c>
      <c r="X686" s="151" t="s">
        <v>2213</v>
      </c>
      <c r="Y686" s="151" t="s">
        <v>4540</v>
      </c>
      <c r="Z686" s="151"/>
      <c r="AA686" s="151"/>
      <c r="AB686" s="151" t="s">
        <v>855</v>
      </c>
      <c r="AC686" s="342"/>
    </row>
    <row r="687" spans="1:29">
      <c r="A687" s="151" t="s">
        <v>3593</v>
      </c>
      <c r="B687" s="151" t="s">
        <v>4541</v>
      </c>
      <c r="C687" s="151" t="s">
        <v>4497</v>
      </c>
      <c r="D687" s="151" t="s">
        <v>17</v>
      </c>
      <c r="E687" s="151" t="s">
        <v>4542</v>
      </c>
      <c r="F687" s="151" t="s">
        <v>544</v>
      </c>
      <c r="G687" s="151" t="s">
        <v>2173</v>
      </c>
      <c r="H687" s="151" t="s">
        <v>1183</v>
      </c>
      <c r="I687" s="151" t="s">
        <v>1184</v>
      </c>
      <c r="J687" s="162" t="s">
        <v>806</v>
      </c>
      <c r="K687" s="161" t="s">
        <v>4543</v>
      </c>
      <c r="L687" s="151" t="s">
        <v>361</v>
      </c>
      <c r="M687" s="151" t="s">
        <v>361</v>
      </c>
      <c r="N687" s="151"/>
      <c r="O687" s="151"/>
      <c r="P687" s="151"/>
      <c r="Q687" s="151"/>
      <c r="R687" s="151" t="s">
        <v>2177</v>
      </c>
      <c r="S687" s="151" t="s">
        <v>361</v>
      </c>
      <c r="T687" s="151" t="s">
        <v>2213</v>
      </c>
      <c r="U687" s="151" t="s">
        <v>4540</v>
      </c>
      <c r="V687" s="151">
        <v>25</v>
      </c>
      <c r="W687" s="151" t="s">
        <v>4540</v>
      </c>
      <c r="X687" s="151" t="s">
        <v>2213</v>
      </c>
      <c r="Y687" s="151" t="s">
        <v>4540</v>
      </c>
      <c r="Z687" s="151"/>
      <c r="AA687" s="151"/>
      <c r="AB687" s="151" t="s">
        <v>855</v>
      </c>
      <c r="AC687" s="342"/>
    </row>
    <row r="688" spans="1:29">
      <c r="A688" s="151" t="s">
        <v>3593</v>
      </c>
      <c r="B688" s="151" t="s">
        <v>4544</v>
      </c>
      <c r="C688" s="151" t="s">
        <v>4497</v>
      </c>
      <c r="D688" s="151" t="s">
        <v>17</v>
      </c>
      <c r="E688" s="151" t="s">
        <v>4545</v>
      </c>
      <c r="F688" s="151" t="s">
        <v>544</v>
      </c>
      <c r="G688" s="151" t="s">
        <v>3656</v>
      </c>
      <c r="H688" s="151" t="s">
        <v>361</v>
      </c>
      <c r="I688" s="151" t="s">
        <v>1184</v>
      </c>
      <c r="J688" s="151" t="s">
        <v>361</v>
      </c>
      <c r="K688" s="151" t="s">
        <v>361</v>
      </c>
      <c r="L688" s="151" t="s">
        <v>361</v>
      </c>
      <c r="M688" s="151" t="s">
        <v>361</v>
      </c>
      <c r="N688" s="151"/>
      <c r="O688" s="151"/>
      <c r="P688" s="151"/>
      <c r="Q688" s="151"/>
      <c r="R688" s="151" t="s">
        <v>3576</v>
      </c>
      <c r="S688" s="151" t="s">
        <v>361</v>
      </c>
      <c r="T688" s="151"/>
      <c r="U688" s="151"/>
      <c r="V688" s="151"/>
      <c r="W688" s="151"/>
      <c r="X688" s="151"/>
      <c r="Y688" s="151"/>
      <c r="Z688" s="151"/>
      <c r="AA688" s="151"/>
      <c r="AB688" s="151"/>
      <c r="AC688" s="342"/>
    </row>
    <row r="689" spans="1:29">
      <c r="A689" s="151" t="s">
        <v>3593</v>
      </c>
      <c r="B689" s="151" t="s">
        <v>4546</v>
      </c>
      <c r="C689" s="151" t="s">
        <v>4497</v>
      </c>
      <c r="D689" s="151" t="s">
        <v>17</v>
      </c>
      <c r="E689" s="151" t="s">
        <v>4547</v>
      </c>
      <c r="F689" s="151" t="s">
        <v>544</v>
      </c>
      <c r="G689" s="151" t="s">
        <v>3656</v>
      </c>
      <c r="H689" s="151" t="s">
        <v>361</v>
      </c>
      <c r="I689" s="151" t="s">
        <v>1184</v>
      </c>
      <c r="J689" s="151" t="s">
        <v>361</v>
      </c>
      <c r="K689" s="151" t="s">
        <v>361</v>
      </c>
      <c r="L689" s="151" t="s">
        <v>361</v>
      </c>
      <c r="M689" s="151" t="s">
        <v>361</v>
      </c>
      <c r="N689" s="151"/>
      <c r="O689" s="151"/>
      <c r="P689" s="151"/>
      <c r="Q689" s="151"/>
      <c r="R689" s="151" t="s">
        <v>2550</v>
      </c>
      <c r="S689" s="151" t="s">
        <v>361</v>
      </c>
      <c r="T689" s="151"/>
      <c r="U689" s="151"/>
      <c r="V689" s="151"/>
      <c r="W689" s="151"/>
      <c r="X689" s="151"/>
      <c r="Y689" s="151"/>
      <c r="Z689" s="151"/>
      <c r="AA689" s="151"/>
      <c r="AB689" s="151"/>
      <c r="AC689" s="342"/>
    </row>
    <row r="690" spans="1:29">
      <c r="A690" s="151" t="s">
        <v>3593</v>
      </c>
      <c r="B690" s="151" t="s">
        <v>4548</v>
      </c>
      <c r="C690" s="151" t="s">
        <v>4497</v>
      </c>
      <c r="D690" s="151" t="s">
        <v>17</v>
      </c>
      <c r="E690" s="151" t="s">
        <v>4549</v>
      </c>
      <c r="F690" s="151" t="s">
        <v>544</v>
      </c>
      <c r="G690" s="151" t="s">
        <v>3656</v>
      </c>
      <c r="H690" s="151" t="s">
        <v>361</v>
      </c>
      <c r="I690" s="151" t="s">
        <v>1184</v>
      </c>
      <c r="J690" s="151" t="s">
        <v>361</v>
      </c>
      <c r="K690" s="151" t="s">
        <v>361</v>
      </c>
      <c r="L690" s="151" t="s">
        <v>361</v>
      </c>
      <c r="M690" s="151" t="s">
        <v>361</v>
      </c>
      <c r="N690" s="151"/>
      <c r="O690" s="151"/>
      <c r="P690" s="151"/>
      <c r="Q690" s="151"/>
      <c r="R690" s="151" t="s">
        <v>2550</v>
      </c>
      <c r="S690" s="151" t="s">
        <v>361</v>
      </c>
      <c r="T690" s="151"/>
      <c r="U690" s="151"/>
      <c r="V690" s="151"/>
      <c r="W690" s="151"/>
      <c r="X690" s="151"/>
      <c r="Y690" s="151"/>
      <c r="Z690" s="151"/>
      <c r="AA690" s="151"/>
      <c r="AB690" s="151"/>
      <c r="AC690" s="342"/>
    </row>
    <row r="691" spans="1:29">
      <c r="A691" s="151" t="s">
        <v>3593</v>
      </c>
      <c r="B691" s="151" t="s">
        <v>4550</v>
      </c>
      <c r="C691" s="151" t="s">
        <v>4497</v>
      </c>
      <c r="D691" s="151" t="s">
        <v>17</v>
      </c>
      <c r="E691" s="151" t="s">
        <v>4551</v>
      </c>
      <c r="F691" s="151" t="s">
        <v>544</v>
      </c>
      <c r="G691" s="151" t="s">
        <v>2173</v>
      </c>
      <c r="H691" s="151" t="s">
        <v>1183</v>
      </c>
      <c r="I691" s="151" t="s">
        <v>1184</v>
      </c>
      <c r="J691" s="151" t="s">
        <v>806</v>
      </c>
      <c r="K691" s="151" t="s">
        <v>4552</v>
      </c>
      <c r="L691" s="151" t="s">
        <v>3596</v>
      </c>
      <c r="M691" s="151" t="s">
        <v>361</v>
      </c>
      <c r="N691" s="151"/>
      <c r="O691" s="151"/>
      <c r="P691" s="151"/>
      <c r="Q691" s="151"/>
      <c r="R691" s="151" t="s">
        <v>2177</v>
      </c>
      <c r="S691" s="151" t="s">
        <v>361</v>
      </c>
      <c r="T691" s="151" t="s">
        <v>2213</v>
      </c>
      <c r="U691" s="151" t="s">
        <v>2507</v>
      </c>
      <c r="V691" s="151">
        <v>20</v>
      </c>
      <c r="W691" s="151" t="s">
        <v>2507</v>
      </c>
      <c r="X691" s="151" t="s">
        <v>2213</v>
      </c>
      <c r="Y691" s="151" t="s">
        <v>2507</v>
      </c>
      <c r="Z691" s="151"/>
      <c r="AA691" s="151"/>
      <c r="AB691" s="151" t="s">
        <v>855</v>
      </c>
      <c r="AC691" s="342"/>
    </row>
    <row r="692" spans="1:29">
      <c r="A692" s="151" t="s">
        <v>3593</v>
      </c>
      <c r="B692" s="151" t="s">
        <v>4553</v>
      </c>
      <c r="C692" s="151" t="s">
        <v>4497</v>
      </c>
      <c r="D692" s="151" t="s">
        <v>17</v>
      </c>
      <c r="E692" s="151" t="s">
        <v>4554</v>
      </c>
      <c r="F692" s="151" t="s">
        <v>544</v>
      </c>
      <c r="G692" s="151" t="s">
        <v>2173</v>
      </c>
      <c r="H692" s="151" t="s">
        <v>1183</v>
      </c>
      <c r="I692" s="151" t="s">
        <v>1184</v>
      </c>
      <c r="J692" s="151" t="s">
        <v>806</v>
      </c>
      <c r="K692" s="151" t="s">
        <v>4555</v>
      </c>
      <c r="L692" s="151" t="s">
        <v>3596</v>
      </c>
      <c r="M692" s="151" t="s">
        <v>361</v>
      </c>
      <c r="N692" s="151"/>
      <c r="O692" s="151"/>
      <c r="P692" s="151"/>
      <c r="Q692" s="151"/>
      <c r="R692" s="151" t="s">
        <v>2177</v>
      </c>
      <c r="S692" s="151" t="s">
        <v>361</v>
      </c>
      <c r="T692" s="151" t="s">
        <v>2213</v>
      </c>
      <c r="U692" s="151" t="s">
        <v>2507</v>
      </c>
      <c r="V692" s="151">
        <v>20</v>
      </c>
      <c r="W692" s="151" t="s">
        <v>2507</v>
      </c>
      <c r="X692" s="151" t="s">
        <v>2213</v>
      </c>
      <c r="Y692" s="151" t="s">
        <v>2507</v>
      </c>
      <c r="Z692" s="151"/>
      <c r="AA692" s="151"/>
      <c r="AB692" s="151" t="s">
        <v>855</v>
      </c>
      <c r="AC692" s="342"/>
    </row>
    <row r="693" spans="1:29">
      <c r="A693" s="151" t="s">
        <v>3593</v>
      </c>
      <c r="B693" s="151" t="s">
        <v>4556</v>
      </c>
      <c r="C693" s="151" t="s">
        <v>4497</v>
      </c>
      <c r="D693" s="151" t="s">
        <v>17</v>
      </c>
      <c r="E693" s="151" t="s">
        <v>4557</v>
      </c>
      <c r="F693" s="151" t="s">
        <v>544</v>
      </c>
      <c r="G693" s="151" t="s">
        <v>3656</v>
      </c>
      <c r="H693" s="151" t="s">
        <v>1183</v>
      </c>
      <c r="I693" s="151" t="s">
        <v>1184</v>
      </c>
      <c r="J693" s="151" t="s">
        <v>806</v>
      </c>
      <c r="K693" s="151" t="s">
        <v>4558</v>
      </c>
      <c r="L693" s="151" t="s">
        <v>3596</v>
      </c>
      <c r="M693" s="151" t="s">
        <v>361</v>
      </c>
      <c r="N693" s="151"/>
      <c r="O693" s="151"/>
      <c r="P693" s="151"/>
      <c r="Q693" s="151"/>
      <c r="R693" s="151" t="s">
        <v>4538</v>
      </c>
      <c r="S693" s="151" t="s">
        <v>4559</v>
      </c>
      <c r="T693" s="151"/>
      <c r="U693" s="151"/>
      <c r="V693" s="151"/>
      <c r="W693" s="151"/>
      <c r="X693" s="151"/>
      <c r="Y693" s="151"/>
      <c r="Z693" s="151"/>
      <c r="AA693" s="151"/>
      <c r="AB693" s="151"/>
      <c r="AC693" s="342"/>
    </row>
    <row r="694" spans="1:29">
      <c r="A694" s="151" t="s">
        <v>3593</v>
      </c>
      <c r="B694" s="151" t="s">
        <v>4560</v>
      </c>
      <c r="C694" s="151" t="s">
        <v>4497</v>
      </c>
      <c r="D694" s="151" t="s">
        <v>17</v>
      </c>
      <c r="E694" s="151" t="s">
        <v>4557</v>
      </c>
      <c r="F694" s="151" t="s">
        <v>544</v>
      </c>
      <c r="G694" s="151" t="s">
        <v>2173</v>
      </c>
      <c r="H694" s="151" t="s">
        <v>1183</v>
      </c>
      <c r="I694" s="151" t="s">
        <v>1184</v>
      </c>
      <c r="J694" s="151" t="s">
        <v>806</v>
      </c>
      <c r="K694" s="151" t="s">
        <v>4561</v>
      </c>
      <c r="L694" s="151" t="s">
        <v>3596</v>
      </c>
      <c r="M694" s="151" t="s">
        <v>361</v>
      </c>
      <c r="N694" s="151"/>
      <c r="O694" s="151"/>
      <c r="P694" s="151"/>
      <c r="Q694" s="151"/>
      <c r="R694" s="151" t="s">
        <v>2177</v>
      </c>
      <c r="S694" s="151" t="s">
        <v>361</v>
      </c>
      <c r="T694" s="151" t="s">
        <v>2213</v>
      </c>
      <c r="U694" s="151" t="s">
        <v>2507</v>
      </c>
      <c r="V694" s="151">
        <v>20</v>
      </c>
      <c r="W694" s="151" t="s">
        <v>2507</v>
      </c>
      <c r="X694" s="151" t="s">
        <v>2213</v>
      </c>
      <c r="Y694" s="151" t="s">
        <v>2507</v>
      </c>
      <c r="Z694" s="151"/>
      <c r="AA694" s="151"/>
      <c r="AB694" s="151" t="s">
        <v>855</v>
      </c>
      <c r="AC694" s="342"/>
    </row>
    <row r="695" spans="1:29">
      <c r="A695" s="151" t="s">
        <v>3593</v>
      </c>
      <c r="B695" s="151" t="s">
        <v>4562</v>
      </c>
      <c r="C695" s="151" t="s">
        <v>4497</v>
      </c>
      <c r="D695" s="151" t="s">
        <v>17</v>
      </c>
      <c r="E695" s="151" t="s">
        <v>4563</v>
      </c>
      <c r="F695" s="151" t="s">
        <v>544</v>
      </c>
      <c r="G695" s="151" t="s">
        <v>2173</v>
      </c>
      <c r="H695" s="151" t="s">
        <v>1183</v>
      </c>
      <c r="I695" s="151" t="s">
        <v>1184</v>
      </c>
      <c r="J695" s="151" t="s">
        <v>806</v>
      </c>
      <c r="K695" s="151" t="s">
        <v>4564</v>
      </c>
      <c r="L695" s="151" t="s">
        <v>3596</v>
      </c>
      <c r="M695" s="151" t="s">
        <v>361</v>
      </c>
      <c r="N695" s="151"/>
      <c r="O695" s="151"/>
      <c r="P695" s="151"/>
      <c r="Q695" s="151"/>
      <c r="R695" s="151" t="s">
        <v>2177</v>
      </c>
      <c r="S695" s="151" t="s">
        <v>361</v>
      </c>
      <c r="T695" s="151" t="s">
        <v>2213</v>
      </c>
      <c r="U695" s="151" t="s">
        <v>2507</v>
      </c>
      <c r="V695" s="151">
        <v>20</v>
      </c>
      <c r="W695" s="151" t="s">
        <v>2507</v>
      </c>
      <c r="X695" s="151" t="s">
        <v>2213</v>
      </c>
      <c r="Y695" s="151" t="s">
        <v>2507</v>
      </c>
      <c r="Z695" s="151"/>
      <c r="AA695" s="151"/>
      <c r="AB695" s="151" t="s">
        <v>855</v>
      </c>
      <c r="AC695" s="342"/>
    </row>
    <row r="696" spans="1:29">
      <c r="A696" s="151" t="s">
        <v>3593</v>
      </c>
      <c r="B696" s="151" t="s">
        <v>4565</v>
      </c>
      <c r="C696" s="151" t="s">
        <v>4497</v>
      </c>
      <c r="D696" s="151" t="s">
        <v>17</v>
      </c>
      <c r="E696" s="151" t="s">
        <v>4566</v>
      </c>
      <c r="F696" s="151" t="s">
        <v>544</v>
      </c>
      <c r="G696" s="151" t="s">
        <v>2173</v>
      </c>
      <c r="H696" s="151" t="s">
        <v>1183</v>
      </c>
      <c r="I696" s="151" t="s">
        <v>1184</v>
      </c>
      <c r="J696" s="151" t="s">
        <v>806</v>
      </c>
      <c r="K696" s="151" t="s">
        <v>4567</v>
      </c>
      <c r="L696" s="151" t="s">
        <v>3596</v>
      </c>
      <c r="M696" s="151" t="s">
        <v>361</v>
      </c>
      <c r="N696" s="151"/>
      <c r="O696" s="151"/>
      <c r="P696" s="151"/>
      <c r="Q696" s="151"/>
      <c r="R696" s="151" t="s">
        <v>2177</v>
      </c>
      <c r="S696" s="151" t="s">
        <v>361</v>
      </c>
      <c r="T696" s="151" t="s">
        <v>2213</v>
      </c>
      <c r="U696" s="151" t="s">
        <v>2507</v>
      </c>
      <c r="V696" s="151">
        <v>20</v>
      </c>
      <c r="W696" s="151" t="s">
        <v>2507</v>
      </c>
      <c r="X696" s="151" t="s">
        <v>2213</v>
      </c>
      <c r="Y696" s="151" t="s">
        <v>2507</v>
      </c>
      <c r="Z696" s="151"/>
      <c r="AA696" s="151"/>
      <c r="AB696" s="151" t="s">
        <v>855</v>
      </c>
      <c r="AC696" s="342"/>
    </row>
    <row r="697" spans="1:29">
      <c r="A697" s="151" t="s">
        <v>3593</v>
      </c>
      <c r="B697" s="151" t="s">
        <v>4568</v>
      </c>
      <c r="C697" s="151" t="s">
        <v>4497</v>
      </c>
      <c r="D697" s="151" t="s">
        <v>17</v>
      </c>
      <c r="E697" s="151" t="s">
        <v>4569</v>
      </c>
      <c r="F697" s="151" t="s">
        <v>544</v>
      </c>
      <c r="G697" s="151" t="s">
        <v>2173</v>
      </c>
      <c r="H697" s="151" t="s">
        <v>1183</v>
      </c>
      <c r="I697" s="151" t="s">
        <v>1184</v>
      </c>
      <c r="J697" s="151" t="s">
        <v>806</v>
      </c>
      <c r="K697" s="151" t="s">
        <v>4570</v>
      </c>
      <c r="L697" s="151" t="s">
        <v>3596</v>
      </c>
      <c r="M697" s="151" t="s">
        <v>361</v>
      </c>
      <c r="N697" s="151"/>
      <c r="O697" s="151"/>
      <c r="P697" s="151"/>
      <c r="Q697" s="151"/>
      <c r="R697" s="151" t="s">
        <v>2177</v>
      </c>
      <c r="S697" s="151" t="s">
        <v>361</v>
      </c>
      <c r="T697" s="151" t="s">
        <v>2213</v>
      </c>
      <c r="U697" s="151" t="s">
        <v>2507</v>
      </c>
      <c r="V697" s="151">
        <v>20</v>
      </c>
      <c r="W697" s="151" t="s">
        <v>2507</v>
      </c>
      <c r="X697" s="151" t="s">
        <v>2213</v>
      </c>
      <c r="Y697" s="151" t="s">
        <v>2507</v>
      </c>
      <c r="Z697" s="151"/>
      <c r="AA697" s="151"/>
      <c r="AB697" s="151" t="s">
        <v>855</v>
      </c>
      <c r="AC697" s="342"/>
    </row>
    <row r="698" spans="1:29">
      <c r="A698" s="151" t="s">
        <v>3593</v>
      </c>
      <c r="B698" s="151" t="s">
        <v>4571</v>
      </c>
      <c r="C698" s="151" t="s">
        <v>4497</v>
      </c>
      <c r="D698" s="151" t="s">
        <v>17</v>
      </c>
      <c r="E698" s="151" t="s">
        <v>4572</v>
      </c>
      <c r="F698" s="151" t="s">
        <v>544</v>
      </c>
      <c r="G698" s="151" t="s">
        <v>2173</v>
      </c>
      <c r="H698" s="151" t="s">
        <v>1183</v>
      </c>
      <c r="I698" s="151" t="s">
        <v>1184</v>
      </c>
      <c r="J698" s="151" t="s">
        <v>806</v>
      </c>
      <c r="K698" s="151" t="s">
        <v>4573</v>
      </c>
      <c r="L698" s="151" t="s">
        <v>3596</v>
      </c>
      <c r="M698" s="151" t="s">
        <v>361</v>
      </c>
      <c r="N698" s="151"/>
      <c r="O698" s="151"/>
      <c r="P698" s="151"/>
      <c r="Q698" s="151"/>
      <c r="R698" s="151" t="s">
        <v>2177</v>
      </c>
      <c r="S698" s="151" t="s">
        <v>361</v>
      </c>
      <c r="T698" s="151" t="s">
        <v>2213</v>
      </c>
      <c r="U698" s="151" t="s">
        <v>2507</v>
      </c>
      <c r="V698" s="151">
        <v>20</v>
      </c>
      <c r="W698" s="151" t="s">
        <v>2507</v>
      </c>
      <c r="X698" s="151" t="s">
        <v>2213</v>
      </c>
      <c r="Y698" s="151" t="s">
        <v>2507</v>
      </c>
      <c r="Z698" s="151"/>
      <c r="AA698" s="151"/>
      <c r="AB698" s="151" t="s">
        <v>855</v>
      </c>
      <c r="AC698" s="342"/>
    </row>
    <row r="699" spans="1:29">
      <c r="A699" s="151" t="s">
        <v>3593</v>
      </c>
      <c r="B699" s="151" t="s">
        <v>4565</v>
      </c>
      <c r="C699" s="151" t="s">
        <v>4497</v>
      </c>
      <c r="D699" s="151" t="s">
        <v>17</v>
      </c>
      <c r="E699" s="151" t="s">
        <v>4574</v>
      </c>
      <c r="F699" s="151" t="s">
        <v>544</v>
      </c>
      <c r="G699" s="151" t="s">
        <v>2173</v>
      </c>
      <c r="H699" s="151" t="s">
        <v>1183</v>
      </c>
      <c r="I699" s="151" t="s">
        <v>1184</v>
      </c>
      <c r="J699" s="151" t="s">
        <v>806</v>
      </c>
      <c r="K699" s="151" t="s">
        <v>4575</v>
      </c>
      <c r="L699" s="151" t="s">
        <v>3596</v>
      </c>
      <c r="M699" s="151" t="s">
        <v>361</v>
      </c>
      <c r="N699" s="151"/>
      <c r="O699" s="151"/>
      <c r="P699" s="151"/>
      <c r="Q699" s="151"/>
      <c r="R699" s="151" t="s">
        <v>2177</v>
      </c>
      <c r="S699" s="151" t="s">
        <v>361</v>
      </c>
      <c r="T699" s="151" t="s">
        <v>2213</v>
      </c>
      <c r="U699" s="151" t="s">
        <v>2507</v>
      </c>
      <c r="V699" s="151">
        <v>20</v>
      </c>
      <c r="W699" s="151" t="s">
        <v>2507</v>
      </c>
      <c r="X699" s="151" t="s">
        <v>2213</v>
      </c>
      <c r="Y699" s="151" t="s">
        <v>2507</v>
      </c>
      <c r="Z699" s="151"/>
      <c r="AA699" s="151"/>
      <c r="AB699" s="151" t="s">
        <v>855</v>
      </c>
      <c r="AC699" s="342"/>
    </row>
    <row r="700" spans="1:29">
      <c r="A700" s="151" t="s">
        <v>3593</v>
      </c>
      <c r="B700" s="151" t="s">
        <v>4568</v>
      </c>
      <c r="C700" s="151" t="s">
        <v>4497</v>
      </c>
      <c r="D700" s="151" t="s">
        <v>17</v>
      </c>
      <c r="E700" s="151" t="s">
        <v>4576</v>
      </c>
      <c r="F700" s="151" t="s">
        <v>544</v>
      </c>
      <c r="G700" s="151" t="s">
        <v>2173</v>
      </c>
      <c r="H700" s="151" t="s">
        <v>1183</v>
      </c>
      <c r="I700" s="151" t="s">
        <v>1184</v>
      </c>
      <c r="J700" s="151" t="s">
        <v>806</v>
      </c>
      <c r="K700" s="151" t="s">
        <v>4577</v>
      </c>
      <c r="L700" s="151" t="s">
        <v>3596</v>
      </c>
      <c r="M700" s="151" t="s">
        <v>361</v>
      </c>
      <c r="N700" s="151"/>
      <c r="O700" s="151"/>
      <c r="P700" s="151"/>
      <c r="Q700" s="151"/>
      <c r="R700" s="151" t="s">
        <v>2177</v>
      </c>
      <c r="S700" s="151" t="s">
        <v>361</v>
      </c>
      <c r="T700" s="151" t="s">
        <v>2213</v>
      </c>
      <c r="U700" s="151" t="s">
        <v>2507</v>
      </c>
      <c r="V700" s="151">
        <v>20</v>
      </c>
      <c r="W700" s="151" t="s">
        <v>2507</v>
      </c>
      <c r="X700" s="151" t="s">
        <v>2213</v>
      </c>
      <c r="Y700" s="151" t="s">
        <v>2507</v>
      </c>
      <c r="Z700" s="151"/>
      <c r="AA700" s="151"/>
      <c r="AB700" s="151" t="s">
        <v>855</v>
      </c>
      <c r="AC700" s="342"/>
    </row>
    <row r="701" spans="1:29">
      <c r="A701" s="151" t="s">
        <v>3593</v>
      </c>
      <c r="B701" s="151" t="s">
        <v>4571</v>
      </c>
      <c r="C701" s="151" t="s">
        <v>4497</v>
      </c>
      <c r="D701" s="151" t="s">
        <v>17</v>
      </c>
      <c r="E701" s="151" t="s">
        <v>4578</v>
      </c>
      <c r="F701" s="151" t="s">
        <v>544</v>
      </c>
      <c r="G701" s="151" t="s">
        <v>2173</v>
      </c>
      <c r="H701" s="151" t="s">
        <v>1183</v>
      </c>
      <c r="I701" s="151" t="s">
        <v>1184</v>
      </c>
      <c r="J701" s="151" t="s">
        <v>806</v>
      </c>
      <c r="K701" s="151" t="s">
        <v>4579</v>
      </c>
      <c r="L701" s="151" t="s">
        <v>3596</v>
      </c>
      <c r="M701" s="151" t="s">
        <v>361</v>
      </c>
      <c r="N701" s="151"/>
      <c r="O701" s="151"/>
      <c r="P701" s="151"/>
      <c r="Q701" s="151"/>
      <c r="R701" s="151" t="s">
        <v>2177</v>
      </c>
      <c r="S701" s="151" t="s">
        <v>361</v>
      </c>
      <c r="T701" s="151" t="s">
        <v>2213</v>
      </c>
      <c r="U701" s="151" t="s">
        <v>2507</v>
      </c>
      <c r="V701" s="151">
        <v>20</v>
      </c>
      <c r="W701" s="151" t="s">
        <v>2507</v>
      </c>
      <c r="X701" s="151" t="s">
        <v>2213</v>
      </c>
      <c r="Y701" s="151" t="s">
        <v>2507</v>
      </c>
      <c r="Z701" s="151"/>
      <c r="AA701" s="151"/>
      <c r="AB701" s="151" t="s">
        <v>855</v>
      </c>
      <c r="AC701" s="342"/>
    </row>
    <row r="702" spans="1:29">
      <c r="A702" s="151" t="s">
        <v>3593</v>
      </c>
      <c r="B702" s="151" t="s">
        <v>4580</v>
      </c>
      <c r="C702" s="151" t="s">
        <v>4581</v>
      </c>
      <c r="D702" s="151" t="s">
        <v>17</v>
      </c>
      <c r="E702" s="151" t="s">
        <v>4582</v>
      </c>
      <c r="F702" s="151" t="s">
        <v>551</v>
      </c>
      <c r="G702" s="151" t="s">
        <v>3656</v>
      </c>
      <c r="H702" s="151" t="s">
        <v>361</v>
      </c>
      <c r="I702" s="151" t="s">
        <v>1184</v>
      </c>
      <c r="J702" s="151" t="s">
        <v>361</v>
      </c>
      <c r="K702" s="151" t="s">
        <v>361</v>
      </c>
      <c r="L702" s="151" t="s">
        <v>361</v>
      </c>
      <c r="M702" s="151" t="s">
        <v>361</v>
      </c>
      <c r="N702" s="151"/>
      <c r="O702" s="151"/>
      <c r="P702" s="151"/>
      <c r="Q702" s="151"/>
      <c r="R702" s="151" t="s">
        <v>3576</v>
      </c>
      <c r="S702" s="151" t="s">
        <v>361</v>
      </c>
      <c r="T702" s="151"/>
      <c r="U702" s="151"/>
      <c r="V702" s="151"/>
      <c r="W702" s="151"/>
      <c r="X702" s="151"/>
      <c r="Y702" s="151"/>
      <c r="Z702" s="151"/>
      <c r="AA702" s="151"/>
      <c r="AB702" s="151"/>
      <c r="AC702" s="342"/>
    </row>
    <row r="703" spans="1:29">
      <c r="A703" s="151" t="s">
        <v>3593</v>
      </c>
      <c r="B703" s="151" t="s">
        <v>4583</v>
      </c>
      <c r="C703" s="151" t="s">
        <v>4581</v>
      </c>
      <c r="D703" s="151" t="s">
        <v>17</v>
      </c>
      <c r="E703" s="151" t="s">
        <v>4584</v>
      </c>
      <c r="F703" s="151" t="s">
        <v>551</v>
      </c>
      <c r="G703" s="151" t="s">
        <v>3656</v>
      </c>
      <c r="H703" s="151" t="s">
        <v>361</v>
      </c>
      <c r="I703" s="151" t="s">
        <v>1184</v>
      </c>
      <c r="J703" s="151" t="s">
        <v>361</v>
      </c>
      <c r="K703" s="151" t="s">
        <v>361</v>
      </c>
      <c r="L703" s="151" t="s">
        <v>361</v>
      </c>
      <c r="M703" s="151" t="s">
        <v>361</v>
      </c>
      <c r="N703" s="151"/>
      <c r="O703" s="151"/>
      <c r="P703" s="151"/>
      <c r="Q703" s="151"/>
      <c r="R703" s="151" t="s">
        <v>3576</v>
      </c>
      <c r="S703" s="151" t="s">
        <v>361</v>
      </c>
      <c r="T703" s="151"/>
      <c r="U703" s="151"/>
      <c r="V703" s="151"/>
      <c r="W703" s="151"/>
      <c r="X703" s="151"/>
      <c r="Y703" s="151"/>
      <c r="Z703" s="151"/>
      <c r="AA703" s="151"/>
      <c r="AB703" s="151"/>
      <c r="AC703" s="342"/>
    </row>
    <row r="704" spans="1:29">
      <c r="A704" s="151" t="s">
        <v>3593</v>
      </c>
      <c r="B704" s="151" t="s">
        <v>4585</v>
      </c>
      <c r="C704" s="151" t="s">
        <v>4581</v>
      </c>
      <c r="D704" s="151" t="s">
        <v>17</v>
      </c>
      <c r="E704" s="151" t="s">
        <v>4586</v>
      </c>
      <c r="F704" s="151" t="s">
        <v>551</v>
      </c>
      <c r="G704" s="151" t="s">
        <v>3656</v>
      </c>
      <c r="H704" s="151" t="s">
        <v>361</v>
      </c>
      <c r="I704" s="151" t="s">
        <v>1184</v>
      </c>
      <c r="J704" s="151" t="s">
        <v>361</v>
      </c>
      <c r="K704" s="151" t="s">
        <v>361</v>
      </c>
      <c r="L704" s="151" t="s">
        <v>361</v>
      </c>
      <c r="M704" s="151" t="s">
        <v>361</v>
      </c>
      <c r="N704" s="151"/>
      <c r="O704" s="151"/>
      <c r="P704" s="151"/>
      <c r="Q704" s="151"/>
      <c r="R704" s="151" t="s">
        <v>3576</v>
      </c>
      <c r="S704" s="151" t="s">
        <v>361</v>
      </c>
      <c r="T704" s="151"/>
      <c r="U704" s="151"/>
      <c r="V704" s="151"/>
      <c r="W704" s="151"/>
      <c r="X704" s="151"/>
      <c r="Y704" s="151"/>
      <c r="Z704" s="151"/>
      <c r="AA704" s="151"/>
      <c r="AB704" s="151"/>
      <c r="AC704" s="342"/>
    </row>
    <row r="705" spans="1:29">
      <c r="A705" s="151" t="s">
        <v>3593</v>
      </c>
      <c r="B705" s="151" t="s">
        <v>4587</v>
      </c>
      <c r="C705" s="151" t="s">
        <v>4581</v>
      </c>
      <c r="D705" s="151" t="s">
        <v>17</v>
      </c>
      <c r="E705" s="151" t="s">
        <v>4588</v>
      </c>
      <c r="F705" s="151" t="s">
        <v>551</v>
      </c>
      <c r="G705" s="151" t="s">
        <v>3656</v>
      </c>
      <c r="H705" s="151" t="s">
        <v>361</v>
      </c>
      <c r="I705" s="151" t="s">
        <v>1184</v>
      </c>
      <c r="J705" s="151" t="s">
        <v>361</v>
      </c>
      <c r="K705" s="151" t="s">
        <v>361</v>
      </c>
      <c r="L705" s="151" t="s">
        <v>361</v>
      </c>
      <c r="M705" s="151" t="s">
        <v>361</v>
      </c>
      <c r="N705" s="151"/>
      <c r="O705" s="151"/>
      <c r="P705" s="151"/>
      <c r="Q705" s="151"/>
      <c r="R705" s="151" t="s">
        <v>3576</v>
      </c>
      <c r="S705" s="151" t="s">
        <v>361</v>
      </c>
      <c r="T705" s="151"/>
      <c r="U705" s="151"/>
      <c r="V705" s="151"/>
      <c r="W705" s="151"/>
      <c r="X705" s="151"/>
      <c r="Y705" s="151"/>
      <c r="Z705" s="151"/>
      <c r="AA705" s="151"/>
      <c r="AB705" s="151"/>
      <c r="AC705" s="342"/>
    </row>
    <row r="706" spans="1:29">
      <c r="A706" s="151" t="s">
        <v>3593</v>
      </c>
      <c r="B706" s="151" t="s">
        <v>4589</v>
      </c>
      <c r="C706" s="151" t="s">
        <v>4581</v>
      </c>
      <c r="D706" s="151" t="s">
        <v>17</v>
      </c>
      <c r="E706" s="151" t="s">
        <v>4590</v>
      </c>
      <c r="F706" s="151" t="s">
        <v>551</v>
      </c>
      <c r="G706" s="151" t="s">
        <v>3656</v>
      </c>
      <c r="H706" s="151" t="s">
        <v>361</v>
      </c>
      <c r="I706" s="151" t="s">
        <v>1184</v>
      </c>
      <c r="J706" s="151" t="s">
        <v>361</v>
      </c>
      <c r="K706" s="151" t="s">
        <v>361</v>
      </c>
      <c r="L706" s="151" t="s">
        <v>361</v>
      </c>
      <c r="M706" s="151" t="s">
        <v>361</v>
      </c>
      <c r="N706" s="151"/>
      <c r="O706" s="151"/>
      <c r="P706" s="151"/>
      <c r="Q706" s="151"/>
      <c r="R706" s="151" t="s">
        <v>3576</v>
      </c>
      <c r="S706" s="151" t="s">
        <v>361</v>
      </c>
      <c r="T706" s="151"/>
      <c r="U706" s="151"/>
      <c r="V706" s="151"/>
      <c r="W706" s="151"/>
      <c r="X706" s="151"/>
      <c r="Y706" s="151"/>
      <c r="Z706" s="151"/>
      <c r="AA706" s="151"/>
      <c r="AB706" s="151"/>
      <c r="AC706" s="342"/>
    </row>
    <row r="707" spans="1:29">
      <c r="A707" s="151" t="s">
        <v>3593</v>
      </c>
      <c r="B707" s="151" t="s">
        <v>4591</v>
      </c>
      <c r="C707" s="151" t="s">
        <v>4581</v>
      </c>
      <c r="D707" s="151" t="s">
        <v>17</v>
      </c>
      <c r="E707" s="151" t="s">
        <v>4592</v>
      </c>
      <c r="F707" s="151" t="s">
        <v>551</v>
      </c>
      <c r="G707" s="151" t="s">
        <v>3656</v>
      </c>
      <c r="H707" s="151" t="s">
        <v>361</v>
      </c>
      <c r="I707" s="151" t="s">
        <v>1184</v>
      </c>
      <c r="J707" s="151" t="s">
        <v>361</v>
      </c>
      <c r="K707" s="151" t="s">
        <v>361</v>
      </c>
      <c r="L707" s="151" t="s">
        <v>361</v>
      </c>
      <c r="M707" s="151" t="s">
        <v>361</v>
      </c>
      <c r="N707" s="151"/>
      <c r="O707" s="151"/>
      <c r="P707" s="151"/>
      <c r="Q707" s="151"/>
      <c r="R707" s="151" t="s">
        <v>3576</v>
      </c>
      <c r="S707" s="151" t="s">
        <v>361</v>
      </c>
      <c r="T707" s="151"/>
      <c r="U707" s="151"/>
      <c r="V707" s="151"/>
      <c r="W707" s="151"/>
      <c r="X707" s="151"/>
      <c r="Y707" s="151"/>
      <c r="Z707" s="151"/>
      <c r="AA707" s="151"/>
      <c r="AB707" s="151"/>
      <c r="AC707" s="342"/>
    </row>
    <row r="708" spans="1:29">
      <c r="A708" s="151" t="s">
        <v>3593</v>
      </c>
      <c r="B708" s="151" t="s">
        <v>4580</v>
      </c>
      <c r="C708" s="151" t="s">
        <v>4593</v>
      </c>
      <c r="D708" s="151" t="s">
        <v>17</v>
      </c>
      <c r="E708" s="151" t="s">
        <v>4594</v>
      </c>
      <c r="F708" s="151" t="s">
        <v>551</v>
      </c>
      <c r="G708" s="151" t="s">
        <v>3656</v>
      </c>
      <c r="H708" s="151" t="s">
        <v>361</v>
      </c>
      <c r="I708" s="151" t="s">
        <v>1184</v>
      </c>
      <c r="J708" s="151" t="s">
        <v>361</v>
      </c>
      <c r="K708" s="151" t="s">
        <v>361</v>
      </c>
      <c r="L708" s="151" t="s">
        <v>361</v>
      </c>
      <c r="M708" s="151" t="s">
        <v>361</v>
      </c>
      <c r="N708" s="151"/>
      <c r="O708" s="151"/>
      <c r="P708" s="151"/>
      <c r="Q708" s="151"/>
      <c r="R708" s="151" t="s">
        <v>3576</v>
      </c>
      <c r="S708" s="151" t="s">
        <v>361</v>
      </c>
      <c r="T708" s="151"/>
      <c r="U708" s="151"/>
      <c r="V708" s="151"/>
      <c r="W708" s="151"/>
      <c r="X708" s="151"/>
      <c r="Y708" s="151"/>
      <c r="Z708" s="151"/>
      <c r="AA708" s="151"/>
      <c r="AB708" s="151"/>
      <c r="AC708" s="342"/>
    </row>
    <row r="709" spans="1:29">
      <c r="A709" s="151" t="s">
        <v>3593</v>
      </c>
      <c r="B709" s="151" t="s">
        <v>4595</v>
      </c>
      <c r="C709" s="151" t="s">
        <v>4593</v>
      </c>
      <c r="D709" s="151" t="s">
        <v>17</v>
      </c>
      <c r="E709" s="151" t="s">
        <v>4596</v>
      </c>
      <c r="F709" s="151" t="s">
        <v>551</v>
      </c>
      <c r="G709" s="151" t="s">
        <v>3656</v>
      </c>
      <c r="H709" s="151" t="s">
        <v>361</v>
      </c>
      <c r="I709" s="151" t="s">
        <v>1184</v>
      </c>
      <c r="J709" s="151" t="s">
        <v>361</v>
      </c>
      <c r="K709" s="151" t="s">
        <v>361</v>
      </c>
      <c r="L709" s="151" t="s">
        <v>361</v>
      </c>
      <c r="M709" s="151" t="s">
        <v>361</v>
      </c>
      <c r="N709" s="151"/>
      <c r="O709" s="151"/>
      <c r="P709" s="151"/>
      <c r="Q709" s="151"/>
      <c r="R709" s="151" t="s">
        <v>3576</v>
      </c>
      <c r="S709" s="151" t="s">
        <v>361</v>
      </c>
      <c r="T709" s="151"/>
      <c r="U709" s="151" t="s">
        <v>4597</v>
      </c>
      <c r="V709" s="151"/>
      <c r="W709" s="151"/>
      <c r="X709" s="151"/>
      <c r="Y709" s="151"/>
      <c r="Z709" s="151"/>
      <c r="AA709" s="151"/>
      <c r="AB709" s="151"/>
      <c r="AC709" s="342"/>
    </row>
    <row r="710" spans="1:29">
      <c r="A710" s="151" t="s">
        <v>3593</v>
      </c>
      <c r="B710" s="151" t="s">
        <v>4598</v>
      </c>
      <c r="C710" s="151" t="s">
        <v>4593</v>
      </c>
      <c r="D710" s="151" t="s">
        <v>17</v>
      </c>
      <c r="E710" s="151" t="s">
        <v>4599</v>
      </c>
      <c r="F710" s="151" t="s">
        <v>551</v>
      </c>
      <c r="G710" s="151" t="s">
        <v>3656</v>
      </c>
      <c r="H710" s="151" t="s">
        <v>361</v>
      </c>
      <c r="I710" s="151" t="s">
        <v>1184</v>
      </c>
      <c r="J710" s="151" t="s">
        <v>361</v>
      </c>
      <c r="K710" s="151" t="s">
        <v>361</v>
      </c>
      <c r="L710" s="151" t="s">
        <v>361</v>
      </c>
      <c r="M710" s="151" t="s">
        <v>361</v>
      </c>
      <c r="N710" s="151"/>
      <c r="O710" s="151"/>
      <c r="P710" s="151"/>
      <c r="Q710" s="151"/>
      <c r="R710" s="151" t="s">
        <v>3576</v>
      </c>
      <c r="S710" s="151" t="s">
        <v>361</v>
      </c>
      <c r="T710" s="151"/>
      <c r="U710" s="151"/>
      <c r="V710" s="151"/>
      <c r="W710" s="151"/>
      <c r="X710" s="151"/>
      <c r="Y710" s="151"/>
      <c r="Z710" s="151"/>
      <c r="AA710" s="151"/>
      <c r="AB710" s="151"/>
      <c r="AC710" s="342"/>
    </row>
    <row r="711" spans="1:29">
      <c r="A711" s="151" t="s">
        <v>3593</v>
      </c>
      <c r="B711" s="151" t="s">
        <v>4600</v>
      </c>
      <c r="C711" s="151" t="s">
        <v>4593</v>
      </c>
      <c r="D711" s="151" t="s">
        <v>17</v>
      </c>
      <c r="E711" s="151" t="s">
        <v>4601</v>
      </c>
      <c r="F711" s="151" t="s">
        <v>551</v>
      </c>
      <c r="G711" s="151" t="s">
        <v>3656</v>
      </c>
      <c r="H711" s="151" t="s">
        <v>361</v>
      </c>
      <c r="I711" s="151" t="s">
        <v>1184</v>
      </c>
      <c r="J711" s="151" t="s">
        <v>361</v>
      </c>
      <c r="K711" s="151" t="s">
        <v>361</v>
      </c>
      <c r="L711" s="151" t="s">
        <v>361</v>
      </c>
      <c r="M711" s="151" t="s">
        <v>361</v>
      </c>
      <c r="N711" s="151"/>
      <c r="O711" s="151"/>
      <c r="P711" s="151"/>
      <c r="Q711" s="151"/>
      <c r="R711" s="151" t="s">
        <v>3576</v>
      </c>
      <c r="S711" s="151" t="s">
        <v>361</v>
      </c>
      <c r="T711" s="151"/>
      <c r="U711" s="151"/>
      <c r="V711" s="151"/>
      <c r="W711" s="151"/>
      <c r="X711" s="151"/>
      <c r="Y711" s="151"/>
      <c r="Z711" s="151"/>
      <c r="AA711" s="151"/>
      <c r="AB711" s="151"/>
      <c r="AC711" s="342"/>
    </row>
    <row r="712" spans="1:29">
      <c r="A712" s="151" t="s">
        <v>3593</v>
      </c>
      <c r="B712" s="151" t="s">
        <v>4602</v>
      </c>
      <c r="C712" s="151" t="s">
        <v>4593</v>
      </c>
      <c r="D712" s="151" t="s">
        <v>17</v>
      </c>
      <c r="E712" s="151" t="s">
        <v>4599</v>
      </c>
      <c r="F712" s="151" t="s">
        <v>551</v>
      </c>
      <c r="G712" s="151" t="s">
        <v>3656</v>
      </c>
      <c r="H712" s="151" t="s">
        <v>361</v>
      </c>
      <c r="I712" s="151" t="s">
        <v>1184</v>
      </c>
      <c r="J712" s="151" t="s">
        <v>361</v>
      </c>
      <c r="K712" s="151" t="s">
        <v>361</v>
      </c>
      <c r="L712" s="151" t="s">
        <v>361</v>
      </c>
      <c r="M712" s="151" t="s">
        <v>361</v>
      </c>
      <c r="N712" s="151"/>
      <c r="O712" s="151"/>
      <c r="P712" s="151"/>
      <c r="Q712" s="151"/>
      <c r="R712" s="151" t="s">
        <v>3576</v>
      </c>
      <c r="S712" s="151" t="s">
        <v>361</v>
      </c>
      <c r="T712" s="151"/>
      <c r="U712" s="151"/>
      <c r="V712" s="151"/>
      <c r="W712" s="151"/>
      <c r="X712" s="151"/>
      <c r="Y712" s="151"/>
      <c r="Z712" s="151"/>
      <c r="AA712" s="151"/>
      <c r="AB712" s="151"/>
      <c r="AC712" s="342"/>
    </row>
    <row r="713" spans="1:29">
      <c r="A713" s="151" t="s">
        <v>3593</v>
      </c>
      <c r="B713" s="151" t="s">
        <v>4603</v>
      </c>
      <c r="C713" s="151" t="s">
        <v>4604</v>
      </c>
      <c r="D713" s="151" t="s">
        <v>17</v>
      </c>
      <c r="E713" s="151" t="s">
        <v>4605</v>
      </c>
      <c r="F713" s="151" t="s">
        <v>544</v>
      </c>
      <c r="G713" s="151" t="s">
        <v>2173</v>
      </c>
      <c r="H713" s="151" t="s">
        <v>1183</v>
      </c>
      <c r="I713" s="151" t="s">
        <v>1184</v>
      </c>
      <c r="J713" s="151" t="s">
        <v>4606</v>
      </c>
      <c r="K713" s="151" t="s">
        <v>4607</v>
      </c>
      <c r="L713" s="151" t="s">
        <v>4608</v>
      </c>
      <c r="M713" s="151" t="s">
        <v>361</v>
      </c>
      <c r="N713" s="151"/>
      <c r="O713" s="151"/>
      <c r="P713" s="151"/>
      <c r="Q713" s="151"/>
      <c r="R713" s="151" t="s">
        <v>2177</v>
      </c>
      <c r="S713" s="151" t="s">
        <v>361</v>
      </c>
      <c r="T713" s="151" t="s">
        <v>2213</v>
      </c>
      <c r="U713" s="151" t="s">
        <v>3582</v>
      </c>
      <c r="V713" s="151" t="s">
        <v>4609</v>
      </c>
      <c r="W713" s="151">
        <v>7</v>
      </c>
      <c r="X713" s="151" t="s">
        <v>2445</v>
      </c>
      <c r="Y713" s="151" t="s">
        <v>3582</v>
      </c>
      <c r="Z713" s="151"/>
      <c r="AA713" s="151"/>
      <c r="AB713" s="151" t="s">
        <v>855</v>
      </c>
      <c r="AC713" s="342"/>
    </row>
    <row r="714" spans="1:29">
      <c r="A714" s="151" t="s">
        <v>3593</v>
      </c>
      <c r="B714" s="151" t="s">
        <v>4610</v>
      </c>
      <c r="C714" s="151" t="s">
        <v>4604</v>
      </c>
      <c r="D714" s="151" t="s">
        <v>17</v>
      </c>
      <c r="E714" s="151" t="s">
        <v>4611</v>
      </c>
      <c r="F714" s="151" t="s">
        <v>544</v>
      </c>
      <c r="G714" s="151" t="s">
        <v>2173</v>
      </c>
      <c r="H714" s="151" t="s">
        <v>1183</v>
      </c>
      <c r="I714" s="151" t="s">
        <v>1184</v>
      </c>
      <c r="J714" s="151" t="s">
        <v>4606</v>
      </c>
      <c r="K714" s="151" t="s">
        <v>4612</v>
      </c>
      <c r="L714" s="151" t="s">
        <v>4608</v>
      </c>
      <c r="M714" s="151" t="s">
        <v>361</v>
      </c>
      <c r="N714" s="151"/>
      <c r="O714" s="151"/>
      <c r="P714" s="151"/>
      <c r="Q714" s="151"/>
      <c r="R714" s="151" t="s">
        <v>2177</v>
      </c>
      <c r="S714" s="151" t="s">
        <v>361</v>
      </c>
      <c r="T714" s="151" t="s">
        <v>2213</v>
      </c>
      <c r="U714" s="151" t="s">
        <v>3582</v>
      </c>
      <c r="V714" s="151">
        <v>30</v>
      </c>
      <c r="W714" s="151" t="s">
        <v>2774</v>
      </c>
      <c r="X714" s="151" t="s">
        <v>2445</v>
      </c>
      <c r="Y714" s="151" t="s">
        <v>3582</v>
      </c>
      <c r="Z714" s="151"/>
      <c r="AA714" s="151"/>
      <c r="AB714" s="151" t="s">
        <v>855</v>
      </c>
      <c r="AC714" s="342"/>
    </row>
    <row r="715" spans="1:29">
      <c r="A715" s="151" t="s">
        <v>3593</v>
      </c>
      <c r="B715" s="151" t="s">
        <v>4613</v>
      </c>
      <c r="C715" s="151" t="s">
        <v>4604</v>
      </c>
      <c r="D715" s="151" t="s">
        <v>17</v>
      </c>
      <c r="E715" s="151" t="s">
        <v>4614</v>
      </c>
      <c r="F715" s="151" t="s">
        <v>544</v>
      </c>
      <c r="G715" s="151" t="s">
        <v>2173</v>
      </c>
      <c r="H715" s="151" t="s">
        <v>1183</v>
      </c>
      <c r="I715" s="151" t="s">
        <v>1184</v>
      </c>
      <c r="J715" s="151" t="s">
        <v>4606</v>
      </c>
      <c r="K715" s="151" t="s">
        <v>4615</v>
      </c>
      <c r="L715" s="151" t="s">
        <v>4608</v>
      </c>
      <c r="M715" s="151" t="s">
        <v>361</v>
      </c>
      <c r="N715" s="151"/>
      <c r="O715" s="151"/>
      <c r="P715" s="151"/>
      <c r="Q715" s="151"/>
      <c r="R715" s="151" t="s">
        <v>2177</v>
      </c>
      <c r="S715" s="151" t="s">
        <v>361</v>
      </c>
      <c r="T715" s="151" t="s">
        <v>2213</v>
      </c>
      <c r="U715" s="151" t="s">
        <v>3582</v>
      </c>
      <c r="V715" s="151">
        <v>240</v>
      </c>
      <c r="W715" s="151" t="s">
        <v>4616</v>
      </c>
      <c r="X715" s="151" t="s">
        <v>2445</v>
      </c>
      <c r="Y715" s="151" t="s">
        <v>3582</v>
      </c>
      <c r="Z715" s="151"/>
      <c r="AA715" s="151"/>
      <c r="AB715" s="151" t="s">
        <v>855</v>
      </c>
      <c r="AC715" s="342"/>
    </row>
    <row r="716" spans="1:29">
      <c r="A716" s="151" t="s">
        <v>3593</v>
      </c>
      <c r="B716" s="151" t="s">
        <v>4617</v>
      </c>
      <c r="C716" s="151" t="s">
        <v>4604</v>
      </c>
      <c r="D716" s="151" t="s">
        <v>17</v>
      </c>
      <c r="E716" s="151" t="s">
        <v>4618</v>
      </c>
      <c r="F716" s="151" t="s">
        <v>544</v>
      </c>
      <c r="G716" s="151" t="s">
        <v>2173</v>
      </c>
      <c r="H716" s="151" t="s">
        <v>1183</v>
      </c>
      <c r="I716" s="151" t="s">
        <v>1184</v>
      </c>
      <c r="J716" s="151" t="s">
        <v>4606</v>
      </c>
      <c r="K716" s="151" t="s">
        <v>4619</v>
      </c>
      <c r="L716" s="151" t="s">
        <v>4608</v>
      </c>
      <c r="M716" s="151" t="s">
        <v>361</v>
      </c>
      <c r="N716" s="151"/>
      <c r="O716" s="151"/>
      <c r="P716" s="151"/>
      <c r="Q716" s="151"/>
      <c r="R716" s="151" t="s">
        <v>2177</v>
      </c>
      <c r="S716" s="151" t="s">
        <v>361</v>
      </c>
      <c r="T716" s="151" t="s">
        <v>2213</v>
      </c>
      <c r="U716" s="151" t="s">
        <v>3582</v>
      </c>
      <c r="V716" s="151">
        <v>5</v>
      </c>
      <c r="W716" s="151" t="s">
        <v>2250</v>
      </c>
      <c r="X716" s="151" t="s">
        <v>2445</v>
      </c>
      <c r="Y716" s="151" t="s">
        <v>3582</v>
      </c>
      <c r="Z716" s="151"/>
      <c r="AA716" s="151"/>
      <c r="AB716" s="151" t="s">
        <v>855</v>
      </c>
      <c r="AC716" s="342"/>
    </row>
    <row r="717" spans="1:29">
      <c r="A717" s="151" t="s">
        <v>3593</v>
      </c>
      <c r="B717" s="151" t="s">
        <v>4620</v>
      </c>
      <c r="C717" s="151" t="s">
        <v>4604</v>
      </c>
      <c r="D717" s="151" t="s">
        <v>17</v>
      </c>
      <c r="E717" s="151" t="s">
        <v>4621</v>
      </c>
      <c r="F717" s="151" t="s">
        <v>544</v>
      </c>
      <c r="G717" s="151" t="s">
        <v>2173</v>
      </c>
      <c r="H717" s="151" t="s">
        <v>1183</v>
      </c>
      <c r="I717" s="151" t="s">
        <v>1184</v>
      </c>
      <c r="J717" s="151" t="s">
        <v>4606</v>
      </c>
      <c r="K717" s="151" t="s">
        <v>4622</v>
      </c>
      <c r="L717" s="151" t="s">
        <v>4608</v>
      </c>
      <c r="M717" s="151" t="s">
        <v>361</v>
      </c>
      <c r="N717" s="151"/>
      <c r="O717" s="151"/>
      <c r="P717" s="151"/>
      <c r="Q717" s="151"/>
      <c r="R717" s="151" t="s">
        <v>2177</v>
      </c>
      <c r="S717" s="151" t="s">
        <v>361</v>
      </c>
      <c r="T717" s="151" t="s">
        <v>2213</v>
      </c>
      <c r="U717" s="151" t="s">
        <v>3608</v>
      </c>
      <c r="V717" s="151">
        <v>1</v>
      </c>
      <c r="W717" s="151">
        <v>1</v>
      </c>
      <c r="X717" s="151" t="s">
        <v>2445</v>
      </c>
      <c r="Y717" s="151" t="s">
        <v>3608</v>
      </c>
      <c r="Z717" s="151"/>
      <c r="AA717" s="151"/>
      <c r="AB717" s="151" t="s">
        <v>855</v>
      </c>
      <c r="AC717" s="342"/>
    </row>
    <row r="718" spans="1:29">
      <c r="A718" s="151" t="s">
        <v>3593</v>
      </c>
      <c r="B718" s="151" t="s">
        <v>4623</v>
      </c>
      <c r="C718" s="151" t="s">
        <v>4604</v>
      </c>
      <c r="D718" s="151" t="s">
        <v>17</v>
      </c>
      <c r="E718" s="151" t="s">
        <v>4624</v>
      </c>
      <c r="F718" s="151" t="s">
        <v>544</v>
      </c>
      <c r="G718" s="151" t="s">
        <v>2173</v>
      </c>
      <c r="H718" s="151" t="s">
        <v>1183</v>
      </c>
      <c r="I718" s="151" t="s">
        <v>1184</v>
      </c>
      <c r="J718" s="151" t="s">
        <v>4606</v>
      </c>
      <c r="K718" s="151" t="s">
        <v>4625</v>
      </c>
      <c r="L718" s="151" t="s">
        <v>4608</v>
      </c>
      <c r="M718" s="151" t="s">
        <v>361</v>
      </c>
      <c r="N718" s="151"/>
      <c r="O718" s="151"/>
      <c r="P718" s="151"/>
      <c r="Q718" s="151"/>
      <c r="R718" s="151" t="s">
        <v>2177</v>
      </c>
      <c r="S718" s="151" t="s">
        <v>361</v>
      </c>
      <c r="T718" s="151" t="s">
        <v>2213</v>
      </c>
      <c r="U718" s="151" t="s">
        <v>3608</v>
      </c>
      <c r="V718" s="151">
        <v>1</v>
      </c>
      <c r="W718" s="151">
        <v>1</v>
      </c>
      <c r="X718" s="151" t="s">
        <v>2445</v>
      </c>
      <c r="Y718" s="151" t="s">
        <v>3608</v>
      </c>
      <c r="Z718" s="151"/>
      <c r="AA718" s="151"/>
      <c r="AB718" s="151" t="s">
        <v>855</v>
      </c>
      <c r="AC718" s="342"/>
    </row>
    <row r="719" spans="1:29">
      <c r="A719" s="151" t="s">
        <v>3593</v>
      </c>
      <c r="B719" s="151" t="s">
        <v>4626</v>
      </c>
      <c r="C719" s="151" t="s">
        <v>4627</v>
      </c>
      <c r="D719" s="151" t="s">
        <v>17</v>
      </c>
      <c r="E719" s="151" t="s">
        <v>4628</v>
      </c>
      <c r="F719" s="151" t="s">
        <v>551</v>
      </c>
      <c r="G719" s="151" t="s">
        <v>2173</v>
      </c>
      <c r="H719" s="151" t="s">
        <v>1183</v>
      </c>
      <c r="I719" s="151" t="s">
        <v>1184</v>
      </c>
      <c r="J719" s="151" t="s">
        <v>810</v>
      </c>
      <c r="K719" s="151" t="s">
        <v>4629</v>
      </c>
      <c r="L719" s="151" t="s">
        <v>4630</v>
      </c>
      <c r="M719" s="151" t="s">
        <v>361</v>
      </c>
      <c r="N719" s="151"/>
      <c r="O719" s="151"/>
      <c r="P719" s="151"/>
      <c r="Q719" s="151"/>
      <c r="R719" s="151" t="s">
        <v>2177</v>
      </c>
      <c r="S719" s="151" t="s">
        <v>361</v>
      </c>
      <c r="T719" s="151" t="s">
        <v>2445</v>
      </c>
      <c r="U719" s="151" t="s">
        <v>3582</v>
      </c>
      <c r="V719" s="151">
        <v>13</v>
      </c>
      <c r="W719" s="151" t="s">
        <v>4141</v>
      </c>
      <c r="X719" s="151" t="s">
        <v>2445</v>
      </c>
      <c r="Y719" s="151" t="s">
        <v>3582</v>
      </c>
      <c r="Z719" s="151"/>
      <c r="AA719" s="151"/>
      <c r="AB719" s="151" t="s">
        <v>855</v>
      </c>
      <c r="AC719" s="342"/>
    </row>
    <row r="720" spans="1:29">
      <c r="A720" s="151" t="s">
        <v>3593</v>
      </c>
      <c r="B720" s="151" t="s">
        <v>4631</v>
      </c>
      <c r="C720" s="151" t="s">
        <v>4627</v>
      </c>
      <c r="D720" s="151" t="s">
        <v>17</v>
      </c>
      <c r="E720" s="151" t="s">
        <v>4632</v>
      </c>
      <c r="F720" s="151" t="s">
        <v>551</v>
      </c>
      <c r="G720" s="151" t="s">
        <v>2173</v>
      </c>
      <c r="H720" s="151" t="s">
        <v>1183</v>
      </c>
      <c r="I720" s="151" t="s">
        <v>1184</v>
      </c>
      <c r="J720" s="151" t="s">
        <v>810</v>
      </c>
      <c r="K720" s="151" t="s">
        <v>4633</v>
      </c>
      <c r="L720" s="151" t="s">
        <v>4630</v>
      </c>
      <c r="M720" s="151" t="s">
        <v>361</v>
      </c>
      <c r="N720" s="151"/>
      <c r="O720" s="151"/>
      <c r="P720" s="151"/>
      <c r="Q720" s="151"/>
      <c r="R720" s="151" t="s">
        <v>2177</v>
      </c>
      <c r="S720" s="151" t="s">
        <v>361</v>
      </c>
      <c r="T720" s="151" t="s">
        <v>2445</v>
      </c>
      <c r="U720" s="151" t="s">
        <v>3582</v>
      </c>
      <c r="V720" s="151">
        <v>151</v>
      </c>
      <c r="W720" s="151" t="s">
        <v>2180</v>
      </c>
      <c r="X720" s="151" t="s">
        <v>2445</v>
      </c>
      <c r="Y720" s="151" t="s">
        <v>3582</v>
      </c>
      <c r="Z720" s="151"/>
      <c r="AA720" s="151"/>
      <c r="AB720" s="151" t="s">
        <v>855</v>
      </c>
      <c r="AC720" s="342"/>
    </row>
    <row r="721" spans="1:29">
      <c r="A721" s="151" t="s">
        <v>3593</v>
      </c>
      <c r="B721" s="151" t="s">
        <v>2669</v>
      </c>
      <c r="C721" s="151" t="s">
        <v>4627</v>
      </c>
      <c r="D721" s="151" t="s">
        <v>17</v>
      </c>
      <c r="E721" s="151" t="s">
        <v>4634</v>
      </c>
      <c r="F721" s="151" t="s">
        <v>551</v>
      </c>
      <c r="G721" s="151" t="s">
        <v>2173</v>
      </c>
      <c r="H721" s="151" t="s">
        <v>1183</v>
      </c>
      <c r="I721" s="151" t="s">
        <v>1184</v>
      </c>
      <c r="J721" s="151" t="s">
        <v>801</v>
      </c>
      <c r="K721" s="151" t="s">
        <v>1657</v>
      </c>
      <c r="L721" s="151" t="s">
        <v>4630</v>
      </c>
      <c r="M721" s="151" t="s">
        <v>361</v>
      </c>
      <c r="N721" s="151"/>
      <c r="O721" s="151"/>
      <c r="P721" s="151"/>
      <c r="Q721" s="151"/>
      <c r="R721" s="151" t="s">
        <v>2177</v>
      </c>
      <c r="S721" s="151" t="s">
        <v>361</v>
      </c>
      <c r="T721" s="151" t="s">
        <v>2445</v>
      </c>
      <c r="U721" s="151" t="s">
        <v>3582</v>
      </c>
      <c r="V721" s="151">
        <v>4</v>
      </c>
      <c r="W721" s="151" t="s">
        <v>3615</v>
      </c>
      <c r="X721" s="151" t="s">
        <v>2445</v>
      </c>
      <c r="Y721" s="151" t="s">
        <v>3582</v>
      </c>
      <c r="Z721" s="151"/>
      <c r="AA721" s="151"/>
      <c r="AB721" s="151" t="s">
        <v>855</v>
      </c>
      <c r="AC721" s="342"/>
    </row>
    <row r="722" spans="1:29">
      <c r="A722" s="151" t="s">
        <v>3593</v>
      </c>
      <c r="B722" s="151" t="s">
        <v>4635</v>
      </c>
      <c r="C722" s="151" t="s">
        <v>4627</v>
      </c>
      <c r="D722" s="151" t="s">
        <v>17</v>
      </c>
      <c r="E722" s="151" t="s">
        <v>4636</v>
      </c>
      <c r="F722" s="151" t="s">
        <v>551</v>
      </c>
      <c r="G722" s="151" t="s">
        <v>2173</v>
      </c>
      <c r="H722" s="151" t="s">
        <v>1183</v>
      </c>
      <c r="I722" s="151" t="s">
        <v>1184</v>
      </c>
      <c r="J722" s="151" t="s">
        <v>806</v>
      </c>
      <c r="K722" s="151" t="s">
        <v>3659</v>
      </c>
      <c r="L722" s="151" t="s">
        <v>4630</v>
      </c>
      <c r="M722" s="151" t="s">
        <v>361</v>
      </c>
      <c r="N722" s="151"/>
      <c r="O722" s="151"/>
      <c r="P722" s="151"/>
      <c r="Q722" s="151"/>
      <c r="R722" s="151" t="s">
        <v>2177</v>
      </c>
      <c r="S722" s="151" t="s">
        <v>361</v>
      </c>
      <c r="T722" s="151" t="s">
        <v>2445</v>
      </c>
      <c r="U722" s="151" t="s">
        <v>2507</v>
      </c>
      <c r="V722" s="151">
        <v>24</v>
      </c>
      <c r="W722" s="151" t="s">
        <v>2507</v>
      </c>
      <c r="X722" s="151" t="s">
        <v>2445</v>
      </c>
      <c r="Y722" s="151" t="s">
        <v>2507</v>
      </c>
      <c r="Z722" s="151"/>
      <c r="AA722" s="151"/>
      <c r="AB722" s="151" t="s">
        <v>855</v>
      </c>
      <c r="AC722" s="342"/>
    </row>
    <row r="723" spans="1:29">
      <c r="A723" s="151" t="s">
        <v>3593</v>
      </c>
      <c r="B723" s="151" t="s">
        <v>4637</v>
      </c>
      <c r="C723" s="151" t="s">
        <v>4627</v>
      </c>
      <c r="D723" s="151" t="s">
        <v>17</v>
      </c>
      <c r="E723" s="151" t="s">
        <v>4638</v>
      </c>
      <c r="F723" s="151" t="s">
        <v>551</v>
      </c>
      <c r="G723" s="151" t="s">
        <v>2173</v>
      </c>
      <c r="H723" s="151" t="s">
        <v>1183</v>
      </c>
      <c r="I723" s="151" t="s">
        <v>1184</v>
      </c>
      <c r="J723" s="151" t="s">
        <v>810</v>
      </c>
      <c r="K723" s="151" t="s">
        <v>4639</v>
      </c>
      <c r="L723" s="151" t="s">
        <v>4630</v>
      </c>
      <c r="M723" s="151" t="s">
        <v>361</v>
      </c>
      <c r="N723" s="151"/>
      <c r="O723" s="151"/>
      <c r="P723" s="151"/>
      <c r="Q723" s="151"/>
      <c r="R723" s="151" t="s">
        <v>4449</v>
      </c>
      <c r="S723" s="151" t="s">
        <v>4466</v>
      </c>
      <c r="T723" s="151" t="s">
        <v>2445</v>
      </c>
      <c r="U723" s="151"/>
      <c r="V723" s="151">
        <v>16</v>
      </c>
      <c r="W723" s="151"/>
      <c r="X723" s="151" t="s">
        <v>2445</v>
      </c>
      <c r="Y723" s="151"/>
      <c r="Z723" s="151" t="s">
        <v>4640</v>
      </c>
      <c r="AA723" s="151" t="s">
        <v>4641</v>
      </c>
      <c r="AB723" s="151"/>
      <c r="AC723" s="342"/>
    </row>
    <row r="724" spans="1:29">
      <c r="A724" s="151" t="s">
        <v>3593</v>
      </c>
      <c r="B724" s="151" t="s">
        <v>3594</v>
      </c>
      <c r="C724" s="151" t="s">
        <v>4627</v>
      </c>
      <c r="D724" s="151" t="s">
        <v>17</v>
      </c>
      <c r="E724" s="151" t="s">
        <v>4642</v>
      </c>
      <c r="F724" s="151" t="s">
        <v>551</v>
      </c>
      <c r="G724" s="151" t="s">
        <v>2173</v>
      </c>
      <c r="H724" s="151" t="s">
        <v>1183</v>
      </c>
      <c r="I724" s="151" t="s">
        <v>1184</v>
      </c>
      <c r="J724" s="151" t="s">
        <v>806</v>
      </c>
      <c r="K724" s="151" t="s">
        <v>1830</v>
      </c>
      <c r="L724" s="151" t="s">
        <v>4630</v>
      </c>
      <c r="M724" s="151" t="s">
        <v>361</v>
      </c>
      <c r="N724" s="151"/>
      <c r="O724" s="151"/>
      <c r="P724" s="151"/>
      <c r="Q724" s="151"/>
      <c r="R724" s="151" t="s">
        <v>2177</v>
      </c>
      <c r="S724" s="151" t="s">
        <v>361</v>
      </c>
      <c r="T724" s="151" t="s">
        <v>2445</v>
      </c>
      <c r="U724" s="151" t="s">
        <v>3582</v>
      </c>
      <c r="V724" s="151">
        <v>51</v>
      </c>
      <c r="W724" s="151" t="s">
        <v>3598</v>
      </c>
      <c r="X724" s="151" t="s">
        <v>2445</v>
      </c>
      <c r="Y724" s="151" t="s">
        <v>3582</v>
      </c>
      <c r="Z724" s="151"/>
      <c r="AA724" s="151"/>
      <c r="AB724" s="151" t="s">
        <v>855</v>
      </c>
      <c r="AC724" s="342"/>
    </row>
    <row r="725" spans="1:29">
      <c r="A725" s="151" t="s">
        <v>3593</v>
      </c>
      <c r="B725" s="151" t="s">
        <v>3616</v>
      </c>
      <c r="C725" s="151" t="s">
        <v>4627</v>
      </c>
      <c r="D725" s="151" t="s">
        <v>17</v>
      </c>
      <c r="E725" s="151" t="s">
        <v>4643</v>
      </c>
      <c r="F725" s="151" t="s">
        <v>551</v>
      </c>
      <c r="G725" s="151" t="s">
        <v>2173</v>
      </c>
      <c r="H725" s="151" t="s">
        <v>1183</v>
      </c>
      <c r="I725" s="151" t="s">
        <v>1184</v>
      </c>
      <c r="J725" s="151" t="s">
        <v>806</v>
      </c>
      <c r="K725" s="151" t="s">
        <v>3618</v>
      </c>
      <c r="L725" s="151" t="s">
        <v>3596</v>
      </c>
      <c r="M725" s="151" t="s">
        <v>361</v>
      </c>
      <c r="N725" s="151"/>
      <c r="O725" s="151"/>
      <c r="P725" s="151"/>
      <c r="Q725" s="151"/>
      <c r="R725" s="151" t="s">
        <v>2177</v>
      </c>
      <c r="S725" s="151" t="s">
        <v>361</v>
      </c>
      <c r="T725" s="151" t="s">
        <v>2445</v>
      </c>
      <c r="U725" s="151" t="s">
        <v>3582</v>
      </c>
      <c r="V725" s="151">
        <v>6</v>
      </c>
      <c r="W725" s="151" t="s">
        <v>2250</v>
      </c>
      <c r="X725" s="151" t="s">
        <v>2445</v>
      </c>
      <c r="Y725" s="151" t="s">
        <v>3582</v>
      </c>
      <c r="Z725" s="151"/>
      <c r="AA725" s="151"/>
      <c r="AB725" s="151" t="s">
        <v>855</v>
      </c>
      <c r="AC725" s="342"/>
    </row>
    <row r="726" spans="1:29">
      <c r="A726" s="151" t="s">
        <v>3593</v>
      </c>
      <c r="B726" s="151" t="s">
        <v>3524</v>
      </c>
      <c r="C726" s="151" t="s">
        <v>4627</v>
      </c>
      <c r="D726" s="151" t="s">
        <v>17</v>
      </c>
      <c r="E726" s="151" t="s">
        <v>4644</v>
      </c>
      <c r="F726" s="151" t="s">
        <v>551</v>
      </c>
      <c r="G726" s="151" t="s">
        <v>2173</v>
      </c>
      <c r="H726" s="151" t="s">
        <v>1183</v>
      </c>
      <c r="I726" s="151" t="s">
        <v>1184</v>
      </c>
      <c r="J726" s="151" t="s">
        <v>806</v>
      </c>
      <c r="K726" s="151" t="s">
        <v>3601</v>
      </c>
      <c r="L726" s="151" t="s">
        <v>3596</v>
      </c>
      <c r="M726" s="151" t="s">
        <v>361</v>
      </c>
      <c r="N726" s="151"/>
      <c r="O726" s="151"/>
      <c r="P726" s="151"/>
      <c r="Q726" s="151"/>
      <c r="R726" s="151" t="s">
        <v>2177</v>
      </c>
      <c r="S726" s="151" t="s">
        <v>361</v>
      </c>
      <c r="T726" s="151" t="s">
        <v>2445</v>
      </c>
      <c r="U726" s="151" t="s">
        <v>3582</v>
      </c>
      <c r="V726" s="151">
        <v>16</v>
      </c>
      <c r="W726" s="151" t="s">
        <v>2257</v>
      </c>
      <c r="X726" s="151" t="s">
        <v>2445</v>
      </c>
      <c r="Y726" s="151" t="s">
        <v>3582</v>
      </c>
      <c r="Z726" s="151"/>
      <c r="AA726" s="151"/>
      <c r="AB726" s="151" t="s">
        <v>855</v>
      </c>
      <c r="AC726" s="342"/>
    </row>
    <row r="727" spans="1:29">
      <c r="A727" s="151" t="s">
        <v>3593</v>
      </c>
      <c r="B727" s="151" t="s">
        <v>4645</v>
      </c>
      <c r="C727" s="151" t="s">
        <v>4627</v>
      </c>
      <c r="D727" s="151" t="s">
        <v>17</v>
      </c>
      <c r="E727" s="151" t="s">
        <v>4646</v>
      </c>
      <c r="F727" s="151" t="s">
        <v>551</v>
      </c>
      <c r="G727" s="151" t="s">
        <v>2173</v>
      </c>
      <c r="H727" s="151" t="s">
        <v>1183</v>
      </c>
      <c r="I727" s="151" t="s">
        <v>1184</v>
      </c>
      <c r="J727" s="151" t="s">
        <v>806</v>
      </c>
      <c r="K727" s="151" t="s">
        <v>4647</v>
      </c>
      <c r="L727" s="151" t="s">
        <v>3596</v>
      </c>
      <c r="M727" s="151" t="s">
        <v>361</v>
      </c>
      <c r="N727" s="151"/>
      <c r="O727" s="151"/>
      <c r="P727" s="151"/>
      <c r="Q727" s="151"/>
      <c r="R727" s="151" t="s">
        <v>2177</v>
      </c>
      <c r="S727" s="151" t="s">
        <v>361</v>
      </c>
      <c r="T727" s="151" t="s">
        <v>4271</v>
      </c>
      <c r="U727" s="151" t="s">
        <v>4648</v>
      </c>
      <c r="V727" s="151">
        <v>4</v>
      </c>
      <c r="W727" s="151">
        <v>4</v>
      </c>
      <c r="X727" s="151" t="s">
        <v>4271</v>
      </c>
      <c r="Y727" s="151" t="s">
        <v>4648</v>
      </c>
      <c r="Z727" s="151"/>
      <c r="AA727" s="151"/>
      <c r="AB727" s="151" t="s">
        <v>855</v>
      </c>
      <c r="AC727" s="342"/>
    </row>
    <row r="728" spans="1:29">
      <c r="A728" s="151" t="s">
        <v>3593</v>
      </c>
      <c r="B728" s="151" t="s">
        <v>4649</v>
      </c>
      <c r="C728" s="151" t="s">
        <v>4627</v>
      </c>
      <c r="D728" s="151" t="s">
        <v>17</v>
      </c>
      <c r="E728" s="151" t="s">
        <v>4650</v>
      </c>
      <c r="F728" s="151" t="s">
        <v>551</v>
      </c>
      <c r="G728" s="151" t="s">
        <v>2173</v>
      </c>
      <c r="H728" s="151" t="s">
        <v>1183</v>
      </c>
      <c r="I728" s="151" t="s">
        <v>1184</v>
      </c>
      <c r="J728" s="151" t="s">
        <v>806</v>
      </c>
      <c r="K728" s="151" t="s">
        <v>3659</v>
      </c>
      <c r="L728" s="151" t="s">
        <v>3596</v>
      </c>
      <c r="M728" s="151" t="s">
        <v>361</v>
      </c>
      <c r="N728" s="151"/>
      <c r="O728" s="151"/>
      <c r="P728" s="151"/>
      <c r="Q728" s="151"/>
      <c r="R728" s="151" t="s">
        <v>2177</v>
      </c>
      <c r="S728" s="151" t="s">
        <v>361</v>
      </c>
      <c r="T728" s="151" t="s">
        <v>2445</v>
      </c>
      <c r="U728" s="151" t="s">
        <v>2507</v>
      </c>
      <c r="V728" s="151">
        <v>24</v>
      </c>
      <c r="W728" s="151" t="s">
        <v>2507</v>
      </c>
      <c r="X728" s="151" t="s">
        <v>2445</v>
      </c>
      <c r="Y728" s="151" t="s">
        <v>2507</v>
      </c>
      <c r="Z728" s="151"/>
      <c r="AA728" s="151"/>
      <c r="AB728" s="151" t="s">
        <v>855</v>
      </c>
      <c r="AC728" s="342"/>
    </row>
    <row r="729" spans="1:29">
      <c r="A729" s="151" t="s">
        <v>3593</v>
      </c>
      <c r="B729" s="151" t="s">
        <v>159</v>
      </c>
      <c r="C729" s="151" t="s">
        <v>4627</v>
      </c>
      <c r="D729" s="151" t="s">
        <v>17</v>
      </c>
      <c r="E729" s="151" t="s">
        <v>4651</v>
      </c>
      <c r="F729" s="151" t="s">
        <v>551</v>
      </c>
      <c r="G729" s="151" t="s">
        <v>2173</v>
      </c>
      <c r="H729" s="151" t="s">
        <v>1183</v>
      </c>
      <c r="I729" s="151" t="s">
        <v>1184</v>
      </c>
      <c r="J729" s="151" t="s">
        <v>806</v>
      </c>
      <c r="K729" s="151" t="s">
        <v>3976</v>
      </c>
      <c r="L729" s="151" t="s">
        <v>3596</v>
      </c>
      <c r="M729" s="151" t="s">
        <v>361</v>
      </c>
      <c r="N729" s="151"/>
      <c r="O729" s="151"/>
      <c r="P729" s="151"/>
      <c r="Q729" s="151"/>
      <c r="R729" s="151" t="s">
        <v>2177</v>
      </c>
      <c r="S729" s="151" t="s">
        <v>361</v>
      </c>
      <c r="T729" s="151" t="s">
        <v>3608</v>
      </c>
      <c r="U729" s="151" t="s">
        <v>3608</v>
      </c>
      <c r="V729" s="151">
        <v>1</v>
      </c>
      <c r="W729" s="151">
        <v>1</v>
      </c>
      <c r="X729" s="151" t="s">
        <v>3608</v>
      </c>
      <c r="Y729" s="151" t="s">
        <v>3608</v>
      </c>
      <c r="Z729" s="151"/>
      <c r="AA729" s="151"/>
      <c r="AB729" s="151" t="s">
        <v>855</v>
      </c>
      <c r="AC729" s="342"/>
    </row>
    <row r="730" spans="1:29">
      <c r="A730" s="151" t="s">
        <v>3593</v>
      </c>
      <c r="B730" s="151" t="s">
        <v>3477</v>
      </c>
      <c r="C730" s="151" t="s">
        <v>4627</v>
      </c>
      <c r="D730" s="151" t="s">
        <v>17</v>
      </c>
      <c r="E730" s="151" t="s">
        <v>4652</v>
      </c>
      <c r="F730" s="151" t="s">
        <v>551</v>
      </c>
      <c r="G730" s="151" t="s">
        <v>2173</v>
      </c>
      <c r="H730" s="151" t="s">
        <v>1183</v>
      </c>
      <c r="I730" s="151" t="s">
        <v>1184</v>
      </c>
      <c r="J730" s="151" t="s">
        <v>696</v>
      </c>
      <c r="K730" s="151" t="s">
        <v>4653</v>
      </c>
      <c r="L730" s="151" t="s">
        <v>4654</v>
      </c>
      <c r="M730" s="151" t="s">
        <v>361</v>
      </c>
      <c r="N730" s="151"/>
      <c r="O730" s="151"/>
      <c r="P730" s="151"/>
      <c r="Q730" s="151"/>
      <c r="R730" s="151" t="s">
        <v>2177</v>
      </c>
      <c r="S730" s="151" t="s">
        <v>361</v>
      </c>
      <c r="T730" s="151" t="s">
        <v>3608</v>
      </c>
      <c r="U730" s="151" t="s">
        <v>3608</v>
      </c>
      <c r="V730" s="151">
        <v>1</v>
      </c>
      <c r="W730" s="151" t="s">
        <v>4259</v>
      </c>
      <c r="X730" s="151" t="s">
        <v>3608</v>
      </c>
      <c r="Y730" s="151" t="s">
        <v>3608</v>
      </c>
      <c r="Z730" s="151"/>
      <c r="AA730" s="151"/>
      <c r="AB730" s="151" t="s">
        <v>855</v>
      </c>
      <c r="AC730" s="342"/>
    </row>
    <row r="731" spans="1:29">
      <c r="A731" s="151" t="s">
        <v>3593</v>
      </c>
      <c r="B731" s="151" t="s">
        <v>4655</v>
      </c>
      <c r="C731" s="151" t="s">
        <v>4656</v>
      </c>
      <c r="D731" s="151" t="s">
        <v>17</v>
      </c>
      <c r="E731" s="151" t="s">
        <v>4657</v>
      </c>
      <c r="F731" s="151" t="s">
        <v>544</v>
      </c>
      <c r="G731" s="151" t="s">
        <v>2173</v>
      </c>
      <c r="H731" s="151" t="s">
        <v>1183</v>
      </c>
      <c r="I731" s="151" t="s">
        <v>1184</v>
      </c>
      <c r="J731" s="151" t="s">
        <v>4658</v>
      </c>
      <c r="K731" s="151" t="s">
        <v>1226</v>
      </c>
      <c r="L731" s="151" t="s">
        <v>4659</v>
      </c>
      <c r="M731" s="151" t="s">
        <v>361</v>
      </c>
      <c r="N731" s="151"/>
      <c r="O731" s="151"/>
      <c r="P731" s="151"/>
      <c r="Q731" s="151"/>
      <c r="R731" s="151" t="s">
        <v>2177</v>
      </c>
      <c r="S731" s="151" t="s">
        <v>361</v>
      </c>
      <c r="T731" s="151" t="s">
        <v>435</v>
      </c>
      <c r="U731" s="151" t="s">
        <v>3582</v>
      </c>
      <c r="V731" s="151"/>
      <c r="W731" s="151" t="s">
        <v>2594</v>
      </c>
      <c r="X731" s="151" t="s">
        <v>431</v>
      </c>
      <c r="Y731" s="151" t="s">
        <v>3582</v>
      </c>
      <c r="Z731" s="151"/>
      <c r="AA731" s="151"/>
      <c r="AB731" s="151" t="s">
        <v>855</v>
      </c>
      <c r="AC731" s="342"/>
    </row>
    <row r="732" spans="1:29">
      <c r="A732" s="151" t="s">
        <v>3593</v>
      </c>
      <c r="B732" s="151" t="s">
        <v>4660</v>
      </c>
      <c r="C732" s="151" t="s">
        <v>4656</v>
      </c>
      <c r="D732" s="151" t="s">
        <v>17</v>
      </c>
      <c r="E732" s="151" t="s">
        <v>4661</v>
      </c>
      <c r="F732" s="151" t="s">
        <v>544</v>
      </c>
      <c r="G732" s="151" t="s">
        <v>2173</v>
      </c>
      <c r="H732" s="151" t="s">
        <v>1183</v>
      </c>
      <c r="I732" s="151" t="s">
        <v>1184</v>
      </c>
      <c r="J732" s="151" t="s">
        <v>4662</v>
      </c>
      <c r="K732" s="151" t="s">
        <v>4663</v>
      </c>
      <c r="L732" s="151" t="s">
        <v>4659</v>
      </c>
      <c r="M732" s="151" t="s">
        <v>361</v>
      </c>
      <c r="N732" s="151"/>
      <c r="O732" s="151"/>
      <c r="P732" s="151"/>
      <c r="Q732" s="151"/>
      <c r="R732" s="151" t="s">
        <v>2177</v>
      </c>
      <c r="S732" s="151" t="s">
        <v>361</v>
      </c>
      <c r="T732" s="151" t="s">
        <v>435</v>
      </c>
      <c r="U732" s="151" t="s">
        <v>3582</v>
      </c>
      <c r="V732" s="151">
        <v>25</v>
      </c>
      <c r="W732" s="151" t="s">
        <v>2250</v>
      </c>
      <c r="X732" s="151" t="s">
        <v>431</v>
      </c>
      <c r="Y732" s="151" t="s">
        <v>3582</v>
      </c>
      <c r="Z732" s="151"/>
      <c r="AA732" s="151"/>
      <c r="AB732" s="151" t="s">
        <v>855</v>
      </c>
      <c r="AC732" s="342"/>
    </row>
    <row r="733" spans="1:29">
      <c r="A733" s="151" t="s">
        <v>3593</v>
      </c>
      <c r="B733" s="151" t="s">
        <v>4664</v>
      </c>
      <c r="C733" s="151" t="s">
        <v>4656</v>
      </c>
      <c r="D733" s="151" t="s">
        <v>17</v>
      </c>
      <c r="E733" s="151" t="s">
        <v>4665</v>
      </c>
      <c r="F733" s="151" t="s">
        <v>544</v>
      </c>
      <c r="G733" s="151" t="s">
        <v>2173</v>
      </c>
      <c r="H733" s="151" t="s">
        <v>1183</v>
      </c>
      <c r="I733" s="151" t="s">
        <v>1184</v>
      </c>
      <c r="J733" s="151" t="s">
        <v>4658</v>
      </c>
      <c r="K733" s="151" t="s">
        <v>4666</v>
      </c>
      <c r="L733" s="151" t="s">
        <v>4659</v>
      </c>
      <c r="M733" s="151" t="s">
        <v>361</v>
      </c>
      <c r="N733" s="151"/>
      <c r="O733" s="151"/>
      <c r="P733" s="151"/>
      <c r="Q733" s="151"/>
      <c r="R733" s="151" t="s">
        <v>2177</v>
      </c>
      <c r="S733" s="151" t="s">
        <v>361</v>
      </c>
      <c r="T733" s="151" t="s">
        <v>435</v>
      </c>
      <c r="U733" s="151" t="s">
        <v>3582</v>
      </c>
      <c r="V733" s="151">
        <v>25</v>
      </c>
      <c r="W733" s="151" t="s">
        <v>3598</v>
      </c>
      <c r="X733" s="151" t="s">
        <v>431</v>
      </c>
      <c r="Y733" s="151" t="s">
        <v>3582</v>
      </c>
      <c r="Z733" s="151"/>
      <c r="AA733" s="151"/>
      <c r="AB733" s="151" t="s">
        <v>855</v>
      </c>
      <c r="AC733" s="342"/>
    </row>
    <row r="734" spans="1:29">
      <c r="A734" s="151" t="s">
        <v>3593</v>
      </c>
      <c r="B734" s="151" t="s">
        <v>4667</v>
      </c>
      <c r="C734" s="151" t="s">
        <v>4656</v>
      </c>
      <c r="D734" s="151" t="s">
        <v>17</v>
      </c>
      <c r="E734" s="151" t="s">
        <v>4668</v>
      </c>
      <c r="F734" s="151" t="s">
        <v>544</v>
      </c>
      <c r="G734" s="151" t="s">
        <v>2173</v>
      </c>
      <c r="H734" s="151" t="s">
        <v>1183</v>
      </c>
      <c r="I734" s="151" t="s">
        <v>1184</v>
      </c>
      <c r="J734" s="151" t="s">
        <v>4658</v>
      </c>
      <c r="K734" s="151" t="s">
        <v>1226</v>
      </c>
      <c r="L734" s="151" t="s">
        <v>4659</v>
      </c>
      <c r="M734" s="151" t="s">
        <v>361</v>
      </c>
      <c r="N734" s="151"/>
      <c r="O734" s="151"/>
      <c r="P734" s="151"/>
      <c r="Q734" s="151"/>
      <c r="R734" s="151" t="s">
        <v>2177</v>
      </c>
      <c r="S734" s="151" t="s">
        <v>361</v>
      </c>
      <c r="T734" s="151" t="s">
        <v>435</v>
      </c>
      <c r="U734" s="151" t="s">
        <v>3582</v>
      </c>
      <c r="V734" s="151">
        <v>25</v>
      </c>
      <c r="W734" s="151" t="s">
        <v>4669</v>
      </c>
      <c r="X734" s="151" t="s">
        <v>431</v>
      </c>
      <c r="Y734" s="151" t="s">
        <v>3582</v>
      </c>
      <c r="Z734" s="151"/>
      <c r="AA734" s="151"/>
      <c r="AB734" s="151" t="s">
        <v>855</v>
      </c>
      <c r="AC734" s="342"/>
    </row>
    <row r="735" spans="1:29">
      <c r="A735" s="151" t="s">
        <v>3593</v>
      </c>
      <c r="B735" s="151" t="s">
        <v>4354</v>
      </c>
      <c r="C735" s="151" t="s">
        <v>4656</v>
      </c>
      <c r="D735" s="151" t="s">
        <v>17</v>
      </c>
      <c r="E735" s="151" t="s">
        <v>4670</v>
      </c>
      <c r="F735" s="151" t="s">
        <v>544</v>
      </c>
      <c r="G735" s="151" t="s">
        <v>2173</v>
      </c>
      <c r="H735" s="151" t="s">
        <v>1183</v>
      </c>
      <c r="I735" s="151" t="s">
        <v>1184</v>
      </c>
      <c r="J735" s="151" t="s">
        <v>4658</v>
      </c>
      <c r="K735" s="151" t="s">
        <v>4671</v>
      </c>
      <c r="L735" s="151" t="s">
        <v>4659</v>
      </c>
      <c r="M735" s="151" t="s">
        <v>361</v>
      </c>
      <c r="N735" s="151"/>
      <c r="O735" s="151"/>
      <c r="P735" s="151"/>
      <c r="Q735" s="151"/>
      <c r="R735" s="151" t="s">
        <v>2177</v>
      </c>
      <c r="S735" s="151" t="s">
        <v>361</v>
      </c>
      <c r="T735" s="151" t="s">
        <v>435</v>
      </c>
      <c r="U735" s="151" t="s">
        <v>3582</v>
      </c>
      <c r="V735" s="151">
        <v>25</v>
      </c>
      <c r="W735" s="151" t="s">
        <v>3598</v>
      </c>
      <c r="X735" s="151" t="s">
        <v>431</v>
      </c>
      <c r="Y735" s="151" t="s">
        <v>3582</v>
      </c>
      <c r="Z735" s="151"/>
      <c r="AA735" s="151"/>
      <c r="AB735" s="151" t="s">
        <v>855</v>
      </c>
      <c r="AC735" s="342"/>
    </row>
    <row r="736" spans="1:29">
      <c r="A736" s="151" t="s">
        <v>3593</v>
      </c>
      <c r="B736" s="151" t="s">
        <v>159</v>
      </c>
      <c r="C736" s="151" t="s">
        <v>4656</v>
      </c>
      <c r="D736" s="151" t="s">
        <v>17</v>
      </c>
      <c r="E736" s="151" t="s">
        <v>4672</v>
      </c>
      <c r="F736" s="151" t="s">
        <v>544</v>
      </c>
      <c r="G736" s="151" t="s">
        <v>2173</v>
      </c>
      <c r="H736" s="151" t="s">
        <v>1183</v>
      </c>
      <c r="I736" s="151" t="s">
        <v>1184</v>
      </c>
      <c r="J736" s="151" t="s">
        <v>4662</v>
      </c>
      <c r="K736" s="151" t="s">
        <v>2307</v>
      </c>
      <c r="L736" s="151" t="s">
        <v>4659</v>
      </c>
      <c r="M736" s="151" t="s">
        <v>361</v>
      </c>
      <c r="N736" s="151"/>
      <c r="O736" s="151"/>
      <c r="P736" s="151"/>
      <c r="Q736" s="151"/>
      <c r="R736" s="151" t="s">
        <v>2177</v>
      </c>
      <c r="S736" s="151" t="s">
        <v>361</v>
      </c>
      <c r="T736" s="151" t="s">
        <v>435</v>
      </c>
      <c r="U736" s="151" t="s">
        <v>3582</v>
      </c>
      <c r="V736" s="151">
        <v>1</v>
      </c>
      <c r="W736" s="151" t="s">
        <v>2373</v>
      </c>
      <c r="X736" s="151" t="s">
        <v>431</v>
      </c>
      <c r="Y736" s="151" t="s">
        <v>3582</v>
      </c>
      <c r="Z736" s="151"/>
      <c r="AA736" s="151"/>
      <c r="AB736" s="151" t="s">
        <v>855</v>
      </c>
      <c r="AC736" s="342"/>
    </row>
    <row r="737" spans="1:29">
      <c r="A737" s="151" t="s">
        <v>3593</v>
      </c>
      <c r="B737" s="151" t="s">
        <v>4673</v>
      </c>
      <c r="C737" s="151" t="s">
        <v>4656</v>
      </c>
      <c r="D737" s="151" t="s">
        <v>17</v>
      </c>
      <c r="E737" s="151" t="s">
        <v>4674</v>
      </c>
      <c r="F737" s="151" t="s">
        <v>544</v>
      </c>
      <c r="G737" s="151" t="s">
        <v>2173</v>
      </c>
      <c r="H737" s="151" t="s">
        <v>1183</v>
      </c>
      <c r="I737" s="151" t="s">
        <v>1184</v>
      </c>
      <c r="J737" s="151" t="s">
        <v>4662</v>
      </c>
      <c r="K737" s="151" t="s">
        <v>4675</v>
      </c>
      <c r="L737" s="151" t="s">
        <v>4659</v>
      </c>
      <c r="M737" s="151" t="s">
        <v>361</v>
      </c>
      <c r="N737" s="151"/>
      <c r="O737" s="151"/>
      <c r="P737" s="151"/>
      <c r="Q737" s="151"/>
      <c r="R737" s="151" t="s">
        <v>2177</v>
      </c>
      <c r="S737" s="151" t="s">
        <v>361</v>
      </c>
      <c r="T737" s="151" t="s">
        <v>435</v>
      </c>
      <c r="U737" s="151" t="s">
        <v>3582</v>
      </c>
      <c r="V737" s="151">
        <v>1</v>
      </c>
      <c r="W737" s="151" t="s">
        <v>2373</v>
      </c>
      <c r="X737" s="151" t="s">
        <v>431</v>
      </c>
      <c r="Y737" s="151" t="s">
        <v>3582</v>
      </c>
      <c r="Z737" s="151"/>
      <c r="AA737" s="151"/>
      <c r="AB737" s="151" t="s">
        <v>855</v>
      </c>
      <c r="AC737" s="342"/>
    </row>
    <row r="738" spans="1:29">
      <c r="A738" s="151" t="s">
        <v>3593</v>
      </c>
      <c r="B738" s="151" t="s">
        <v>4676</v>
      </c>
      <c r="C738" s="151" t="s">
        <v>4656</v>
      </c>
      <c r="D738" s="151" t="s">
        <v>17</v>
      </c>
      <c r="E738" s="151" t="s">
        <v>4677</v>
      </c>
      <c r="F738" s="151" t="s">
        <v>544</v>
      </c>
      <c r="G738" s="151" t="s">
        <v>2173</v>
      </c>
      <c r="H738" s="151" t="s">
        <v>1314</v>
      </c>
      <c r="I738" s="151" t="s">
        <v>1184</v>
      </c>
      <c r="J738" s="151" t="s">
        <v>743</v>
      </c>
      <c r="K738" s="151" t="s">
        <v>4678</v>
      </c>
      <c r="L738" s="151" t="s">
        <v>4679</v>
      </c>
      <c r="M738" s="151" t="s">
        <v>361</v>
      </c>
      <c r="N738" s="151"/>
      <c r="O738" s="151"/>
      <c r="P738" s="151"/>
      <c r="Q738" s="151"/>
      <c r="R738" s="151" t="s">
        <v>2177</v>
      </c>
      <c r="S738" s="151" t="s">
        <v>361</v>
      </c>
      <c r="T738" s="151" t="s">
        <v>435</v>
      </c>
      <c r="U738" s="151" t="s">
        <v>3582</v>
      </c>
      <c r="V738" s="151">
        <v>1</v>
      </c>
      <c r="W738" s="151" t="s">
        <v>2373</v>
      </c>
      <c r="X738" s="151" t="s">
        <v>431</v>
      </c>
      <c r="Y738" s="151" t="s">
        <v>3582</v>
      </c>
      <c r="Z738" s="151"/>
      <c r="AA738" s="151"/>
      <c r="AB738" s="151" t="s">
        <v>855</v>
      </c>
      <c r="AC738" s="342"/>
    </row>
    <row r="739" spans="1:29">
      <c r="A739" s="151" t="s">
        <v>3593</v>
      </c>
      <c r="B739" s="151" t="s">
        <v>4680</v>
      </c>
      <c r="C739" s="151" t="s">
        <v>4656</v>
      </c>
      <c r="D739" s="151" t="s">
        <v>17</v>
      </c>
      <c r="E739" s="151" t="s">
        <v>4681</v>
      </c>
      <c r="F739" s="151" t="s">
        <v>544</v>
      </c>
      <c r="G739" s="151" t="s">
        <v>2173</v>
      </c>
      <c r="H739" s="151" t="s">
        <v>1314</v>
      </c>
      <c r="I739" s="151" t="s">
        <v>1184</v>
      </c>
      <c r="J739" s="151" t="s">
        <v>743</v>
      </c>
      <c r="K739" s="151" t="s">
        <v>4682</v>
      </c>
      <c r="L739" s="151" t="s">
        <v>4679</v>
      </c>
      <c r="M739" s="151" t="s">
        <v>361</v>
      </c>
      <c r="N739" s="151"/>
      <c r="O739" s="151"/>
      <c r="P739" s="151"/>
      <c r="Q739" s="151"/>
      <c r="R739" s="151" t="s">
        <v>2177</v>
      </c>
      <c r="S739" s="151" t="s">
        <v>361</v>
      </c>
      <c r="T739" s="151" t="s">
        <v>435</v>
      </c>
      <c r="U739" s="151" t="s">
        <v>3582</v>
      </c>
      <c r="V739" s="151">
        <v>1</v>
      </c>
      <c r="W739" s="151" t="s">
        <v>2373</v>
      </c>
      <c r="X739" s="151" t="s">
        <v>431</v>
      </c>
      <c r="Y739" s="151" t="s">
        <v>3582</v>
      </c>
      <c r="Z739" s="151"/>
      <c r="AA739" s="151"/>
      <c r="AB739" s="151" t="s">
        <v>855</v>
      </c>
      <c r="AC739" s="342"/>
    </row>
    <row r="740" spans="1:29">
      <c r="A740" s="151" t="s">
        <v>3593</v>
      </c>
      <c r="B740" s="151" t="s">
        <v>4683</v>
      </c>
      <c r="C740" s="151" t="s">
        <v>4656</v>
      </c>
      <c r="D740" s="151" t="s">
        <v>17</v>
      </c>
      <c r="E740" s="151" t="s">
        <v>4684</v>
      </c>
      <c r="F740" s="151" t="s">
        <v>544</v>
      </c>
      <c r="G740" s="151" t="s">
        <v>2173</v>
      </c>
      <c r="H740" s="151" t="s">
        <v>1314</v>
      </c>
      <c r="I740" s="151" t="s">
        <v>1184</v>
      </c>
      <c r="J740" s="151" t="s">
        <v>743</v>
      </c>
      <c r="K740" s="151" t="s">
        <v>4685</v>
      </c>
      <c r="L740" s="151" t="s">
        <v>4679</v>
      </c>
      <c r="M740" s="151" t="s">
        <v>361</v>
      </c>
      <c r="N740" s="151"/>
      <c r="O740" s="151"/>
      <c r="P740" s="151"/>
      <c r="Q740" s="151"/>
      <c r="R740" s="151" t="s">
        <v>2177</v>
      </c>
      <c r="S740" s="151" t="s">
        <v>361</v>
      </c>
      <c r="T740" s="151" t="s">
        <v>435</v>
      </c>
      <c r="U740" s="151" t="s">
        <v>3582</v>
      </c>
      <c r="V740" s="151">
        <v>250</v>
      </c>
      <c r="W740" s="151" t="s">
        <v>4686</v>
      </c>
      <c r="X740" s="151" t="s">
        <v>431</v>
      </c>
      <c r="Y740" s="151" t="s">
        <v>3582</v>
      </c>
      <c r="Z740" s="151"/>
      <c r="AA740" s="151"/>
      <c r="AB740" s="151" t="s">
        <v>855</v>
      </c>
      <c r="AC740" s="342"/>
    </row>
    <row r="741" spans="1:29">
      <c r="A741" s="151" t="s">
        <v>3593</v>
      </c>
      <c r="B741" s="151" t="s">
        <v>4687</v>
      </c>
      <c r="C741" s="151" t="s">
        <v>4656</v>
      </c>
      <c r="D741" s="151" t="s">
        <v>17</v>
      </c>
      <c r="E741" s="151" t="s">
        <v>4688</v>
      </c>
      <c r="F741" s="151" t="s">
        <v>544</v>
      </c>
      <c r="G741" s="151" t="s">
        <v>2173</v>
      </c>
      <c r="H741" s="151" t="s">
        <v>1314</v>
      </c>
      <c r="I741" s="151" t="s">
        <v>1184</v>
      </c>
      <c r="J741" s="151" t="s">
        <v>743</v>
      </c>
      <c r="K741" s="151" t="s">
        <v>4689</v>
      </c>
      <c r="L741" s="151" t="s">
        <v>4679</v>
      </c>
      <c r="M741" s="151" t="s">
        <v>361</v>
      </c>
      <c r="N741" s="151"/>
      <c r="O741" s="151"/>
      <c r="P741" s="151"/>
      <c r="Q741" s="151"/>
      <c r="R741" s="151" t="s">
        <v>2177</v>
      </c>
      <c r="S741" s="151" t="s">
        <v>361</v>
      </c>
      <c r="T741" s="151" t="s">
        <v>435</v>
      </c>
      <c r="U741" s="151" t="s">
        <v>3582</v>
      </c>
      <c r="V741" s="151">
        <v>1</v>
      </c>
      <c r="W741" s="151" t="s">
        <v>2373</v>
      </c>
      <c r="X741" s="151" t="s">
        <v>431</v>
      </c>
      <c r="Y741" s="151" t="s">
        <v>3582</v>
      </c>
      <c r="Z741" s="151"/>
      <c r="AA741" s="151"/>
      <c r="AB741" s="151" t="s">
        <v>855</v>
      </c>
      <c r="AC741" s="342"/>
    </row>
    <row r="742" spans="1:29">
      <c r="A742" s="151" t="s">
        <v>3593</v>
      </c>
      <c r="B742" s="151" t="s">
        <v>4690</v>
      </c>
      <c r="C742" s="151" t="s">
        <v>4656</v>
      </c>
      <c r="D742" s="151" t="s">
        <v>17</v>
      </c>
      <c r="E742" s="151" t="s">
        <v>4691</v>
      </c>
      <c r="F742" s="151" t="s">
        <v>544</v>
      </c>
      <c r="G742" s="151" t="s">
        <v>2173</v>
      </c>
      <c r="H742" s="151" t="s">
        <v>1183</v>
      </c>
      <c r="I742" s="151" t="s">
        <v>1184</v>
      </c>
      <c r="J742" s="151" t="s">
        <v>4662</v>
      </c>
      <c r="K742" s="151" t="s">
        <v>4198</v>
      </c>
      <c r="L742" s="151" t="s">
        <v>4659</v>
      </c>
      <c r="M742" s="151" t="s">
        <v>361</v>
      </c>
      <c r="N742" s="151"/>
      <c r="O742" s="151"/>
      <c r="P742" s="151"/>
      <c r="Q742" s="151"/>
      <c r="R742" s="151" t="s">
        <v>2177</v>
      </c>
      <c r="S742" s="151" t="s">
        <v>361</v>
      </c>
      <c r="T742" s="151" t="s">
        <v>435</v>
      </c>
      <c r="U742" s="151" t="s">
        <v>3582</v>
      </c>
      <c r="V742" s="151">
        <v>15</v>
      </c>
      <c r="W742" s="151" t="s">
        <v>2635</v>
      </c>
      <c r="X742" s="151" t="s">
        <v>431</v>
      </c>
      <c r="Y742" s="151" t="s">
        <v>3582</v>
      </c>
      <c r="Z742" s="151"/>
      <c r="AA742" s="151"/>
      <c r="AB742" s="151" t="s">
        <v>855</v>
      </c>
      <c r="AC742" s="342"/>
    </row>
    <row r="743" spans="1:29">
      <c r="A743" s="151" t="s">
        <v>3593</v>
      </c>
      <c r="B743" s="151" t="s">
        <v>4692</v>
      </c>
      <c r="C743" s="151" t="s">
        <v>4656</v>
      </c>
      <c r="D743" s="151" t="s">
        <v>17</v>
      </c>
      <c r="E743" s="151" t="s">
        <v>4693</v>
      </c>
      <c r="F743" s="151" t="s">
        <v>544</v>
      </c>
      <c r="G743" s="151" t="s">
        <v>2173</v>
      </c>
      <c r="H743" s="151" t="s">
        <v>1183</v>
      </c>
      <c r="I743" s="151" t="s">
        <v>1184</v>
      </c>
      <c r="J743" s="151" t="s">
        <v>4658</v>
      </c>
      <c r="K743" s="151" t="s">
        <v>4694</v>
      </c>
      <c r="L743" s="151" t="s">
        <v>4659</v>
      </c>
      <c r="M743" s="151" t="s">
        <v>361</v>
      </c>
      <c r="N743" s="151"/>
      <c r="O743" s="151"/>
      <c r="P743" s="151"/>
      <c r="Q743" s="151"/>
      <c r="R743" s="151" t="s">
        <v>2177</v>
      </c>
      <c r="S743" s="151" t="s">
        <v>361</v>
      </c>
      <c r="T743" s="151" t="s">
        <v>435</v>
      </c>
      <c r="U743" s="151" t="s">
        <v>2400</v>
      </c>
      <c r="V743" s="151">
        <v>18</v>
      </c>
      <c r="W743" s="151" t="s">
        <v>2400</v>
      </c>
      <c r="X743" s="151" t="s">
        <v>431</v>
      </c>
      <c r="Y743" s="151" t="s">
        <v>4695</v>
      </c>
      <c r="Z743" s="151"/>
      <c r="AA743" s="151"/>
      <c r="AB743" s="151" t="s">
        <v>855</v>
      </c>
      <c r="AC743" s="342"/>
    </row>
    <row r="744" spans="1:29">
      <c r="A744" s="151" t="s">
        <v>3593</v>
      </c>
      <c r="B744" s="151" t="s">
        <v>4696</v>
      </c>
      <c r="C744" s="151" t="s">
        <v>4656</v>
      </c>
      <c r="D744" s="151" t="s">
        <v>17</v>
      </c>
      <c r="E744" s="151" t="s">
        <v>4697</v>
      </c>
      <c r="F744" s="151" t="s">
        <v>544</v>
      </c>
      <c r="G744" s="151" t="s">
        <v>2652</v>
      </c>
      <c r="H744" s="151"/>
      <c r="I744" s="151" t="s">
        <v>1184</v>
      </c>
      <c r="J744" s="151"/>
      <c r="K744" s="151"/>
      <c r="L744" s="151" t="s">
        <v>361</v>
      </c>
      <c r="M744" s="151" t="s">
        <v>361</v>
      </c>
      <c r="N744" s="151"/>
      <c r="O744" s="151"/>
      <c r="P744" s="151"/>
      <c r="Q744" s="151"/>
      <c r="R744" s="151" t="s">
        <v>2550</v>
      </c>
      <c r="S744" s="151" t="s">
        <v>4698</v>
      </c>
      <c r="T744" s="151" t="s">
        <v>435</v>
      </c>
      <c r="U744" s="151" t="s">
        <v>3582</v>
      </c>
      <c r="V744" s="151" t="s">
        <v>49</v>
      </c>
      <c r="W744" s="151" t="s">
        <v>2363</v>
      </c>
      <c r="X744" s="151" t="s">
        <v>431</v>
      </c>
      <c r="Y744" s="151" t="s">
        <v>3582</v>
      </c>
      <c r="Z744" s="151"/>
      <c r="AA744" s="151"/>
      <c r="AB744" s="151" t="s">
        <v>855</v>
      </c>
      <c r="AC744" s="342"/>
    </row>
    <row r="745" spans="1:29">
      <c r="A745" s="151" t="s">
        <v>3593</v>
      </c>
      <c r="B745" s="151" t="s">
        <v>4699</v>
      </c>
      <c r="C745" s="151" t="s">
        <v>4656</v>
      </c>
      <c r="D745" s="151" t="s">
        <v>17</v>
      </c>
      <c r="E745" s="151" t="s">
        <v>4700</v>
      </c>
      <c r="F745" s="151" t="s">
        <v>544</v>
      </c>
      <c r="G745" s="151" t="s">
        <v>2173</v>
      </c>
      <c r="H745" s="151" t="s">
        <v>1183</v>
      </c>
      <c r="I745" s="151" t="s">
        <v>1184</v>
      </c>
      <c r="J745" s="151" t="s">
        <v>4658</v>
      </c>
      <c r="K745" s="151" t="s">
        <v>4701</v>
      </c>
      <c r="L745" s="151" t="s">
        <v>4659</v>
      </c>
      <c r="M745" s="151" t="s">
        <v>361</v>
      </c>
      <c r="N745" s="151"/>
      <c r="O745" s="151"/>
      <c r="P745" s="151"/>
      <c r="Q745" s="151"/>
      <c r="R745" s="151" t="s">
        <v>2177</v>
      </c>
      <c r="S745" s="151" t="s">
        <v>361</v>
      </c>
      <c r="T745" s="151" t="s">
        <v>435</v>
      </c>
      <c r="U745" s="151" t="s">
        <v>3582</v>
      </c>
      <c r="V745" s="151">
        <v>5</v>
      </c>
      <c r="W745" s="151" t="s">
        <v>2250</v>
      </c>
      <c r="X745" s="151" t="s">
        <v>431</v>
      </c>
      <c r="Y745" s="151" t="s">
        <v>3582</v>
      </c>
      <c r="Z745" s="151"/>
      <c r="AA745" s="151"/>
      <c r="AB745" s="151" t="s">
        <v>855</v>
      </c>
      <c r="AC745" s="342"/>
    </row>
    <row r="746" spans="1:29">
      <c r="A746" s="151" t="s">
        <v>3593</v>
      </c>
      <c r="B746" s="151" t="s">
        <v>4702</v>
      </c>
      <c r="C746" s="151" t="s">
        <v>4656</v>
      </c>
      <c r="D746" s="151" t="s">
        <v>17</v>
      </c>
      <c r="E746" s="151" t="s">
        <v>4703</v>
      </c>
      <c r="F746" s="151" t="s">
        <v>544</v>
      </c>
      <c r="G746" s="151" t="s">
        <v>2173</v>
      </c>
      <c r="H746" s="151" t="s">
        <v>1183</v>
      </c>
      <c r="I746" s="151" t="s">
        <v>1184</v>
      </c>
      <c r="J746" s="151" t="s">
        <v>4658</v>
      </c>
      <c r="K746" s="151" t="s">
        <v>4704</v>
      </c>
      <c r="L746" s="151" t="s">
        <v>4659</v>
      </c>
      <c r="M746" s="151" t="s">
        <v>361</v>
      </c>
      <c r="N746" s="151"/>
      <c r="O746" s="151"/>
      <c r="P746" s="151"/>
      <c r="Q746" s="151"/>
      <c r="R746" s="151" t="s">
        <v>2177</v>
      </c>
      <c r="S746" s="151" t="s">
        <v>361</v>
      </c>
      <c r="T746" s="151" t="s">
        <v>435</v>
      </c>
      <c r="U746" s="151" t="s">
        <v>2400</v>
      </c>
      <c r="V746" s="151">
        <v>10</v>
      </c>
      <c r="W746" s="151" t="s">
        <v>2400</v>
      </c>
      <c r="X746" s="151" t="s">
        <v>431</v>
      </c>
      <c r="Y746" s="151" t="s">
        <v>4695</v>
      </c>
      <c r="Z746" s="151"/>
      <c r="AA746" s="151"/>
      <c r="AB746" s="151" t="s">
        <v>855</v>
      </c>
      <c r="AC746" s="342"/>
    </row>
    <row r="747" spans="1:29">
      <c r="A747" s="151" t="s">
        <v>3593</v>
      </c>
      <c r="B747" s="151" t="s">
        <v>4705</v>
      </c>
      <c r="C747" s="151" t="s">
        <v>4656</v>
      </c>
      <c r="D747" s="151" t="s">
        <v>17</v>
      </c>
      <c r="E747" s="151" t="s">
        <v>4706</v>
      </c>
      <c r="F747" s="151" t="s">
        <v>544</v>
      </c>
      <c r="G747" s="151" t="s">
        <v>2173</v>
      </c>
      <c r="H747" s="151" t="s">
        <v>1183</v>
      </c>
      <c r="I747" s="151" t="s">
        <v>1184</v>
      </c>
      <c r="J747" s="151" t="s">
        <v>4662</v>
      </c>
      <c r="K747" s="151" t="s">
        <v>4707</v>
      </c>
      <c r="L747" s="151" t="s">
        <v>361</v>
      </c>
      <c r="M747" s="151" t="s">
        <v>361</v>
      </c>
      <c r="N747" s="151"/>
      <c r="O747" s="151"/>
      <c r="P747" s="151"/>
      <c r="Q747" s="151"/>
      <c r="R747" s="151" t="s">
        <v>2177</v>
      </c>
      <c r="S747" s="151" t="s">
        <v>361</v>
      </c>
      <c r="T747" s="151" t="s">
        <v>435</v>
      </c>
      <c r="U747" s="151" t="s">
        <v>3582</v>
      </c>
      <c r="V747" s="151">
        <v>5</v>
      </c>
      <c r="W747" s="151" t="s">
        <v>2250</v>
      </c>
      <c r="X747" s="151" t="s">
        <v>431</v>
      </c>
      <c r="Y747" s="151" t="s">
        <v>3582</v>
      </c>
      <c r="Z747" s="151"/>
      <c r="AA747" s="151"/>
      <c r="AB747" s="151" t="s">
        <v>855</v>
      </c>
      <c r="AC747" s="342"/>
    </row>
    <row r="748" spans="1:29">
      <c r="A748" s="151" t="s">
        <v>3593</v>
      </c>
      <c r="B748" s="151" t="s">
        <v>4708</v>
      </c>
      <c r="C748" s="151" t="s">
        <v>4656</v>
      </c>
      <c r="D748" s="151" t="s">
        <v>17</v>
      </c>
      <c r="E748" s="151" t="s">
        <v>4709</v>
      </c>
      <c r="F748" s="151" t="s">
        <v>544</v>
      </c>
      <c r="G748" s="151" t="s">
        <v>2173</v>
      </c>
      <c r="H748" s="151" t="s">
        <v>1274</v>
      </c>
      <c r="I748" s="151" t="s">
        <v>1184</v>
      </c>
      <c r="J748" s="151" t="s">
        <v>655</v>
      </c>
      <c r="K748" s="151" t="s">
        <v>4710</v>
      </c>
      <c r="L748" s="151" t="s">
        <v>2898</v>
      </c>
      <c r="M748" s="151" t="s">
        <v>2899</v>
      </c>
      <c r="N748" s="151"/>
      <c r="O748" s="151"/>
      <c r="P748" s="151"/>
      <c r="Q748" s="151"/>
      <c r="R748" s="151" t="s">
        <v>2177</v>
      </c>
      <c r="S748" s="151" t="s">
        <v>361</v>
      </c>
      <c r="T748" s="151" t="s">
        <v>2191</v>
      </c>
      <c r="U748" s="151" t="s">
        <v>2179</v>
      </c>
      <c r="V748" s="151">
        <v>100</v>
      </c>
      <c r="W748" s="151" t="s">
        <v>2363</v>
      </c>
      <c r="X748" s="151" t="s">
        <v>431</v>
      </c>
      <c r="Y748" s="151" t="s">
        <v>2179</v>
      </c>
      <c r="Z748" s="151" t="s">
        <v>3277</v>
      </c>
      <c r="AA748" s="151" t="s">
        <v>2305</v>
      </c>
      <c r="AB748" s="151" t="s">
        <v>855</v>
      </c>
      <c r="AC748" s="342"/>
    </row>
    <row r="749" spans="1:29">
      <c r="A749" s="151" t="s">
        <v>3593</v>
      </c>
      <c r="B749" s="151" t="s">
        <v>4711</v>
      </c>
      <c r="C749" s="151" t="s">
        <v>4656</v>
      </c>
      <c r="D749" s="151" t="s">
        <v>17</v>
      </c>
      <c r="E749" s="151" t="s">
        <v>4712</v>
      </c>
      <c r="F749" s="151" t="s">
        <v>544</v>
      </c>
      <c r="G749" s="151" t="s">
        <v>2173</v>
      </c>
      <c r="H749" s="151" t="s">
        <v>1183</v>
      </c>
      <c r="I749" s="151" t="s">
        <v>1184</v>
      </c>
      <c r="J749" s="151" t="s">
        <v>4662</v>
      </c>
      <c r="K749" s="151" t="s">
        <v>4713</v>
      </c>
      <c r="L749" s="151" t="s">
        <v>4659</v>
      </c>
      <c r="M749" s="151" t="s">
        <v>361</v>
      </c>
      <c r="N749" s="151"/>
      <c r="O749" s="151"/>
      <c r="P749" s="151"/>
      <c r="Q749" s="151"/>
      <c r="R749" s="151" t="s">
        <v>2177</v>
      </c>
      <c r="S749" s="151" t="s">
        <v>361</v>
      </c>
      <c r="T749" s="151" t="s">
        <v>435</v>
      </c>
      <c r="U749" s="151" t="s">
        <v>3582</v>
      </c>
      <c r="V749" s="151">
        <v>3</v>
      </c>
      <c r="W749" s="151" t="s">
        <v>3615</v>
      </c>
      <c r="X749" s="151" t="s">
        <v>431</v>
      </c>
      <c r="Y749" s="151" t="s">
        <v>3582</v>
      </c>
      <c r="Z749" s="151"/>
      <c r="AA749" s="151"/>
      <c r="AB749" s="151" t="s">
        <v>855</v>
      </c>
      <c r="AC749" s="342"/>
    </row>
    <row r="750" spans="1:29">
      <c r="A750" s="151" t="s">
        <v>3593</v>
      </c>
      <c r="B750" s="151" t="s">
        <v>4714</v>
      </c>
      <c r="C750" s="151" t="s">
        <v>4656</v>
      </c>
      <c r="D750" s="151" t="s">
        <v>17</v>
      </c>
      <c r="E750" s="151" t="s">
        <v>4715</v>
      </c>
      <c r="F750" s="151" t="s">
        <v>544</v>
      </c>
      <c r="G750" s="151" t="s">
        <v>2173</v>
      </c>
      <c r="H750" s="151" t="s">
        <v>1183</v>
      </c>
      <c r="I750" s="151" t="s">
        <v>1184</v>
      </c>
      <c r="J750" s="151" t="s">
        <v>4662</v>
      </c>
      <c r="K750" s="151" t="s">
        <v>4716</v>
      </c>
      <c r="L750" s="151" t="s">
        <v>4659</v>
      </c>
      <c r="M750" s="151" t="s">
        <v>361</v>
      </c>
      <c r="N750" s="151"/>
      <c r="O750" s="151"/>
      <c r="P750" s="151"/>
      <c r="Q750" s="151"/>
      <c r="R750" s="151" t="s">
        <v>2177</v>
      </c>
      <c r="S750" s="151" t="s">
        <v>361</v>
      </c>
      <c r="T750" s="151" t="s">
        <v>435</v>
      </c>
      <c r="U750" s="151" t="s">
        <v>2507</v>
      </c>
      <c r="V750" s="151" t="s">
        <v>49</v>
      </c>
      <c r="W750" s="151" t="s">
        <v>2507</v>
      </c>
      <c r="X750" s="151" t="s">
        <v>431</v>
      </c>
      <c r="Y750" s="151" t="s">
        <v>2507</v>
      </c>
      <c r="Z750" s="151"/>
      <c r="AA750" s="151"/>
      <c r="AB750" s="151" t="s">
        <v>855</v>
      </c>
      <c r="AC750" s="342"/>
    </row>
    <row r="751" spans="1:29">
      <c r="A751" s="151" t="s">
        <v>3593</v>
      </c>
      <c r="B751" s="151" t="s">
        <v>16</v>
      </c>
      <c r="C751" s="151" t="s">
        <v>4656</v>
      </c>
      <c r="D751" s="151" t="s">
        <v>17</v>
      </c>
      <c r="E751" s="151" t="s">
        <v>4717</v>
      </c>
      <c r="F751" s="151" t="s">
        <v>544</v>
      </c>
      <c r="G751" s="151" t="s">
        <v>2173</v>
      </c>
      <c r="H751" s="151" t="s">
        <v>1183</v>
      </c>
      <c r="I751" s="151" t="s">
        <v>1184</v>
      </c>
      <c r="J751" s="151" t="s">
        <v>4662</v>
      </c>
      <c r="K751" s="151" t="s">
        <v>4718</v>
      </c>
      <c r="L751" s="151" t="s">
        <v>4659</v>
      </c>
      <c r="M751" s="151" t="s">
        <v>361</v>
      </c>
      <c r="N751" s="151"/>
      <c r="O751" s="151"/>
      <c r="P751" s="151"/>
      <c r="Q751" s="151"/>
      <c r="R751" s="151" t="s">
        <v>2177</v>
      </c>
      <c r="S751" s="151" t="s">
        <v>361</v>
      </c>
      <c r="T751" s="151" t="s">
        <v>435</v>
      </c>
      <c r="U751" s="151" t="s">
        <v>3582</v>
      </c>
      <c r="V751" s="151">
        <v>70</v>
      </c>
      <c r="W751" s="151" t="s">
        <v>4719</v>
      </c>
      <c r="X751" s="151" t="s">
        <v>431</v>
      </c>
      <c r="Y751" s="151" t="s">
        <v>3582</v>
      </c>
      <c r="Z751" s="151"/>
      <c r="AA751" s="151"/>
      <c r="AB751" s="151" t="s">
        <v>855</v>
      </c>
      <c r="AC751" s="342"/>
    </row>
    <row r="752" spans="1:29">
      <c r="A752" s="151" t="s">
        <v>3593</v>
      </c>
      <c r="B752" s="151" t="s">
        <v>4720</v>
      </c>
      <c r="C752" s="151" t="s">
        <v>4656</v>
      </c>
      <c r="D752" s="151" t="s">
        <v>17</v>
      </c>
      <c r="E752" s="151" t="s">
        <v>4721</v>
      </c>
      <c r="F752" s="151" t="s">
        <v>544</v>
      </c>
      <c r="G752" s="151" t="s">
        <v>2173</v>
      </c>
      <c r="H752" s="151" t="s">
        <v>4478</v>
      </c>
      <c r="I752" s="151" t="s">
        <v>1184</v>
      </c>
      <c r="J752" s="151" t="s">
        <v>4722</v>
      </c>
      <c r="K752" s="151" t="s">
        <v>4723</v>
      </c>
      <c r="L752" s="151" t="s">
        <v>4659</v>
      </c>
      <c r="M752" s="151" t="s">
        <v>361</v>
      </c>
      <c r="N752" s="151"/>
      <c r="O752" s="151"/>
      <c r="P752" s="151"/>
      <c r="Q752" s="151"/>
      <c r="R752" s="151" t="s">
        <v>2177</v>
      </c>
      <c r="S752" s="151" t="s">
        <v>361</v>
      </c>
      <c r="T752" s="151" t="s">
        <v>435</v>
      </c>
      <c r="U752" s="151" t="s">
        <v>3582</v>
      </c>
      <c r="V752" s="151">
        <v>5</v>
      </c>
      <c r="W752" s="151" t="s">
        <v>3615</v>
      </c>
      <c r="X752" s="151" t="s">
        <v>431</v>
      </c>
      <c r="Y752" s="151" t="s">
        <v>3582</v>
      </c>
      <c r="Z752" s="151"/>
      <c r="AA752" s="151"/>
      <c r="AB752" s="151" t="s">
        <v>855</v>
      </c>
      <c r="AC752" s="342"/>
    </row>
    <row r="753" spans="1:29">
      <c r="A753" s="151" t="s">
        <v>3593</v>
      </c>
      <c r="B753" s="151" t="s">
        <v>4724</v>
      </c>
      <c r="C753" s="151" t="s">
        <v>4656</v>
      </c>
      <c r="D753" s="151" t="s">
        <v>17</v>
      </c>
      <c r="E753" s="151" t="s">
        <v>4725</v>
      </c>
      <c r="F753" s="151" t="s">
        <v>544</v>
      </c>
      <c r="G753" s="151" t="s">
        <v>2173</v>
      </c>
      <c r="H753" s="151" t="s">
        <v>4478</v>
      </c>
      <c r="I753" s="151" t="s">
        <v>1184</v>
      </c>
      <c r="J753" s="151" t="s">
        <v>4722</v>
      </c>
      <c r="K753" s="151" t="s">
        <v>4726</v>
      </c>
      <c r="L753" s="151" t="s">
        <v>4659</v>
      </c>
      <c r="M753" s="151" t="s">
        <v>361</v>
      </c>
      <c r="N753" s="151"/>
      <c r="O753" s="151"/>
      <c r="P753" s="151"/>
      <c r="Q753" s="151"/>
      <c r="R753" s="151" t="s">
        <v>2177</v>
      </c>
      <c r="S753" s="151" t="s">
        <v>361</v>
      </c>
      <c r="T753" s="151" t="s">
        <v>435</v>
      </c>
      <c r="U753" s="151" t="s">
        <v>2507</v>
      </c>
      <c r="V753" s="151">
        <v>20</v>
      </c>
      <c r="W753" s="151" t="s">
        <v>2507</v>
      </c>
      <c r="X753" s="151" t="s">
        <v>431</v>
      </c>
      <c r="Y753" s="151" t="s">
        <v>2507</v>
      </c>
      <c r="Z753" s="151"/>
      <c r="AA753" s="151"/>
      <c r="AB753" s="151" t="s">
        <v>855</v>
      </c>
      <c r="AC753" s="342"/>
    </row>
    <row r="754" spans="1:29">
      <c r="A754" s="151" t="s">
        <v>3593</v>
      </c>
      <c r="B754" s="151" t="s">
        <v>4727</v>
      </c>
      <c r="C754" s="151" t="s">
        <v>4656</v>
      </c>
      <c r="D754" s="151" t="s">
        <v>17</v>
      </c>
      <c r="E754" s="151" t="s">
        <v>4728</v>
      </c>
      <c r="F754" s="151" t="s">
        <v>544</v>
      </c>
      <c r="G754" s="151" t="s">
        <v>2173</v>
      </c>
      <c r="H754" s="151" t="s">
        <v>1183</v>
      </c>
      <c r="I754" s="151" t="s">
        <v>1184</v>
      </c>
      <c r="J754" s="151" t="s">
        <v>3871</v>
      </c>
      <c r="K754" s="151" t="s">
        <v>4729</v>
      </c>
      <c r="L754" s="151" t="s">
        <v>4659</v>
      </c>
      <c r="M754" s="151" t="s">
        <v>361</v>
      </c>
      <c r="N754" s="151"/>
      <c r="O754" s="151"/>
      <c r="P754" s="151"/>
      <c r="Q754" s="151"/>
      <c r="R754" s="151" t="s">
        <v>2177</v>
      </c>
      <c r="S754" s="151" t="s">
        <v>361</v>
      </c>
      <c r="T754" s="151" t="s">
        <v>435</v>
      </c>
      <c r="U754" s="151" t="s">
        <v>3582</v>
      </c>
      <c r="V754" s="151">
        <v>20</v>
      </c>
      <c r="W754" s="151" t="s">
        <v>3598</v>
      </c>
      <c r="X754" s="151" t="s">
        <v>431</v>
      </c>
      <c r="Y754" s="151" t="s">
        <v>3582</v>
      </c>
      <c r="Z754" s="151"/>
      <c r="AA754" s="151"/>
      <c r="AB754" s="151" t="s">
        <v>855</v>
      </c>
      <c r="AC754" s="342"/>
    </row>
    <row r="755" spans="1:29">
      <c r="A755" s="151" t="s">
        <v>3593</v>
      </c>
      <c r="B755" s="151" t="s">
        <v>4730</v>
      </c>
      <c r="C755" s="151" t="s">
        <v>4656</v>
      </c>
      <c r="D755" s="151" t="s">
        <v>17</v>
      </c>
      <c r="E755" s="151" t="s">
        <v>4731</v>
      </c>
      <c r="F755" s="151" t="s">
        <v>544</v>
      </c>
      <c r="G755" s="151" t="s">
        <v>2173</v>
      </c>
      <c r="H755" s="151" t="s">
        <v>1183</v>
      </c>
      <c r="I755" s="151" t="s">
        <v>1184</v>
      </c>
      <c r="J755" s="151" t="s">
        <v>4658</v>
      </c>
      <c r="K755" s="151" t="s">
        <v>4732</v>
      </c>
      <c r="L755" s="151" t="s">
        <v>4659</v>
      </c>
      <c r="M755" s="151" t="s">
        <v>361</v>
      </c>
      <c r="N755" s="151"/>
      <c r="O755" s="151"/>
      <c r="P755" s="151"/>
      <c r="Q755" s="151"/>
      <c r="R755" s="151" t="s">
        <v>2177</v>
      </c>
      <c r="S755" s="151" t="s">
        <v>361</v>
      </c>
      <c r="T755" s="151" t="s">
        <v>435</v>
      </c>
      <c r="U755" s="151" t="s">
        <v>2400</v>
      </c>
      <c r="V755" s="151">
        <v>10</v>
      </c>
      <c r="W755" s="151" t="s">
        <v>2400</v>
      </c>
      <c r="X755" s="151" t="s">
        <v>431</v>
      </c>
      <c r="Y755" s="151" t="s">
        <v>2400</v>
      </c>
      <c r="Z755" s="151"/>
      <c r="AA755" s="151"/>
      <c r="AB755" s="151" t="s">
        <v>855</v>
      </c>
      <c r="AC755" s="342"/>
    </row>
    <row r="756" spans="1:29">
      <c r="A756" s="151" t="s">
        <v>3593</v>
      </c>
      <c r="B756" s="151" t="s">
        <v>4733</v>
      </c>
      <c r="C756" s="151" t="s">
        <v>4656</v>
      </c>
      <c r="D756" s="151" t="s">
        <v>17</v>
      </c>
      <c r="E756" s="151" t="s">
        <v>4734</v>
      </c>
      <c r="F756" s="151" t="s">
        <v>544</v>
      </c>
      <c r="G756" s="151" t="s">
        <v>2173</v>
      </c>
      <c r="H756" s="151" t="s">
        <v>1183</v>
      </c>
      <c r="I756" s="151" t="s">
        <v>1184</v>
      </c>
      <c r="J756" s="151" t="s">
        <v>4662</v>
      </c>
      <c r="K756" s="151" t="s">
        <v>4735</v>
      </c>
      <c r="L756" s="151" t="s">
        <v>4659</v>
      </c>
      <c r="M756" s="151" t="s">
        <v>361</v>
      </c>
      <c r="N756" s="151"/>
      <c r="O756" s="151"/>
      <c r="P756" s="151"/>
      <c r="Q756" s="151"/>
      <c r="R756" s="151" t="s">
        <v>2177</v>
      </c>
      <c r="S756" s="151" t="s">
        <v>361</v>
      </c>
      <c r="T756" s="151" t="s">
        <v>435</v>
      </c>
      <c r="U756" s="151" t="s">
        <v>3582</v>
      </c>
      <c r="V756" s="151">
        <v>20</v>
      </c>
      <c r="W756" s="151" t="s">
        <v>3598</v>
      </c>
      <c r="X756" s="151" t="s">
        <v>431</v>
      </c>
      <c r="Y756" s="151" t="s">
        <v>3582</v>
      </c>
      <c r="Z756" s="151"/>
      <c r="AA756" s="151"/>
      <c r="AB756" s="151" t="s">
        <v>855</v>
      </c>
      <c r="AC756" s="342"/>
    </row>
    <row r="757" spans="1:29">
      <c r="A757" s="151" t="s">
        <v>3593</v>
      </c>
      <c r="B757" s="151" t="s">
        <v>4736</v>
      </c>
      <c r="C757" s="151" t="s">
        <v>4656</v>
      </c>
      <c r="D757" s="151" t="s">
        <v>17</v>
      </c>
      <c r="E757" s="151" t="s">
        <v>4737</v>
      </c>
      <c r="F757" s="151" t="s">
        <v>544</v>
      </c>
      <c r="G757" s="151" t="s">
        <v>2173</v>
      </c>
      <c r="H757" s="151" t="s">
        <v>1183</v>
      </c>
      <c r="I757" s="151" t="s">
        <v>1184</v>
      </c>
      <c r="J757" s="151" t="s">
        <v>4662</v>
      </c>
      <c r="K757" s="151" t="s">
        <v>4713</v>
      </c>
      <c r="L757" s="151" t="s">
        <v>4659</v>
      </c>
      <c r="M757" s="151" t="s">
        <v>361</v>
      </c>
      <c r="N757" s="151"/>
      <c r="O757" s="151"/>
      <c r="P757" s="151"/>
      <c r="Q757" s="151"/>
      <c r="R757" s="151" t="s">
        <v>2177</v>
      </c>
      <c r="S757" s="151" t="s">
        <v>361</v>
      </c>
      <c r="T757" s="151" t="s">
        <v>435</v>
      </c>
      <c r="U757" s="151" t="s">
        <v>3582</v>
      </c>
      <c r="V757" s="151" t="s">
        <v>49</v>
      </c>
      <c r="W757" s="151" t="s">
        <v>3615</v>
      </c>
      <c r="X757" s="151" t="s">
        <v>431</v>
      </c>
      <c r="Y757" s="151" t="s">
        <v>3582</v>
      </c>
      <c r="Z757" s="151"/>
      <c r="AA757" s="151"/>
      <c r="AB757" s="151" t="s">
        <v>855</v>
      </c>
      <c r="AC757" s="342"/>
    </row>
    <row r="758" spans="1:29">
      <c r="A758" s="151" t="s">
        <v>3593</v>
      </c>
      <c r="B758" s="151" t="s">
        <v>4738</v>
      </c>
      <c r="C758" s="151" t="s">
        <v>4656</v>
      </c>
      <c r="D758" s="151" t="s">
        <v>17</v>
      </c>
      <c r="E758" s="151" t="s">
        <v>4739</v>
      </c>
      <c r="F758" s="151" t="s">
        <v>544</v>
      </c>
      <c r="G758" s="151" t="s">
        <v>2173</v>
      </c>
      <c r="H758" s="151" t="s">
        <v>1183</v>
      </c>
      <c r="I758" s="151" t="s">
        <v>1184</v>
      </c>
      <c r="J758" s="151" t="s">
        <v>4662</v>
      </c>
      <c r="K758" s="151" t="s">
        <v>4716</v>
      </c>
      <c r="L758" s="151" t="s">
        <v>4659</v>
      </c>
      <c r="M758" s="151" t="s">
        <v>361</v>
      </c>
      <c r="N758" s="151"/>
      <c r="O758" s="151"/>
      <c r="P758" s="151"/>
      <c r="Q758" s="151"/>
      <c r="R758" s="151" t="s">
        <v>2177</v>
      </c>
      <c r="S758" s="151" t="s">
        <v>361</v>
      </c>
      <c r="T758" s="151" t="s">
        <v>435</v>
      </c>
      <c r="U758" s="151" t="s">
        <v>2507</v>
      </c>
      <c r="V758" s="151" t="s">
        <v>49</v>
      </c>
      <c r="W758" s="151" t="s">
        <v>2507</v>
      </c>
      <c r="X758" s="151" t="s">
        <v>431</v>
      </c>
      <c r="Y758" s="151" t="s">
        <v>2507</v>
      </c>
      <c r="Z758" s="151"/>
      <c r="AA758" s="151"/>
      <c r="AB758" s="151" t="s">
        <v>855</v>
      </c>
      <c r="AC758" s="342"/>
    </row>
    <row r="759" spans="1:29">
      <c r="A759" s="151" t="s">
        <v>3593</v>
      </c>
      <c r="B759" s="151" t="s">
        <v>4740</v>
      </c>
      <c r="C759" s="151" t="s">
        <v>4656</v>
      </c>
      <c r="D759" s="151" t="s">
        <v>17</v>
      </c>
      <c r="E759" s="151" t="s">
        <v>4741</v>
      </c>
      <c r="F759" s="151" t="s">
        <v>544</v>
      </c>
      <c r="G759" s="151" t="s">
        <v>2173</v>
      </c>
      <c r="H759" s="151" t="s">
        <v>1183</v>
      </c>
      <c r="I759" s="151" t="s">
        <v>1184</v>
      </c>
      <c r="J759" s="151" t="s">
        <v>4662</v>
      </c>
      <c r="K759" s="151" t="s">
        <v>4742</v>
      </c>
      <c r="L759" s="151" t="s">
        <v>4659</v>
      </c>
      <c r="M759" s="151" t="s">
        <v>361</v>
      </c>
      <c r="N759" s="151"/>
      <c r="O759" s="151"/>
      <c r="P759" s="151"/>
      <c r="Q759" s="151"/>
      <c r="R759" s="151" t="s">
        <v>2177</v>
      </c>
      <c r="S759" s="151" t="s">
        <v>361</v>
      </c>
      <c r="T759" s="151" t="s">
        <v>435</v>
      </c>
      <c r="U759" s="151" t="s">
        <v>2400</v>
      </c>
      <c r="V759" s="151">
        <v>10</v>
      </c>
      <c r="W759" s="151" t="s">
        <v>2400</v>
      </c>
      <c r="X759" s="151" t="s">
        <v>431</v>
      </c>
      <c r="Y759" s="151" t="s">
        <v>2400</v>
      </c>
      <c r="Z759" s="151"/>
      <c r="AA759" s="151"/>
      <c r="AB759" s="151" t="s">
        <v>855</v>
      </c>
      <c r="AC759" s="342"/>
    </row>
    <row r="760" spans="1:29">
      <c r="A760" s="151" t="s">
        <v>3593</v>
      </c>
      <c r="B760" s="151" t="s">
        <v>4743</v>
      </c>
      <c r="C760" s="151" t="s">
        <v>4656</v>
      </c>
      <c r="D760" s="151" t="s">
        <v>17</v>
      </c>
      <c r="E760" s="151" t="s">
        <v>4744</v>
      </c>
      <c r="F760" s="151" t="s">
        <v>544</v>
      </c>
      <c r="G760" s="151" t="s">
        <v>2173</v>
      </c>
      <c r="H760" s="151" t="s">
        <v>1183</v>
      </c>
      <c r="I760" s="151" t="s">
        <v>1184</v>
      </c>
      <c r="J760" s="151" t="s">
        <v>4662</v>
      </c>
      <c r="K760" s="151" t="s">
        <v>4745</v>
      </c>
      <c r="L760" s="151" t="s">
        <v>4659</v>
      </c>
      <c r="M760" s="151" t="s">
        <v>361</v>
      </c>
      <c r="N760" s="151"/>
      <c r="O760" s="151"/>
      <c r="P760" s="151"/>
      <c r="Q760" s="151"/>
      <c r="R760" s="151" t="s">
        <v>2177</v>
      </c>
      <c r="S760" s="151" t="s">
        <v>361</v>
      </c>
      <c r="T760" s="151" t="s">
        <v>435</v>
      </c>
      <c r="U760" s="151" t="s">
        <v>3582</v>
      </c>
      <c r="V760" s="151" t="s">
        <v>49</v>
      </c>
      <c r="W760" s="151" t="s">
        <v>2373</v>
      </c>
      <c r="X760" s="151" t="s">
        <v>431</v>
      </c>
      <c r="Y760" s="151" t="s">
        <v>3582</v>
      </c>
      <c r="Z760" s="151"/>
      <c r="AA760" s="151"/>
      <c r="AB760" s="151" t="s">
        <v>855</v>
      </c>
      <c r="AC760" s="342"/>
    </row>
    <row r="761" spans="1:29">
      <c r="A761" s="151" t="s">
        <v>3593</v>
      </c>
      <c r="B761" s="151" t="s">
        <v>4746</v>
      </c>
      <c r="C761" s="151" t="s">
        <v>4656</v>
      </c>
      <c r="D761" s="151" t="s">
        <v>17</v>
      </c>
      <c r="E761" s="151" t="s">
        <v>4747</v>
      </c>
      <c r="F761" s="151" t="s">
        <v>544</v>
      </c>
      <c r="G761" s="151" t="s">
        <v>2173</v>
      </c>
      <c r="H761" s="151" t="s">
        <v>1183</v>
      </c>
      <c r="I761" s="151" t="s">
        <v>1184</v>
      </c>
      <c r="J761" s="151" t="s">
        <v>4662</v>
      </c>
      <c r="K761" s="151" t="s">
        <v>4748</v>
      </c>
      <c r="L761" s="151" t="s">
        <v>4659</v>
      </c>
      <c r="M761" s="151" t="s">
        <v>361</v>
      </c>
      <c r="N761" s="151"/>
      <c r="O761" s="151"/>
      <c r="P761" s="151"/>
      <c r="Q761" s="151"/>
      <c r="R761" s="151" t="s">
        <v>2177</v>
      </c>
      <c r="S761" s="151" t="s">
        <v>361</v>
      </c>
      <c r="T761" s="151" t="s">
        <v>435</v>
      </c>
      <c r="U761" s="151" t="s">
        <v>2400</v>
      </c>
      <c r="V761" s="151">
        <v>10</v>
      </c>
      <c r="W761" s="151" t="s">
        <v>2400</v>
      </c>
      <c r="X761" s="151" t="s">
        <v>431</v>
      </c>
      <c r="Y761" s="151" t="s">
        <v>2400</v>
      </c>
      <c r="Z761" s="151"/>
      <c r="AA761" s="151"/>
      <c r="AB761" s="151" t="s">
        <v>855</v>
      </c>
      <c r="AC761" s="342"/>
    </row>
    <row r="762" spans="1:29">
      <c r="A762" s="151" t="s">
        <v>3593</v>
      </c>
      <c r="B762" s="151" t="s">
        <v>4749</v>
      </c>
      <c r="C762" s="151" t="s">
        <v>4656</v>
      </c>
      <c r="D762" s="151" t="s">
        <v>17</v>
      </c>
      <c r="E762" s="151" t="s">
        <v>4750</v>
      </c>
      <c r="F762" s="151" t="s">
        <v>544</v>
      </c>
      <c r="G762" s="151" t="s">
        <v>2546</v>
      </c>
      <c r="H762" s="151" t="s">
        <v>1183</v>
      </c>
      <c r="I762" s="151" t="s">
        <v>1184</v>
      </c>
      <c r="J762" s="151" t="s">
        <v>4662</v>
      </c>
      <c r="K762" s="151" t="s">
        <v>4751</v>
      </c>
      <c r="L762" s="151"/>
      <c r="M762" s="151" t="s">
        <v>361</v>
      </c>
      <c r="N762" s="151"/>
      <c r="O762" s="151"/>
      <c r="P762" s="151"/>
      <c r="Q762" s="151"/>
      <c r="R762" s="151"/>
      <c r="S762" s="151" t="s">
        <v>4752</v>
      </c>
      <c r="T762" s="151"/>
      <c r="U762" s="151"/>
      <c r="V762" s="151"/>
      <c r="W762" s="151"/>
      <c r="X762" s="151"/>
      <c r="Y762" s="151"/>
      <c r="Z762" s="151"/>
      <c r="AA762" s="151"/>
      <c r="AB762" s="151"/>
      <c r="AC762" s="342"/>
    </row>
    <row r="763" spans="1:29">
      <c r="A763" s="151" t="s">
        <v>3593</v>
      </c>
      <c r="B763" s="151" t="s">
        <v>2789</v>
      </c>
      <c r="C763" s="151" t="s">
        <v>4656</v>
      </c>
      <c r="D763" s="151" t="s">
        <v>17</v>
      </c>
      <c r="E763" s="151" t="s">
        <v>4753</v>
      </c>
      <c r="F763" s="151" t="s">
        <v>544</v>
      </c>
      <c r="G763" s="151" t="s">
        <v>2173</v>
      </c>
      <c r="H763" s="151" t="s">
        <v>1183</v>
      </c>
      <c r="I763" s="151" t="s">
        <v>1184</v>
      </c>
      <c r="J763" s="151" t="s">
        <v>4662</v>
      </c>
      <c r="K763" s="151" t="s">
        <v>4754</v>
      </c>
      <c r="L763" s="151" t="s">
        <v>4659</v>
      </c>
      <c r="M763" s="151" t="s">
        <v>361</v>
      </c>
      <c r="N763" s="151"/>
      <c r="O763" s="151"/>
      <c r="P763" s="151"/>
      <c r="Q763" s="151"/>
      <c r="R763" s="151" t="s">
        <v>2177</v>
      </c>
      <c r="S763" s="151" t="s">
        <v>361</v>
      </c>
      <c r="T763" s="151" t="s">
        <v>435</v>
      </c>
      <c r="U763" s="151" t="s">
        <v>3582</v>
      </c>
      <c r="V763" s="151" t="s">
        <v>49</v>
      </c>
      <c r="W763" s="151" t="s">
        <v>2373</v>
      </c>
      <c r="X763" s="151" t="s">
        <v>431</v>
      </c>
      <c r="Y763" s="151" t="s">
        <v>3582</v>
      </c>
      <c r="Z763" s="151"/>
      <c r="AA763" s="151"/>
      <c r="AB763" s="151" t="s">
        <v>855</v>
      </c>
      <c r="AC763" s="342"/>
    </row>
    <row r="764" spans="1:29">
      <c r="A764" s="151" t="s">
        <v>3593</v>
      </c>
      <c r="B764" s="151" t="s">
        <v>4755</v>
      </c>
      <c r="C764" s="151" t="s">
        <v>4656</v>
      </c>
      <c r="D764" s="151" t="s">
        <v>17</v>
      </c>
      <c r="E764" s="151" t="s">
        <v>4756</v>
      </c>
      <c r="F764" s="151" t="s">
        <v>544</v>
      </c>
      <c r="G764" s="151" t="s">
        <v>2173</v>
      </c>
      <c r="H764" s="151" t="s">
        <v>1183</v>
      </c>
      <c r="I764" s="151" t="s">
        <v>1184</v>
      </c>
      <c r="J764" s="151" t="s">
        <v>4662</v>
      </c>
      <c r="K764" s="151" t="s">
        <v>4757</v>
      </c>
      <c r="L764" s="151" t="s">
        <v>4659</v>
      </c>
      <c r="M764" s="151" t="s">
        <v>361</v>
      </c>
      <c r="N764" s="151"/>
      <c r="O764" s="151"/>
      <c r="P764" s="151"/>
      <c r="Q764" s="151"/>
      <c r="R764" s="151" t="s">
        <v>2177</v>
      </c>
      <c r="S764" s="151" t="s">
        <v>361</v>
      </c>
      <c r="T764" s="151" t="s">
        <v>435</v>
      </c>
      <c r="U764" s="151" t="s">
        <v>3582</v>
      </c>
      <c r="V764" s="151">
        <v>10</v>
      </c>
      <c r="W764" s="151" t="s">
        <v>4758</v>
      </c>
      <c r="X764" s="151" t="s">
        <v>431</v>
      </c>
      <c r="Y764" s="151" t="s">
        <v>3582</v>
      </c>
      <c r="Z764" s="151"/>
      <c r="AA764" s="151"/>
      <c r="AB764" s="151" t="s">
        <v>855</v>
      </c>
      <c r="AC764" s="342"/>
    </row>
    <row r="765" spans="1:29">
      <c r="A765" s="151" t="s">
        <v>3593</v>
      </c>
      <c r="B765" s="151" t="s">
        <v>4759</v>
      </c>
      <c r="C765" s="151" t="s">
        <v>4656</v>
      </c>
      <c r="D765" s="151" t="s">
        <v>17</v>
      </c>
      <c r="E765" s="151" t="s">
        <v>4760</v>
      </c>
      <c r="F765" s="151" t="s">
        <v>544</v>
      </c>
      <c r="G765" s="151" t="s">
        <v>2173</v>
      </c>
      <c r="H765" s="151" t="s">
        <v>1183</v>
      </c>
      <c r="I765" s="151" t="s">
        <v>1184</v>
      </c>
      <c r="J765" s="151" t="s">
        <v>4662</v>
      </c>
      <c r="K765" s="151" t="s">
        <v>4761</v>
      </c>
      <c r="L765" s="151" t="s">
        <v>4659</v>
      </c>
      <c r="M765" s="151" t="s">
        <v>361</v>
      </c>
      <c r="N765" s="151"/>
      <c r="O765" s="151"/>
      <c r="P765" s="151"/>
      <c r="Q765" s="151"/>
      <c r="R765" s="151" t="s">
        <v>2177</v>
      </c>
      <c r="S765" s="151" t="s">
        <v>361</v>
      </c>
      <c r="T765" s="151" t="s">
        <v>435</v>
      </c>
      <c r="U765" s="151" t="s">
        <v>3582</v>
      </c>
      <c r="V765" s="151">
        <v>40</v>
      </c>
      <c r="W765" s="151" t="s">
        <v>3612</v>
      </c>
      <c r="X765" s="151" t="s">
        <v>431</v>
      </c>
      <c r="Y765" s="151" t="s">
        <v>3582</v>
      </c>
      <c r="Z765" s="151"/>
      <c r="AA765" s="151"/>
      <c r="AB765" s="151" t="s">
        <v>855</v>
      </c>
      <c r="AC765" s="342"/>
    </row>
    <row r="766" spans="1:29">
      <c r="A766" s="151" t="s">
        <v>3593</v>
      </c>
      <c r="B766" s="151" t="s">
        <v>4396</v>
      </c>
      <c r="C766" s="151" t="s">
        <v>4656</v>
      </c>
      <c r="D766" s="151" t="s">
        <v>17</v>
      </c>
      <c r="E766" s="151" t="s">
        <v>4762</v>
      </c>
      <c r="F766" s="151" t="s">
        <v>544</v>
      </c>
      <c r="G766" s="151" t="s">
        <v>2173</v>
      </c>
      <c r="H766" s="151" t="s">
        <v>1183</v>
      </c>
      <c r="I766" s="151" t="s">
        <v>1184</v>
      </c>
      <c r="J766" s="151" t="s">
        <v>4662</v>
      </c>
      <c r="K766" s="151" t="s">
        <v>4763</v>
      </c>
      <c r="L766" s="151" t="s">
        <v>4659</v>
      </c>
      <c r="M766" s="151" t="s">
        <v>361</v>
      </c>
      <c r="N766" s="151"/>
      <c r="O766" s="151"/>
      <c r="P766" s="151"/>
      <c r="Q766" s="151"/>
      <c r="R766" s="151" t="s">
        <v>2177</v>
      </c>
      <c r="S766" s="151" t="s">
        <v>361</v>
      </c>
      <c r="T766" s="151" t="s">
        <v>435</v>
      </c>
      <c r="U766" s="151" t="s">
        <v>3582</v>
      </c>
      <c r="V766" s="151">
        <v>40</v>
      </c>
      <c r="W766" s="151" t="s">
        <v>4669</v>
      </c>
      <c r="X766" s="151" t="s">
        <v>431</v>
      </c>
      <c r="Y766" s="151" t="s">
        <v>3582</v>
      </c>
      <c r="Z766" s="151"/>
      <c r="AA766" s="151"/>
      <c r="AB766" s="151" t="s">
        <v>855</v>
      </c>
      <c r="AC766" s="342"/>
    </row>
    <row r="767" spans="1:29">
      <c r="A767" s="151" t="s">
        <v>3593</v>
      </c>
      <c r="B767" s="151" t="s">
        <v>4399</v>
      </c>
      <c r="C767" s="151" t="s">
        <v>4656</v>
      </c>
      <c r="D767" s="151" t="s">
        <v>17</v>
      </c>
      <c r="E767" s="151" t="s">
        <v>4764</v>
      </c>
      <c r="F767" s="151" t="s">
        <v>544</v>
      </c>
      <c r="G767" s="151" t="s">
        <v>2173</v>
      </c>
      <c r="H767" s="151" t="s">
        <v>1183</v>
      </c>
      <c r="I767" s="151" t="s">
        <v>1184</v>
      </c>
      <c r="J767" s="151" t="s">
        <v>4662</v>
      </c>
      <c r="K767" s="151" t="s">
        <v>4765</v>
      </c>
      <c r="L767" s="151" t="s">
        <v>4659</v>
      </c>
      <c r="M767" s="151" t="s">
        <v>361</v>
      </c>
      <c r="N767" s="151"/>
      <c r="O767" s="151"/>
      <c r="P767" s="151"/>
      <c r="Q767" s="151"/>
      <c r="R767" s="151" t="s">
        <v>2177</v>
      </c>
      <c r="S767" s="151" t="s">
        <v>361</v>
      </c>
      <c r="T767" s="151" t="s">
        <v>435</v>
      </c>
      <c r="U767" s="151" t="s">
        <v>3582</v>
      </c>
      <c r="V767" s="151">
        <v>40</v>
      </c>
      <c r="W767" s="151" t="s">
        <v>4669</v>
      </c>
      <c r="X767" s="151" t="s">
        <v>431</v>
      </c>
      <c r="Y767" s="151" t="s">
        <v>3582</v>
      </c>
      <c r="Z767" s="151"/>
      <c r="AA767" s="151"/>
      <c r="AB767" s="151" t="s">
        <v>855</v>
      </c>
      <c r="AC767" s="342"/>
    </row>
    <row r="768" spans="1:29">
      <c r="A768" s="151" t="s">
        <v>3593</v>
      </c>
      <c r="B768" s="151" t="s">
        <v>4402</v>
      </c>
      <c r="C768" s="151" t="s">
        <v>4656</v>
      </c>
      <c r="D768" s="151" t="s">
        <v>17</v>
      </c>
      <c r="E768" s="151" t="s">
        <v>4766</v>
      </c>
      <c r="F768" s="151" t="s">
        <v>544</v>
      </c>
      <c r="G768" s="151" t="s">
        <v>2173</v>
      </c>
      <c r="H768" s="151" t="s">
        <v>1183</v>
      </c>
      <c r="I768" s="151" t="s">
        <v>1184</v>
      </c>
      <c r="J768" s="151" t="s">
        <v>4662</v>
      </c>
      <c r="K768" s="151" t="s">
        <v>4767</v>
      </c>
      <c r="L768" s="151" t="s">
        <v>4659</v>
      </c>
      <c r="M768" s="151" t="s">
        <v>361</v>
      </c>
      <c r="N768" s="151"/>
      <c r="O768" s="151"/>
      <c r="P768" s="151"/>
      <c r="Q768" s="151"/>
      <c r="R768" s="151" t="s">
        <v>2177</v>
      </c>
      <c r="S768" s="151" t="s">
        <v>361</v>
      </c>
      <c r="T768" s="151" t="s">
        <v>435</v>
      </c>
      <c r="U768" s="151" t="s">
        <v>3582</v>
      </c>
      <c r="V768" s="151">
        <v>40</v>
      </c>
      <c r="W768" s="151" t="s">
        <v>4669</v>
      </c>
      <c r="X768" s="151" t="s">
        <v>431</v>
      </c>
      <c r="Y768" s="151" t="s">
        <v>3582</v>
      </c>
      <c r="Z768" s="151"/>
      <c r="AA768" s="151"/>
      <c r="AB768" s="151" t="s">
        <v>855</v>
      </c>
      <c r="AC768" s="342"/>
    </row>
    <row r="769" spans="1:29">
      <c r="A769" s="151" t="s">
        <v>3593</v>
      </c>
      <c r="B769" s="151" t="s">
        <v>2821</v>
      </c>
      <c r="C769" s="151" t="s">
        <v>4656</v>
      </c>
      <c r="D769" s="151" t="s">
        <v>17</v>
      </c>
      <c r="E769" s="151" t="s">
        <v>4768</v>
      </c>
      <c r="F769" s="151" t="s">
        <v>544</v>
      </c>
      <c r="G769" s="151" t="s">
        <v>2173</v>
      </c>
      <c r="H769" s="151" t="s">
        <v>1183</v>
      </c>
      <c r="I769" s="151" t="s">
        <v>1184</v>
      </c>
      <c r="J769" s="151" t="s">
        <v>4662</v>
      </c>
      <c r="K769" s="151" t="s">
        <v>4769</v>
      </c>
      <c r="L769" s="151" t="s">
        <v>4659</v>
      </c>
      <c r="M769" s="151" t="s">
        <v>361</v>
      </c>
      <c r="N769" s="151"/>
      <c r="O769" s="151"/>
      <c r="P769" s="151"/>
      <c r="Q769" s="151"/>
      <c r="R769" s="151" t="s">
        <v>2177</v>
      </c>
      <c r="S769" s="151" t="s">
        <v>361</v>
      </c>
      <c r="T769" s="151" t="s">
        <v>435</v>
      </c>
      <c r="U769" s="151" t="s">
        <v>3582</v>
      </c>
      <c r="V769" s="151">
        <v>10</v>
      </c>
      <c r="W769" s="151" t="s">
        <v>2250</v>
      </c>
      <c r="X769" s="151" t="s">
        <v>431</v>
      </c>
      <c r="Y769" s="151" t="s">
        <v>3582</v>
      </c>
      <c r="Z769" s="151"/>
      <c r="AA769" s="151"/>
      <c r="AB769" s="151" t="s">
        <v>855</v>
      </c>
      <c r="AC769" s="342"/>
    </row>
    <row r="770" spans="1:29">
      <c r="A770" s="151" t="s">
        <v>3593</v>
      </c>
      <c r="B770" s="151" t="s">
        <v>3594</v>
      </c>
      <c r="C770" s="151" t="s">
        <v>4656</v>
      </c>
      <c r="D770" s="151" t="s">
        <v>17</v>
      </c>
      <c r="E770" s="151" t="s">
        <v>4770</v>
      </c>
      <c r="F770" s="151" t="s">
        <v>544</v>
      </c>
      <c r="G770" s="151" t="s">
        <v>2173</v>
      </c>
      <c r="H770" s="151" t="s">
        <v>1183</v>
      </c>
      <c r="I770" s="151" t="s">
        <v>1184</v>
      </c>
      <c r="J770" s="151" t="s">
        <v>4662</v>
      </c>
      <c r="K770" s="151" t="s">
        <v>4771</v>
      </c>
      <c r="L770" s="151" t="s">
        <v>4659</v>
      </c>
      <c r="M770" s="151" t="s">
        <v>361</v>
      </c>
      <c r="N770" s="151"/>
      <c r="O770" s="151"/>
      <c r="P770" s="151"/>
      <c r="Q770" s="151"/>
      <c r="R770" s="151" t="s">
        <v>2177</v>
      </c>
      <c r="S770" s="151" t="s">
        <v>361</v>
      </c>
      <c r="T770" s="151" t="s">
        <v>435</v>
      </c>
      <c r="U770" s="151" t="s">
        <v>3582</v>
      </c>
      <c r="V770" s="151">
        <v>40</v>
      </c>
      <c r="W770" s="151" t="s">
        <v>4669</v>
      </c>
      <c r="X770" s="151" t="s">
        <v>431</v>
      </c>
      <c r="Y770" s="151" t="s">
        <v>3582</v>
      </c>
      <c r="Z770" s="151"/>
      <c r="AA770" s="151"/>
      <c r="AB770" s="151" t="s">
        <v>855</v>
      </c>
      <c r="AC770" s="342"/>
    </row>
    <row r="771" spans="1:29">
      <c r="A771" s="151" t="s">
        <v>3593</v>
      </c>
      <c r="B771" s="151" t="s">
        <v>4772</v>
      </c>
      <c r="C771" s="151" t="s">
        <v>4656</v>
      </c>
      <c r="D771" s="151" t="s">
        <v>17</v>
      </c>
      <c r="E771" s="151" t="s">
        <v>4773</v>
      </c>
      <c r="F771" s="151" t="s">
        <v>544</v>
      </c>
      <c r="G771" s="151" t="s">
        <v>2173</v>
      </c>
      <c r="H771" s="151" t="s">
        <v>1183</v>
      </c>
      <c r="I771" s="151" t="s">
        <v>1184</v>
      </c>
      <c r="J771" s="151" t="s">
        <v>4662</v>
      </c>
      <c r="K771" s="151" t="s">
        <v>4774</v>
      </c>
      <c r="L771" s="151" t="s">
        <v>4659</v>
      </c>
      <c r="M771" s="151" t="s">
        <v>361</v>
      </c>
      <c r="N771" s="151"/>
      <c r="O771" s="151"/>
      <c r="P771" s="151"/>
      <c r="Q771" s="151"/>
      <c r="R771" s="151" t="s">
        <v>2177</v>
      </c>
      <c r="S771" s="151" t="s">
        <v>361</v>
      </c>
      <c r="T771" s="151" t="s">
        <v>435</v>
      </c>
      <c r="U771" s="151" t="s">
        <v>3582</v>
      </c>
      <c r="V771" s="151">
        <v>12</v>
      </c>
      <c r="W771" s="151" t="s">
        <v>2594</v>
      </c>
      <c r="X771" s="151" t="s">
        <v>431</v>
      </c>
      <c r="Y771" s="151" t="s">
        <v>3582</v>
      </c>
      <c r="Z771" s="151"/>
      <c r="AA771" s="151"/>
      <c r="AB771" s="151" t="s">
        <v>855</v>
      </c>
      <c r="AC771" s="342"/>
    </row>
    <row r="772" spans="1:29">
      <c r="A772" s="151" t="s">
        <v>3593</v>
      </c>
      <c r="B772" s="151" t="s">
        <v>4775</v>
      </c>
      <c r="C772" s="151" t="s">
        <v>4656</v>
      </c>
      <c r="D772" s="151" t="s">
        <v>17</v>
      </c>
      <c r="E772" s="151" t="s">
        <v>4776</v>
      </c>
      <c r="F772" s="151" t="s">
        <v>544</v>
      </c>
      <c r="G772" s="151" t="s">
        <v>2173</v>
      </c>
      <c r="H772" s="151" t="s">
        <v>1183</v>
      </c>
      <c r="I772" s="151" t="s">
        <v>1184</v>
      </c>
      <c r="J772" s="151" t="s">
        <v>4662</v>
      </c>
      <c r="K772" s="151" t="s">
        <v>4777</v>
      </c>
      <c r="L772" s="151" t="s">
        <v>4659</v>
      </c>
      <c r="M772" s="151" t="s">
        <v>361</v>
      </c>
      <c r="N772" s="151"/>
      <c r="O772" s="151"/>
      <c r="P772" s="151"/>
      <c r="Q772" s="151"/>
      <c r="R772" s="151" t="s">
        <v>2177</v>
      </c>
      <c r="S772" s="151" t="s">
        <v>361</v>
      </c>
      <c r="T772" s="151" t="s">
        <v>435</v>
      </c>
      <c r="U772" s="151" t="s">
        <v>3582</v>
      </c>
      <c r="V772" s="151">
        <v>6</v>
      </c>
      <c r="W772" s="151" t="s">
        <v>4758</v>
      </c>
      <c r="X772" s="151" t="s">
        <v>431</v>
      </c>
      <c r="Y772" s="151" t="s">
        <v>3582</v>
      </c>
      <c r="Z772" s="151"/>
      <c r="AA772" s="151"/>
      <c r="AB772" s="151" t="s">
        <v>855</v>
      </c>
      <c r="AC772" s="342"/>
    </row>
    <row r="773" spans="1:29">
      <c r="A773" s="151" t="s">
        <v>3593</v>
      </c>
      <c r="B773" s="151" t="s">
        <v>4778</v>
      </c>
      <c r="C773" s="151" t="s">
        <v>4656</v>
      </c>
      <c r="D773" s="151" t="s">
        <v>17</v>
      </c>
      <c r="E773" s="151" t="s">
        <v>4779</v>
      </c>
      <c r="F773" s="151" t="s">
        <v>544</v>
      </c>
      <c r="G773" s="151" t="s">
        <v>2173</v>
      </c>
      <c r="H773" s="151" t="s">
        <v>1183</v>
      </c>
      <c r="I773" s="151" t="s">
        <v>1184</v>
      </c>
      <c r="J773" s="151" t="s">
        <v>4662</v>
      </c>
      <c r="K773" s="151" t="s">
        <v>4780</v>
      </c>
      <c r="L773" s="151" t="s">
        <v>4659</v>
      </c>
      <c r="M773" s="151" t="s">
        <v>361</v>
      </c>
      <c r="N773" s="151"/>
      <c r="O773" s="151"/>
      <c r="P773" s="151"/>
      <c r="Q773" s="151"/>
      <c r="R773" s="151" t="s">
        <v>2550</v>
      </c>
      <c r="S773" s="151" t="s">
        <v>3738</v>
      </c>
      <c r="T773" s="151"/>
      <c r="U773" s="151"/>
      <c r="V773" s="151"/>
      <c r="W773" s="151"/>
      <c r="X773" s="151"/>
      <c r="Y773" s="151"/>
      <c r="Z773" s="151"/>
      <c r="AA773" s="151"/>
      <c r="AB773" s="151"/>
      <c r="AC773" s="342"/>
    </row>
    <row r="774" spans="1:29">
      <c r="A774" s="151" t="s">
        <v>3593</v>
      </c>
      <c r="B774" s="151" t="s">
        <v>4781</v>
      </c>
      <c r="C774" s="151" t="s">
        <v>4656</v>
      </c>
      <c r="D774" s="151" t="s">
        <v>17</v>
      </c>
      <c r="E774" s="151" t="s">
        <v>4782</v>
      </c>
      <c r="F774" s="151" t="s">
        <v>544</v>
      </c>
      <c r="G774" s="151" t="s">
        <v>2173</v>
      </c>
      <c r="H774" s="151" t="s">
        <v>1183</v>
      </c>
      <c r="I774" s="151" t="s">
        <v>1184</v>
      </c>
      <c r="J774" s="151" t="s">
        <v>4662</v>
      </c>
      <c r="K774" s="151" t="s">
        <v>4783</v>
      </c>
      <c r="L774" s="151" t="s">
        <v>4659</v>
      </c>
      <c r="M774" s="151" t="s">
        <v>361</v>
      </c>
      <c r="N774" s="151"/>
      <c r="O774" s="151"/>
      <c r="P774" s="151"/>
      <c r="Q774" s="151"/>
      <c r="R774" s="151" t="s">
        <v>2177</v>
      </c>
      <c r="S774" s="151" t="s">
        <v>361</v>
      </c>
      <c r="T774" s="151" t="s">
        <v>435</v>
      </c>
      <c r="U774" s="151" t="s">
        <v>3582</v>
      </c>
      <c r="V774" s="151">
        <v>6</v>
      </c>
      <c r="W774" s="151" t="s">
        <v>4758</v>
      </c>
      <c r="X774" s="151" t="s">
        <v>431</v>
      </c>
      <c r="Y774" s="151" t="s">
        <v>3582</v>
      </c>
      <c r="Z774" s="151"/>
      <c r="AA774" s="151"/>
      <c r="AB774" s="151" t="s">
        <v>855</v>
      </c>
      <c r="AC774" s="342"/>
    </row>
    <row r="775" spans="1:29">
      <c r="A775" s="151" t="s">
        <v>3593</v>
      </c>
      <c r="B775" s="151" t="s">
        <v>4784</v>
      </c>
      <c r="C775" s="151" t="s">
        <v>4656</v>
      </c>
      <c r="D775" s="151" t="s">
        <v>17</v>
      </c>
      <c r="E775" s="151" t="s">
        <v>4785</v>
      </c>
      <c r="F775" s="151" t="s">
        <v>544</v>
      </c>
      <c r="G775" s="151" t="s">
        <v>2173</v>
      </c>
      <c r="H775" s="151" t="s">
        <v>1183</v>
      </c>
      <c r="I775" s="151" t="s">
        <v>1184</v>
      </c>
      <c r="J775" s="151" t="s">
        <v>4662</v>
      </c>
      <c r="K775" s="151" t="s">
        <v>4786</v>
      </c>
      <c r="L775" s="151" t="s">
        <v>4659</v>
      </c>
      <c r="M775" s="151" t="s">
        <v>361</v>
      </c>
      <c r="N775" s="151"/>
      <c r="O775" s="151"/>
      <c r="P775" s="151"/>
      <c r="Q775" s="151"/>
      <c r="R775" s="151" t="s">
        <v>2177</v>
      </c>
      <c r="S775" s="151" t="s">
        <v>361</v>
      </c>
      <c r="T775" s="151" t="s">
        <v>435</v>
      </c>
      <c r="U775" s="151" t="s">
        <v>3582</v>
      </c>
      <c r="V775" s="151">
        <v>34</v>
      </c>
      <c r="W775" s="151" t="s">
        <v>3612</v>
      </c>
      <c r="X775" s="151" t="s">
        <v>431</v>
      </c>
      <c r="Y775" s="151" t="s">
        <v>3582</v>
      </c>
      <c r="Z775" s="151"/>
      <c r="AA775" s="151"/>
      <c r="AB775" s="151" t="s">
        <v>855</v>
      </c>
      <c r="AC775" s="342"/>
    </row>
    <row r="776" spans="1:29">
      <c r="A776" s="151" t="s">
        <v>3593</v>
      </c>
      <c r="B776" s="151" t="s">
        <v>4787</v>
      </c>
      <c r="C776" s="151" t="s">
        <v>4656</v>
      </c>
      <c r="D776" s="151" t="s">
        <v>17</v>
      </c>
      <c r="E776" s="151" t="s">
        <v>4788</v>
      </c>
      <c r="F776" s="151" t="s">
        <v>544</v>
      </c>
      <c r="G776" s="151" t="s">
        <v>2173</v>
      </c>
      <c r="H776" s="151" t="s">
        <v>1183</v>
      </c>
      <c r="I776" s="151" t="s">
        <v>1184</v>
      </c>
      <c r="J776" s="151" t="s">
        <v>4662</v>
      </c>
      <c r="K776" s="151" t="s">
        <v>4789</v>
      </c>
      <c r="L776" s="151" t="s">
        <v>4659</v>
      </c>
      <c r="M776" s="151" t="s">
        <v>361</v>
      </c>
      <c r="N776" s="151"/>
      <c r="O776" s="151"/>
      <c r="P776" s="151"/>
      <c r="Q776" s="151"/>
      <c r="R776" s="151" t="s">
        <v>2177</v>
      </c>
      <c r="S776" s="151" t="s">
        <v>361</v>
      </c>
      <c r="T776" s="151" t="s">
        <v>435</v>
      </c>
      <c r="U776" s="151" t="s">
        <v>3582</v>
      </c>
      <c r="V776" s="151">
        <v>40</v>
      </c>
      <c r="W776" s="151" t="s">
        <v>4669</v>
      </c>
      <c r="X776" s="151" t="s">
        <v>431</v>
      </c>
      <c r="Y776" s="151" t="s">
        <v>3582</v>
      </c>
      <c r="Z776" s="151"/>
      <c r="AA776" s="151"/>
      <c r="AB776" s="151" t="s">
        <v>855</v>
      </c>
      <c r="AC776" s="342"/>
    </row>
    <row r="777" spans="1:29">
      <c r="A777" s="151" t="s">
        <v>3593</v>
      </c>
      <c r="B777" s="151" t="s">
        <v>4790</v>
      </c>
      <c r="C777" s="151" t="s">
        <v>4656</v>
      </c>
      <c r="D777" s="151" t="s">
        <v>17</v>
      </c>
      <c r="E777" s="151" t="s">
        <v>4791</v>
      </c>
      <c r="F777" s="151" t="s">
        <v>544</v>
      </c>
      <c r="G777" s="151" t="s">
        <v>2173</v>
      </c>
      <c r="H777" s="151" t="s">
        <v>1183</v>
      </c>
      <c r="I777" s="151" t="s">
        <v>1184</v>
      </c>
      <c r="J777" s="151" t="s">
        <v>4662</v>
      </c>
      <c r="K777" s="151" t="s">
        <v>4792</v>
      </c>
      <c r="L777" s="151" t="s">
        <v>4659</v>
      </c>
      <c r="M777" s="151" t="s">
        <v>361</v>
      </c>
      <c r="N777" s="151"/>
      <c r="O777" s="151"/>
      <c r="P777" s="151"/>
      <c r="Q777" s="151"/>
      <c r="R777" s="151" t="s">
        <v>2177</v>
      </c>
      <c r="S777" s="151" t="s">
        <v>361</v>
      </c>
      <c r="T777" s="151" t="s">
        <v>435</v>
      </c>
      <c r="U777" s="151" t="s">
        <v>3582</v>
      </c>
      <c r="V777" s="151">
        <v>40</v>
      </c>
      <c r="W777" s="151" t="s">
        <v>4669</v>
      </c>
      <c r="X777" s="151" t="s">
        <v>431</v>
      </c>
      <c r="Y777" s="151" t="s">
        <v>3582</v>
      </c>
      <c r="Z777" s="151"/>
      <c r="AA777" s="151"/>
      <c r="AB777" s="151" t="s">
        <v>855</v>
      </c>
      <c r="AC777" s="342"/>
    </row>
    <row r="778" spans="1:29">
      <c r="A778" s="151" t="s">
        <v>3593</v>
      </c>
      <c r="B778" s="151" t="s">
        <v>4793</v>
      </c>
      <c r="C778" s="151" t="s">
        <v>4656</v>
      </c>
      <c r="D778" s="151" t="s">
        <v>17</v>
      </c>
      <c r="E778" s="151" t="s">
        <v>4794</v>
      </c>
      <c r="F778" s="151" t="s">
        <v>544</v>
      </c>
      <c r="G778" s="151" t="s">
        <v>2173</v>
      </c>
      <c r="H778" s="151" t="s">
        <v>1183</v>
      </c>
      <c r="I778" s="151" t="s">
        <v>1184</v>
      </c>
      <c r="J778" s="151" t="s">
        <v>4662</v>
      </c>
      <c r="K778" s="151" t="s">
        <v>4795</v>
      </c>
      <c r="L778" s="151" t="s">
        <v>4659</v>
      </c>
      <c r="M778" s="151" t="s">
        <v>361</v>
      </c>
      <c r="N778" s="151"/>
      <c r="O778" s="151"/>
      <c r="P778" s="151"/>
      <c r="Q778" s="151"/>
      <c r="R778" s="151" t="s">
        <v>2177</v>
      </c>
      <c r="S778" s="151" t="s">
        <v>361</v>
      </c>
      <c r="T778" s="151" t="s">
        <v>435</v>
      </c>
      <c r="U778" s="151" t="s">
        <v>3582</v>
      </c>
      <c r="V778" s="151">
        <v>40</v>
      </c>
      <c r="W778" s="151" t="s">
        <v>4669</v>
      </c>
      <c r="X778" s="151" t="s">
        <v>431</v>
      </c>
      <c r="Y778" s="151" t="s">
        <v>3582</v>
      </c>
      <c r="Z778" s="151"/>
      <c r="AA778" s="151"/>
      <c r="AB778" s="151" t="s">
        <v>855</v>
      </c>
      <c r="AC778" s="342"/>
    </row>
    <row r="779" spans="1:29">
      <c r="A779" s="151" t="s">
        <v>3593</v>
      </c>
      <c r="B779" s="151" t="s">
        <v>4796</v>
      </c>
      <c r="C779" s="151" t="s">
        <v>4656</v>
      </c>
      <c r="D779" s="151" t="s">
        <v>17</v>
      </c>
      <c r="E779" s="151" t="s">
        <v>4797</v>
      </c>
      <c r="F779" s="151" t="s">
        <v>544</v>
      </c>
      <c r="G779" s="151" t="s">
        <v>2173</v>
      </c>
      <c r="H779" s="151" t="s">
        <v>1183</v>
      </c>
      <c r="I779" s="151" t="s">
        <v>1184</v>
      </c>
      <c r="J779" s="151" t="s">
        <v>4662</v>
      </c>
      <c r="K779" s="151" t="s">
        <v>4798</v>
      </c>
      <c r="L779" s="151" t="s">
        <v>4659</v>
      </c>
      <c r="M779" s="151" t="s">
        <v>361</v>
      </c>
      <c r="N779" s="151"/>
      <c r="O779" s="151"/>
      <c r="P779" s="151"/>
      <c r="Q779" s="151"/>
      <c r="R779" s="151" t="s">
        <v>2177</v>
      </c>
      <c r="S779" s="151" t="s">
        <v>361</v>
      </c>
      <c r="T779" s="151" t="s">
        <v>435</v>
      </c>
      <c r="U779" s="151" t="s">
        <v>3582</v>
      </c>
      <c r="V779" s="151">
        <v>12</v>
      </c>
      <c r="W779" s="151" t="s">
        <v>2594</v>
      </c>
      <c r="X779" s="151" t="s">
        <v>431</v>
      </c>
      <c r="Y779" s="151" t="s">
        <v>3582</v>
      </c>
      <c r="Z779" s="151"/>
      <c r="AA779" s="151"/>
      <c r="AB779" s="151" t="s">
        <v>855</v>
      </c>
      <c r="AC779" s="342"/>
    </row>
    <row r="780" spans="1:29">
      <c r="A780" s="151" t="s">
        <v>3593</v>
      </c>
      <c r="B780" s="151" t="s">
        <v>4799</v>
      </c>
      <c r="C780" s="151" t="s">
        <v>4656</v>
      </c>
      <c r="D780" s="151" t="s">
        <v>17</v>
      </c>
      <c r="E780" s="151" t="s">
        <v>4800</v>
      </c>
      <c r="F780" s="151" t="s">
        <v>544</v>
      </c>
      <c r="G780" s="151" t="s">
        <v>2173</v>
      </c>
      <c r="H780" s="151" t="s">
        <v>1183</v>
      </c>
      <c r="I780" s="151" t="s">
        <v>1184</v>
      </c>
      <c r="J780" s="151" t="s">
        <v>4662</v>
      </c>
      <c r="K780" s="151" t="s">
        <v>4801</v>
      </c>
      <c r="L780" s="151" t="s">
        <v>4659</v>
      </c>
      <c r="M780" s="151" t="s">
        <v>361</v>
      </c>
      <c r="N780" s="151"/>
      <c r="O780" s="151"/>
      <c r="P780" s="151"/>
      <c r="Q780" s="151"/>
      <c r="R780" s="151" t="s">
        <v>2177</v>
      </c>
      <c r="S780" s="151" t="s">
        <v>361</v>
      </c>
      <c r="T780" s="151" t="s">
        <v>435</v>
      </c>
      <c r="U780" s="151" t="s">
        <v>3582</v>
      </c>
      <c r="V780" s="151">
        <v>6</v>
      </c>
      <c r="W780" s="151" t="s">
        <v>4758</v>
      </c>
      <c r="X780" s="151" t="s">
        <v>431</v>
      </c>
      <c r="Y780" s="151" t="s">
        <v>3582</v>
      </c>
      <c r="Z780" s="151"/>
      <c r="AA780" s="151"/>
      <c r="AB780" s="151" t="s">
        <v>855</v>
      </c>
      <c r="AC780" s="342"/>
    </row>
    <row r="781" spans="1:29">
      <c r="A781" s="151" t="s">
        <v>3593</v>
      </c>
      <c r="B781" s="151" t="s">
        <v>4802</v>
      </c>
      <c r="C781" s="151" t="s">
        <v>4656</v>
      </c>
      <c r="D781" s="151" t="s">
        <v>17</v>
      </c>
      <c r="E781" s="151" t="s">
        <v>4803</v>
      </c>
      <c r="F781" s="151" t="s">
        <v>544</v>
      </c>
      <c r="G781" s="151" t="s">
        <v>2173</v>
      </c>
      <c r="H781" s="151" t="s">
        <v>1183</v>
      </c>
      <c r="I781" s="151" t="s">
        <v>1184</v>
      </c>
      <c r="J781" s="151" t="s">
        <v>4662</v>
      </c>
      <c r="K781" s="151" t="s">
        <v>4804</v>
      </c>
      <c r="L781" s="151" t="s">
        <v>4659</v>
      </c>
      <c r="M781" s="151" t="s">
        <v>361</v>
      </c>
      <c r="N781" s="151"/>
      <c r="O781" s="151"/>
      <c r="P781" s="151"/>
      <c r="Q781" s="151"/>
      <c r="R781" s="151" t="s">
        <v>2177</v>
      </c>
      <c r="S781" s="151" t="s">
        <v>361</v>
      </c>
      <c r="T781" s="151" t="s">
        <v>435</v>
      </c>
      <c r="U781" s="151" t="s">
        <v>3582</v>
      </c>
      <c r="V781" s="151">
        <v>6</v>
      </c>
      <c r="W781" s="151" t="s">
        <v>2250</v>
      </c>
      <c r="X781" s="151" t="s">
        <v>431</v>
      </c>
      <c r="Y781" s="151" t="s">
        <v>3582</v>
      </c>
      <c r="Z781" s="151"/>
      <c r="AA781" s="151"/>
      <c r="AB781" s="151" t="s">
        <v>855</v>
      </c>
      <c r="AC781" s="342"/>
    </row>
    <row r="782" spans="1:29">
      <c r="A782" s="151" t="s">
        <v>3593</v>
      </c>
      <c r="B782" s="151" t="s">
        <v>4805</v>
      </c>
      <c r="C782" s="151" t="s">
        <v>4656</v>
      </c>
      <c r="D782" s="151" t="s">
        <v>17</v>
      </c>
      <c r="E782" s="151" t="s">
        <v>4806</v>
      </c>
      <c r="F782" s="151" t="s">
        <v>544</v>
      </c>
      <c r="G782" s="151" t="s">
        <v>2173</v>
      </c>
      <c r="H782" s="151" t="s">
        <v>1183</v>
      </c>
      <c r="I782" s="151" t="s">
        <v>1184</v>
      </c>
      <c r="J782" s="151" t="s">
        <v>4662</v>
      </c>
      <c r="K782" s="151" t="s">
        <v>4807</v>
      </c>
      <c r="L782" s="151" t="s">
        <v>4659</v>
      </c>
      <c r="M782" s="151" t="s">
        <v>361</v>
      </c>
      <c r="N782" s="151"/>
      <c r="O782" s="151"/>
      <c r="P782" s="151"/>
      <c r="Q782" s="151"/>
      <c r="R782" s="151" t="s">
        <v>2177</v>
      </c>
      <c r="S782" s="151" t="s">
        <v>361</v>
      </c>
      <c r="T782" s="151" t="s">
        <v>435</v>
      </c>
      <c r="U782" s="151" t="s">
        <v>3582</v>
      </c>
      <c r="V782" s="151">
        <v>6</v>
      </c>
      <c r="W782" s="151" t="s">
        <v>4758</v>
      </c>
      <c r="X782" s="151" t="s">
        <v>431</v>
      </c>
      <c r="Y782" s="151" t="s">
        <v>3582</v>
      </c>
      <c r="Z782" s="151"/>
      <c r="AA782" s="151"/>
      <c r="AB782" s="151" t="s">
        <v>855</v>
      </c>
      <c r="AC782" s="342"/>
    </row>
    <row r="783" spans="1:29">
      <c r="A783" s="151" t="s">
        <v>3593</v>
      </c>
      <c r="B783" s="151" t="s">
        <v>4808</v>
      </c>
      <c r="C783" s="151" t="s">
        <v>4656</v>
      </c>
      <c r="D783" s="151" t="s">
        <v>17</v>
      </c>
      <c r="E783" s="151" t="s">
        <v>4809</v>
      </c>
      <c r="F783" s="151" t="s">
        <v>544</v>
      </c>
      <c r="G783" s="151" t="s">
        <v>2173</v>
      </c>
      <c r="H783" s="151" t="s">
        <v>1183</v>
      </c>
      <c r="I783" s="151" t="s">
        <v>1184</v>
      </c>
      <c r="J783" s="151" t="s">
        <v>4662</v>
      </c>
      <c r="K783" s="151" t="s">
        <v>4810</v>
      </c>
      <c r="L783" s="151" t="s">
        <v>4659</v>
      </c>
      <c r="M783" s="151" t="s">
        <v>361</v>
      </c>
      <c r="N783" s="151"/>
      <c r="O783" s="151"/>
      <c r="P783" s="151"/>
      <c r="Q783" s="151"/>
      <c r="R783" s="151" t="s">
        <v>2177</v>
      </c>
      <c r="S783" s="151" t="s">
        <v>361</v>
      </c>
      <c r="T783" s="151" t="s">
        <v>435</v>
      </c>
      <c r="U783" s="151" t="s">
        <v>3582</v>
      </c>
      <c r="V783" s="151" t="s">
        <v>49</v>
      </c>
      <c r="W783" s="151" t="s">
        <v>2373</v>
      </c>
      <c r="X783" s="151" t="s">
        <v>431</v>
      </c>
      <c r="Y783" s="151" t="s">
        <v>3582</v>
      </c>
      <c r="Z783" s="151"/>
      <c r="AA783" s="151"/>
      <c r="AB783" s="151" t="s">
        <v>855</v>
      </c>
      <c r="AC783" s="342"/>
    </row>
    <row r="784" spans="1:29">
      <c r="A784" s="151" t="s">
        <v>3593</v>
      </c>
      <c r="B784" s="151" t="s">
        <v>4811</v>
      </c>
      <c r="C784" s="151" t="s">
        <v>4656</v>
      </c>
      <c r="D784" s="151" t="s">
        <v>17</v>
      </c>
      <c r="E784" s="151" t="s">
        <v>4812</v>
      </c>
      <c r="F784" s="151" t="s">
        <v>544</v>
      </c>
      <c r="G784" s="151" t="s">
        <v>2173</v>
      </c>
      <c r="H784" s="151" t="s">
        <v>1183</v>
      </c>
      <c r="I784" s="151" t="s">
        <v>1184</v>
      </c>
      <c r="J784" s="151" t="s">
        <v>4662</v>
      </c>
      <c r="K784" s="151" t="s">
        <v>4813</v>
      </c>
      <c r="L784" s="151" t="s">
        <v>4659</v>
      </c>
      <c r="M784" s="151" t="s">
        <v>361</v>
      </c>
      <c r="N784" s="151"/>
      <c r="O784" s="151"/>
      <c r="P784" s="151"/>
      <c r="Q784" s="151"/>
      <c r="R784" s="151" t="s">
        <v>2177</v>
      </c>
      <c r="S784" s="151" t="s">
        <v>361</v>
      </c>
      <c r="T784" s="151" t="s">
        <v>435</v>
      </c>
      <c r="U784" s="151" t="s">
        <v>3582</v>
      </c>
      <c r="V784" s="151">
        <v>40</v>
      </c>
      <c r="W784" s="151" t="s">
        <v>3612</v>
      </c>
      <c r="X784" s="151" t="s">
        <v>431</v>
      </c>
      <c r="Y784" s="151" t="s">
        <v>3582</v>
      </c>
      <c r="Z784" s="151"/>
      <c r="AA784" s="151"/>
      <c r="AB784" s="151" t="s">
        <v>855</v>
      </c>
      <c r="AC784" s="342"/>
    </row>
    <row r="785" spans="1:29">
      <c r="A785" s="151" t="s">
        <v>3593</v>
      </c>
      <c r="B785" s="151" t="s">
        <v>4814</v>
      </c>
      <c r="C785" s="151" t="s">
        <v>4656</v>
      </c>
      <c r="D785" s="151" t="s">
        <v>17</v>
      </c>
      <c r="E785" s="151" t="s">
        <v>4815</v>
      </c>
      <c r="F785" s="151" t="s">
        <v>544</v>
      </c>
      <c r="G785" s="151" t="s">
        <v>2173</v>
      </c>
      <c r="H785" s="151" t="s">
        <v>1183</v>
      </c>
      <c r="I785" s="151" t="s">
        <v>1184</v>
      </c>
      <c r="J785" s="151" t="s">
        <v>4662</v>
      </c>
      <c r="K785" s="151" t="s">
        <v>4816</v>
      </c>
      <c r="L785" s="151" t="s">
        <v>4659</v>
      </c>
      <c r="M785" s="151" t="s">
        <v>361</v>
      </c>
      <c r="N785" s="151"/>
      <c r="O785" s="151"/>
      <c r="P785" s="151"/>
      <c r="Q785" s="151"/>
      <c r="R785" s="151" t="s">
        <v>2177</v>
      </c>
      <c r="S785" s="151" t="s">
        <v>361</v>
      </c>
      <c r="T785" s="151" t="s">
        <v>435</v>
      </c>
      <c r="U785" s="151" t="s">
        <v>3582</v>
      </c>
      <c r="V785" s="151">
        <v>40</v>
      </c>
      <c r="W785" s="151" t="s">
        <v>4669</v>
      </c>
      <c r="X785" s="151" t="s">
        <v>431</v>
      </c>
      <c r="Y785" s="151" t="s">
        <v>3582</v>
      </c>
      <c r="Z785" s="151"/>
      <c r="AA785" s="151"/>
      <c r="AB785" s="151" t="s">
        <v>855</v>
      </c>
      <c r="AC785" s="342"/>
    </row>
    <row r="786" spans="1:29">
      <c r="A786" s="151" t="s">
        <v>3593</v>
      </c>
      <c r="B786" s="151" t="s">
        <v>4817</v>
      </c>
      <c r="C786" s="151" t="s">
        <v>4656</v>
      </c>
      <c r="D786" s="151" t="s">
        <v>17</v>
      </c>
      <c r="E786" s="151" t="s">
        <v>4818</v>
      </c>
      <c r="F786" s="151" t="s">
        <v>544</v>
      </c>
      <c r="G786" s="151" t="s">
        <v>2173</v>
      </c>
      <c r="H786" s="151" t="s">
        <v>1183</v>
      </c>
      <c r="I786" s="151" t="s">
        <v>1184</v>
      </c>
      <c r="J786" s="151" t="s">
        <v>4662</v>
      </c>
      <c r="K786" s="151" t="s">
        <v>4819</v>
      </c>
      <c r="L786" s="151" t="s">
        <v>4659</v>
      </c>
      <c r="M786" s="151" t="s">
        <v>361</v>
      </c>
      <c r="N786" s="151"/>
      <c r="O786" s="151"/>
      <c r="P786" s="151"/>
      <c r="Q786" s="151"/>
      <c r="R786" s="151" t="s">
        <v>2177</v>
      </c>
      <c r="S786" s="151" t="s">
        <v>361</v>
      </c>
      <c r="T786" s="151" t="s">
        <v>435</v>
      </c>
      <c r="U786" s="151" t="s">
        <v>3582</v>
      </c>
      <c r="V786" s="151">
        <v>40</v>
      </c>
      <c r="W786" s="151" t="s">
        <v>4669</v>
      </c>
      <c r="X786" s="151" t="s">
        <v>431</v>
      </c>
      <c r="Y786" s="151" t="s">
        <v>3582</v>
      </c>
      <c r="Z786" s="151"/>
      <c r="AA786" s="151"/>
      <c r="AB786" s="151" t="s">
        <v>855</v>
      </c>
      <c r="AC786" s="342"/>
    </row>
    <row r="787" spans="1:29">
      <c r="A787" s="151" t="s">
        <v>3593</v>
      </c>
      <c r="B787" s="151" t="s">
        <v>4820</v>
      </c>
      <c r="C787" s="151" t="s">
        <v>4656</v>
      </c>
      <c r="D787" s="151" t="s">
        <v>17</v>
      </c>
      <c r="E787" s="151" t="s">
        <v>4821</v>
      </c>
      <c r="F787" s="151" t="s">
        <v>544</v>
      </c>
      <c r="G787" s="151" t="s">
        <v>2173</v>
      </c>
      <c r="H787" s="151" t="s">
        <v>1183</v>
      </c>
      <c r="I787" s="151" t="s">
        <v>1184</v>
      </c>
      <c r="J787" s="151" t="s">
        <v>4662</v>
      </c>
      <c r="K787" s="151" t="s">
        <v>4822</v>
      </c>
      <c r="L787" s="151" t="s">
        <v>4659</v>
      </c>
      <c r="M787" s="151" t="s">
        <v>361</v>
      </c>
      <c r="N787" s="151"/>
      <c r="O787" s="151"/>
      <c r="P787" s="151"/>
      <c r="Q787" s="151"/>
      <c r="R787" s="151" t="s">
        <v>2177</v>
      </c>
      <c r="S787" s="151" t="s">
        <v>361</v>
      </c>
      <c r="T787" s="151" t="s">
        <v>435</v>
      </c>
      <c r="U787" s="151" t="s">
        <v>3582</v>
      </c>
      <c r="V787" s="151">
        <v>40</v>
      </c>
      <c r="W787" s="151" t="s">
        <v>4669</v>
      </c>
      <c r="X787" s="151" t="s">
        <v>431</v>
      </c>
      <c r="Y787" s="151" t="s">
        <v>3582</v>
      </c>
      <c r="Z787" s="151"/>
      <c r="AA787" s="151"/>
      <c r="AB787" s="151" t="s">
        <v>855</v>
      </c>
      <c r="AC787" s="342"/>
    </row>
    <row r="788" spans="1:29">
      <c r="A788" s="151" t="s">
        <v>3593</v>
      </c>
      <c r="B788" s="151" t="s">
        <v>4823</v>
      </c>
      <c r="C788" s="151" t="s">
        <v>4656</v>
      </c>
      <c r="D788" s="151" t="s">
        <v>17</v>
      </c>
      <c r="E788" s="151" t="s">
        <v>4824</v>
      </c>
      <c r="F788" s="151" t="s">
        <v>544</v>
      </c>
      <c r="G788" s="151" t="s">
        <v>2173</v>
      </c>
      <c r="H788" s="151" t="s">
        <v>1183</v>
      </c>
      <c r="I788" s="151" t="s">
        <v>1184</v>
      </c>
      <c r="J788" s="151" t="s">
        <v>4662</v>
      </c>
      <c r="K788" s="151" t="s">
        <v>4825</v>
      </c>
      <c r="L788" s="151" t="s">
        <v>4659</v>
      </c>
      <c r="M788" s="151" t="s">
        <v>361</v>
      </c>
      <c r="N788" s="151"/>
      <c r="O788" s="151"/>
      <c r="P788" s="151"/>
      <c r="Q788" s="151"/>
      <c r="R788" s="151" t="s">
        <v>2177</v>
      </c>
      <c r="S788" s="151" t="s">
        <v>361</v>
      </c>
      <c r="T788" s="151" t="s">
        <v>435</v>
      </c>
      <c r="U788" s="151" t="s">
        <v>3582</v>
      </c>
      <c r="V788" s="151">
        <v>5</v>
      </c>
      <c r="W788" s="151" t="s">
        <v>2250</v>
      </c>
      <c r="X788" s="151" t="s">
        <v>431</v>
      </c>
      <c r="Y788" s="151" t="s">
        <v>3582</v>
      </c>
      <c r="Z788" s="151"/>
      <c r="AA788" s="151"/>
      <c r="AB788" s="151" t="s">
        <v>855</v>
      </c>
      <c r="AC788" s="342"/>
    </row>
    <row r="789" spans="1:29">
      <c r="A789" s="151" t="s">
        <v>3593</v>
      </c>
      <c r="B789" s="151" t="s">
        <v>4826</v>
      </c>
      <c r="C789" s="151" t="s">
        <v>4656</v>
      </c>
      <c r="D789" s="151" t="s">
        <v>17</v>
      </c>
      <c r="E789" s="151" t="s">
        <v>4827</v>
      </c>
      <c r="F789" s="151" t="s">
        <v>544</v>
      </c>
      <c r="G789" s="151" t="s">
        <v>2173</v>
      </c>
      <c r="H789" s="151" t="s">
        <v>1183</v>
      </c>
      <c r="I789" s="151" t="s">
        <v>1184</v>
      </c>
      <c r="J789" s="151" t="s">
        <v>4662</v>
      </c>
      <c r="K789" s="151" t="s">
        <v>4828</v>
      </c>
      <c r="L789" s="151" t="s">
        <v>4659</v>
      </c>
      <c r="M789" s="151" t="s">
        <v>361</v>
      </c>
      <c r="N789" s="151"/>
      <c r="O789" s="151"/>
      <c r="P789" s="151"/>
      <c r="Q789" s="151"/>
      <c r="R789" s="151" t="s">
        <v>2177</v>
      </c>
      <c r="S789" s="151" t="s">
        <v>361</v>
      </c>
      <c r="T789" s="151" t="s">
        <v>435</v>
      </c>
      <c r="U789" s="151" t="s">
        <v>3582</v>
      </c>
      <c r="V789" s="151">
        <v>12</v>
      </c>
      <c r="W789" s="151" t="s">
        <v>2594</v>
      </c>
      <c r="X789" s="151" t="s">
        <v>431</v>
      </c>
      <c r="Y789" s="151" t="s">
        <v>3582</v>
      </c>
      <c r="Z789" s="151"/>
      <c r="AA789" s="151"/>
      <c r="AB789" s="151" t="s">
        <v>855</v>
      </c>
      <c r="AC789" s="342"/>
    </row>
    <row r="790" spans="1:29">
      <c r="A790" s="151" t="s">
        <v>3593</v>
      </c>
      <c r="B790" s="151" t="s">
        <v>4829</v>
      </c>
      <c r="C790" s="151" t="s">
        <v>4656</v>
      </c>
      <c r="D790" s="151" t="s">
        <v>17</v>
      </c>
      <c r="E790" s="151" t="s">
        <v>4830</v>
      </c>
      <c r="F790" s="151" t="s">
        <v>544</v>
      </c>
      <c r="G790" s="151" t="s">
        <v>2173</v>
      </c>
      <c r="H790" s="151" t="s">
        <v>1183</v>
      </c>
      <c r="I790" s="151" t="s">
        <v>1184</v>
      </c>
      <c r="J790" s="151" t="s">
        <v>4662</v>
      </c>
      <c r="K790" s="151" t="s">
        <v>4831</v>
      </c>
      <c r="L790" s="151" t="s">
        <v>4659</v>
      </c>
      <c r="M790" s="151" t="s">
        <v>361</v>
      </c>
      <c r="N790" s="151"/>
      <c r="O790" s="151"/>
      <c r="P790" s="151"/>
      <c r="Q790" s="151"/>
      <c r="R790" s="151" t="s">
        <v>2177</v>
      </c>
      <c r="S790" s="151" t="s">
        <v>361</v>
      </c>
      <c r="T790" s="151" t="s">
        <v>435</v>
      </c>
      <c r="U790" s="151" t="s">
        <v>3582</v>
      </c>
      <c r="V790" s="151">
        <v>40</v>
      </c>
      <c r="W790" s="151" t="s">
        <v>4669</v>
      </c>
      <c r="X790" s="151" t="s">
        <v>431</v>
      </c>
      <c r="Y790" s="151" t="s">
        <v>3582</v>
      </c>
      <c r="Z790" s="151"/>
      <c r="AA790" s="151"/>
      <c r="AB790" s="151" t="s">
        <v>855</v>
      </c>
      <c r="AC790" s="342"/>
    </row>
    <row r="791" spans="1:29">
      <c r="A791" s="151" t="s">
        <v>3593</v>
      </c>
      <c r="B791" s="151" t="s">
        <v>4832</v>
      </c>
      <c r="C791" s="151" t="s">
        <v>4656</v>
      </c>
      <c r="D791" s="151" t="s">
        <v>17</v>
      </c>
      <c r="E791" s="151" t="s">
        <v>4833</v>
      </c>
      <c r="F791" s="151" t="s">
        <v>544</v>
      </c>
      <c r="G791" s="151" t="s">
        <v>2173</v>
      </c>
      <c r="H791" s="151" t="s">
        <v>1183</v>
      </c>
      <c r="I791" s="151" t="s">
        <v>1184</v>
      </c>
      <c r="J791" s="151" t="s">
        <v>4662</v>
      </c>
      <c r="K791" s="151" t="s">
        <v>4834</v>
      </c>
      <c r="L791" s="151" t="s">
        <v>4659</v>
      </c>
      <c r="M791" s="151" t="s">
        <v>361</v>
      </c>
      <c r="N791" s="151"/>
      <c r="O791" s="151"/>
      <c r="P791" s="151"/>
      <c r="Q791" s="151"/>
      <c r="R791" s="151" t="s">
        <v>2177</v>
      </c>
      <c r="S791" s="151" t="s">
        <v>361</v>
      </c>
      <c r="T791" s="151" t="s">
        <v>435</v>
      </c>
      <c r="U791" s="151" t="s">
        <v>3582</v>
      </c>
      <c r="V791" s="151" t="s">
        <v>49</v>
      </c>
      <c r="W791" s="151" t="s">
        <v>2373</v>
      </c>
      <c r="X791" s="151" t="s">
        <v>431</v>
      </c>
      <c r="Y791" s="151" t="s">
        <v>3582</v>
      </c>
      <c r="Z791" s="151"/>
      <c r="AA791" s="151"/>
      <c r="AB791" s="151" t="s">
        <v>855</v>
      </c>
      <c r="AC791" s="342"/>
    </row>
    <row r="792" spans="1:29">
      <c r="A792" s="151" t="s">
        <v>3593</v>
      </c>
      <c r="B792" s="151" t="s">
        <v>4835</v>
      </c>
      <c r="C792" s="151" t="s">
        <v>4656</v>
      </c>
      <c r="D792" s="151" t="s">
        <v>17</v>
      </c>
      <c r="E792" s="151" t="s">
        <v>4836</v>
      </c>
      <c r="F792" s="151" t="s">
        <v>544</v>
      </c>
      <c r="G792" s="151" t="s">
        <v>2173</v>
      </c>
      <c r="H792" s="151" t="s">
        <v>1183</v>
      </c>
      <c r="I792" s="151" t="s">
        <v>1184</v>
      </c>
      <c r="J792" s="151" t="s">
        <v>4662</v>
      </c>
      <c r="K792" s="151" t="s">
        <v>4837</v>
      </c>
      <c r="L792" s="151" t="s">
        <v>4659</v>
      </c>
      <c r="M792" s="151" t="s">
        <v>361</v>
      </c>
      <c r="N792" s="151"/>
      <c r="O792" s="151"/>
      <c r="P792" s="151"/>
      <c r="Q792" s="151"/>
      <c r="R792" s="151" t="s">
        <v>2177</v>
      </c>
      <c r="S792" s="151" t="s">
        <v>361</v>
      </c>
      <c r="T792" s="151" t="s">
        <v>435</v>
      </c>
      <c r="U792" s="151" t="s">
        <v>3582</v>
      </c>
      <c r="V792" s="151">
        <v>10</v>
      </c>
      <c r="W792" s="151" t="s">
        <v>4758</v>
      </c>
      <c r="X792" s="151" t="s">
        <v>431</v>
      </c>
      <c r="Y792" s="151" t="s">
        <v>3582</v>
      </c>
      <c r="Z792" s="151"/>
      <c r="AA792" s="151"/>
      <c r="AB792" s="151" t="s">
        <v>855</v>
      </c>
      <c r="AC792" s="342"/>
    </row>
    <row r="793" spans="1:29">
      <c r="A793" s="151" t="s">
        <v>3593</v>
      </c>
      <c r="B793" s="151" t="s">
        <v>4838</v>
      </c>
      <c r="C793" s="151" t="s">
        <v>4656</v>
      </c>
      <c r="D793" s="151" t="s">
        <v>17</v>
      </c>
      <c r="E793" s="151" t="s">
        <v>4839</v>
      </c>
      <c r="F793" s="151" t="s">
        <v>544</v>
      </c>
      <c r="G793" s="151" t="s">
        <v>2173</v>
      </c>
      <c r="H793" s="151" t="s">
        <v>1183</v>
      </c>
      <c r="I793" s="151" t="s">
        <v>1184</v>
      </c>
      <c r="J793" s="151" t="s">
        <v>4662</v>
      </c>
      <c r="K793" s="151" t="s">
        <v>4840</v>
      </c>
      <c r="L793" s="151" t="s">
        <v>4659</v>
      </c>
      <c r="M793" s="151" t="s">
        <v>361</v>
      </c>
      <c r="N793" s="151"/>
      <c r="O793" s="151"/>
      <c r="P793" s="151"/>
      <c r="Q793" s="151"/>
      <c r="R793" s="151" t="s">
        <v>2177</v>
      </c>
      <c r="S793" s="151" t="s">
        <v>361</v>
      </c>
      <c r="T793" s="151" t="s">
        <v>435</v>
      </c>
      <c r="U793" s="151" t="s">
        <v>3582</v>
      </c>
      <c r="V793" s="151">
        <v>40</v>
      </c>
      <c r="W793" s="151" t="s">
        <v>3612</v>
      </c>
      <c r="X793" s="151" t="s">
        <v>431</v>
      </c>
      <c r="Y793" s="151" t="s">
        <v>3582</v>
      </c>
      <c r="Z793" s="151"/>
      <c r="AA793" s="151"/>
      <c r="AB793" s="151" t="s">
        <v>855</v>
      </c>
      <c r="AC793" s="342"/>
    </row>
    <row r="794" spans="1:29">
      <c r="A794" s="151" t="s">
        <v>3593</v>
      </c>
      <c r="B794" s="151" t="s">
        <v>4841</v>
      </c>
      <c r="C794" s="151" t="s">
        <v>4656</v>
      </c>
      <c r="D794" s="151" t="s">
        <v>17</v>
      </c>
      <c r="E794" s="151" t="s">
        <v>4842</v>
      </c>
      <c r="F794" s="151" t="s">
        <v>544</v>
      </c>
      <c r="G794" s="151" t="s">
        <v>2173</v>
      </c>
      <c r="H794" s="151" t="s">
        <v>1183</v>
      </c>
      <c r="I794" s="151" t="s">
        <v>1184</v>
      </c>
      <c r="J794" s="151" t="s">
        <v>4662</v>
      </c>
      <c r="K794" s="151" t="s">
        <v>4843</v>
      </c>
      <c r="L794" s="151" t="s">
        <v>4659</v>
      </c>
      <c r="M794" s="151" t="s">
        <v>361</v>
      </c>
      <c r="N794" s="151"/>
      <c r="O794" s="151"/>
      <c r="P794" s="151"/>
      <c r="Q794" s="151"/>
      <c r="R794" s="151" t="s">
        <v>2177</v>
      </c>
      <c r="S794" s="151" t="s">
        <v>361</v>
      </c>
      <c r="T794" s="151" t="s">
        <v>435</v>
      </c>
      <c r="U794" s="151" t="s">
        <v>3582</v>
      </c>
      <c r="V794" s="151">
        <v>40</v>
      </c>
      <c r="W794" s="151" t="s">
        <v>4669</v>
      </c>
      <c r="X794" s="151" t="s">
        <v>431</v>
      </c>
      <c r="Y794" s="151" t="s">
        <v>3582</v>
      </c>
      <c r="Z794" s="151"/>
      <c r="AA794" s="151"/>
      <c r="AB794" s="151" t="s">
        <v>855</v>
      </c>
      <c r="AC794" s="342"/>
    </row>
    <row r="795" spans="1:29">
      <c r="A795" s="151" t="s">
        <v>3593</v>
      </c>
      <c r="B795" s="151" t="s">
        <v>4844</v>
      </c>
      <c r="C795" s="151" t="s">
        <v>4656</v>
      </c>
      <c r="D795" s="151" t="s">
        <v>17</v>
      </c>
      <c r="E795" s="151" t="s">
        <v>4845</v>
      </c>
      <c r="F795" s="151" t="s">
        <v>544</v>
      </c>
      <c r="G795" s="151" t="s">
        <v>2173</v>
      </c>
      <c r="H795" s="151" t="s">
        <v>1183</v>
      </c>
      <c r="I795" s="151" t="s">
        <v>1184</v>
      </c>
      <c r="J795" s="151" t="s">
        <v>4662</v>
      </c>
      <c r="K795" s="151" t="s">
        <v>4846</v>
      </c>
      <c r="L795" s="151" t="s">
        <v>4659</v>
      </c>
      <c r="M795" s="151" t="s">
        <v>361</v>
      </c>
      <c r="N795" s="151"/>
      <c r="O795" s="151"/>
      <c r="P795" s="151"/>
      <c r="Q795" s="151"/>
      <c r="R795" s="151" t="s">
        <v>2177</v>
      </c>
      <c r="S795" s="151" t="s">
        <v>361</v>
      </c>
      <c r="T795" s="151" t="s">
        <v>435</v>
      </c>
      <c r="U795" s="151" t="s">
        <v>3582</v>
      </c>
      <c r="V795" s="151">
        <v>40</v>
      </c>
      <c r="W795" s="151" t="s">
        <v>4669</v>
      </c>
      <c r="X795" s="151" t="s">
        <v>431</v>
      </c>
      <c r="Y795" s="151" t="s">
        <v>3582</v>
      </c>
      <c r="Z795" s="151"/>
      <c r="AA795" s="151"/>
      <c r="AB795" s="151" t="s">
        <v>855</v>
      </c>
      <c r="AC795" s="342"/>
    </row>
    <row r="796" spans="1:29">
      <c r="A796" s="151" t="s">
        <v>3593</v>
      </c>
      <c r="B796" s="151" t="s">
        <v>4847</v>
      </c>
      <c r="C796" s="151" t="s">
        <v>4656</v>
      </c>
      <c r="D796" s="151" t="s">
        <v>17</v>
      </c>
      <c r="E796" s="151" t="s">
        <v>4848</v>
      </c>
      <c r="F796" s="151" t="s">
        <v>544</v>
      </c>
      <c r="G796" s="151" t="s">
        <v>2173</v>
      </c>
      <c r="H796" s="151" t="s">
        <v>1183</v>
      </c>
      <c r="I796" s="151" t="s">
        <v>1184</v>
      </c>
      <c r="J796" s="151" t="s">
        <v>4662</v>
      </c>
      <c r="K796" s="151" t="s">
        <v>4849</v>
      </c>
      <c r="L796" s="151" t="s">
        <v>4659</v>
      </c>
      <c r="M796" s="151" t="s">
        <v>361</v>
      </c>
      <c r="N796" s="151"/>
      <c r="O796" s="151"/>
      <c r="P796" s="151"/>
      <c r="Q796" s="151"/>
      <c r="R796" s="151" t="s">
        <v>2177</v>
      </c>
      <c r="S796" s="151" t="s">
        <v>361</v>
      </c>
      <c r="T796" s="151" t="s">
        <v>435</v>
      </c>
      <c r="U796" s="151" t="s">
        <v>3582</v>
      </c>
      <c r="V796" s="151">
        <v>40</v>
      </c>
      <c r="W796" s="151" t="s">
        <v>4669</v>
      </c>
      <c r="X796" s="151" t="s">
        <v>431</v>
      </c>
      <c r="Y796" s="151" t="s">
        <v>3582</v>
      </c>
      <c r="Z796" s="151"/>
      <c r="AA796" s="151"/>
      <c r="AB796" s="151" t="s">
        <v>855</v>
      </c>
      <c r="AC796" s="342"/>
    </row>
    <row r="797" spans="1:29">
      <c r="A797" s="151" t="s">
        <v>3593</v>
      </c>
      <c r="B797" s="151" t="s">
        <v>4850</v>
      </c>
      <c r="C797" s="151" t="s">
        <v>4656</v>
      </c>
      <c r="D797" s="151" t="s">
        <v>17</v>
      </c>
      <c r="E797" s="151" t="s">
        <v>4851</v>
      </c>
      <c r="F797" s="151" t="s">
        <v>544</v>
      </c>
      <c r="G797" s="151" t="s">
        <v>2173</v>
      </c>
      <c r="H797" s="151" t="s">
        <v>1183</v>
      </c>
      <c r="I797" s="151" t="s">
        <v>1184</v>
      </c>
      <c r="J797" s="151" t="s">
        <v>4662</v>
      </c>
      <c r="K797" s="151" t="s">
        <v>4852</v>
      </c>
      <c r="L797" s="151" t="s">
        <v>4659</v>
      </c>
      <c r="M797" s="151" t="s">
        <v>361</v>
      </c>
      <c r="N797" s="151"/>
      <c r="O797" s="151"/>
      <c r="P797" s="151"/>
      <c r="Q797" s="151"/>
      <c r="R797" s="151" t="s">
        <v>2177</v>
      </c>
      <c r="S797" s="151" t="s">
        <v>361</v>
      </c>
      <c r="T797" s="151" t="s">
        <v>435</v>
      </c>
      <c r="U797" s="151" t="s">
        <v>3582</v>
      </c>
      <c r="V797" s="151">
        <v>10</v>
      </c>
      <c r="W797" s="151" t="s">
        <v>2250</v>
      </c>
      <c r="X797" s="151" t="s">
        <v>431</v>
      </c>
      <c r="Y797" s="151" t="s">
        <v>3582</v>
      </c>
      <c r="Z797" s="151"/>
      <c r="AA797" s="151"/>
      <c r="AB797" s="151" t="s">
        <v>855</v>
      </c>
      <c r="AC797" s="342"/>
    </row>
    <row r="798" spans="1:29">
      <c r="A798" s="151" t="s">
        <v>3593</v>
      </c>
      <c r="B798" s="151" t="s">
        <v>4853</v>
      </c>
      <c r="C798" s="151" t="s">
        <v>4656</v>
      </c>
      <c r="D798" s="151" t="s">
        <v>17</v>
      </c>
      <c r="E798" s="151" t="s">
        <v>4854</v>
      </c>
      <c r="F798" s="151" t="s">
        <v>544</v>
      </c>
      <c r="G798" s="151" t="s">
        <v>2173</v>
      </c>
      <c r="H798" s="151" t="s">
        <v>1183</v>
      </c>
      <c r="I798" s="151" t="s">
        <v>1184</v>
      </c>
      <c r="J798" s="151" t="s">
        <v>4662</v>
      </c>
      <c r="K798" s="151" t="s">
        <v>4855</v>
      </c>
      <c r="L798" s="151" t="s">
        <v>4659</v>
      </c>
      <c r="M798" s="151" t="s">
        <v>361</v>
      </c>
      <c r="N798" s="151"/>
      <c r="O798" s="151"/>
      <c r="P798" s="151"/>
      <c r="Q798" s="151"/>
      <c r="R798" s="151" t="s">
        <v>2177</v>
      </c>
      <c r="S798" s="151" t="s">
        <v>361</v>
      </c>
      <c r="T798" s="151" t="s">
        <v>435</v>
      </c>
      <c r="U798" s="151" t="s">
        <v>3582</v>
      </c>
      <c r="V798" s="151">
        <v>20</v>
      </c>
      <c r="W798" s="151" t="s">
        <v>2594</v>
      </c>
      <c r="X798" s="151" t="s">
        <v>431</v>
      </c>
      <c r="Y798" s="151" t="s">
        <v>3582</v>
      </c>
      <c r="Z798" s="151"/>
      <c r="AA798" s="151"/>
      <c r="AB798" s="151" t="s">
        <v>855</v>
      </c>
      <c r="AC798" s="342"/>
    </row>
    <row r="799" spans="1:29">
      <c r="A799" s="151" t="s">
        <v>3593</v>
      </c>
      <c r="B799" s="151" t="s">
        <v>4856</v>
      </c>
      <c r="C799" s="151" t="s">
        <v>4656</v>
      </c>
      <c r="D799" s="151" t="s">
        <v>17</v>
      </c>
      <c r="E799" s="151" t="s">
        <v>4857</v>
      </c>
      <c r="F799" s="151" t="s">
        <v>544</v>
      </c>
      <c r="G799" s="151" t="s">
        <v>2173</v>
      </c>
      <c r="H799" s="151" t="s">
        <v>1183</v>
      </c>
      <c r="I799" s="151" t="s">
        <v>1184</v>
      </c>
      <c r="J799" s="151" t="s">
        <v>4662</v>
      </c>
      <c r="K799" s="151" t="s">
        <v>4858</v>
      </c>
      <c r="L799" s="151" t="s">
        <v>4659</v>
      </c>
      <c r="M799" s="151" t="s">
        <v>361</v>
      </c>
      <c r="N799" s="151"/>
      <c r="O799" s="151"/>
      <c r="P799" s="151"/>
      <c r="Q799" s="151"/>
      <c r="R799" s="151" t="s">
        <v>2177</v>
      </c>
      <c r="S799" s="151" t="s">
        <v>361</v>
      </c>
      <c r="T799" s="151" t="s">
        <v>435</v>
      </c>
      <c r="U799" s="151" t="s">
        <v>3582</v>
      </c>
      <c r="V799" s="151">
        <v>10</v>
      </c>
      <c r="W799" s="151" t="s">
        <v>4758</v>
      </c>
      <c r="X799" s="151" t="s">
        <v>431</v>
      </c>
      <c r="Y799" s="151" t="s">
        <v>3582</v>
      </c>
      <c r="Z799" s="151"/>
      <c r="AA799" s="151"/>
      <c r="AB799" s="151" t="s">
        <v>855</v>
      </c>
      <c r="AC799" s="342"/>
    </row>
    <row r="800" spans="1:29">
      <c r="A800" s="151" t="s">
        <v>3593</v>
      </c>
      <c r="B800" s="151" t="s">
        <v>4859</v>
      </c>
      <c r="C800" s="151" t="s">
        <v>4656</v>
      </c>
      <c r="D800" s="151" t="s">
        <v>17</v>
      </c>
      <c r="E800" s="151" t="s">
        <v>4860</v>
      </c>
      <c r="F800" s="151" t="s">
        <v>544</v>
      </c>
      <c r="G800" s="151" t="s">
        <v>2173</v>
      </c>
      <c r="H800" s="151" t="s">
        <v>1183</v>
      </c>
      <c r="I800" s="151" t="s">
        <v>1184</v>
      </c>
      <c r="J800" s="151" t="s">
        <v>4662</v>
      </c>
      <c r="K800" s="151" t="s">
        <v>4861</v>
      </c>
      <c r="L800" s="151" t="s">
        <v>4659</v>
      </c>
      <c r="M800" s="151" t="s">
        <v>361</v>
      </c>
      <c r="N800" s="151"/>
      <c r="O800" s="151"/>
      <c r="P800" s="151"/>
      <c r="Q800" s="151"/>
      <c r="R800" s="151" t="s">
        <v>2177</v>
      </c>
      <c r="S800" s="151" t="s">
        <v>361</v>
      </c>
      <c r="T800" s="151" t="s">
        <v>435</v>
      </c>
      <c r="U800" s="151" t="s">
        <v>3582</v>
      </c>
      <c r="V800" s="151">
        <v>40</v>
      </c>
      <c r="W800" s="151" t="s">
        <v>4669</v>
      </c>
      <c r="X800" s="151" t="s">
        <v>431</v>
      </c>
      <c r="Y800" s="151" t="s">
        <v>3582</v>
      </c>
      <c r="Z800" s="151"/>
      <c r="AA800" s="151"/>
      <c r="AB800" s="151" t="s">
        <v>855</v>
      </c>
      <c r="AC800" s="342"/>
    </row>
    <row r="801" spans="1:29">
      <c r="A801" s="151" t="s">
        <v>3593</v>
      </c>
      <c r="B801" s="151" t="s">
        <v>4862</v>
      </c>
      <c r="C801" s="151" t="s">
        <v>4656</v>
      </c>
      <c r="D801" s="151" t="s">
        <v>17</v>
      </c>
      <c r="E801" s="151" t="s">
        <v>4863</v>
      </c>
      <c r="F801" s="151" t="s">
        <v>544</v>
      </c>
      <c r="G801" s="151" t="s">
        <v>2173</v>
      </c>
      <c r="H801" s="151" t="s">
        <v>1183</v>
      </c>
      <c r="I801" s="151" t="s">
        <v>1184</v>
      </c>
      <c r="J801" s="151" t="s">
        <v>4662</v>
      </c>
      <c r="K801" s="151" t="s">
        <v>4864</v>
      </c>
      <c r="L801" s="151" t="s">
        <v>4659</v>
      </c>
      <c r="M801" s="151" t="s">
        <v>361</v>
      </c>
      <c r="N801" s="151"/>
      <c r="O801" s="151"/>
      <c r="P801" s="151"/>
      <c r="Q801" s="151"/>
      <c r="R801" s="151" t="s">
        <v>2177</v>
      </c>
      <c r="S801" s="151" t="s">
        <v>361</v>
      </c>
      <c r="T801" s="151" t="s">
        <v>435</v>
      </c>
      <c r="U801" s="151" t="s">
        <v>3582</v>
      </c>
      <c r="V801" s="151">
        <v>10</v>
      </c>
      <c r="W801" s="151" t="s">
        <v>2250</v>
      </c>
      <c r="X801" s="151" t="s">
        <v>431</v>
      </c>
      <c r="Y801" s="151" t="s">
        <v>3582</v>
      </c>
      <c r="Z801" s="151"/>
      <c r="AA801" s="151"/>
      <c r="AB801" s="151" t="s">
        <v>855</v>
      </c>
      <c r="AC801" s="342"/>
    </row>
    <row r="802" spans="1:29">
      <c r="A802" s="151" t="s">
        <v>3593</v>
      </c>
      <c r="B802" s="151" t="s">
        <v>4865</v>
      </c>
      <c r="C802" s="151" t="s">
        <v>4656</v>
      </c>
      <c r="D802" s="151" t="s">
        <v>17</v>
      </c>
      <c r="E802" s="151" t="s">
        <v>4866</v>
      </c>
      <c r="F802" s="151" t="s">
        <v>544</v>
      </c>
      <c r="G802" s="151" t="s">
        <v>2173</v>
      </c>
      <c r="H802" s="151" t="s">
        <v>1183</v>
      </c>
      <c r="I802" s="151" t="s">
        <v>1184</v>
      </c>
      <c r="J802" s="151" t="s">
        <v>4662</v>
      </c>
      <c r="K802" s="151" t="s">
        <v>4867</v>
      </c>
      <c r="L802" s="151" t="s">
        <v>4659</v>
      </c>
      <c r="M802" s="151" t="s">
        <v>361</v>
      </c>
      <c r="N802" s="151"/>
      <c r="O802" s="151"/>
      <c r="P802" s="151"/>
      <c r="Q802" s="151"/>
      <c r="R802" s="151" t="s">
        <v>2177</v>
      </c>
      <c r="S802" s="151" t="s">
        <v>361</v>
      </c>
      <c r="T802" s="151" t="s">
        <v>435</v>
      </c>
      <c r="U802" s="151" t="s">
        <v>3582</v>
      </c>
      <c r="V802" s="151">
        <v>20</v>
      </c>
      <c r="W802" s="151" t="s">
        <v>2594</v>
      </c>
      <c r="X802" s="151" t="s">
        <v>431</v>
      </c>
      <c r="Y802" s="151" t="s">
        <v>3582</v>
      </c>
      <c r="Z802" s="151"/>
      <c r="AA802" s="151"/>
      <c r="AB802" s="151" t="s">
        <v>855</v>
      </c>
      <c r="AC802" s="342"/>
    </row>
    <row r="803" spans="1:29">
      <c r="A803" s="151" t="s">
        <v>3593</v>
      </c>
      <c r="B803" s="151" t="s">
        <v>4868</v>
      </c>
      <c r="C803" s="151" t="s">
        <v>4656</v>
      </c>
      <c r="D803" s="151" t="s">
        <v>17</v>
      </c>
      <c r="E803" s="151" t="s">
        <v>4869</v>
      </c>
      <c r="F803" s="151" t="s">
        <v>544</v>
      </c>
      <c r="G803" s="151" t="s">
        <v>2173</v>
      </c>
      <c r="H803" s="151" t="s">
        <v>1183</v>
      </c>
      <c r="I803" s="151" t="s">
        <v>1184</v>
      </c>
      <c r="J803" s="151" t="s">
        <v>4662</v>
      </c>
      <c r="K803" s="151" t="s">
        <v>4870</v>
      </c>
      <c r="L803" s="151" t="s">
        <v>4659</v>
      </c>
      <c r="M803" s="151" t="s">
        <v>361</v>
      </c>
      <c r="N803" s="151"/>
      <c r="O803" s="151"/>
      <c r="P803" s="151"/>
      <c r="Q803" s="151"/>
      <c r="R803" s="151" t="s">
        <v>2177</v>
      </c>
      <c r="S803" s="151" t="s">
        <v>361</v>
      </c>
      <c r="T803" s="151" t="s">
        <v>435</v>
      </c>
      <c r="U803" s="151" t="s">
        <v>3582</v>
      </c>
      <c r="V803" s="151">
        <v>10</v>
      </c>
      <c r="W803" s="151" t="s">
        <v>4758</v>
      </c>
      <c r="X803" s="151" t="s">
        <v>431</v>
      </c>
      <c r="Y803" s="151" t="s">
        <v>3582</v>
      </c>
      <c r="Z803" s="151"/>
      <c r="AA803" s="151"/>
      <c r="AB803" s="151" t="s">
        <v>855</v>
      </c>
      <c r="AC803" s="342"/>
    </row>
    <row r="804" spans="1:29">
      <c r="A804" s="151" t="s">
        <v>3593</v>
      </c>
      <c r="B804" s="151" t="s">
        <v>4871</v>
      </c>
      <c r="C804" s="151" t="s">
        <v>4656</v>
      </c>
      <c r="D804" s="151" t="s">
        <v>17</v>
      </c>
      <c r="E804" s="151" t="s">
        <v>4872</v>
      </c>
      <c r="F804" s="151" t="s">
        <v>544</v>
      </c>
      <c r="G804" s="151" t="s">
        <v>2173</v>
      </c>
      <c r="H804" s="151" t="s">
        <v>1183</v>
      </c>
      <c r="I804" s="151" t="s">
        <v>1184</v>
      </c>
      <c r="J804" s="151" t="s">
        <v>4662</v>
      </c>
      <c r="K804" s="151" t="s">
        <v>4873</v>
      </c>
      <c r="L804" s="151" t="s">
        <v>4659</v>
      </c>
      <c r="M804" s="151" t="s">
        <v>361</v>
      </c>
      <c r="N804" s="151"/>
      <c r="O804" s="151"/>
      <c r="P804" s="151"/>
      <c r="Q804" s="151"/>
      <c r="R804" s="151" t="s">
        <v>2177</v>
      </c>
      <c r="S804" s="151" t="s">
        <v>361</v>
      </c>
      <c r="T804" s="151" t="s">
        <v>435</v>
      </c>
      <c r="U804" s="151" t="s">
        <v>3582</v>
      </c>
      <c r="V804" s="151">
        <v>10</v>
      </c>
      <c r="W804" s="151" t="s">
        <v>4758</v>
      </c>
      <c r="X804" s="151" t="s">
        <v>431</v>
      </c>
      <c r="Y804" s="151" t="s">
        <v>3582</v>
      </c>
      <c r="Z804" s="151"/>
      <c r="AA804" s="151"/>
      <c r="AB804" s="151" t="s">
        <v>855</v>
      </c>
      <c r="AC804" s="342"/>
    </row>
    <row r="805" spans="1:29">
      <c r="A805" s="151" t="s">
        <v>3593</v>
      </c>
      <c r="B805" s="151" t="s">
        <v>4356</v>
      </c>
      <c r="C805" s="151" t="s">
        <v>4656</v>
      </c>
      <c r="D805" s="151" t="s">
        <v>17</v>
      </c>
      <c r="E805" s="151" t="s">
        <v>4874</v>
      </c>
      <c r="F805" s="151" t="s">
        <v>544</v>
      </c>
      <c r="G805" s="151" t="s">
        <v>2173</v>
      </c>
      <c r="H805" s="151" t="s">
        <v>1183</v>
      </c>
      <c r="I805" s="151" t="s">
        <v>1184</v>
      </c>
      <c r="J805" s="151" t="s">
        <v>3871</v>
      </c>
      <c r="K805" s="151" t="s">
        <v>4729</v>
      </c>
      <c r="L805" s="151" t="s">
        <v>4659</v>
      </c>
      <c r="M805" s="151" t="s">
        <v>361</v>
      </c>
      <c r="N805" s="151"/>
      <c r="O805" s="151"/>
      <c r="P805" s="151"/>
      <c r="Q805" s="151"/>
      <c r="R805" s="151" t="s">
        <v>2177</v>
      </c>
      <c r="S805" s="151" t="s">
        <v>361</v>
      </c>
      <c r="T805" s="151" t="s">
        <v>435</v>
      </c>
      <c r="U805" s="151" t="s">
        <v>3582</v>
      </c>
      <c r="V805" s="151">
        <v>20</v>
      </c>
      <c r="W805" s="151" t="s">
        <v>3598</v>
      </c>
      <c r="X805" s="151" t="s">
        <v>431</v>
      </c>
      <c r="Y805" s="151" t="s">
        <v>3582</v>
      </c>
      <c r="Z805" s="151"/>
      <c r="AA805" s="151"/>
      <c r="AB805" s="151" t="s">
        <v>855</v>
      </c>
      <c r="AC805" s="342"/>
    </row>
    <row r="806" spans="1:29">
      <c r="A806" s="151" t="s">
        <v>3593</v>
      </c>
      <c r="B806" s="151" t="s">
        <v>4705</v>
      </c>
      <c r="C806" s="151" t="s">
        <v>4656</v>
      </c>
      <c r="D806" s="151" t="s">
        <v>17</v>
      </c>
      <c r="E806" s="151" t="s">
        <v>4875</v>
      </c>
      <c r="F806" s="151" t="s">
        <v>544</v>
      </c>
      <c r="G806" s="151" t="s">
        <v>2173</v>
      </c>
      <c r="H806" s="151" t="s">
        <v>1183</v>
      </c>
      <c r="I806" s="151" t="s">
        <v>1184</v>
      </c>
      <c r="J806" s="151" t="s">
        <v>4662</v>
      </c>
      <c r="K806" s="151" t="s">
        <v>4876</v>
      </c>
      <c r="L806" s="151" t="s">
        <v>4659</v>
      </c>
      <c r="M806" s="151" t="s">
        <v>361</v>
      </c>
      <c r="N806" s="151"/>
      <c r="O806" s="151"/>
      <c r="P806" s="151"/>
      <c r="Q806" s="151"/>
      <c r="R806" s="151" t="s">
        <v>2177</v>
      </c>
      <c r="S806" s="151" t="s">
        <v>361</v>
      </c>
      <c r="T806" s="151" t="s">
        <v>435</v>
      </c>
      <c r="U806" s="151" t="s">
        <v>4877</v>
      </c>
      <c r="V806" s="151" t="s">
        <v>49</v>
      </c>
      <c r="W806" s="151" t="s">
        <v>4878</v>
      </c>
      <c r="X806" s="151" t="s">
        <v>431</v>
      </c>
      <c r="Y806" s="151" t="s">
        <v>4877</v>
      </c>
      <c r="Z806" s="151"/>
      <c r="AA806" s="151"/>
      <c r="AB806" s="151" t="s">
        <v>855</v>
      </c>
      <c r="AC806" s="342"/>
    </row>
    <row r="807" spans="1:29">
      <c r="A807" s="151" t="s">
        <v>3593</v>
      </c>
      <c r="B807" s="151" t="s">
        <v>4879</v>
      </c>
      <c r="C807" s="151" t="s">
        <v>4656</v>
      </c>
      <c r="D807" s="151" t="s">
        <v>17</v>
      </c>
      <c r="E807" s="151" t="s">
        <v>4880</v>
      </c>
      <c r="F807" s="151" t="s">
        <v>544</v>
      </c>
      <c r="G807" s="151" t="s">
        <v>2173</v>
      </c>
      <c r="H807" s="151" t="s">
        <v>1314</v>
      </c>
      <c r="I807" s="151" t="s">
        <v>1184</v>
      </c>
      <c r="J807" s="151" t="s">
        <v>4881</v>
      </c>
      <c r="K807" s="151" t="s">
        <v>4882</v>
      </c>
      <c r="L807" s="151" t="s">
        <v>4659</v>
      </c>
      <c r="M807" s="151" t="s">
        <v>361</v>
      </c>
      <c r="N807" s="151"/>
      <c r="O807" s="151"/>
      <c r="P807" s="151"/>
      <c r="Q807" s="151"/>
      <c r="R807" s="151" t="s">
        <v>2177</v>
      </c>
      <c r="S807" s="151" t="s">
        <v>361</v>
      </c>
      <c r="T807" s="151" t="s">
        <v>435</v>
      </c>
      <c r="U807" s="151" t="s">
        <v>3582</v>
      </c>
      <c r="V807" s="151" t="s">
        <v>49</v>
      </c>
      <c r="W807" s="151" t="s">
        <v>2373</v>
      </c>
      <c r="X807" s="151" t="s">
        <v>431</v>
      </c>
      <c r="Y807" s="151" t="s">
        <v>3582</v>
      </c>
      <c r="Z807" s="151"/>
      <c r="AA807" s="151"/>
      <c r="AB807" s="151" t="s">
        <v>855</v>
      </c>
      <c r="AC807" s="342"/>
    </row>
    <row r="808" spans="1:29">
      <c r="A808" s="151" t="s">
        <v>3593</v>
      </c>
      <c r="B808" s="151" t="s">
        <v>4883</v>
      </c>
      <c r="C808" s="151" t="s">
        <v>4656</v>
      </c>
      <c r="D808" s="151" t="s">
        <v>17</v>
      </c>
      <c r="E808" s="151" t="s">
        <v>4884</v>
      </c>
      <c r="F808" s="151" t="s">
        <v>544</v>
      </c>
      <c r="G808" s="151" t="s">
        <v>2173</v>
      </c>
      <c r="H808" s="151" t="s">
        <v>1183</v>
      </c>
      <c r="I808" s="151" t="s">
        <v>1184</v>
      </c>
      <c r="J808" s="151" t="s">
        <v>4662</v>
      </c>
      <c r="K808" s="151" t="s">
        <v>4885</v>
      </c>
      <c r="L808" s="151" t="s">
        <v>4659</v>
      </c>
      <c r="M808" s="151" t="s">
        <v>361</v>
      </c>
      <c r="N808" s="151"/>
      <c r="O808" s="151"/>
      <c r="P808" s="151"/>
      <c r="Q808" s="151"/>
      <c r="R808" s="151" t="s">
        <v>2177</v>
      </c>
      <c r="S808" s="151" t="s">
        <v>361</v>
      </c>
      <c r="T808" s="151" t="s">
        <v>435</v>
      </c>
      <c r="U808" s="151" t="s">
        <v>3582</v>
      </c>
      <c r="V808" s="151">
        <v>5</v>
      </c>
      <c r="W808" s="151" t="s">
        <v>3615</v>
      </c>
      <c r="X808" s="151" t="s">
        <v>431</v>
      </c>
      <c r="Y808" s="151" t="s">
        <v>3582</v>
      </c>
      <c r="Z808" s="151"/>
      <c r="AA808" s="151"/>
      <c r="AB808" s="151" t="s">
        <v>855</v>
      </c>
      <c r="AC808" s="342"/>
    </row>
    <row r="809" spans="1:29">
      <c r="A809" s="151" t="s">
        <v>3593</v>
      </c>
      <c r="B809" s="151" t="s">
        <v>4727</v>
      </c>
      <c r="C809" s="151" t="s">
        <v>4656</v>
      </c>
      <c r="D809" s="151" t="s">
        <v>17</v>
      </c>
      <c r="E809" s="151" t="s">
        <v>4886</v>
      </c>
      <c r="F809" s="151" t="s">
        <v>544</v>
      </c>
      <c r="G809" s="151" t="s">
        <v>2173</v>
      </c>
      <c r="H809" s="151" t="s">
        <v>1183</v>
      </c>
      <c r="I809" s="151" t="s">
        <v>1184</v>
      </c>
      <c r="J809" s="151" t="s">
        <v>806</v>
      </c>
      <c r="K809" s="151" t="s">
        <v>1830</v>
      </c>
      <c r="L809" s="151" t="s">
        <v>4659</v>
      </c>
      <c r="M809" s="151" t="s">
        <v>361</v>
      </c>
      <c r="N809" s="151"/>
      <c r="O809" s="151"/>
      <c r="P809" s="151"/>
      <c r="Q809" s="151"/>
      <c r="R809" s="151" t="s">
        <v>2177</v>
      </c>
      <c r="S809" s="151" t="s">
        <v>361</v>
      </c>
      <c r="T809" s="151"/>
      <c r="U809" s="151"/>
      <c r="V809" s="151"/>
      <c r="W809" s="151"/>
      <c r="X809" s="151"/>
      <c r="Y809" s="151"/>
      <c r="Z809" s="151"/>
      <c r="AA809" s="151"/>
      <c r="AB809" s="151"/>
      <c r="AC809" s="342"/>
    </row>
    <row r="810" spans="1:29">
      <c r="A810" s="151" t="s">
        <v>3593</v>
      </c>
      <c r="B810" s="151" t="s">
        <v>4887</v>
      </c>
      <c r="C810" s="151" t="s">
        <v>4656</v>
      </c>
      <c r="D810" s="151" t="s">
        <v>17</v>
      </c>
      <c r="E810" s="151" t="s">
        <v>4888</v>
      </c>
      <c r="F810" s="151" t="s">
        <v>544</v>
      </c>
      <c r="G810" s="151" t="s">
        <v>2173</v>
      </c>
      <c r="H810" s="151" t="s">
        <v>1183</v>
      </c>
      <c r="I810" s="151" t="s">
        <v>1184</v>
      </c>
      <c r="J810" s="151" t="s">
        <v>4662</v>
      </c>
      <c r="K810" s="151" t="s">
        <v>4889</v>
      </c>
      <c r="L810" s="151" t="s">
        <v>4659</v>
      </c>
      <c r="M810" s="151" t="s">
        <v>361</v>
      </c>
      <c r="N810" s="151"/>
      <c r="O810" s="151"/>
      <c r="P810" s="151"/>
      <c r="Q810" s="151"/>
      <c r="R810" s="151" t="s">
        <v>2177</v>
      </c>
      <c r="S810" s="151" t="s">
        <v>361</v>
      </c>
      <c r="T810" s="151"/>
      <c r="U810" s="151"/>
      <c r="V810" s="151"/>
      <c r="W810" s="151"/>
      <c r="X810" s="151"/>
      <c r="Y810" s="151"/>
      <c r="Z810" s="151"/>
      <c r="AA810" s="151"/>
      <c r="AB810" s="151"/>
      <c r="AC810" s="342"/>
    </row>
    <row r="811" spans="1:29">
      <c r="A811" s="151" t="s">
        <v>3593</v>
      </c>
      <c r="B811" s="151" t="s">
        <v>4890</v>
      </c>
      <c r="C811" s="151" t="s">
        <v>4656</v>
      </c>
      <c r="D811" s="151" t="s">
        <v>17</v>
      </c>
      <c r="E811" s="151" t="s">
        <v>4891</v>
      </c>
      <c r="F811" s="151" t="s">
        <v>544</v>
      </c>
      <c r="G811" s="151" t="s">
        <v>2173</v>
      </c>
      <c r="H811" s="151" t="s">
        <v>1183</v>
      </c>
      <c r="I811" s="151" t="s">
        <v>1184</v>
      </c>
      <c r="J811" s="151" t="s">
        <v>4658</v>
      </c>
      <c r="K811" s="151" t="s">
        <v>4892</v>
      </c>
      <c r="L811" s="151" t="s">
        <v>4659</v>
      </c>
      <c r="M811" s="151" t="s">
        <v>361</v>
      </c>
      <c r="N811" s="151"/>
      <c r="O811" s="151"/>
      <c r="P811" s="151"/>
      <c r="Q811" s="151"/>
      <c r="R811" s="151" t="s">
        <v>2177</v>
      </c>
      <c r="S811" s="151" t="s">
        <v>361</v>
      </c>
      <c r="T811" s="151" t="s">
        <v>4893</v>
      </c>
      <c r="U811" s="151" t="s">
        <v>3582</v>
      </c>
      <c r="V811" s="151" t="s">
        <v>49</v>
      </c>
      <c r="W811" s="151" t="s">
        <v>2373</v>
      </c>
      <c r="X811" s="151" t="s">
        <v>431</v>
      </c>
      <c r="Y811" s="151" t="s">
        <v>3582</v>
      </c>
      <c r="Z811" s="151"/>
      <c r="AA811" s="151"/>
      <c r="AB811" s="151" t="s">
        <v>855</v>
      </c>
      <c r="AC811" s="342"/>
    </row>
    <row r="812" spans="1:29">
      <c r="A812" s="151" t="s">
        <v>3593</v>
      </c>
      <c r="B812" s="151" t="s">
        <v>4894</v>
      </c>
      <c r="C812" s="151" t="s">
        <v>4656</v>
      </c>
      <c r="D812" s="151" t="s">
        <v>17</v>
      </c>
      <c r="E812" s="151" t="s">
        <v>4895</v>
      </c>
      <c r="F812" s="151" t="s">
        <v>544</v>
      </c>
      <c r="G812" s="151" t="s">
        <v>2173</v>
      </c>
      <c r="H812" s="151" t="s">
        <v>1183</v>
      </c>
      <c r="I812" s="151" t="s">
        <v>1184</v>
      </c>
      <c r="J812" s="151" t="s">
        <v>4662</v>
      </c>
      <c r="K812" s="151" t="s">
        <v>4896</v>
      </c>
      <c r="L812" s="151" t="s">
        <v>4659</v>
      </c>
      <c r="M812" s="151" t="s">
        <v>361</v>
      </c>
      <c r="N812" s="151"/>
      <c r="O812" s="151"/>
      <c r="P812" s="151"/>
      <c r="Q812" s="151"/>
      <c r="R812" s="151" t="s">
        <v>2177</v>
      </c>
      <c r="S812" s="151" t="s">
        <v>361</v>
      </c>
      <c r="T812" s="151" t="s">
        <v>4893</v>
      </c>
      <c r="U812" s="151" t="s">
        <v>3582</v>
      </c>
      <c r="V812" s="151" t="s">
        <v>49</v>
      </c>
      <c r="W812" s="151" t="s">
        <v>2373</v>
      </c>
      <c r="X812" s="151" t="s">
        <v>431</v>
      </c>
      <c r="Y812" s="151" t="s">
        <v>3582</v>
      </c>
      <c r="Z812" s="151"/>
      <c r="AA812" s="151"/>
      <c r="AB812" s="151" t="s">
        <v>855</v>
      </c>
      <c r="AC812" s="342"/>
    </row>
    <row r="813" spans="1:29">
      <c r="A813" s="151" t="s">
        <v>3593</v>
      </c>
      <c r="B813" s="151" t="s">
        <v>4897</v>
      </c>
      <c r="C813" s="151" t="s">
        <v>4656</v>
      </c>
      <c r="D813" s="151" t="s">
        <v>17</v>
      </c>
      <c r="E813" s="151" t="s">
        <v>4898</v>
      </c>
      <c r="F813" s="151" t="s">
        <v>544</v>
      </c>
      <c r="G813" s="151" t="s">
        <v>2173</v>
      </c>
      <c r="H813" s="151" t="s">
        <v>1183</v>
      </c>
      <c r="I813" s="151" t="s">
        <v>1184</v>
      </c>
      <c r="J813" s="151" t="s">
        <v>4662</v>
      </c>
      <c r="K813" s="151" t="s">
        <v>4899</v>
      </c>
      <c r="L813" s="151" t="s">
        <v>4659</v>
      </c>
      <c r="M813" s="151" t="s">
        <v>361</v>
      </c>
      <c r="N813" s="151"/>
      <c r="O813" s="151"/>
      <c r="P813" s="151"/>
      <c r="Q813" s="151"/>
      <c r="R813" s="151" t="s">
        <v>2177</v>
      </c>
      <c r="S813" s="151" t="s">
        <v>361</v>
      </c>
      <c r="T813" s="151" t="s">
        <v>435</v>
      </c>
      <c r="U813" s="151" t="s">
        <v>3582</v>
      </c>
      <c r="V813" s="151" t="s">
        <v>49</v>
      </c>
      <c r="W813" s="151" t="s">
        <v>4669</v>
      </c>
      <c r="X813" s="151" t="s">
        <v>431</v>
      </c>
      <c r="Y813" s="151" t="s">
        <v>3582</v>
      </c>
      <c r="Z813" s="151"/>
      <c r="AA813" s="151"/>
      <c r="AB813" s="151" t="s">
        <v>855</v>
      </c>
      <c r="AC813" s="342"/>
    </row>
    <row r="814" spans="1:29">
      <c r="A814" s="151" t="s">
        <v>3593</v>
      </c>
      <c r="B814" s="151" t="s">
        <v>4900</v>
      </c>
      <c r="C814" s="151" t="s">
        <v>4656</v>
      </c>
      <c r="D814" s="151" t="s">
        <v>17</v>
      </c>
      <c r="E814" s="151" t="s">
        <v>4901</v>
      </c>
      <c r="F814" s="151" t="s">
        <v>544</v>
      </c>
      <c r="G814" s="151" t="s">
        <v>2652</v>
      </c>
      <c r="H814" s="151" t="s">
        <v>361</v>
      </c>
      <c r="I814" s="151" t="s">
        <v>1184</v>
      </c>
      <c r="J814" s="151" t="s">
        <v>361</v>
      </c>
      <c r="K814" s="151" t="s">
        <v>361</v>
      </c>
      <c r="L814" s="151"/>
      <c r="M814" s="151" t="s">
        <v>361</v>
      </c>
      <c r="N814" s="151"/>
      <c r="O814" s="151"/>
      <c r="P814" s="151"/>
      <c r="Q814" s="151"/>
      <c r="R814" s="151" t="s">
        <v>2550</v>
      </c>
      <c r="S814" s="151" t="s">
        <v>3738</v>
      </c>
      <c r="T814" s="151"/>
      <c r="U814" s="151"/>
      <c r="V814" s="151"/>
      <c r="W814" s="151"/>
      <c r="X814" s="151"/>
      <c r="Y814" s="151"/>
      <c r="Z814" s="151"/>
      <c r="AA814" s="151"/>
      <c r="AB814" s="151"/>
      <c r="AC814" s="342"/>
    </row>
    <row r="815" spans="1:29">
      <c r="A815" s="151" t="s">
        <v>3593</v>
      </c>
      <c r="B815" s="151" t="s">
        <v>4902</v>
      </c>
      <c r="C815" s="151" t="s">
        <v>4656</v>
      </c>
      <c r="D815" s="151" t="s">
        <v>17</v>
      </c>
      <c r="E815" s="151" t="s">
        <v>4903</v>
      </c>
      <c r="F815" s="151" t="s">
        <v>544</v>
      </c>
      <c r="G815" s="151" t="s">
        <v>2173</v>
      </c>
      <c r="H815" s="151" t="s">
        <v>1183</v>
      </c>
      <c r="I815" s="151" t="s">
        <v>1184</v>
      </c>
      <c r="J815" s="151" t="s">
        <v>4662</v>
      </c>
      <c r="K815" s="151" t="s">
        <v>4904</v>
      </c>
      <c r="L815" s="151" t="s">
        <v>4659</v>
      </c>
      <c r="M815" s="151" t="s">
        <v>361</v>
      </c>
      <c r="N815" s="151"/>
      <c r="O815" s="151"/>
      <c r="P815" s="151"/>
      <c r="Q815" s="151"/>
      <c r="R815" s="151" t="s">
        <v>2177</v>
      </c>
      <c r="S815" s="151" t="s">
        <v>361</v>
      </c>
      <c r="T815" s="151" t="s">
        <v>435</v>
      </c>
      <c r="U815" s="151" t="s">
        <v>3582</v>
      </c>
      <c r="V815" s="151">
        <v>10</v>
      </c>
      <c r="W815" s="151" t="s">
        <v>2250</v>
      </c>
      <c r="X815" s="151" t="s">
        <v>431</v>
      </c>
      <c r="Y815" s="151" t="s">
        <v>3582</v>
      </c>
      <c r="Z815" s="151"/>
      <c r="AA815" s="151"/>
      <c r="AB815" s="151" t="s">
        <v>855</v>
      </c>
      <c r="AC815" s="342"/>
    </row>
    <row r="816" spans="1:29">
      <c r="A816" s="151" t="s">
        <v>3593</v>
      </c>
      <c r="B816" s="151" t="s">
        <v>4905</v>
      </c>
      <c r="C816" s="151" t="s">
        <v>4656</v>
      </c>
      <c r="D816" s="151" t="s">
        <v>17</v>
      </c>
      <c r="E816" s="151" t="s">
        <v>4906</v>
      </c>
      <c r="F816" s="151" t="s">
        <v>544</v>
      </c>
      <c r="G816" s="151" t="s">
        <v>2173</v>
      </c>
      <c r="H816" s="151" t="s">
        <v>1183</v>
      </c>
      <c r="I816" s="151" t="s">
        <v>1184</v>
      </c>
      <c r="J816" s="151" t="s">
        <v>4662</v>
      </c>
      <c r="K816" s="151" t="s">
        <v>4907</v>
      </c>
      <c r="L816" s="151" t="s">
        <v>4659</v>
      </c>
      <c r="M816" s="151" t="s">
        <v>361</v>
      </c>
      <c r="N816" s="151"/>
      <c r="O816" s="151"/>
      <c r="P816" s="151"/>
      <c r="Q816" s="151"/>
      <c r="R816" s="151" t="s">
        <v>2177</v>
      </c>
      <c r="S816" s="151" t="s">
        <v>361</v>
      </c>
      <c r="T816" s="151" t="s">
        <v>435</v>
      </c>
      <c r="U816" s="151" t="s">
        <v>3582</v>
      </c>
      <c r="V816" s="151" t="s">
        <v>49</v>
      </c>
      <c r="W816" s="151" t="s">
        <v>4908</v>
      </c>
      <c r="X816" s="151" t="s">
        <v>431</v>
      </c>
      <c r="Y816" s="151" t="s">
        <v>3582</v>
      </c>
      <c r="Z816" s="151"/>
      <c r="AA816" s="151"/>
      <c r="AB816" s="151" t="s">
        <v>855</v>
      </c>
      <c r="AC816" s="342"/>
    </row>
    <row r="817" spans="1:29">
      <c r="A817" s="151" t="s">
        <v>3593</v>
      </c>
      <c r="B817" s="151" t="s">
        <v>4909</v>
      </c>
      <c r="C817" s="151" t="s">
        <v>4656</v>
      </c>
      <c r="D817" s="151" t="s">
        <v>17</v>
      </c>
      <c r="E817" s="151" t="s">
        <v>4910</v>
      </c>
      <c r="F817" s="151" t="s">
        <v>544</v>
      </c>
      <c r="G817" s="151" t="s">
        <v>2173</v>
      </c>
      <c r="H817" s="151" t="s">
        <v>1183</v>
      </c>
      <c r="I817" s="151" t="s">
        <v>1184</v>
      </c>
      <c r="J817" s="151" t="s">
        <v>4662</v>
      </c>
      <c r="K817" s="151" t="s">
        <v>4907</v>
      </c>
      <c r="L817" s="151" t="s">
        <v>4659</v>
      </c>
      <c r="M817" s="151" t="s">
        <v>361</v>
      </c>
      <c r="N817" s="151"/>
      <c r="O817" s="151"/>
      <c r="P817" s="151"/>
      <c r="Q817" s="151"/>
      <c r="R817" s="151" t="s">
        <v>2177</v>
      </c>
      <c r="S817" s="151" t="s">
        <v>361</v>
      </c>
      <c r="T817" s="151" t="s">
        <v>435</v>
      </c>
      <c r="U817" s="151" t="s">
        <v>3582</v>
      </c>
      <c r="V817" s="151" t="s">
        <v>49</v>
      </c>
      <c r="W817" s="151" t="s">
        <v>4908</v>
      </c>
      <c r="X817" s="151" t="s">
        <v>431</v>
      </c>
      <c r="Y817" s="151" t="s">
        <v>3582</v>
      </c>
      <c r="Z817" s="151"/>
      <c r="AA817" s="151"/>
      <c r="AB817" s="151" t="s">
        <v>855</v>
      </c>
      <c r="AC817" s="342"/>
    </row>
    <row r="818" spans="1:29">
      <c r="A818" s="151" t="s">
        <v>3593</v>
      </c>
      <c r="B818" s="151" t="s">
        <v>4911</v>
      </c>
      <c r="C818" s="151" t="s">
        <v>4656</v>
      </c>
      <c r="D818" s="151" t="s">
        <v>17</v>
      </c>
      <c r="E818" s="151" t="s">
        <v>4912</v>
      </c>
      <c r="F818" s="151" t="s">
        <v>544</v>
      </c>
      <c r="G818" s="151" t="s">
        <v>2173</v>
      </c>
      <c r="H818" s="151" t="s">
        <v>1183</v>
      </c>
      <c r="I818" s="151" t="s">
        <v>1184</v>
      </c>
      <c r="J818" s="151" t="s">
        <v>4662</v>
      </c>
      <c r="K818" s="151" t="s">
        <v>4907</v>
      </c>
      <c r="L818" s="151" t="s">
        <v>4659</v>
      </c>
      <c r="M818" s="151" t="s">
        <v>361</v>
      </c>
      <c r="N818" s="151"/>
      <c r="O818" s="151"/>
      <c r="P818" s="151"/>
      <c r="Q818" s="151"/>
      <c r="R818" s="151" t="s">
        <v>2177</v>
      </c>
      <c r="S818" s="151" t="s">
        <v>361</v>
      </c>
      <c r="T818" s="151" t="s">
        <v>435</v>
      </c>
      <c r="U818" s="151" t="s">
        <v>3582</v>
      </c>
      <c r="V818" s="151" t="s">
        <v>49</v>
      </c>
      <c r="W818" s="151" t="s">
        <v>4908</v>
      </c>
      <c r="X818" s="151" t="s">
        <v>431</v>
      </c>
      <c r="Y818" s="151" t="s">
        <v>3582</v>
      </c>
      <c r="Z818" s="151"/>
      <c r="AA818" s="151"/>
      <c r="AB818" s="151" t="s">
        <v>855</v>
      </c>
      <c r="AC818" s="342"/>
    </row>
    <row r="819" spans="1:29">
      <c r="A819" s="151" t="s">
        <v>3593</v>
      </c>
      <c r="B819" s="151" t="s">
        <v>4913</v>
      </c>
      <c r="C819" s="151" t="s">
        <v>4656</v>
      </c>
      <c r="D819" s="151" t="s">
        <v>17</v>
      </c>
      <c r="E819" s="151" t="s">
        <v>4914</v>
      </c>
      <c r="F819" s="151" t="s">
        <v>544</v>
      </c>
      <c r="G819" s="151" t="s">
        <v>2173</v>
      </c>
      <c r="H819" s="151" t="s">
        <v>1183</v>
      </c>
      <c r="I819" s="151" t="s">
        <v>1184</v>
      </c>
      <c r="J819" s="151" t="s">
        <v>4662</v>
      </c>
      <c r="K819" s="151" t="s">
        <v>4907</v>
      </c>
      <c r="L819" s="151" t="s">
        <v>4659</v>
      </c>
      <c r="M819" s="151" t="s">
        <v>361</v>
      </c>
      <c r="N819" s="151"/>
      <c r="O819" s="151"/>
      <c r="P819" s="151"/>
      <c r="Q819" s="151"/>
      <c r="R819" s="151" t="s">
        <v>2177</v>
      </c>
      <c r="S819" s="151" t="s">
        <v>361</v>
      </c>
      <c r="T819" s="151" t="s">
        <v>435</v>
      </c>
      <c r="U819" s="151" t="s">
        <v>3582</v>
      </c>
      <c r="V819" s="151" t="s">
        <v>49</v>
      </c>
      <c r="W819" s="151" t="s">
        <v>4908</v>
      </c>
      <c r="X819" s="151" t="s">
        <v>431</v>
      </c>
      <c r="Y819" s="151" t="s">
        <v>3582</v>
      </c>
      <c r="Z819" s="151"/>
      <c r="AA819" s="151"/>
      <c r="AB819" s="151" t="s">
        <v>855</v>
      </c>
      <c r="AC819" s="342"/>
    </row>
    <row r="820" spans="1:29">
      <c r="A820" s="151" t="s">
        <v>3593</v>
      </c>
      <c r="B820" s="151" t="s">
        <v>4915</v>
      </c>
      <c r="C820" s="151" t="s">
        <v>4656</v>
      </c>
      <c r="D820" s="151" t="s">
        <v>17</v>
      </c>
      <c r="E820" s="151" t="s">
        <v>4916</v>
      </c>
      <c r="F820" s="151" t="s">
        <v>544</v>
      </c>
      <c r="G820" s="151" t="s">
        <v>2173</v>
      </c>
      <c r="H820" s="151" t="s">
        <v>1183</v>
      </c>
      <c r="I820" s="151" t="s">
        <v>1184</v>
      </c>
      <c r="J820" s="151" t="s">
        <v>4662</v>
      </c>
      <c r="K820" s="151" t="s">
        <v>4907</v>
      </c>
      <c r="L820" s="151" t="s">
        <v>4659</v>
      </c>
      <c r="M820" s="151" t="s">
        <v>361</v>
      </c>
      <c r="N820" s="151"/>
      <c r="O820" s="151"/>
      <c r="P820" s="151"/>
      <c r="Q820" s="151"/>
      <c r="R820" s="151" t="s">
        <v>2177</v>
      </c>
      <c r="S820" s="151" t="s">
        <v>361</v>
      </c>
      <c r="T820" s="151" t="s">
        <v>435</v>
      </c>
      <c r="U820" s="151" t="s">
        <v>3582</v>
      </c>
      <c r="V820" s="151" t="s">
        <v>49</v>
      </c>
      <c r="W820" s="151" t="s">
        <v>4908</v>
      </c>
      <c r="X820" s="151" t="s">
        <v>431</v>
      </c>
      <c r="Y820" s="151" t="s">
        <v>3582</v>
      </c>
      <c r="Z820" s="151"/>
      <c r="AA820" s="151"/>
      <c r="AB820" s="151" t="s">
        <v>855</v>
      </c>
      <c r="AC820" s="342"/>
    </row>
    <row r="821" spans="1:29">
      <c r="A821" s="151" t="s">
        <v>3593</v>
      </c>
      <c r="B821" s="151" t="s">
        <v>4917</v>
      </c>
      <c r="C821" s="151" t="s">
        <v>4656</v>
      </c>
      <c r="D821" s="151" t="s">
        <v>17</v>
      </c>
      <c r="E821" s="151" t="s">
        <v>4918</v>
      </c>
      <c r="F821" s="151" t="s">
        <v>544</v>
      </c>
      <c r="G821" s="151" t="s">
        <v>2173</v>
      </c>
      <c r="H821" s="151" t="s">
        <v>1183</v>
      </c>
      <c r="I821" s="151" t="s">
        <v>1184</v>
      </c>
      <c r="J821" s="151" t="s">
        <v>4662</v>
      </c>
      <c r="K821" s="151" t="s">
        <v>4907</v>
      </c>
      <c r="L821" s="151" t="s">
        <v>4659</v>
      </c>
      <c r="M821" s="151" t="s">
        <v>361</v>
      </c>
      <c r="N821" s="151"/>
      <c r="O821" s="151"/>
      <c r="P821" s="151"/>
      <c r="Q821" s="151"/>
      <c r="R821" s="151" t="s">
        <v>2177</v>
      </c>
      <c r="S821" s="151" t="s">
        <v>361</v>
      </c>
      <c r="T821" s="151" t="s">
        <v>435</v>
      </c>
      <c r="U821" s="151" t="s">
        <v>3582</v>
      </c>
      <c r="V821" s="151" t="s">
        <v>49</v>
      </c>
      <c r="W821" s="151" t="s">
        <v>4908</v>
      </c>
      <c r="X821" s="151" t="s">
        <v>431</v>
      </c>
      <c r="Y821" s="151" t="s">
        <v>3582</v>
      </c>
      <c r="Z821" s="151"/>
      <c r="AA821" s="151"/>
      <c r="AB821" s="151" t="s">
        <v>855</v>
      </c>
      <c r="AC821" s="342"/>
    </row>
    <row r="822" spans="1:29">
      <c r="A822" s="151" t="s">
        <v>3593</v>
      </c>
      <c r="B822" s="151" t="s">
        <v>4919</v>
      </c>
      <c r="C822" s="151" t="s">
        <v>4656</v>
      </c>
      <c r="D822" s="151" t="s">
        <v>17</v>
      </c>
      <c r="E822" s="151" t="s">
        <v>4920</v>
      </c>
      <c r="F822" s="151" t="s">
        <v>544</v>
      </c>
      <c r="G822" s="151" t="s">
        <v>2173</v>
      </c>
      <c r="H822" s="151" t="s">
        <v>1183</v>
      </c>
      <c r="I822" s="151" t="s">
        <v>1184</v>
      </c>
      <c r="J822" s="151" t="s">
        <v>4662</v>
      </c>
      <c r="K822" s="151" t="s">
        <v>4921</v>
      </c>
      <c r="L822" s="151" t="s">
        <v>4659</v>
      </c>
      <c r="M822" s="151" t="s">
        <v>361</v>
      </c>
      <c r="N822" s="151"/>
      <c r="O822" s="151"/>
      <c r="P822" s="151"/>
      <c r="Q822" s="151"/>
      <c r="R822" s="151" t="s">
        <v>2177</v>
      </c>
      <c r="S822" s="151" t="s">
        <v>361</v>
      </c>
      <c r="T822" s="151" t="s">
        <v>435</v>
      </c>
      <c r="U822" s="151" t="s">
        <v>3582</v>
      </c>
      <c r="V822" s="151">
        <v>200</v>
      </c>
      <c r="W822" s="151" t="s">
        <v>2363</v>
      </c>
      <c r="X822" s="151" t="s">
        <v>431</v>
      </c>
      <c r="Y822" s="151" t="s">
        <v>3582</v>
      </c>
      <c r="Z822" s="151"/>
      <c r="AA822" s="151"/>
      <c r="AB822" s="151" t="s">
        <v>855</v>
      </c>
      <c r="AC822" s="342"/>
    </row>
    <row r="823" spans="1:29">
      <c r="A823" s="151" t="s">
        <v>3593</v>
      </c>
      <c r="B823" s="151" t="s">
        <v>4922</v>
      </c>
      <c r="C823" s="151" t="s">
        <v>4656</v>
      </c>
      <c r="D823" s="151" t="s">
        <v>17</v>
      </c>
      <c r="E823" s="151" t="s">
        <v>4923</v>
      </c>
      <c r="F823" s="151" t="s">
        <v>544</v>
      </c>
      <c r="G823" s="151" t="s">
        <v>2173</v>
      </c>
      <c r="H823" s="151" t="s">
        <v>1183</v>
      </c>
      <c r="I823" s="151" t="s">
        <v>1184</v>
      </c>
      <c r="J823" s="151" t="s">
        <v>4662</v>
      </c>
      <c r="K823" s="151" t="s">
        <v>4921</v>
      </c>
      <c r="L823" s="151" t="s">
        <v>4659</v>
      </c>
      <c r="M823" s="151" t="s">
        <v>361</v>
      </c>
      <c r="N823" s="151"/>
      <c r="O823" s="151"/>
      <c r="P823" s="151"/>
      <c r="Q823" s="151"/>
      <c r="R823" s="151" t="s">
        <v>2177</v>
      </c>
      <c r="S823" s="151" t="s">
        <v>361</v>
      </c>
      <c r="T823" s="151" t="s">
        <v>435</v>
      </c>
      <c r="U823" s="151" t="s">
        <v>3582</v>
      </c>
      <c r="V823" s="151">
        <v>200</v>
      </c>
      <c r="W823" s="151" t="s">
        <v>2363</v>
      </c>
      <c r="X823" s="151" t="s">
        <v>431</v>
      </c>
      <c r="Y823" s="151" t="s">
        <v>3582</v>
      </c>
      <c r="Z823" s="151"/>
      <c r="AA823" s="151"/>
      <c r="AB823" s="151" t="s">
        <v>855</v>
      </c>
      <c r="AC823" s="342"/>
    </row>
    <row r="824" spans="1:29">
      <c r="A824" s="151" t="s">
        <v>3593</v>
      </c>
      <c r="B824" s="151" t="s">
        <v>4924</v>
      </c>
      <c r="C824" s="151" t="s">
        <v>4656</v>
      </c>
      <c r="D824" s="151" t="s">
        <v>17</v>
      </c>
      <c r="E824" s="151" t="s">
        <v>4925</v>
      </c>
      <c r="F824" s="151" t="s">
        <v>544</v>
      </c>
      <c r="G824" s="151" t="s">
        <v>2173</v>
      </c>
      <c r="H824" s="151" t="s">
        <v>1183</v>
      </c>
      <c r="I824" s="151" t="s">
        <v>1184</v>
      </c>
      <c r="J824" s="151" t="s">
        <v>4662</v>
      </c>
      <c r="K824" s="151" t="s">
        <v>4921</v>
      </c>
      <c r="L824" s="151" t="s">
        <v>4659</v>
      </c>
      <c r="M824" s="151" t="s">
        <v>361</v>
      </c>
      <c r="N824" s="151"/>
      <c r="O824" s="151"/>
      <c r="P824" s="151"/>
      <c r="Q824" s="151"/>
      <c r="R824" s="151" t="s">
        <v>2177</v>
      </c>
      <c r="S824" s="151" t="s">
        <v>361</v>
      </c>
      <c r="T824" s="151" t="s">
        <v>435</v>
      </c>
      <c r="U824" s="151" t="s">
        <v>3582</v>
      </c>
      <c r="V824" s="151">
        <v>200</v>
      </c>
      <c r="W824" s="151" t="s">
        <v>2363</v>
      </c>
      <c r="X824" s="151" t="s">
        <v>431</v>
      </c>
      <c r="Y824" s="151" t="s">
        <v>3582</v>
      </c>
      <c r="Z824" s="151"/>
      <c r="AA824" s="151"/>
      <c r="AB824" s="151" t="s">
        <v>855</v>
      </c>
      <c r="AC824" s="342"/>
    </row>
    <row r="825" spans="1:29">
      <c r="A825" s="151" t="s">
        <v>3593</v>
      </c>
      <c r="B825" s="151" t="s">
        <v>4926</v>
      </c>
      <c r="C825" s="151" t="s">
        <v>4656</v>
      </c>
      <c r="D825" s="151" t="s">
        <v>17</v>
      </c>
      <c r="E825" s="151" t="s">
        <v>4927</v>
      </c>
      <c r="F825" s="151" t="s">
        <v>544</v>
      </c>
      <c r="G825" s="151" t="s">
        <v>2173</v>
      </c>
      <c r="H825" s="151" t="s">
        <v>1183</v>
      </c>
      <c r="I825" s="151" t="s">
        <v>1184</v>
      </c>
      <c r="J825" s="151" t="s">
        <v>4662</v>
      </c>
      <c r="K825" s="151" t="s">
        <v>4921</v>
      </c>
      <c r="L825" s="151" t="s">
        <v>4659</v>
      </c>
      <c r="M825" s="151" t="s">
        <v>361</v>
      </c>
      <c r="N825" s="151"/>
      <c r="O825" s="151"/>
      <c r="P825" s="151"/>
      <c r="Q825" s="151"/>
      <c r="R825" s="151" t="s">
        <v>2177</v>
      </c>
      <c r="S825" s="151" t="s">
        <v>361</v>
      </c>
      <c r="T825" s="151" t="s">
        <v>435</v>
      </c>
      <c r="U825" s="151" t="s">
        <v>3582</v>
      </c>
      <c r="V825" s="151">
        <v>200</v>
      </c>
      <c r="W825" s="151" t="s">
        <v>2363</v>
      </c>
      <c r="X825" s="151" t="s">
        <v>431</v>
      </c>
      <c r="Y825" s="151" t="s">
        <v>3582</v>
      </c>
      <c r="Z825" s="151"/>
      <c r="AA825" s="151"/>
      <c r="AB825" s="151" t="s">
        <v>855</v>
      </c>
      <c r="AC825" s="342"/>
    </row>
    <row r="826" spans="1:29">
      <c r="A826" s="151" t="s">
        <v>3593</v>
      </c>
      <c r="B826" s="151" t="s">
        <v>4928</v>
      </c>
      <c r="C826" s="151" t="s">
        <v>4656</v>
      </c>
      <c r="D826" s="151" t="s">
        <v>17</v>
      </c>
      <c r="E826" s="151" t="s">
        <v>4929</v>
      </c>
      <c r="F826" s="151" t="s">
        <v>544</v>
      </c>
      <c r="G826" s="151" t="s">
        <v>2173</v>
      </c>
      <c r="H826" s="151" t="s">
        <v>1183</v>
      </c>
      <c r="I826" s="151" t="s">
        <v>1184</v>
      </c>
      <c r="J826" s="151" t="s">
        <v>4662</v>
      </c>
      <c r="K826" s="151" t="s">
        <v>4930</v>
      </c>
      <c r="L826" s="151" t="s">
        <v>4659</v>
      </c>
      <c r="M826" s="151" t="s">
        <v>361</v>
      </c>
      <c r="N826" s="151"/>
      <c r="O826" s="151"/>
      <c r="P826" s="151"/>
      <c r="Q826" s="151"/>
      <c r="R826" s="151" t="s">
        <v>2177</v>
      </c>
      <c r="S826" s="151" t="s">
        <v>361</v>
      </c>
      <c r="T826" s="151" t="s">
        <v>435</v>
      </c>
      <c r="U826" s="151" t="s">
        <v>3582</v>
      </c>
      <c r="V826" s="151">
        <v>10</v>
      </c>
      <c r="W826" s="151" t="s">
        <v>2250</v>
      </c>
      <c r="X826" s="151" t="s">
        <v>431</v>
      </c>
      <c r="Y826" s="151" t="s">
        <v>3582</v>
      </c>
      <c r="Z826" s="151"/>
      <c r="AA826" s="151"/>
      <c r="AB826" s="151" t="s">
        <v>855</v>
      </c>
      <c r="AC826" s="342"/>
    </row>
    <row r="827" spans="1:29">
      <c r="A827" s="151" t="s">
        <v>3593</v>
      </c>
      <c r="B827" s="151" t="s">
        <v>4919</v>
      </c>
      <c r="C827" s="151" t="s">
        <v>4656</v>
      </c>
      <c r="D827" s="151" t="s">
        <v>17</v>
      </c>
      <c r="E827" s="151" t="s">
        <v>4920</v>
      </c>
      <c r="F827" s="151" t="s">
        <v>544</v>
      </c>
      <c r="G827" s="151" t="s">
        <v>2173</v>
      </c>
      <c r="H827" s="151" t="s">
        <v>1183</v>
      </c>
      <c r="I827" s="151" t="s">
        <v>1184</v>
      </c>
      <c r="J827" s="151" t="s">
        <v>4662</v>
      </c>
      <c r="K827" s="151" t="s">
        <v>4921</v>
      </c>
      <c r="L827" s="151" t="s">
        <v>4659</v>
      </c>
      <c r="M827" s="151" t="s">
        <v>361</v>
      </c>
      <c r="N827" s="151"/>
      <c r="O827" s="151"/>
      <c r="P827" s="151"/>
      <c r="Q827" s="151"/>
      <c r="R827" s="151" t="s">
        <v>2177</v>
      </c>
      <c r="S827" s="151" t="s">
        <v>361</v>
      </c>
      <c r="T827" s="151" t="s">
        <v>435</v>
      </c>
      <c r="U827" s="151" t="s">
        <v>3582</v>
      </c>
      <c r="V827" s="151">
        <v>200</v>
      </c>
      <c r="W827" s="151" t="s">
        <v>2363</v>
      </c>
      <c r="X827" s="151" t="s">
        <v>431</v>
      </c>
      <c r="Y827" s="151" t="s">
        <v>3582</v>
      </c>
      <c r="Z827" s="151"/>
      <c r="AA827" s="151"/>
      <c r="AB827" s="151" t="s">
        <v>855</v>
      </c>
      <c r="AC827" s="342"/>
    </row>
    <row r="828" spans="1:29">
      <c r="A828" s="151" t="s">
        <v>3593</v>
      </c>
      <c r="B828" s="151" t="s">
        <v>4931</v>
      </c>
      <c r="C828" s="151" t="s">
        <v>4656</v>
      </c>
      <c r="D828" s="151" t="s">
        <v>17</v>
      </c>
      <c r="E828" s="151" t="s">
        <v>4932</v>
      </c>
      <c r="F828" s="151" t="s">
        <v>544</v>
      </c>
      <c r="G828" s="151" t="s">
        <v>2173</v>
      </c>
      <c r="H828" s="151" t="s">
        <v>1183</v>
      </c>
      <c r="I828" s="151" t="s">
        <v>1184</v>
      </c>
      <c r="J828" s="151" t="s">
        <v>4662</v>
      </c>
      <c r="K828" s="151" t="s">
        <v>4933</v>
      </c>
      <c r="L828" s="151" t="s">
        <v>4659</v>
      </c>
      <c r="M828" s="151" t="s">
        <v>361</v>
      </c>
      <c r="N828" s="151"/>
      <c r="O828" s="151"/>
      <c r="P828" s="151"/>
      <c r="Q828" s="151"/>
      <c r="R828" s="151" t="s">
        <v>2177</v>
      </c>
      <c r="S828" s="151" t="s">
        <v>361</v>
      </c>
      <c r="T828" s="151" t="s">
        <v>435</v>
      </c>
      <c r="U828" s="151" t="s">
        <v>3582</v>
      </c>
      <c r="V828" s="151">
        <v>100</v>
      </c>
      <c r="W828" s="151" t="s">
        <v>2180</v>
      </c>
      <c r="X828" s="151" t="s">
        <v>431</v>
      </c>
      <c r="Y828" s="151" t="s">
        <v>3582</v>
      </c>
      <c r="Z828" s="151"/>
      <c r="AA828" s="151"/>
      <c r="AB828" s="151" t="s">
        <v>855</v>
      </c>
      <c r="AC828" s="342"/>
    </row>
    <row r="829" spans="1:29">
      <c r="A829" s="151" t="s">
        <v>3593</v>
      </c>
      <c r="B829" s="151" t="s">
        <v>4934</v>
      </c>
      <c r="C829" s="151" t="s">
        <v>4656</v>
      </c>
      <c r="D829" s="151" t="s">
        <v>17</v>
      </c>
      <c r="E829" s="151" t="s">
        <v>4935</v>
      </c>
      <c r="F829" s="151" t="s">
        <v>544</v>
      </c>
      <c r="G829" s="151" t="s">
        <v>2546</v>
      </c>
      <c r="H829" s="151" t="s">
        <v>1314</v>
      </c>
      <c r="I829" s="151" t="s">
        <v>1184</v>
      </c>
      <c r="J829" s="151" t="s">
        <v>789</v>
      </c>
      <c r="K829" s="151" t="s">
        <v>4936</v>
      </c>
      <c r="L829" s="151" t="s">
        <v>4937</v>
      </c>
      <c r="M829" s="151" t="s">
        <v>361</v>
      </c>
      <c r="N829" s="151"/>
      <c r="O829" s="151"/>
      <c r="P829" s="151"/>
      <c r="Q829" s="151"/>
      <c r="R829" s="151"/>
      <c r="S829" s="151" t="s">
        <v>4752</v>
      </c>
      <c r="T829" s="151"/>
      <c r="U829" s="151"/>
      <c r="V829" s="151"/>
      <c r="W829" s="151"/>
      <c r="X829" s="151"/>
      <c r="Y829" s="151"/>
      <c r="Z829" s="151"/>
      <c r="AA829" s="151"/>
      <c r="AB829" s="151"/>
      <c r="AC829" s="342"/>
    </row>
    <row r="830" spans="1:29">
      <c r="A830" s="151" t="s">
        <v>3593</v>
      </c>
      <c r="B830" s="151" t="s">
        <v>4938</v>
      </c>
      <c r="C830" s="151" t="s">
        <v>4656</v>
      </c>
      <c r="D830" s="151" t="s">
        <v>17</v>
      </c>
      <c r="E830" s="151" t="s">
        <v>4939</v>
      </c>
      <c r="F830" s="151" t="s">
        <v>544</v>
      </c>
      <c r="G830" s="151" t="s">
        <v>2173</v>
      </c>
      <c r="H830" s="151" t="s">
        <v>1314</v>
      </c>
      <c r="I830" s="151" t="s">
        <v>1184</v>
      </c>
      <c r="J830" s="151" t="s">
        <v>2067</v>
      </c>
      <c r="K830" s="151" t="s">
        <v>4940</v>
      </c>
      <c r="L830" s="151" t="s">
        <v>4941</v>
      </c>
      <c r="M830" s="151" t="s">
        <v>4942</v>
      </c>
      <c r="N830" s="151"/>
      <c r="O830" s="151"/>
      <c r="P830" s="151"/>
      <c r="Q830" s="151"/>
      <c r="R830" s="151" t="s">
        <v>2177</v>
      </c>
      <c r="S830" s="151" t="s">
        <v>361</v>
      </c>
      <c r="T830" s="151"/>
      <c r="U830" s="151"/>
      <c r="V830" s="151"/>
      <c r="W830" s="151"/>
      <c r="X830" s="151"/>
      <c r="Y830" s="151"/>
      <c r="Z830" s="151"/>
      <c r="AA830" s="151"/>
      <c r="AB830" s="151"/>
      <c r="AC830" s="342"/>
    </row>
    <row r="831" spans="1:29">
      <c r="A831" s="151" t="s">
        <v>3593</v>
      </c>
      <c r="B831" s="151" t="s">
        <v>4943</v>
      </c>
      <c r="C831" s="151" t="s">
        <v>4656</v>
      </c>
      <c r="D831" s="151" t="s">
        <v>17</v>
      </c>
      <c r="E831" s="151" t="s">
        <v>4944</v>
      </c>
      <c r="F831" s="151" t="s">
        <v>544</v>
      </c>
      <c r="G831" s="151" t="s">
        <v>2652</v>
      </c>
      <c r="H831" s="151" t="s">
        <v>361</v>
      </c>
      <c r="I831" s="151" t="s">
        <v>1184</v>
      </c>
      <c r="J831" s="151" t="s">
        <v>361</v>
      </c>
      <c r="K831" s="151" t="s">
        <v>361</v>
      </c>
      <c r="L831" s="151"/>
      <c r="M831" s="151" t="s">
        <v>361</v>
      </c>
      <c r="N831" s="151"/>
      <c r="O831" s="151"/>
      <c r="P831" s="151"/>
      <c r="Q831" s="151"/>
      <c r="R831" s="151" t="s">
        <v>2550</v>
      </c>
      <c r="S831" s="151" t="s">
        <v>3738</v>
      </c>
      <c r="T831" s="151"/>
      <c r="U831" s="151"/>
      <c r="V831" s="151"/>
      <c r="W831" s="151"/>
      <c r="X831" s="151"/>
      <c r="Y831" s="151"/>
      <c r="Z831" s="151"/>
      <c r="AA831" s="151"/>
      <c r="AB831" s="151"/>
      <c r="AC831" s="342"/>
    </row>
    <row r="832" spans="1:29">
      <c r="A832" s="151" t="s">
        <v>3593</v>
      </c>
      <c r="B832" s="151" t="s">
        <v>4945</v>
      </c>
      <c r="C832" s="151" t="s">
        <v>4656</v>
      </c>
      <c r="D832" s="151" t="s">
        <v>17</v>
      </c>
      <c r="E832" s="151" t="s">
        <v>4946</v>
      </c>
      <c r="F832" s="151" t="s">
        <v>544</v>
      </c>
      <c r="G832" s="151" t="s">
        <v>2173</v>
      </c>
      <c r="H832" s="151" t="s">
        <v>1183</v>
      </c>
      <c r="I832" s="151" t="s">
        <v>1184</v>
      </c>
      <c r="J832" s="151" t="s">
        <v>4947</v>
      </c>
      <c r="K832" s="151" t="s">
        <v>4948</v>
      </c>
      <c r="L832" s="151" t="s">
        <v>4949</v>
      </c>
      <c r="M832" s="151" t="s">
        <v>4942</v>
      </c>
      <c r="N832" s="151"/>
      <c r="O832" s="151"/>
      <c r="P832" s="151"/>
      <c r="Q832" s="151"/>
      <c r="R832" s="151" t="s">
        <v>2177</v>
      </c>
      <c r="S832" s="151" t="s">
        <v>361</v>
      </c>
      <c r="T832" s="151" t="s">
        <v>435</v>
      </c>
      <c r="U832" s="151" t="s">
        <v>4950</v>
      </c>
      <c r="V832" s="151" t="s">
        <v>49</v>
      </c>
      <c r="W832" s="151" t="s">
        <v>4950</v>
      </c>
      <c r="X832" s="151" t="s">
        <v>49</v>
      </c>
      <c r="Y832" s="151" t="s">
        <v>4950</v>
      </c>
      <c r="Z832" s="151"/>
      <c r="AA832" s="151"/>
      <c r="AB832" s="151" t="s">
        <v>855</v>
      </c>
      <c r="AC832" s="342"/>
    </row>
    <row r="833" spans="1:29">
      <c r="A833" s="151" t="s">
        <v>3593</v>
      </c>
      <c r="B833" s="151" t="s">
        <v>4951</v>
      </c>
      <c r="C833" s="151" t="s">
        <v>4656</v>
      </c>
      <c r="D833" s="151" t="s">
        <v>17</v>
      </c>
      <c r="E833" s="151" t="s">
        <v>4952</v>
      </c>
      <c r="F833" s="151" t="s">
        <v>544</v>
      </c>
      <c r="G833" s="151" t="s">
        <v>2173</v>
      </c>
      <c r="H833" s="151" t="s">
        <v>1183</v>
      </c>
      <c r="I833" s="151" t="s">
        <v>1184</v>
      </c>
      <c r="J833" s="151" t="s">
        <v>4947</v>
      </c>
      <c r="K833" s="151" t="s">
        <v>4948</v>
      </c>
      <c r="L833" s="151" t="s">
        <v>4949</v>
      </c>
      <c r="M833" s="151" t="s">
        <v>4942</v>
      </c>
      <c r="N833" s="151"/>
      <c r="O833" s="151"/>
      <c r="P833" s="151"/>
      <c r="Q833" s="151"/>
      <c r="R833" s="151" t="s">
        <v>2177</v>
      </c>
      <c r="S833" s="151" t="s">
        <v>361</v>
      </c>
      <c r="T833" s="151" t="s">
        <v>49</v>
      </c>
      <c r="U833" s="151" t="s">
        <v>4950</v>
      </c>
      <c r="V833" s="151" t="s">
        <v>49</v>
      </c>
      <c r="W833" s="151" t="s">
        <v>4950</v>
      </c>
      <c r="X833" s="151" t="s">
        <v>49</v>
      </c>
      <c r="Y833" s="151" t="s">
        <v>4950</v>
      </c>
      <c r="Z833" s="151"/>
      <c r="AA833" s="151"/>
      <c r="AB833" s="151" t="s">
        <v>855</v>
      </c>
      <c r="AC833" s="342"/>
    </row>
    <row r="834" spans="1:29" ht="120">
      <c r="A834" s="151" t="s">
        <v>3593</v>
      </c>
      <c r="B834" s="151" t="s">
        <v>4953</v>
      </c>
      <c r="C834" s="151" t="s">
        <v>4954</v>
      </c>
      <c r="D834" s="151" t="s">
        <v>17</v>
      </c>
      <c r="E834" s="151" t="s">
        <v>4955</v>
      </c>
      <c r="F834" s="151" t="s">
        <v>2527</v>
      </c>
      <c r="G834" s="151" t="s">
        <v>2173</v>
      </c>
      <c r="H834" s="151" t="s">
        <v>1314</v>
      </c>
      <c r="I834" s="151" t="s">
        <v>1184</v>
      </c>
      <c r="J834" s="151" t="s">
        <v>1601</v>
      </c>
      <c r="K834" s="151" t="s">
        <v>4956</v>
      </c>
      <c r="L834" s="151" t="s">
        <v>4957</v>
      </c>
      <c r="M834" s="151" t="s">
        <v>361</v>
      </c>
      <c r="N834" s="341" t="s">
        <v>4958</v>
      </c>
      <c r="O834" s="151">
        <v>7690</v>
      </c>
      <c r="P834" s="151"/>
      <c r="Q834" s="151"/>
      <c r="R834" s="151" t="s">
        <v>2177</v>
      </c>
      <c r="S834" s="151" t="s">
        <v>361</v>
      </c>
      <c r="T834" s="151" t="s">
        <v>2213</v>
      </c>
      <c r="U834" s="151" t="s">
        <v>3582</v>
      </c>
      <c r="V834" s="151"/>
      <c r="W834" s="151" t="s">
        <v>4959</v>
      </c>
      <c r="X834" s="151" t="s">
        <v>2445</v>
      </c>
      <c r="Y834" s="151" t="s">
        <v>3582</v>
      </c>
      <c r="Z834" s="151"/>
      <c r="AA834" s="151"/>
      <c r="AB834" s="151" t="s">
        <v>855</v>
      </c>
      <c r="AC834" s="342"/>
    </row>
    <row r="835" spans="1:29" ht="105">
      <c r="A835" s="151" t="s">
        <v>3593</v>
      </c>
      <c r="B835" s="151" t="s">
        <v>4960</v>
      </c>
      <c r="C835" s="151" t="s">
        <v>4954</v>
      </c>
      <c r="D835" s="151" t="s">
        <v>17</v>
      </c>
      <c r="E835" s="151" t="s">
        <v>4961</v>
      </c>
      <c r="F835" s="151" t="s">
        <v>2527</v>
      </c>
      <c r="G835" s="151" t="s">
        <v>2173</v>
      </c>
      <c r="H835" s="151" t="s">
        <v>1314</v>
      </c>
      <c r="I835" s="151" t="s">
        <v>1184</v>
      </c>
      <c r="J835" s="151" t="s">
        <v>1601</v>
      </c>
      <c r="K835" s="151" t="s">
        <v>4962</v>
      </c>
      <c r="L835" s="151" t="s">
        <v>4957</v>
      </c>
      <c r="M835" s="151" t="s">
        <v>361</v>
      </c>
      <c r="N835" s="341" t="s">
        <v>4963</v>
      </c>
      <c r="O835" s="151">
        <v>7690</v>
      </c>
      <c r="P835" s="151"/>
      <c r="Q835" s="151"/>
      <c r="R835" s="151" t="s">
        <v>2177</v>
      </c>
      <c r="S835" s="151" t="s">
        <v>361</v>
      </c>
      <c r="T835" s="151" t="s">
        <v>2213</v>
      </c>
      <c r="U835" s="151" t="s">
        <v>2207</v>
      </c>
      <c r="V835" s="151">
        <v>10</v>
      </c>
      <c r="W835" s="151" t="s">
        <v>2207</v>
      </c>
      <c r="X835" s="151" t="s">
        <v>2445</v>
      </c>
      <c r="Y835" s="151" t="s">
        <v>2207</v>
      </c>
      <c r="Z835" s="151"/>
      <c r="AA835" s="151"/>
      <c r="AB835" s="151" t="s">
        <v>855</v>
      </c>
      <c r="AC835" s="342"/>
    </row>
    <row r="836" spans="1:29" ht="90">
      <c r="A836" s="151" t="s">
        <v>3593</v>
      </c>
      <c r="B836" s="151" t="s">
        <v>159</v>
      </c>
      <c r="C836" s="151" t="s">
        <v>4954</v>
      </c>
      <c r="D836" s="151" t="s">
        <v>17</v>
      </c>
      <c r="E836" s="151" t="s">
        <v>4964</v>
      </c>
      <c r="F836" s="151" t="s">
        <v>2527</v>
      </c>
      <c r="G836" s="151" t="s">
        <v>2173</v>
      </c>
      <c r="H836" s="151" t="s">
        <v>1314</v>
      </c>
      <c r="I836" s="151" t="s">
        <v>1184</v>
      </c>
      <c r="J836" s="151" t="s">
        <v>1601</v>
      </c>
      <c r="K836" s="151" t="s">
        <v>2307</v>
      </c>
      <c r="L836" s="151" t="s">
        <v>4957</v>
      </c>
      <c r="M836" s="151" t="s">
        <v>361</v>
      </c>
      <c r="N836" s="341" t="s">
        <v>4965</v>
      </c>
      <c r="O836" s="151">
        <v>7690</v>
      </c>
      <c r="P836" s="151"/>
      <c r="Q836" s="151"/>
      <c r="R836" s="151" t="s">
        <v>2177</v>
      </c>
      <c r="S836" s="151" t="s">
        <v>361</v>
      </c>
      <c r="T836" s="151" t="s">
        <v>2213</v>
      </c>
      <c r="U836" s="151" t="s">
        <v>3582</v>
      </c>
      <c r="V836" s="151" t="s">
        <v>49</v>
      </c>
      <c r="W836" s="151" t="s">
        <v>4966</v>
      </c>
      <c r="X836" s="151" t="s">
        <v>2445</v>
      </c>
      <c r="Y836" s="151" t="s">
        <v>3582</v>
      </c>
      <c r="Z836" s="151"/>
      <c r="AA836" s="151"/>
      <c r="AB836" s="151" t="s">
        <v>855</v>
      </c>
      <c r="AC836" s="342"/>
    </row>
    <row r="837" spans="1:29">
      <c r="A837" s="151" t="s">
        <v>3593</v>
      </c>
      <c r="B837" s="449" t="s">
        <v>4298</v>
      </c>
      <c r="C837" s="151" t="s">
        <v>4967</v>
      </c>
      <c r="D837" s="151" t="s">
        <v>17</v>
      </c>
      <c r="E837" s="151" t="s">
        <v>4968</v>
      </c>
      <c r="F837" s="151" t="s">
        <v>2527</v>
      </c>
      <c r="G837" s="151" t="s">
        <v>2173</v>
      </c>
      <c r="H837" s="151" t="s">
        <v>1314</v>
      </c>
      <c r="I837" s="151" t="s">
        <v>1184</v>
      </c>
      <c r="J837" s="151" t="s">
        <v>1637</v>
      </c>
      <c r="K837" s="151" t="s">
        <v>4969</v>
      </c>
      <c r="L837" s="151"/>
      <c r="M837" s="151" t="s">
        <v>361</v>
      </c>
      <c r="N837" s="151" t="s">
        <v>4970</v>
      </c>
      <c r="O837" s="151"/>
      <c r="P837" s="151"/>
      <c r="Q837" s="151"/>
      <c r="R837" s="151" t="s">
        <v>2177</v>
      </c>
      <c r="S837" s="151" t="s">
        <v>361</v>
      </c>
      <c r="T837" s="151" t="s">
        <v>2213</v>
      </c>
      <c r="U837" s="151" t="s">
        <v>3582</v>
      </c>
      <c r="V837" s="151" t="s">
        <v>49</v>
      </c>
      <c r="W837" s="151">
        <v>100</v>
      </c>
      <c r="X837" s="151" t="s">
        <v>2445</v>
      </c>
      <c r="Y837" s="151" t="s">
        <v>3582</v>
      </c>
      <c r="Z837" s="151"/>
      <c r="AA837" s="151"/>
      <c r="AB837" s="151" t="s">
        <v>855</v>
      </c>
      <c r="AC837" s="342"/>
    </row>
    <row r="838" spans="1:29">
      <c r="A838" s="151" t="s">
        <v>3593</v>
      </c>
      <c r="B838" s="449" t="s">
        <v>440</v>
      </c>
      <c r="C838" s="151" t="s">
        <v>4967</v>
      </c>
      <c r="D838" s="151" t="s">
        <v>17</v>
      </c>
      <c r="E838" s="151" t="s">
        <v>4971</v>
      </c>
      <c r="F838" s="151" t="s">
        <v>2527</v>
      </c>
      <c r="G838" s="151" t="s">
        <v>2173</v>
      </c>
      <c r="H838" s="151" t="s">
        <v>1314</v>
      </c>
      <c r="I838" s="151" t="s">
        <v>1184</v>
      </c>
      <c r="J838" s="151" t="s">
        <v>1637</v>
      </c>
      <c r="K838" s="151" t="s">
        <v>4972</v>
      </c>
      <c r="L838" s="151"/>
      <c r="M838" s="151" t="s">
        <v>361</v>
      </c>
      <c r="N838" s="151" t="s">
        <v>4970</v>
      </c>
      <c r="O838" s="151"/>
      <c r="P838" s="151"/>
      <c r="Q838" s="151"/>
      <c r="R838" s="151" t="s">
        <v>2177</v>
      </c>
      <c r="S838" s="151" t="s">
        <v>361</v>
      </c>
      <c r="T838" s="151" t="s">
        <v>2213</v>
      </c>
      <c r="U838" s="151" t="s">
        <v>3582</v>
      </c>
      <c r="V838" s="151" t="s">
        <v>49</v>
      </c>
      <c r="W838" s="151">
        <v>100</v>
      </c>
      <c r="X838" s="151" t="s">
        <v>2445</v>
      </c>
      <c r="Y838" s="151" t="s">
        <v>3582</v>
      </c>
      <c r="Z838" s="151"/>
      <c r="AA838" s="151"/>
      <c r="AB838" s="151" t="s">
        <v>855</v>
      </c>
      <c r="AC838" s="342"/>
    </row>
    <row r="839" spans="1:29" ht="105">
      <c r="A839" s="151" t="s">
        <v>3593</v>
      </c>
      <c r="B839" s="449" t="s">
        <v>4339</v>
      </c>
      <c r="C839" s="151" t="s">
        <v>4967</v>
      </c>
      <c r="D839" s="151" t="s">
        <v>17</v>
      </c>
      <c r="E839" s="151" t="s">
        <v>4973</v>
      </c>
      <c r="F839" s="151" t="s">
        <v>2527</v>
      </c>
      <c r="G839" s="151" t="s">
        <v>2173</v>
      </c>
      <c r="H839" s="151" t="s">
        <v>1314</v>
      </c>
      <c r="I839" s="151" t="s">
        <v>1184</v>
      </c>
      <c r="J839" s="151" t="s">
        <v>1559</v>
      </c>
      <c r="K839" s="151" t="s">
        <v>4974</v>
      </c>
      <c r="L839" s="151" t="s">
        <v>4975</v>
      </c>
      <c r="M839" s="151" t="s">
        <v>361</v>
      </c>
      <c r="N839" s="341" t="s">
        <v>4976</v>
      </c>
      <c r="O839" s="151">
        <v>61562</v>
      </c>
      <c r="P839" s="151"/>
      <c r="Q839" s="151"/>
      <c r="R839" s="151" t="s">
        <v>2177</v>
      </c>
      <c r="S839" s="151" t="s">
        <v>361</v>
      </c>
      <c r="T839" s="151" t="s">
        <v>2213</v>
      </c>
      <c r="U839" s="151" t="s">
        <v>3582</v>
      </c>
      <c r="V839" s="151" t="s">
        <v>49</v>
      </c>
      <c r="W839" s="151">
        <v>2</v>
      </c>
      <c r="X839" s="151" t="s">
        <v>2445</v>
      </c>
      <c r="Y839" s="151" t="s">
        <v>3582</v>
      </c>
      <c r="Z839" s="151"/>
      <c r="AA839" s="151"/>
      <c r="AB839" s="151" t="s">
        <v>855</v>
      </c>
      <c r="AC839" s="342"/>
    </row>
    <row r="840" spans="1:29" ht="105">
      <c r="A840" s="151" t="s">
        <v>3593</v>
      </c>
      <c r="B840" s="449" t="s">
        <v>4977</v>
      </c>
      <c r="C840" s="151" t="s">
        <v>4967</v>
      </c>
      <c r="D840" s="151" t="s">
        <v>17</v>
      </c>
      <c r="E840" s="151" t="s">
        <v>4978</v>
      </c>
      <c r="F840" s="151" t="s">
        <v>2527</v>
      </c>
      <c r="G840" s="151" t="s">
        <v>2173</v>
      </c>
      <c r="H840" s="151" t="s">
        <v>1314</v>
      </c>
      <c r="I840" s="151" t="s">
        <v>1184</v>
      </c>
      <c r="J840" s="151" t="s">
        <v>1559</v>
      </c>
      <c r="K840" s="151" t="s">
        <v>4979</v>
      </c>
      <c r="L840" s="151" t="s">
        <v>4975</v>
      </c>
      <c r="M840" s="151" t="s">
        <v>361</v>
      </c>
      <c r="N840" s="341" t="s">
        <v>4980</v>
      </c>
      <c r="O840" s="151">
        <v>61562</v>
      </c>
      <c r="P840" s="151"/>
      <c r="Q840" s="151"/>
      <c r="R840" s="151" t="s">
        <v>2177</v>
      </c>
      <c r="S840" s="151" t="s">
        <v>361</v>
      </c>
      <c r="T840" s="151" t="s">
        <v>2213</v>
      </c>
      <c r="U840" s="151" t="s">
        <v>3884</v>
      </c>
      <c r="V840" s="151" t="s">
        <v>49</v>
      </c>
      <c r="W840" s="151" t="s">
        <v>3884</v>
      </c>
      <c r="X840" s="151" t="s">
        <v>2445</v>
      </c>
      <c r="Y840" s="151" t="s">
        <v>3884</v>
      </c>
      <c r="Z840" s="151"/>
      <c r="AA840" s="151"/>
      <c r="AB840" s="151" t="s">
        <v>855</v>
      </c>
      <c r="AC840" s="342"/>
    </row>
    <row r="841" spans="1:29" ht="105">
      <c r="A841" s="151" t="s">
        <v>3593</v>
      </c>
      <c r="B841" s="449" t="s">
        <v>4981</v>
      </c>
      <c r="C841" s="151" t="s">
        <v>4967</v>
      </c>
      <c r="D841" s="151" t="s">
        <v>17</v>
      </c>
      <c r="E841" s="151" t="s">
        <v>4982</v>
      </c>
      <c r="F841" s="151" t="s">
        <v>2527</v>
      </c>
      <c r="G841" s="151" t="s">
        <v>2173</v>
      </c>
      <c r="H841" s="151" t="s">
        <v>1314</v>
      </c>
      <c r="I841" s="151" t="s">
        <v>1184</v>
      </c>
      <c r="J841" s="151" t="s">
        <v>1559</v>
      </c>
      <c r="K841" s="151" t="s">
        <v>4983</v>
      </c>
      <c r="L841" s="151" t="s">
        <v>4975</v>
      </c>
      <c r="M841" s="151" t="s">
        <v>361</v>
      </c>
      <c r="N841" s="341" t="s">
        <v>4984</v>
      </c>
      <c r="O841" s="151">
        <v>61562</v>
      </c>
      <c r="P841" s="151"/>
      <c r="Q841" s="151"/>
      <c r="R841" s="151" t="s">
        <v>2177</v>
      </c>
      <c r="S841" s="151" t="s">
        <v>361</v>
      </c>
      <c r="T841" s="151" t="s">
        <v>2213</v>
      </c>
      <c r="U841" s="151" t="s">
        <v>3884</v>
      </c>
      <c r="V841" s="151" t="s">
        <v>49</v>
      </c>
      <c r="W841" s="151" t="s">
        <v>3884</v>
      </c>
      <c r="X841" s="151" t="s">
        <v>2445</v>
      </c>
      <c r="Y841" s="151" t="s">
        <v>3884</v>
      </c>
      <c r="Z841" s="151"/>
      <c r="AA841" s="151"/>
      <c r="AB841" s="151" t="s">
        <v>855</v>
      </c>
      <c r="AC841" s="342"/>
    </row>
    <row r="842" spans="1:29" ht="105">
      <c r="A842" s="151" t="s">
        <v>3593</v>
      </c>
      <c r="B842" s="449" t="s">
        <v>4985</v>
      </c>
      <c r="C842" s="151" t="s">
        <v>4967</v>
      </c>
      <c r="D842" s="151" t="s">
        <v>17</v>
      </c>
      <c r="E842" s="151" t="s">
        <v>4986</v>
      </c>
      <c r="F842" s="151" t="s">
        <v>2527</v>
      </c>
      <c r="G842" s="151" t="s">
        <v>2173</v>
      </c>
      <c r="H842" s="151" t="s">
        <v>1314</v>
      </c>
      <c r="I842" s="151" t="s">
        <v>1184</v>
      </c>
      <c r="J842" s="151" t="s">
        <v>1559</v>
      </c>
      <c r="K842" s="151" t="s">
        <v>4979</v>
      </c>
      <c r="L842" s="151" t="s">
        <v>4975</v>
      </c>
      <c r="M842" s="151" t="s">
        <v>361</v>
      </c>
      <c r="N842" s="341" t="s">
        <v>4987</v>
      </c>
      <c r="O842" s="151">
        <v>61562</v>
      </c>
      <c r="P842" s="151"/>
      <c r="Q842" s="151"/>
      <c r="R842" s="151" t="s">
        <v>2177</v>
      </c>
      <c r="S842" s="151" t="s">
        <v>361</v>
      </c>
      <c r="T842" s="151" t="s">
        <v>2213</v>
      </c>
      <c r="U842" s="151" t="s">
        <v>3884</v>
      </c>
      <c r="V842" s="151" t="s">
        <v>49</v>
      </c>
      <c r="W842" s="151" t="s">
        <v>3884</v>
      </c>
      <c r="X842" s="151" t="s">
        <v>2445</v>
      </c>
      <c r="Y842" s="151" t="s">
        <v>3884</v>
      </c>
      <c r="Z842" s="151"/>
      <c r="AA842" s="151"/>
      <c r="AB842" s="151" t="s">
        <v>855</v>
      </c>
      <c r="AC842" s="342"/>
    </row>
    <row r="843" spans="1:29">
      <c r="A843" s="151" t="s">
        <v>3593</v>
      </c>
      <c r="B843" s="449" t="s">
        <v>4298</v>
      </c>
      <c r="C843" s="151" t="s">
        <v>4988</v>
      </c>
      <c r="D843" s="151" t="s">
        <v>17</v>
      </c>
      <c r="E843" s="151" t="s">
        <v>4989</v>
      </c>
      <c r="F843" s="151" t="s">
        <v>2527</v>
      </c>
      <c r="G843" s="151" t="s">
        <v>2173</v>
      </c>
      <c r="H843" s="151" t="s">
        <v>1314</v>
      </c>
      <c r="I843" s="151" t="s">
        <v>1184</v>
      </c>
      <c r="J843" s="151" t="s">
        <v>1637</v>
      </c>
      <c r="K843" s="151" t="s">
        <v>4969</v>
      </c>
      <c r="L843" s="151" t="s">
        <v>361</v>
      </c>
      <c r="M843" s="151" t="s">
        <v>361</v>
      </c>
      <c r="N843" s="151" t="s">
        <v>4970</v>
      </c>
      <c r="O843" s="151"/>
      <c r="P843" s="151"/>
      <c r="Q843" s="151"/>
      <c r="R843" s="151" t="s">
        <v>2177</v>
      </c>
      <c r="S843" s="151" t="s">
        <v>361</v>
      </c>
      <c r="T843" s="151" t="s">
        <v>2213</v>
      </c>
      <c r="U843" s="151" t="s">
        <v>3582</v>
      </c>
      <c r="V843" s="151" t="s">
        <v>49</v>
      </c>
      <c r="W843" s="151">
        <v>100</v>
      </c>
      <c r="X843" s="151" t="s">
        <v>2445</v>
      </c>
      <c r="Y843" s="151" t="s">
        <v>3582</v>
      </c>
      <c r="Z843" s="151"/>
      <c r="AA843" s="151"/>
      <c r="AB843" s="151" t="s">
        <v>855</v>
      </c>
      <c r="AC843" s="342"/>
    </row>
    <row r="844" spans="1:29">
      <c r="A844" s="151" t="s">
        <v>3593</v>
      </c>
      <c r="B844" s="449" t="s">
        <v>440</v>
      </c>
      <c r="C844" s="151" t="s">
        <v>4988</v>
      </c>
      <c r="D844" s="151" t="s">
        <v>17</v>
      </c>
      <c r="E844" s="151" t="s">
        <v>4990</v>
      </c>
      <c r="F844" s="151" t="s">
        <v>2527</v>
      </c>
      <c r="G844" s="151" t="s">
        <v>2173</v>
      </c>
      <c r="H844" s="151" t="s">
        <v>1314</v>
      </c>
      <c r="I844" s="151" t="s">
        <v>1184</v>
      </c>
      <c r="J844" s="151" t="s">
        <v>1637</v>
      </c>
      <c r="K844" s="151" t="s">
        <v>4972</v>
      </c>
      <c r="L844" s="151" t="s">
        <v>361</v>
      </c>
      <c r="M844" s="151" t="s">
        <v>361</v>
      </c>
      <c r="N844" s="151" t="s">
        <v>4970</v>
      </c>
      <c r="O844" s="151"/>
      <c r="P844" s="151"/>
      <c r="Q844" s="151"/>
      <c r="R844" s="151" t="s">
        <v>2177</v>
      </c>
      <c r="S844" s="151" t="s">
        <v>361</v>
      </c>
      <c r="T844" s="151" t="s">
        <v>2213</v>
      </c>
      <c r="U844" s="151" t="s">
        <v>3582</v>
      </c>
      <c r="V844" s="151" t="s">
        <v>49</v>
      </c>
      <c r="W844" s="151">
        <v>100</v>
      </c>
      <c r="X844" s="151" t="s">
        <v>2445</v>
      </c>
      <c r="Y844" s="151" t="s">
        <v>3582</v>
      </c>
      <c r="Z844" s="151"/>
      <c r="AA844" s="151"/>
      <c r="AB844" s="151" t="s">
        <v>855</v>
      </c>
      <c r="AC844" s="342"/>
    </row>
    <row r="845" spans="1:29" ht="120">
      <c r="A845" s="151" t="s">
        <v>3593</v>
      </c>
      <c r="B845" s="449" t="s">
        <v>4339</v>
      </c>
      <c r="C845" s="151" t="s">
        <v>4988</v>
      </c>
      <c r="D845" s="151" t="s">
        <v>17</v>
      </c>
      <c r="E845" s="151" t="s">
        <v>4991</v>
      </c>
      <c r="F845" s="151" t="s">
        <v>2527</v>
      </c>
      <c r="G845" s="151" t="s">
        <v>2173</v>
      </c>
      <c r="H845" s="151" t="s">
        <v>1314</v>
      </c>
      <c r="I845" s="151" t="s">
        <v>1184</v>
      </c>
      <c r="J845" s="151" t="s">
        <v>1559</v>
      </c>
      <c r="K845" s="151" t="s">
        <v>4974</v>
      </c>
      <c r="L845" s="151" t="s">
        <v>4975</v>
      </c>
      <c r="M845" s="151" t="s">
        <v>361</v>
      </c>
      <c r="N845" s="341" t="s">
        <v>4992</v>
      </c>
      <c r="O845" s="151">
        <v>61512</v>
      </c>
      <c r="P845" s="151"/>
      <c r="Q845" s="151"/>
      <c r="R845" s="151" t="s">
        <v>2177</v>
      </c>
      <c r="S845" s="151" t="s">
        <v>361</v>
      </c>
      <c r="T845" s="151" t="s">
        <v>2213</v>
      </c>
      <c r="U845" s="151" t="s">
        <v>3582</v>
      </c>
      <c r="V845" s="151" t="s">
        <v>49</v>
      </c>
      <c r="W845" s="151">
        <v>2</v>
      </c>
      <c r="X845" s="151" t="s">
        <v>2445</v>
      </c>
      <c r="Y845" s="151" t="s">
        <v>3582</v>
      </c>
      <c r="Z845" s="151"/>
      <c r="AA845" s="151"/>
      <c r="AB845" s="151" t="s">
        <v>855</v>
      </c>
      <c r="AC845" s="342"/>
    </row>
    <row r="846" spans="1:29" ht="120">
      <c r="A846" s="151" t="s">
        <v>3593</v>
      </c>
      <c r="B846" s="449" t="s">
        <v>4977</v>
      </c>
      <c r="C846" s="151" t="s">
        <v>4988</v>
      </c>
      <c r="D846" s="151" t="s">
        <v>17</v>
      </c>
      <c r="E846" s="151" t="s">
        <v>4993</v>
      </c>
      <c r="F846" s="151" t="s">
        <v>2527</v>
      </c>
      <c r="G846" s="151" t="s">
        <v>2173</v>
      </c>
      <c r="H846" s="151" t="s">
        <v>1314</v>
      </c>
      <c r="I846" s="151" t="s">
        <v>1184</v>
      </c>
      <c r="J846" s="151" t="s">
        <v>1559</v>
      </c>
      <c r="K846" s="151" t="s">
        <v>4979</v>
      </c>
      <c r="L846" s="151" t="s">
        <v>4975</v>
      </c>
      <c r="M846" s="151" t="s">
        <v>361</v>
      </c>
      <c r="N846" s="341" t="s">
        <v>4994</v>
      </c>
      <c r="O846" s="151">
        <v>61512</v>
      </c>
      <c r="P846" s="151"/>
      <c r="Q846" s="151"/>
      <c r="R846" s="151" t="s">
        <v>2177</v>
      </c>
      <c r="S846" s="151" t="s">
        <v>361</v>
      </c>
      <c r="T846" s="151" t="s">
        <v>2213</v>
      </c>
      <c r="U846" s="151" t="s">
        <v>3884</v>
      </c>
      <c r="V846" s="151" t="s">
        <v>49</v>
      </c>
      <c r="W846" s="151" t="s">
        <v>3884</v>
      </c>
      <c r="X846" s="151" t="s">
        <v>2445</v>
      </c>
      <c r="Y846" s="151" t="s">
        <v>3884</v>
      </c>
      <c r="Z846" s="151"/>
      <c r="AA846" s="151"/>
      <c r="AB846" s="151" t="s">
        <v>855</v>
      </c>
      <c r="AC846" s="342"/>
    </row>
    <row r="847" spans="1:29" ht="105">
      <c r="A847" s="151" t="s">
        <v>3593</v>
      </c>
      <c r="B847" s="449" t="s">
        <v>4981</v>
      </c>
      <c r="C847" s="151" t="s">
        <v>4988</v>
      </c>
      <c r="D847" s="151" t="s">
        <v>17</v>
      </c>
      <c r="E847" s="151" t="s">
        <v>4995</v>
      </c>
      <c r="F847" s="151" t="s">
        <v>2527</v>
      </c>
      <c r="G847" s="151" t="s">
        <v>2173</v>
      </c>
      <c r="H847" s="151" t="s">
        <v>1314</v>
      </c>
      <c r="I847" s="151" t="s">
        <v>1184</v>
      </c>
      <c r="J847" s="151" t="s">
        <v>1559</v>
      </c>
      <c r="K847" s="151" t="s">
        <v>4983</v>
      </c>
      <c r="L847" s="151" t="s">
        <v>4975</v>
      </c>
      <c r="M847" s="151" t="s">
        <v>361</v>
      </c>
      <c r="N847" s="341" t="s">
        <v>4996</v>
      </c>
      <c r="O847" s="151">
        <v>61512</v>
      </c>
      <c r="P847" s="151"/>
      <c r="Q847" s="151"/>
      <c r="R847" s="151" t="s">
        <v>2177</v>
      </c>
      <c r="S847" s="151" t="s">
        <v>361</v>
      </c>
      <c r="T847" s="151" t="s">
        <v>2213</v>
      </c>
      <c r="U847" s="151" t="s">
        <v>3884</v>
      </c>
      <c r="V847" s="151" t="s">
        <v>49</v>
      </c>
      <c r="W847" s="151" t="s">
        <v>3884</v>
      </c>
      <c r="X847" s="151" t="s">
        <v>2445</v>
      </c>
      <c r="Y847" s="151" t="s">
        <v>3884</v>
      </c>
      <c r="Z847" s="151"/>
      <c r="AA847" s="151"/>
      <c r="AB847" s="151" t="s">
        <v>855</v>
      </c>
      <c r="AC847" s="342"/>
    </row>
    <row r="848" spans="1:29" ht="105">
      <c r="A848" s="151" t="s">
        <v>3593</v>
      </c>
      <c r="B848" s="449" t="s">
        <v>4985</v>
      </c>
      <c r="C848" s="151" t="s">
        <v>4988</v>
      </c>
      <c r="D848" s="151" t="s">
        <v>17</v>
      </c>
      <c r="E848" s="151" t="s">
        <v>4997</v>
      </c>
      <c r="F848" s="151" t="s">
        <v>2527</v>
      </c>
      <c r="G848" s="151" t="s">
        <v>2173</v>
      </c>
      <c r="H848" s="151" t="s">
        <v>1314</v>
      </c>
      <c r="I848" s="151" t="s">
        <v>1184</v>
      </c>
      <c r="J848" s="151" t="s">
        <v>1559</v>
      </c>
      <c r="K848" s="151" t="s">
        <v>4979</v>
      </c>
      <c r="L848" s="151" t="s">
        <v>4975</v>
      </c>
      <c r="M848" s="151" t="s">
        <v>361</v>
      </c>
      <c r="N848" s="341" t="s">
        <v>4998</v>
      </c>
      <c r="O848" s="151">
        <v>61512</v>
      </c>
      <c r="P848" s="151"/>
      <c r="Q848" s="151"/>
      <c r="R848" s="151" t="s">
        <v>2177</v>
      </c>
      <c r="S848" s="151" t="s">
        <v>361</v>
      </c>
      <c r="T848" s="151" t="s">
        <v>2213</v>
      </c>
      <c r="U848" s="151" t="s">
        <v>3884</v>
      </c>
      <c r="V848" s="151" t="s">
        <v>49</v>
      </c>
      <c r="W848" s="151" t="s">
        <v>3884</v>
      </c>
      <c r="X848" s="151" t="s">
        <v>2445</v>
      </c>
      <c r="Y848" s="151" t="s">
        <v>3884</v>
      </c>
      <c r="Z848" s="151"/>
      <c r="AA848" s="151"/>
      <c r="AB848" s="151" t="s">
        <v>855</v>
      </c>
      <c r="AC848" s="342"/>
    </row>
    <row r="849" spans="1:29" ht="90">
      <c r="A849" s="151" t="s">
        <v>3593</v>
      </c>
      <c r="B849" s="449" t="s">
        <v>4999</v>
      </c>
      <c r="C849" s="151" t="s">
        <v>5000</v>
      </c>
      <c r="D849" s="151" t="s">
        <v>17</v>
      </c>
      <c r="E849" s="151" t="s">
        <v>5001</v>
      </c>
      <c r="F849" s="151" t="s">
        <v>2527</v>
      </c>
      <c r="G849" s="151" t="s">
        <v>2173</v>
      </c>
      <c r="H849" s="151" t="s">
        <v>1314</v>
      </c>
      <c r="I849" s="151" t="s">
        <v>1184</v>
      </c>
      <c r="J849" s="151" t="s">
        <v>1600</v>
      </c>
      <c r="K849" s="151" t="s">
        <v>4956</v>
      </c>
      <c r="L849" s="151" t="s">
        <v>5002</v>
      </c>
      <c r="M849" s="151" t="s">
        <v>361</v>
      </c>
      <c r="N849" s="341" t="s">
        <v>5003</v>
      </c>
      <c r="O849" s="151">
        <v>7690</v>
      </c>
      <c r="P849" s="151"/>
      <c r="Q849" s="151"/>
      <c r="R849" s="151" t="s">
        <v>2177</v>
      </c>
      <c r="S849" s="151" t="s">
        <v>361</v>
      </c>
      <c r="T849" s="151" t="s">
        <v>2213</v>
      </c>
      <c r="U849" s="151" t="s">
        <v>3582</v>
      </c>
      <c r="V849" s="151" t="s">
        <v>49</v>
      </c>
      <c r="W849" s="151">
        <v>15</v>
      </c>
      <c r="X849" s="151" t="s">
        <v>2445</v>
      </c>
      <c r="Y849" s="151" t="s">
        <v>3582</v>
      </c>
      <c r="Z849" s="151"/>
      <c r="AA849" s="151"/>
      <c r="AB849" s="151" t="s">
        <v>855</v>
      </c>
      <c r="AC849" s="342"/>
    </row>
    <row r="850" spans="1:29" ht="90">
      <c r="A850" s="151" t="s">
        <v>3593</v>
      </c>
      <c r="B850" s="449" t="s">
        <v>5004</v>
      </c>
      <c r="C850" s="151" t="s">
        <v>5000</v>
      </c>
      <c r="D850" s="151" t="s">
        <v>17</v>
      </c>
      <c r="E850" s="151" t="s">
        <v>5005</v>
      </c>
      <c r="F850" s="151" t="s">
        <v>2527</v>
      </c>
      <c r="G850" s="151" t="s">
        <v>2173</v>
      </c>
      <c r="H850" s="151" t="s">
        <v>1314</v>
      </c>
      <c r="I850" s="151" t="s">
        <v>1184</v>
      </c>
      <c r="J850" s="151" t="s">
        <v>1600</v>
      </c>
      <c r="K850" s="151" t="s">
        <v>4962</v>
      </c>
      <c r="L850" s="151" t="s">
        <v>5002</v>
      </c>
      <c r="M850" s="151" t="s">
        <v>361</v>
      </c>
      <c r="N850" s="341" t="s">
        <v>5006</v>
      </c>
      <c r="O850" s="151">
        <v>7690</v>
      </c>
      <c r="P850" s="151"/>
      <c r="Q850" s="151"/>
      <c r="R850" s="151" t="s">
        <v>2177</v>
      </c>
      <c r="S850" s="151" t="s">
        <v>361</v>
      </c>
      <c r="T850" s="151" t="s">
        <v>2213</v>
      </c>
      <c r="U850" s="151" t="s">
        <v>2207</v>
      </c>
      <c r="V850" s="151">
        <v>10</v>
      </c>
      <c r="W850" s="151" t="s">
        <v>2207</v>
      </c>
      <c r="X850" s="151" t="s">
        <v>2445</v>
      </c>
      <c r="Y850" s="151" t="s">
        <v>2207</v>
      </c>
      <c r="Z850" s="151"/>
      <c r="AA850" s="151"/>
      <c r="AB850" s="151" t="s">
        <v>855</v>
      </c>
      <c r="AC850" s="342"/>
    </row>
    <row r="851" spans="1:29" ht="90">
      <c r="A851" s="151" t="s">
        <v>3593</v>
      </c>
      <c r="B851" s="449" t="s">
        <v>5007</v>
      </c>
      <c r="C851" s="151" t="s">
        <v>5000</v>
      </c>
      <c r="D851" s="151" t="s">
        <v>17</v>
      </c>
      <c r="E851" s="151" t="s">
        <v>5008</v>
      </c>
      <c r="F851" s="151" t="s">
        <v>2527</v>
      </c>
      <c r="G851" s="151" t="s">
        <v>2173</v>
      </c>
      <c r="H851" s="151" t="s">
        <v>1314</v>
      </c>
      <c r="I851" s="151" t="s">
        <v>1184</v>
      </c>
      <c r="J851" s="151" t="s">
        <v>1600</v>
      </c>
      <c r="K851" s="151" t="s">
        <v>5009</v>
      </c>
      <c r="L851" s="151" t="s">
        <v>5002</v>
      </c>
      <c r="M851" s="151" t="s">
        <v>361</v>
      </c>
      <c r="N851" s="341" t="s">
        <v>5010</v>
      </c>
      <c r="O851" s="151">
        <v>7690</v>
      </c>
      <c r="P851" s="151"/>
      <c r="Q851" s="151"/>
      <c r="R851" s="151" t="s">
        <v>2177</v>
      </c>
      <c r="S851" s="151" t="s">
        <v>361</v>
      </c>
      <c r="T851" s="151" t="s">
        <v>2213</v>
      </c>
      <c r="U851" s="151" t="s">
        <v>3582</v>
      </c>
      <c r="V851" s="151" t="s">
        <v>49</v>
      </c>
      <c r="W851" s="151">
        <v>2</v>
      </c>
      <c r="X851" s="151" t="s">
        <v>2445</v>
      </c>
      <c r="Y851" s="151" t="s">
        <v>3582</v>
      </c>
      <c r="Z851" s="151"/>
      <c r="AA851" s="151"/>
      <c r="AB851" s="151" t="s">
        <v>855</v>
      </c>
      <c r="AC851" s="342"/>
    </row>
    <row r="852" spans="1:29">
      <c r="A852" s="151" t="s">
        <v>3593</v>
      </c>
      <c r="B852" s="449" t="s">
        <v>4298</v>
      </c>
      <c r="C852" s="151" t="s">
        <v>5011</v>
      </c>
      <c r="D852" s="151" t="s">
        <v>17</v>
      </c>
      <c r="E852" s="151" t="s">
        <v>5012</v>
      </c>
      <c r="F852" s="151" t="s">
        <v>2527</v>
      </c>
      <c r="G852" s="151" t="s">
        <v>2173</v>
      </c>
      <c r="H852" s="151" t="s">
        <v>1314</v>
      </c>
      <c r="I852" s="151" t="s">
        <v>1184</v>
      </c>
      <c r="J852" s="151" t="s">
        <v>1637</v>
      </c>
      <c r="K852" s="151" t="s">
        <v>4969</v>
      </c>
      <c r="L852" s="151" t="s">
        <v>361</v>
      </c>
      <c r="M852" s="151" t="s">
        <v>361</v>
      </c>
      <c r="N852" s="151" t="s">
        <v>5013</v>
      </c>
      <c r="O852" s="151"/>
      <c r="P852" s="151"/>
      <c r="Q852" s="151"/>
      <c r="R852" s="151" t="s">
        <v>2177</v>
      </c>
      <c r="S852" s="151" t="s">
        <v>361</v>
      </c>
      <c r="T852" s="151" t="s">
        <v>2213</v>
      </c>
      <c r="U852" s="151" t="s">
        <v>3582</v>
      </c>
      <c r="V852" s="151" t="s">
        <v>49</v>
      </c>
      <c r="W852" s="151">
        <v>100</v>
      </c>
      <c r="X852" s="151" t="s">
        <v>2445</v>
      </c>
      <c r="Y852" s="151" t="s">
        <v>3582</v>
      </c>
      <c r="Z852" s="151"/>
      <c r="AA852" s="151"/>
      <c r="AB852" s="151" t="s">
        <v>855</v>
      </c>
      <c r="AC852" s="342"/>
    </row>
    <row r="853" spans="1:29">
      <c r="A853" s="151" t="s">
        <v>3593</v>
      </c>
      <c r="B853" s="449" t="s">
        <v>440</v>
      </c>
      <c r="C853" s="151" t="s">
        <v>5011</v>
      </c>
      <c r="D853" s="151" t="s">
        <v>17</v>
      </c>
      <c r="E853" s="151" t="s">
        <v>5014</v>
      </c>
      <c r="F853" s="151" t="s">
        <v>2527</v>
      </c>
      <c r="G853" s="151" t="s">
        <v>2173</v>
      </c>
      <c r="H853" s="151" t="s">
        <v>1314</v>
      </c>
      <c r="I853" s="151" t="s">
        <v>1184</v>
      </c>
      <c r="J853" s="151" t="s">
        <v>1637</v>
      </c>
      <c r="K853" s="151" t="s">
        <v>4972</v>
      </c>
      <c r="L853" s="151" t="s">
        <v>361</v>
      </c>
      <c r="M853" s="151" t="s">
        <v>361</v>
      </c>
      <c r="N853" s="151" t="s">
        <v>5013</v>
      </c>
      <c r="O853" s="151"/>
      <c r="P853" s="151"/>
      <c r="Q853" s="151"/>
      <c r="R853" s="151" t="s">
        <v>2177</v>
      </c>
      <c r="S853" s="151" t="s">
        <v>361</v>
      </c>
      <c r="T853" s="151" t="s">
        <v>2213</v>
      </c>
      <c r="U853" s="151" t="s">
        <v>3582</v>
      </c>
      <c r="V853" s="151" t="s">
        <v>49</v>
      </c>
      <c r="W853" s="151">
        <v>100</v>
      </c>
      <c r="X853" s="151" t="s">
        <v>2445</v>
      </c>
      <c r="Y853" s="151" t="s">
        <v>3582</v>
      </c>
      <c r="Z853" s="151"/>
      <c r="AA853" s="151"/>
      <c r="AB853" s="151" t="s">
        <v>855</v>
      </c>
      <c r="AC853" s="342"/>
    </row>
    <row r="854" spans="1:29" ht="120">
      <c r="A854" s="151" t="s">
        <v>3593</v>
      </c>
      <c r="B854" s="151" t="s">
        <v>345</v>
      </c>
      <c r="C854" s="151" t="s">
        <v>5011</v>
      </c>
      <c r="D854" s="151" t="s">
        <v>17</v>
      </c>
      <c r="E854" s="151" t="s">
        <v>5015</v>
      </c>
      <c r="F854" s="151" t="s">
        <v>2527</v>
      </c>
      <c r="G854" s="151" t="s">
        <v>2173</v>
      </c>
      <c r="H854" s="151" t="s">
        <v>1314</v>
      </c>
      <c r="I854" s="151" t="s">
        <v>1184</v>
      </c>
      <c r="J854" s="151" t="s">
        <v>1559</v>
      </c>
      <c r="K854" s="151" t="s">
        <v>5016</v>
      </c>
      <c r="L854" s="151" t="s">
        <v>4975</v>
      </c>
      <c r="M854" s="151" t="s">
        <v>361</v>
      </c>
      <c r="N854" s="341" t="s">
        <v>5017</v>
      </c>
      <c r="O854" s="151">
        <v>61512</v>
      </c>
      <c r="P854" s="151"/>
      <c r="Q854" s="151"/>
      <c r="R854" s="151" t="s">
        <v>2177</v>
      </c>
      <c r="S854" s="151" t="s">
        <v>361</v>
      </c>
      <c r="T854" s="151" t="s">
        <v>2213</v>
      </c>
      <c r="U854" s="151" t="s">
        <v>3582</v>
      </c>
      <c r="V854" s="151" t="s">
        <v>49</v>
      </c>
      <c r="W854" s="151">
        <v>75</v>
      </c>
      <c r="X854" s="151" t="s">
        <v>2445</v>
      </c>
      <c r="Y854" s="151" t="s">
        <v>3582</v>
      </c>
      <c r="Z854" s="151"/>
      <c r="AA854" s="151"/>
      <c r="AB854" s="151" t="s">
        <v>855</v>
      </c>
      <c r="AC854" s="342"/>
    </row>
    <row r="855" spans="1:29" ht="120">
      <c r="A855" s="151" t="s">
        <v>3593</v>
      </c>
      <c r="B855" s="151" t="s">
        <v>4339</v>
      </c>
      <c r="C855" s="151" t="s">
        <v>5011</v>
      </c>
      <c r="D855" s="151" t="s">
        <v>17</v>
      </c>
      <c r="E855" s="151" t="s">
        <v>5018</v>
      </c>
      <c r="F855" s="151" t="s">
        <v>2527</v>
      </c>
      <c r="G855" s="151" t="s">
        <v>2173</v>
      </c>
      <c r="H855" s="151" t="s">
        <v>1314</v>
      </c>
      <c r="I855" s="151" t="s">
        <v>1184</v>
      </c>
      <c r="J855" s="151" t="s">
        <v>1559</v>
      </c>
      <c r="K855" s="151" t="s">
        <v>4974</v>
      </c>
      <c r="L855" s="151" t="s">
        <v>4975</v>
      </c>
      <c r="M855" s="151" t="s">
        <v>361</v>
      </c>
      <c r="N855" s="341" t="s">
        <v>5019</v>
      </c>
      <c r="O855" s="151">
        <v>61512</v>
      </c>
      <c r="P855" s="151"/>
      <c r="Q855" s="151"/>
      <c r="R855" s="151" t="s">
        <v>2177</v>
      </c>
      <c r="S855" s="151" t="s">
        <v>361</v>
      </c>
      <c r="T855" s="151" t="s">
        <v>2213</v>
      </c>
      <c r="U855" s="151" t="s">
        <v>3582</v>
      </c>
      <c r="V855" s="151" t="s">
        <v>49</v>
      </c>
      <c r="W855" s="151">
        <v>2</v>
      </c>
      <c r="X855" s="151" t="s">
        <v>2445</v>
      </c>
      <c r="Y855" s="151" t="s">
        <v>3582</v>
      </c>
      <c r="Z855" s="151"/>
      <c r="AA855" s="151"/>
      <c r="AB855" s="151" t="s">
        <v>855</v>
      </c>
      <c r="AC855" s="342"/>
    </row>
    <row r="856" spans="1:29" ht="135">
      <c r="A856" s="151" t="s">
        <v>3593</v>
      </c>
      <c r="B856" s="151" t="s">
        <v>4977</v>
      </c>
      <c r="C856" s="151" t="s">
        <v>5011</v>
      </c>
      <c r="D856" s="151" t="s">
        <v>17</v>
      </c>
      <c r="E856" s="151" t="s">
        <v>5020</v>
      </c>
      <c r="F856" s="151" t="s">
        <v>2527</v>
      </c>
      <c r="G856" s="151" t="s">
        <v>2173</v>
      </c>
      <c r="H856" s="151" t="s">
        <v>1314</v>
      </c>
      <c r="I856" s="151" t="s">
        <v>1184</v>
      </c>
      <c r="J856" s="151" t="s">
        <v>1559</v>
      </c>
      <c r="K856" s="151" t="s">
        <v>4979</v>
      </c>
      <c r="L856" s="151" t="s">
        <v>4975</v>
      </c>
      <c r="M856" s="151" t="s">
        <v>361</v>
      </c>
      <c r="N856" s="341" t="s">
        <v>5021</v>
      </c>
      <c r="O856" s="151">
        <v>61512</v>
      </c>
      <c r="P856" s="151"/>
      <c r="Q856" s="151"/>
      <c r="R856" s="151" t="s">
        <v>2177</v>
      </c>
      <c r="S856" s="151" t="s">
        <v>361</v>
      </c>
      <c r="T856" s="151" t="s">
        <v>2213</v>
      </c>
      <c r="U856" s="151" t="s">
        <v>3884</v>
      </c>
      <c r="V856" s="151" t="s">
        <v>49</v>
      </c>
      <c r="W856" s="151" t="s">
        <v>3884</v>
      </c>
      <c r="X856" s="151" t="s">
        <v>2445</v>
      </c>
      <c r="Y856" s="151" t="s">
        <v>3884</v>
      </c>
      <c r="Z856" s="151"/>
      <c r="AA856" s="151"/>
      <c r="AB856" s="151" t="s">
        <v>855</v>
      </c>
      <c r="AC856" s="342"/>
    </row>
    <row r="857" spans="1:29" ht="135">
      <c r="A857" s="151" t="s">
        <v>3593</v>
      </c>
      <c r="B857" s="151" t="s">
        <v>4981</v>
      </c>
      <c r="C857" s="151" t="s">
        <v>5011</v>
      </c>
      <c r="D857" s="151" t="s">
        <v>17</v>
      </c>
      <c r="E857" s="151" t="s">
        <v>5022</v>
      </c>
      <c r="F857" s="151" t="s">
        <v>2527</v>
      </c>
      <c r="G857" s="151" t="s">
        <v>2173</v>
      </c>
      <c r="H857" s="151" t="s">
        <v>1314</v>
      </c>
      <c r="I857" s="151" t="s">
        <v>1184</v>
      </c>
      <c r="J857" s="151" t="s">
        <v>1559</v>
      </c>
      <c r="K857" s="151" t="s">
        <v>4983</v>
      </c>
      <c r="L857" s="151" t="s">
        <v>4975</v>
      </c>
      <c r="M857" s="151" t="s">
        <v>361</v>
      </c>
      <c r="N857" s="341" t="s">
        <v>5023</v>
      </c>
      <c r="O857" s="151">
        <v>61512</v>
      </c>
      <c r="P857" s="151"/>
      <c r="Q857" s="151"/>
      <c r="R857" s="151" t="s">
        <v>2177</v>
      </c>
      <c r="S857" s="151" t="s">
        <v>361</v>
      </c>
      <c r="T857" s="151" t="s">
        <v>2213</v>
      </c>
      <c r="U857" s="151" t="s">
        <v>3884</v>
      </c>
      <c r="V857" s="151" t="s">
        <v>49</v>
      </c>
      <c r="W857" s="151" t="s">
        <v>3884</v>
      </c>
      <c r="X857" s="151" t="s">
        <v>2445</v>
      </c>
      <c r="Y857" s="151" t="s">
        <v>3884</v>
      </c>
      <c r="Z857" s="151"/>
      <c r="AA857" s="151"/>
      <c r="AB857" s="151" t="s">
        <v>855</v>
      </c>
      <c r="AC857" s="342"/>
    </row>
    <row r="858" spans="1:29" ht="120">
      <c r="A858" s="151" t="s">
        <v>3593</v>
      </c>
      <c r="B858" s="151" t="s">
        <v>4985</v>
      </c>
      <c r="C858" s="151" t="s">
        <v>5011</v>
      </c>
      <c r="D858" s="151" t="s">
        <v>17</v>
      </c>
      <c r="E858" s="151" t="s">
        <v>5024</v>
      </c>
      <c r="F858" s="151" t="s">
        <v>2527</v>
      </c>
      <c r="G858" s="151" t="s">
        <v>2173</v>
      </c>
      <c r="H858" s="151" t="s">
        <v>1314</v>
      </c>
      <c r="I858" s="151" t="s">
        <v>1184</v>
      </c>
      <c r="J858" s="151" t="s">
        <v>1559</v>
      </c>
      <c r="K858" s="151" t="s">
        <v>4979</v>
      </c>
      <c r="L858" s="151" t="s">
        <v>4975</v>
      </c>
      <c r="M858" s="151" t="s">
        <v>361</v>
      </c>
      <c r="N858" s="341" t="s">
        <v>5025</v>
      </c>
      <c r="O858" s="151">
        <v>61512</v>
      </c>
      <c r="P858" s="151"/>
      <c r="Q858" s="151"/>
      <c r="R858" s="151" t="s">
        <v>2177</v>
      </c>
      <c r="S858" s="151" t="s">
        <v>361</v>
      </c>
      <c r="T858" s="151" t="s">
        <v>2213</v>
      </c>
      <c r="U858" s="151" t="s">
        <v>3884</v>
      </c>
      <c r="V858" s="151" t="s">
        <v>49</v>
      </c>
      <c r="W858" s="151" t="s">
        <v>3884</v>
      </c>
      <c r="X858" s="151" t="s">
        <v>2445</v>
      </c>
      <c r="Y858" s="151" t="s">
        <v>3884</v>
      </c>
      <c r="Z858" s="151"/>
      <c r="AA858" s="151"/>
      <c r="AB858" s="151" t="s">
        <v>855</v>
      </c>
      <c r="AC858" s="342"/>
    </row>
    <row r="859" spans="1:29">
      <c r="A859" s="151" t="s">
        <v>3593</v>
      </c>
      <c r="B859" s="449" t="s">
        <v>5026</v>
      </c>
      <c r="C859" s="151" t="s">
        <v>5011</v>
      </c>
      <c r="D859" s="151" t="s">
        <v>17</v>
      </c>
      <c r="E859" s="151" t="s">
        <v>5027</v>
      </c>
      <c r="F859" s="151" t="s">
        <v>2527</v>
      </c>
      <c r="G859" s="151" t="s">
        <v>2173</v>
      </c>
      <c r="H859" s="151" t="s">
        <v>1314</v>
      </c>
      <c r="I859" s="151" t="s">
        <v>1184</v>
      </c>
      <c r="J859" s="151" t="s">
        <v>5028</v>
      </c>
      <c r="K859" s="151" t="s">
        <v>5029</v>
      </c>
      <c r="L859" s="151" t="s">
        <v>361</v>
      </c>
      <c r="M859" s="151" t="s">
        <v>361</v>
      </c>
      <c r="N859" s="151" t="s">
        <v>5013</v>
      </c>
      <c r="O859" s="151"/>
      <c r="P859" s="151"/>
      <c r="Q859" s="151"/>
      <c r="R859" s="151" t="s">
        <v>2177</v>
      </c>
      <c r="S859" s="151" t="s">
        <v>361</v>
      </c>
      <c r="T859" s="151" t="s">
        <v>2213</v>
      </c>
      <c r="U859" s="151" t="s">
        <v>2207</v>
      </c>
      <c r="V859" s="151">
        <v>10</v>
      </c>
      <c r="W859" s="151" t="s">
        <v>2207</v>
      </c>
      <c r="X859" s="151" t="s">
        <v>2445</v>
      </c>
      <c r="Y859" s="151" t="s">
        <v>2207</v>
      </c>
      <c r="Z859" s="151"/>
      <c r="AA859" s="151"/>
      <c r="AB859" s="151" t="s">
        <v>855</v>
      </c>
      <c r="AC859" s="342"/>
    </row>
    <row r="860" spans="1:29" ht="75">
      <c r="A860" s="151" t="s">
        <v>3593</v>
      </c>
      <c r="B860" s="151" t="s">
        <v>5030</v>
      </c>
      <c r="C860" s="151" t="s">
        <v>5031</v>
      </c>
      <c r="D860" s="151" t="s">
        <v>5032</v>
      </c>
      <c r="E860" s="151" t="s">
        <v>5033</v>
      </c>
      <c r="F860" s="151" t="s">
        <v>2527</v>
      </c>
      <c r="G860" s="151" t="s">
        <v>2546</v>
      </c>
      <c r="H860" s="151" t="s">
        <v>1710</v>
      </c>
      <c r="I860" s="151" t="s">
        <v>1184</v>
      </c>
      <c r="J860" s="151" t="s">
        <v>1711</v>
      </c>
      <c r="K860" s="151" t="s">
        <v>5034</v>
      </c>
      <c r="L860" s="341" t="s">
        <v>5035</v>
      </c>
      <c r="M860" s="151" t="s">
        <v>361</v>
      </c>
      <c r="N860" s="151" t="s">
        <v>5036</v>
      </c>
      <c r="O860" s="151"/>
      <c r="P860" s="151"/>
      <c r="Q860" s="151"/>
      <c r="R860" s="151"/>
      <c r="S860" s="151"/>
      <c r="T860" s="151"/>
      <c r="U860" s="151"/>
      <c r="V860" s="151"/>
      <c r="W860" s="151"/>
      <c r="X860" s="151"/>
      <c r="Y860" s="151"/>
      <c r="Z860" s="151"/>
      <c r="AA860" s="151"/>
      <c r="AB860" s="151"/>
      <c r="AC860" s="342"/>
    </row>
    <row r="861" spans="1:29">
      <c r="A861" s="151" t="s">
        <v>5037</v>
      </c>
      <c r="B861" s="151" t="s">
        <v>5038</v>
      </c>
      <c r="C861" s="151" t="s">
        <v>341</v>
      </c>
      <c r="D861" s="151" t="s">
        <v>17</v>
      </c>
      <c r="E861" s="151" t="s">
        <v>5039</v>
      </c>
      <c r="F861" s="151" t="s">
        <v>5040</v>
      </c>
      <c r="G861" s="151" t="s">
        <v>2173</v>
      </c>
      <c r="H861" s="151" t="s">
        <v>1183</v>
      </c>
      <c r="I861" s="151" t="s">
        <v>1184</v>
      </c>
      <c r="J861" s="151" t="s">
        <v>806</v>
      </c>
      <c r="K861" s="151" t="s">
        <v>1830</v>
      </c>
      <c r="L861" s="151" t="s">
        <v>3596</v>
      </c>
      <c r="M861" s="151" t="s">
        <v>5041</v>
      </c>
      <c r="N861" s="151"/>
      <c r="O861" s="151"/>
      <c r="P861" s="151"/>
      <c r="Q861" s="151"/>
      <c r="R861" s="151" t="s">
        <v>2177</v>
      </c>
      <c r="S861" s="151" t="s">
        <v>361</v>
      </c>
      <c r="T861" s="151" t="s">
        <v>435</v>
      </c>
      <c r="U861" s="151" t="s">
        <v>2179</v>
      </c>
      <c r="V861" s="151">
        <v>20</v>
      </c>
      <c r="W861" s="151" t="s">
        <v>3598</v>
      </c>
      <c r="X861" s="151" t="s">
        <v>431</v>
      </c>
      <c r="Y861" s="151" t="s">
        <v>2179</v>
      </c>
      <c r="Z861" s="151"/>
      <c r="AA861" s="151"/>
      <c r="AB861" s="151" t="s">
        <v>855</v>
      </c>
      <c r="AC861" s="342"/>
    </row>
    <row r="862" spans="1:29">
      <c r="A862" s="151" t="s">
        <v>5037</v>
      </c>
      <c r="B862" s="151" t="s">
        <v>2669</v>
      </c>
      <c r="C862" s="151" t="s">
        <v>341</v>
      </c>
      <c r="D862" s="151" t="s">
        <v>17</v>
      </c>
      <c r="E862" s="151" t="s">
        <v>5042</v>
      </c>
      <c r="F862" s="151" t="s">
        <v>2429</v>
      </c>
      <c r="G862" s="151" t="s">
        <v>2173</v>
      </c>
      <c r="H862" s="151" t="s">
        <v>1183</v>
      </c>
      <c r="I862" s="151" t="s">
        <v>1184</v>
      </c>
      <c r="J862" s="151" t="s">
        <v>806</v>
      </c>
      <c r="K862" s="151" t="s">
        <v>3614</v>
      </c>
      <c r="L862" s="151" t="s">
        <v>3596</v>
      </c>
      <c r="M862" s="151" t="s">
        <v>5043</v>
      </c>
      <c r="N862" s="151"/>
      <c r="O862" s="151"/>
      <c r="P862" s="151"/>
      <c r="Q862" s="151"/>
      <c r="R862" s="151" t="s">
        <v>2177</v>
      </c>
      <c r="S862" s="151" t="s">
        <v>361</v>
      </c>
      <c r="T862" s="151" t="s">
        <v>435</v>
      </c>
      <c r="U862" s="151" t="s">
        <v>2179</v>
      </c>
      <c r="V862" s="151">
        <v>5</v>
      </c>
      <c r="W862" s="151" t="s">
        <v>3615</v>
      </c>
      <c r="X862" s="151" t="s">
        <v>431</v>
      </c>
      <c r="Y862" s="151" t="s">
        <v>2179</v>
      </c>
      <c r="Z862" s="151"/>
      <c r="AA862" s="151"/>
      <c r="AB862" s="151" t="s">
        <v>855</v>
      </c>
      <c r="AC862" s="342"/>
    </row>
    <row r="863" spans="1:29">
      <c r="A863" s="151" t="s">
        <v>5037</v>
      </c>
      <c r="B863" s="151" t="s">
        <v>3599</v>
      </c>
      <c r="C863" s="151" t="s">
        <v>341</v>
      </c>
      <c r="D863" s="151" t="s">
        <v>17</v>
      </c>
      <c r="E863" s="151" t="s">
        <v>5044</v>
      </c>
      <c r="F863" s="151" t="s">
        <v>2429</v>
      </c>
      <c r="G863" s="151" t="s">
        <v>2173</v>
      </c>
      <c r="H863" s="151" t="s">
        <v>1183</v>
      </c>
      <c r="I863" s="151" t="s">
        <v>1184</v>
      </c>
      <c r="J863" s="151" t="s">
        <v>806</v>
      </c>
      <c r="K863" s="151" t="s">
        <v>3601</v>
      </c>
      <c r="L863" s="151" t="s">
        <v>3596</v>
      </c>
      <c r="M863" s="151" t="s">
        <v>5043</v>
      </c>
      <c r="N863" s="151"/>
      <c r="O863" s="151"/>
      <c r="P863" s="151"/>
      <c r="Q863" s="151"/>
      <c r="R863" s="151" t="s">
        <v>2177</v>
      </c>
      <c r="S863" s="151" t="s">
        <v>361</v>
      </c>
      <c r="T863" s="151" t="s">
        <v>435</v>
      </c>
      <c r="U863" s="151" t="s">
        <v>2179</v>
      </c>
      <c r="V863" s="151">
        <v>100</v>
      </c>
      <c r="W863" s="151" t="s">
        <v>2257</v>
      </c>
      <c r="X863" s="151" t="s">
        <v>431</v>
      </c>
      <c r="Y863" s="151" t="s">
        <v>2179</v>
      </c>
      <c r="Z863" s="151"/>
      <c r="AA863" s="151"/>
      <c r="AB863" s="151" t="s">
        <v>855</v>
      </c>
      <c r="AC863" s="342"/>
    </row>
    <row r="864" spans="1:29">
      <c r="A864" s="151" t="s">
        <v>5037</v>
      </c>
      <c r="B864" s="151" t="s">
        <v>3616</v>
      </c>
      <c r="C864" s="151" t="s">
        <v>341</v>
      </c>
      <c r="D864" s="151" t="s">
        <v>17</v>
      </c>
      <c r="E864" s="151" t="s">
        <v>5045</v>
      </c>
      <c r="F864" s="151" t="s">
        <v>551</v>
      </c>
      <c r="G864" s="151" t="s">
        <v>2173</v>
      </c>
      <c r="H864" s="151" t="s">
        <v>1183</v>
      </c>
      <c r="I864" s="151" t="s">
        <v>1184</v>
      </c>
      <c r="J864" s="151" t="s">
        <v>806</v>
      </c>
      <c r="K864" s="151" t="s">
        <v>3618</v>
      </c>
      <c r="L864" s="151" t="s">
        <v>3596</v>
      </c>
      <c r="M864" s="151" t="s">
        <v>5043</v>
      </c>
      <c r="N864" s="151"/>
      <c r="O864" s="151"/>
      <c r="P864" s="151"/>
      <c r="Q864" s="151"/>
      <c r="R864" s="151" t="s">
        <v>2177</v>
      </c>
      <c r="S864" s="151" t="s">
        <v>361</v>
      </c>
      <c r="T864" s="151" t="s">
        <v>435</v>
      </c>
      <c r="U864" s="151" t="s">
        <v>2179</v>
      </c>
      <c r="V864" s="151">
        <v>10</v>
      </c>
      <c r="W864" s="151" t="s">
        <v>2250</v>
      </c>
      <c r="X864" s="151" t="s">
        <v>431</v>
      </c>
      <c r="Y864" s="151" t="s">
        <v>2179</v>
      </c>
      <c r="Z864" s="151"/>
      <c r="AA864" s="151"/>
      <c r="AB864" s="151" t="s">
        <v>855</v>
      </c>
      <c r="AC864" s="342"/>
    </row>
    <row r="865" spans="1:29">
      <c r="A865" s="151" t="s">
        <v>5037</v>
      </c>
      <c r="B865" s="151" t="s">
        <v>3619</v>
      </c>
      <c r="C865" s="151" t="s">
        <v>341</v>
      </c>
      <c r="D865" s="151" t="s">
        <v>17</v>
      </c>
      <c r="E865" s="151" t="s">
        <v>5046</v>
      </c>
      <c r="F865" s="151" t="s">
        <v>551</v>
      </c>
      <c r="G865" s="151" t="s">
        <v>2173</v>
      </c>
      <c r="H865" s="151" t="s">
        <v>1183</v>
      </c>
      <c r="I865" s="151" t="s">
        <v>1184</v>
      </c>
      <c r="J865" s="151" t="s">
        <v>807</v>
      </c>
      <c r="K865" s="151" t="s">
        <v>3621</v>
      </c>
      <c r="L865" s="151" t="s">
        <v>3622</v>
      </c>
      <c r="M865" s="151" t="s">
        <v>5043</v>
      </c>
      <c r="N865" s="151"/>
      <c r="O865" s="151"/>
      <c r="P865" s="151"/>
      <c r="Q865" s="151"/>
      <c r="R865" s="151" t="s">
        <v>2177</v>
      </c>
      <c r="S865" s="151" t="s">
        <v>361</v>
      </c>
      <c r="T865" s="151" t="s">
        <v>435</v>
      </c>
      <c r="U865" s="151" t="s">
        <v>2179</v>
      </c>
      <c r="V865" s="151">
        <v>200</v>
      </c>
      <c r="W865" s="151" t="s">
        <v>2185</v>
      </c>
      <c r="X865" s="151" t="s">
        <v>431</v>
      </c>
      <c r="Y865" s="151" t="s">
        <v>2179</v>
      </c>
      <c r="Z865" s="151"/>
      <c r="AA865" s="151"/>
      <c r="AB865" s="151" t="s">
        <v>855</v>
      </c>
      <c r="AC865" s="342"/>
    </row>
    <row r="866" spans="1:29">
      <c r="A866" s="151" t="s">
        <v>5037</v>
      </c>
      <c r="B866" s="151" t="s">
        <v>5047</v>
      </c>
      <c r="C866" s="151" t="s">
        <v>341</v>
      </c>
      <c r="D866" s="151" t="s">
        <v>17</v>
      </c>
      <c r="E866" s="151" t="s">
        <v>5048</v>
      </c>
      <c r="F866" s="151" t="s">
        <v>2429</v>
      </c>
      <c r="G866" s="151" t="s">
        <v>2173</v>
      </c>
      <c r="H866" s="151" t="s">
        <v>1183</v>
      </c>
      <c r="I866" s="151" t="s">
        <v>1184</v>
      </c>
      <c r="J866" s="151" t="s">
        <v>816</v>
      </c>
      <c r="K866" s="151" t="s">
        <v>3605</v>
      </c>
      <c r="L866" s="151" t="s">
        <v>5049</v>
      </c>
      <c r="M866" s="151" t="s">
        <v>5043</v>
      </c>
      <c r="N866" s="151"/>
      <c r="O866" s="151"/>
      <c r="P866" s="151"/>
      <c r="Q866" s="151"/>
      <c r="R866" s="151" t="s">
        <v>2177</v>
      </c>
      <c r="S866" s="151" t="s">
        <v>361</v>
      </c>
      <c r="T866" s="151" t="s">
        <v>3607</v>
      </c>
      <c r="U866" s="151" t="s">
        <v>3608</v>
      </c>
      <c r="V866" s="151" t="s">
        <v>49</v>
      </c>
      <c r="W866" s="151" t="s">
        <v>2373</v>
      </c>
      <c r="X866" s="151" t="s">
        <v>49</v>
      </c>
      <c r="Y866" s="151" t="s">
        <v>3608</v>
      </c>
      <c r="Z866" s="151"/>
      <c r="AA866" s="151"/>
      <c r="AB866" s="151" t="s">
        <v>855</v>
      </c>
      <c r="AC866" s="342"/>
    </row>
    <row r="867" spans="1:29">
      <c r="A867" s="151" t="s">
        <v>5037</v>
      </c>
      <c r="B867" s="151" t="s">
        <v>5050</v>
      </c>
      <c r="C867" s="151" t="s">
        <v>341</v>
      </c>
      <c r="D867" s="151" t="s">
        <v>17</v>
      </c>
      <c r="E867" s="151" t="s">
        <v>5051</v>
      </c>
      <c r="F867" s="151" t="s">
        <v>2429</v>
      </c>
      <c r="G867" s="151" t="s">
        <v>2173</v>
      </c>
      <c r="H867" s="151" t="s">
        <v>1183</v>
      </c>
      <c r="I867" s="151" t="s">
        <v>1184</v>
      </c>
      <c r="J867" s="151" t="s">
        <v>806</v>
      </c>
      <c r="K867" s="151" t="s">
        <v>3628</v>
      </c>
      <c r="L867" s="151" t="s">
        <v>3596</v>
      </c>
      <c r="M867" s="151" t="s">
        <v>5043</v>
      </c>
      <c r="N867" s="151"/>
      <c r="O867" s="151"/>
      <c r="P867" s="151"/>
      <c r="Q867" s="151"/>
      <c r="R867" s="151" t="s">
        <v>2177</v>
      </c>
      <c r="S867" s="151" t="s">
        <v>361</v>
      </c>
      <c r="T867" s="151" t="s">
        <v>435</v>
      </c>
      <c r="U867" s="151" t="s">
        <v>2207</v>
      </c>
      <c r="V867" s="151">
        <v>10</v>
      </c>
      <c r="W867" s="151" t="s">
        <v>2207</v>
      </c>
      <c r="X867" s="151" t="s">
        <v>431</v>
      </c>
      <c r="Y867" s="151" t="s">
        <v>2207</v>
      </c>
      <c r="Z867" s="151"/>
      <c r="AA867" s="151"/>
      <c r="AB867" s="151" t="s">
        <v>855</v>
      </c>
      <c r="AC867" s="342"/>
    </row>
    <row r="868" spans="1:29">
      <c r="A868" s="151" t="s">
        <v>5037</v>
      </c>
      <c r="B868" s="151" t="s">
        <v>3640</v>
      </c>
      <c r="C868" s="151" t="s">
        <v>341</v>
      </c>
      <c r="D868" s="151" t="s">
        <v>17</v>
      </c>
      <c r="E868" s="151" t="s">
        <v>5052</v>
      </c>
      <c r="F868" s="151" t="s">
        <v>551</v>
      </c>
      <c r="G868" s="151" t="s">
        <v>2173</v>
      </c>
      <c r="H868" s="151" t="s">
        <v>1183</v>
      </c>
      <c r="I868" s="151" t="s">
        <v>1184</v>
      </c>
      <c r="J868" s="151" t="s">
        <v>806</v>
      </c>
      <c r="K868" s="151" t="s">
        <v>3642</v>
      </c>
      <c r="L868" s="151" t="s">
        <v>3596</v>
      </c>
      <c r="M868" s="151" t="s">
        <v>5043</v>
      </c>
      <c r="N868" s="151"/>
      <c r="O868" s="151"/>
      <c r="P868" s="151"/>
      <c r="Q868" s="151"/>
      <c r="R868" s="151" t="s">
        <v>2177</v>
      </c>
      <c r="S868" s="151" t="s">
        <v>361</v>
      </c>
      <c r="T868" s="151" t="s">
        <v>435</v>
      </c>
      <c r="U868" s="151" t="s">
        <v>2179</v>
      </c>
      <c r="V868" s="151">
        <v>24</v>
      </c>
      <c r="W868" s="151" t="s">
        <v>2250</v>
      </c>
      <c r="X868" s="151" t="s">
        <v>431</v>
      </c>
      <c r="Y868" s="151" t="s">
        <v>2179</v>
      </c>
      <c r="Z868" s="151"/>
      <c r="AA868" s="151"/>
      <c r="AB868" s="151" t="s">
        <v>855</v>
      </c>
      <c r="AC868" s="342"/>
    </row>
    <row r="869" spans="1:29">
      <c r="A869" s="151" t="s">
        <v>5037</v>
      </c>
      <c r="B869" s="151" t="s">
        <v>4242</v>
      </c>
      <c r="C869" s="151" t="s">
        <v>341</v>
      </c>
      <c r="D869" s="151" t="s">
        <v>17</v>
      </c>
      <c r="E869" s="151" t="s">
        <v>5053</v>
      </c>
      <c r="F869" s="151" t="s">
        <v>551</v>
      </c>
      <c r="G869" s="151" t="s">
        <v>2173</v>
      </c>
      <c r="H869" s="151" t="s">
        <v>1183</v>
      </c>
      <c r="I869" s="151" t="s">
        <v>1184</v>
      </c>
      <c r="J869" s="151" t="s">
        <v>806</v>
      </c>
      <c r="K869" s="151" t="s">
        <v>5054</v>
      </c>
      <c r="L869" s="151" t="s">
        <v>3596</v>
      </c>
      <c r="M869" s="151" t="s">
        <v>5043</v>
      </c>
      <c r="N869" s="151"/>
      <c r="O869" s="151"/>
      <c r="P869" s="151"/>
      <c r="Q869" s="151"/>
      <c r="R869" s="151" t="s">
        <v>2177</v>
      </c>
      <c r="S869" s="151" t="s">
        <v>361</v>
      </c>
      <c r="T869" s="151" t="s">
        <v>435</v>
      </c>
      <c r="U869" s="151" t="s">
        <v>2207</v>
      </c>
      <c r="V869" s="151">
        <v>24</v>
      </c>
      <c r="W869" s="151" t="s">
        <v>2207</v>
      </c>
      <c r="X869" s="151" t="s">
        <v>431</v>
      </c>
      <c r="Y869" s="151" t="s">
        <v>2207</v>
      </c>
      <c r="Z869" s="151"/>
      <c r="AA869" s="151"/>
      <c r="AB869" s="151" t="s">
        <v>855</v>
      </c>
      <c r="AC869" s="342"/>
    </row>
    <row r="870" spans="1:29">
      <c r="A870" s="151" t="s">
        <v>5037</v>
      </c>
      <c r="B870" s="151" t="s">
        <v>4066</v>
      </c>
      <c r="C870" s="151" t="s">
        <v>341</v>
      </c>
      <c r="D870" s="151" t="s">
        <v>17</v>
      </c>
      <c r="E870" s="151" t="s">
        <v>5055</v>
      </c>
      <c r="F870" s="151" t="s">
        <v>2429</v>
      </c>
      <c r="G870" s="151" t="s">
        <v>2173</v>
      </c>
      <c r="H870" s="151" t="s">
        <v>1183</v>
      </c>
      <c r="I870" s="151" t="s">
        <v>1184</v>
      </c>
      <c r="J870" s="151" t="s">
        <v>814</v>
      </c>
      <c r="K870" s="151" t="s">
        <v>4068</v>
      </c>
      <c r="L870" s="151" t="s">
        <v>4069</v>
      </c>
      <c r="M870" s="151" t="s">
        <v>5043</v>
      </c>
      <c r="N870" s="151"/>
      <c r="O870" s="151"/>
      <c r="P870" s="151"/>
      <c r="Q870" s="151"/>
      <c r="R870" s="151" t="s">
        <v>2177</v>
      </c>
      <c r="S870" s="151" t="s">
        <v>361</v>
      </c>
      <c r="T870" s="151" t="s">
        <v>435</v>
      </c>
      <c r="U870" s="151" t="s">
        <v>2207</v>
      </c>
      <c r="V870" s="151">
        <v>10</v>
      </c>
      <c r="W870" s="151" t="s">
        <v>2207</v>
      </c>
      <c r="X870" s="151" t="s">
        <v>431</v>
      </c>
      <c r="Y870" s="151" t="s">
        <v>2207</v>
      </c>
      <c r="Z870" s="151"/>
      <c r="AA870" s="151"/>
      <c r="AB870" s="151" t="s">
        <v>855</v>
      </c>
      <c r="AC870" s="342"/>
    </row>
    <row r="871" spans="1:29">
      <c r="A871" s="151" t="s">
        <v>5037</v>
      </c>
      <c r="B871" s="151" t="s">
        <v>3645</v>
      </c>
      <c r="C871" s="151" t="s">
        <v>341</v>
      </c>
      <c r="D871" s="151" t="s">
        <v>17</v>
      </c>
      <c r="E871" s="151" t="s">
        <v>3646</v>
      </c>
      <c r="F871" s="151" t="s">
        <v>551</v>
      </c>
      <c r="G871" s="151" t="s">
        <v>2173</v>
      </c>
      <c r="H871" s="151" t="s">
        <v>1183</v>
      </c>
      <c r="I871" s="151" t="s">
        <v>1184</v>
      </c>
      <c r="J871" s="151" t="s">
        <v>806</v>
      </c>
      <c r="K871" s="151" t="s">
        <v>3647</v>
      </c>
      <c r="L871" s="151" t="s">
        <v>3596</v>
      </c>
      <c r="M871" s="151" t="s">
        <v>5043</v>
      </c>
      <c r="N871" s="151"/>
      <c r="O871" s="151"/>
      <c r="P871" s="151"/>
      <c r="Q871" s="151"/>
      <c r="R871" s="151" t="s">
        <v>2177</v>
      </c>
      <c r="S871" s="151" t="s">
        <v>361</v>
      </c>
      <c r="T871" s="151" t="s">
        <v>2213</v>
      </c>
      <c r="U871" s="151" t="s">
        <v>3608</v>
      </c>
      <c r="V871" s="151">
        <v>1</v>
      </c>
      <c r="W871" s="151" t="s">
        <v>2373</v>
      </c>
      <c r="X871" s="151" t="s">
        <v>2445</v>
      </c>
      <c r="Y871" s="151" t="s">
        <v>3608</v>
      </c>
      <c r="Z871" s="151"/>
      <c r="AA871" s="151"/>
      <c r="AB871" s="151" t="s">
        <v>855</v>
      </c>
      <c r="AC871" s="342"/>
    </row>
    <row r="872" spans="1:29">
      <c r="A872" s="151" t="s">
        <v>5037</v>
      </c>
      <c r="B872" s="151" t="s">
        <v>5056</v>
      </c>
      <c r="C872" s="151" t="s">
        <v>341</v>
      </c>
      <c r="D872" s="151" t="s">
        <v>17</v>
      </c>
      <c r="E872" s="151" t="s">
        <v>3631</v>
      </c>
      <c r="F872" s="151" t="s">
        <v>551</v>
      </c>
      <c r="G872" s="151" t="s">
        <v>2173</v>
      </c>
      <c r="H872" s="151" t="s">
        <v>1183</v>
      </c>
      <c r="I872" s="151" t="s">
        <v>1184</v>
      </c>
      <c r="J872" s="151" t="s">
        <v>806</v>
      </c>
      <c r="K872" s="151" t="s">
        <v>3632</v>
      </c>
      <c r="L872" s="151" t="s">
        <v>3596</v>
      </c>
      <c r="M872" s="151" t="s">
        <v>5043</v>
      </c>
      <c r="N872" s="151"/>
      <c r="O872" s="151"/>
      <c r="P872" s="151"/>
      <c r="Q872" s="151"/>
      <c r="R872" s="151" t="s">
        <v>2177</v>
      </c>
      <c r="S872" s="151" t="s">
        <v>361</v>
      </c>
      <c r="T872" s="151" t="s">
        <v>2207</v>
      </c>
      <c r="U872" s="151" t="s">
        <v>2207</v>
      </c>
      <c r="V872" s="151">
        <v>10</v>
      </c>
      <c r="W872" s="151" t="s">
        <v>2207</v>
      </c>
      <c r="X872" s="151" t="s">
        <v>2207</v>
      </c>
      <c r="Y872" s="151" t="s">
        <v>2207</v>
      </c>
      <c r="Z872" s="151"/>
      <c r="AA872" s="151"/>
      <c r="AB872" s="151" t="s">
        <v>855</v>
      </c>
      <c r="AC872" s="342"/>
    </row>
    <row r="873" spans="1:29">
      <c r="A873" s="151" t="s">
        <v>5037</v>
      </c>
      <c r="B873" s="151" t="s">
        <v>5057</v>
      </c>
      <c r="C873" s="151" t="s">
        <v>341</v>
      </c>
      <c r="D873" s="151" t="s">
        <v>17</v>
      </c>
      <c r="E873" s="151" t="s">
        <v>5058</v>
      </c>
      <c r="F873" s="151" t="s">
        <v>2429</v>
      </c>
      <c r="G873" s="151" t="s">
        <v>2173</v>
      </c>
      <c r="H873" s="151" t="s">
        <v>1183</v>
      </c>
      <c r="I873" s="151" t="s">
        <v>1184</v>
      </c>
      <c r="J873" s="151" t="s">
        <v>814</v>
      </c>
      <c r="K873" s="151" t="s">
        <v>5059</v>
      </c>
      <c r="L873" s="151" t="s">
        <v>4069</v>
      </c>
      <c r="M873" s="151" t="s">
        <v>5043</v>
      </c>
      <c r="N873" s="151"/>
      <c r="O873" s="151"/>
      <c r="P873" s="151"/>
      <c r="Q873" s="151"/>
      <c r="R873" s="151" t="s">
        <v>2177</v>
      </c>
      <c r="S873" s="151" t="s">
        <v>361</v>
      </c>
      <c r="T873" s="151" t="s">
        <v>435</v>
      </c>
      <c r="U873" s="151" t="s">
        <v>4092</v>
      </c>
      <c r="V873" s="151">
        <v>24</v>
      </c>
      <c r="W873" s="151" t="s">
        <v>4092</v>
      </c>
      <c r="X873" s="151" t="s">
        <v>431</v>
      </c>
      <c r="Y873" s="151" t="s">
        <v>4092</v>
      </c>
      <c r="Z873" s="151"/>
      <c r="AA873" s="151"/>
      <c r="AB873" s="151" t="s">
        <v>855</v>
      </c>
      <c r="AC873" s="342"/>
    </row>
    <row r="874" spans="1:29">
      <c r="A874" s="151" t="s">
        <v>5037</v>
      </c>
      <c r="B874" s="151" t="s">
        <v>4063</v>
      </c>
      <c r="C874" s="151" t="s">
        <v>341</v>
      </c>
      <c r="D874" s="151" t="s">
        <v>17</v>
      </c>
      <c r="E874" s="151" t="s">
        <v>5060</v>
      </c>
      <c r="F874" s="151" t="s">
        <v>2429</v>
      </c>
      <c r="G874" s="151" t="s">
        <v>2173</v>
      </c>
      <c r="H874" s="151" t="s">
        <v>1183</v>
      </c>
      <c r="I874" s="151" t="s">
        <v>1184</v>
      </c>
      <c r="J874" s="151" t="s">
        <v>814</v>
      </c>
      <c r="K874" s="151" t="s">
        <v>5061</v>
      </c>
      <c r="L874" s="151" t="s">
        <v>4069</v>
      </c>
      <c r="M874" s="151" t="s">
        <v>5043</v>
      </c>
      <c r="N874" s="151"/>
      <c r="O874" s="151"/>
      <c r="P874" s="151"/>
      <c r="Q874" s="151"/>
      <c r="R874" s="151" t="s">
        <v>2177</v>
      </c>
      <c r="S874" s="151" t="s">
        <v>361</v>
      </c>
      <c r="T874" s="151" t="s">
        <v>435</v>
      </c>
      <c r="U874" s="151" t="s">
        <v>2507</v>
      </c>
      <c r="V874" s="151">
        <v>24</v>
      </c>
      <c r="W874" s="151" t="s">
        <v>2507</v>
      </c>
      <c r="X874" s="151" t="s">
        <v>431</v>
      </c>
      <c r="Y874" s="151" t="s">
        <v>2507</v>
      </c>
      <c r="Z874" s="151"/>
      <c r="AA874" s="151"/>
      <c r="AB874" s="151" t="s">
        <v>855</v>
      </c>
      <c r="AC874" s="342"/>
    </row>
    <row r="875" spans="1:29">
      <c r="A875" s="151" t="s">
        <v>5037</v>
      </c>
      <c r="B875" s="151" t="s">
        <v>5062</v>
      </c>
      <c r="C875" s="151" t="s">
        <v>341</v>
      </c>
      <c r="D875" s="151" t="s">
        <v>17</v>
      </c>
      <c r="E875" s="151" t="s">
        <v>5063</v>
      </c>
      <c r="F875" s="151" t="s">
        <v>551</v>
      </c>
      <c r="G875" s="151" t="s">
        <v>2173</v>
      </c>
      <c r="H875" s="151" t="s">
        <v>1183</v>
      </c>
      <c r="I875" s="151" t="s">
        <v>1184</v>
      </c>
      <c r="J875" s="151" t="s">
        <v>814</v>
      </c>
      <c r="K875" s="151" t="s">
        <v>4073</v>
      </c>
      <c r="L875" s="151" t="s">
        <v>4069</v>
      </c>
      <c r="M875" s="151" t="s">
        <v>5064</v>
      </c>
      <c r="N875" s="151"/>
      <c r="O875" s="151"/>
      <c r="P875" s="151"/>
      <c r="Q875" s="151"/>
      <c r="R875" s="151" t="s">
        <v>2177</v>
      </c>
      <c r="S875" s="151" t="s">
        <v>361</v>
      </c>
      <c r="T875" s="151" t="s">
        <v>435</v>
      </c>
      <c r="U875" s="151" t="s">
        <v>2507</v>
      </c>
      <c r="V875" s="151">
        <v>24</v>
      </c>
      <c r="W875" s="151" t="s">
        <v>2507</v>
      </c>
      <c r="X875" s="151" t="s">
        <v>431</v>
      </c>
      <c r="Y875" s="151" t="s">
        <v>2507</v>
      </c>
      <c r="Z875" s="151"/>
      <c r="AA875" s="151"/>
      <c r="AB875" s="151" t="s">
        <v>855</v>
      </c>
      <c r="AC875" s="342"/>
    </row>
    <row r="876" spans="1:29">
      <c r="A876" s="151" t="s">
        <v>5037</v>
      </c>
      <c r="B876" s="151" t="s">
        <v>5065</v>
      </c>
      <c r="C876" s="151" t="s">
        <v>341</v>
      </c>
      <c r="D876" s="151" t="s">
        <v>17</v>
      </c>
      <c r="E876" s="151" t="s">
        <v>5066</v>
      </c>
      <c r="F876" s="151" t="s">
        <v>551</v>
      </c>
      <c r="G876" s="151" t="s">
        <v>2173</v>
      </c>
      <c r="H876" s="151" t="s">
        <v>1183</v>
      </c>
      <c r="I876" s="151" t="s">
        <v>1184</v>
      </c>
      <c r="J876" s="151" t="s">
        <v>814</v>
      </c>
      <c r="K876" s="151" t="s">
        <v>4139</v>
      </c>
      <c r="L876" s="151" t="s">
        <v>4069</v>
      </c>
      <c r="M876" s="151" t="s">
        <v>5043</v>
      </c>
      <c r="N876" s="151"/>
      <c r="O876" s="151"/>
      <c r="P876" s="151"/>
      <c r="Q876" s="151"/>
      <c r="R876" s="151" t="s">
        <v>2177</v>
      </c>
      <c r="S876" s="151" t="s">
        <v>361</v>
      </c>
      <c r="T876" s="151" t="s">
        <v>435</v>
      </c>
      <c r="U876" s="151" t="s">
        <v>2179</v>
      </c>
      <c r="V876" s="151">
        <v>24</v>
      </c>
      <c r="W876" s="151" t="s">
        <v>4141</v>
      </c>
      <c r="X876" s="151" t="s">
        <v>431</v>
      </c>
      <c r="Y876" s="151" t="s">
        <v>2179</v>
      </c>
      <c r="Z876" s="151"/>
      <c r="AA876" s="151"/>
      <c r="AB876" s="151" t="s">
        <v>855</v>
      </c>
      <c r="AC876" s="342"/>
    </row>
    <row r="877" spans="1:29">
      <c r="A877" s="151" t="s">
        <v>5037</v>
      </c>
      <c r="B877" s="151" t="s">
        <v>5067</v>
      </c>
      <c r="C877" s="151" t="s">
        <v>341</v>
      </c>
      <c r="D877" s="151" t="s">
        <v>17</v>
      </c>
      <c r="E877" s="151" t="s">
        <v>5068</v>
      </c>
      <c r="F877" s="151" t="s">
        <v>2429</v>
      </c>
      <c r="G877" s="151" t="s">
        <v>2173</v>
      </c>
      <c r="H877" s="151" t="s">
        <v>1183</v>
      </c>
      <c r="I877" s="151" t="s">
        <v>1184</v>
      </c>
      <c r="J877" s="151" t="s">
        <v>809</v>
      </c>
      <c r="K877" s="151" t="s">
        <v>5069</v>
      </c>
      <c r="L877" s="151" t="s">
        <v>3648</v>
      </c>
      <c r="M877" s="151" t="s">
        <v>5043</v>
      </c>
      <c r="N877" s="151"/>
      <c r="O877" s="151"/>
      <c r="P877" s="151"/>
      <c r="Q877" s="151"/>
      <c r="R877" s="151" t="s">
        <v>2177</v>
      </c>
      <c r="S877" s="151" t="s">
        <v>5070</v>
      </c>
      <c r="T877" s="151" t="s">
        <v>435</v>
      </c>
      <c r="U877" s="151" t="s">
        <v>2885</v>
      </c>
      <c r="V877" s="151" t="s">
        <v>49</v>
      </c>
      <c r="W877" s="151" t="s">
        <v>2885</v>
      </c>
      <c r="X877" s="151" t="s">
        <v>431</v>
      </c>
      <c r="Y877" s="151" t="s">
        <v>2885</v>
      </c>
      <c r="Z877" s="151"/>
      <c r="AA877" s="151"/>
      <c r="AB877" s="151" t="s">
        <v>855</v>
      </c>
      <c r="AC877" s="342"/>
    </row>
    <row r="878" spans="1:29">
      <c r="A878" s="151" t="s">
        <v>5037</v>
      </c>
      <c r="B878" s="151" t="s">
        <v>5071</v>
      </c>
      <c r="C878" s="151" t="s">
        <v>341</v>
      </c>
      <c r="D878" s="151" t="s">
        <v>17</v>
      </c>
      <c r="E878" s="151" t="s">
        <v>5072</v>
      </c>
      <c r="F878" s="151" t="s">
        <v>551</v>
      </c>
      <c r="G878" s="151" t="s">
        <v>2546</v>
      </c>
      <c r="H878" s="151" t="s">
        <v>1183</v>
      </c>
      <c r="I878" s="151" t="s">
        <v>1184</v>
      </c>
      <c r="J878" s="151" t="s">
        <v>817</v>
      </c>
      <c r="K878" s="151" t="s">
        <v>5073</v>
      </c>
      <c r="L878" s="151" t="s">
        <v>5074</v>
      </c>
      <c r="M878" s="151" t="s">
        <v>5043</v>
      </c>
      <c r="N878" s="151"/>
      <c r="O878" s="151"/>
      <c r="P878" s="151"/>
      <c r="Q878" s="151"/>
      <c r="R878" s="151" t="s">
        <v>4449</v>
      </c>
      <c r="S878" s="151" t="s">
        <v>5075</v>
      </c>
      <c r="T878" s="151"/>
      <c r="U878" s="151"/>
      <c r="V878" s="151"/>
      <c r="W878" s="151"/>
      <c r="X878" s="151"/>
      <c r="Y878" s="151"/>
      <c r="Z878" s="151"/>
      <c r="AA878" s="151"/>
      <c r="AB878" s="151"/>
      <c r="AC878" s="342"/>
    </row>
    <row r="879" spans="1:29">
      <c r="A879" s="151" t="s">
        <v>5037</v>
      </c>
      <c r="B879" s="151" t="s">
        <v>5076</v>
      </c>
      <c r="C879" s="151" t="s">
        <v>341</v>
      </c>
      <c r="D879" s="151" t="s">
        <v>17</v>
      </c>
      <c r="E879" s="151" t="s">
        <v>5077</v>
      </c>
      <c r="F879" s="151" t="s">
        <v>551</v>
      </c>
      <c r="G879" s="151" t="s">
        <v>2173</v>
      </c>
      <c r="H879" s="151" t="s">
        <v>1183</v>
      </c>
      <c r="I879" s="151" t="s">
        <v>1184</v>
      </c>
      <c r="J879" s="151" t="s">
        <v>806</v>
      </c>
      <c r="K879" s="151" t="s">
        <v>5078</v>
      </c>
      <c r="L879" s="151" t="s">
        <v>3596</v>
      </c>
      <c r="M879" s="151" t="s">
        <v>5043</v>
      </c>
      <c r="N879" s="151"/>
      <c r="O879" s="151"/>
      <c r="P879" s="151"/>
      <c r="Q879" s="151"/>
      <c r="R879" s="151" t="s">
        <v>2177</v>
      </c>
      <c r="S879" s="151" t="s">
        <v>5079</v>
      </c>
      <c r="T879" s="151" t="s">
        <v>435</v>
      </c>
      <c r="U879" s="151" t="s">
        <v>3582</v>
      </c>
      <c r="V879" s="151" t="s">
        <v>49</v>
      </c>
      <c r="W879" s="151" t="s">
        <v>3598</v>
      </c>
      <c r="X879" s="151" t="s">
        <v>49</v>
      </c>
      <c r="Y879" s="151" t="s">
        <v>3582</v>
      </c>
      <c r="Z879" s="151"/>
      <c r="AA879" s="151"/>
      <c r="AB879" s="151" t="s">
        <v>855</v>
      </c>
      <c r="AC879" s="342"/>
    </row>
    <row r="880" spans="1:29">
      <c r="A880" s="151" t="s">
        <v>5037</v>
      </c>
      <c r="B880" s="151" t="s">
        <v>5080</v>
      </c>
      <c r="C880" s="151" t="s">
        <v>341</v>
      </c>
      <c r="D880" s="151" t="s">
        <v>17</v>
      </c>
      <c r="E880" s="151" t="s">
        <v>5081</v>
      </c>
      <c r="F880" s="151" t="s">
        <v>551</v>
      </c>
      <c r="G880" s="151" t="s">
        <v>2173</v>
      </c>
      <c r="H880" s="151" t="s">
        <v>1183</v>
      </c>
      <c r="I880" s="151" t="s">
        <v>1184</v>
      </c>
      <c r="J880" s="151" t="s">
        <v>814</v>
      </c>
      <c r="K880" s="151" t="s">
        <v>5082</v>
      </c>
      <c r="L880" s="151" t="s">
        <v>4069</v>
      </c>
      <c r="M880" s="151" t="s">
        <v>5043</v>
      </c>
      <c r="N880" s="151"/>
      <c r="O880" s="151"/>
      <c r="P880" s="151"/>
      <c r="Q880" s="151"/>
      <c r="R880" s="151" t="s">
        <v>2177</v>
      </c>
      <c r="S880" s="151" t="s">
        <v>5083</v>
      </c>
      <c r="T880" s="151" t="s">
        <v>435</v>
      </c>
      <c r="U880" s="151" t="s">
        <v>2179</v>
      </c>
      <c r="V880" s="151">
        <v>24</v>
      </c>
      <c r="W880" s="151" t="s">
        <v>4141</v>
      </c>
      <c r="X880" s="151" t="s">
        <v>431</v>
      </c>
      <c r="Y880" s="151" t="s">
        <v>2179</v>
      </c>
      <c r="Z880" s="151"/>
      <c r="AA880" s="151"/>
      <c r="AB880" s="151" t="s">
        <v>855</v>
      </c>
      <c r="AC880" s="342"/>
    </row>
    <row r="881" spans="1:29">
      <c r="A881" s="151" t="s">
        <v>5037</v>
      </c>
      <c r="B881" s="151" t="s">
        <v>5084</v>
      </c>
      <c r="C881" s="151" t="s">
        <v>341</v>
      </c>
      <c r="D881" s="151" t="s">
        <v>17</v>
      </c>
      <c r="E881" s="151" t="s">
        <v>5085</v>
      </c>
      <c r="F881" s="151" t="s">
        <v>551</v>
      </c>
      <c r="G881" s="151" t="s">
        <v>2173</v>
      </c>
      <c r="H881" s="151" t="s">
        <v>1183</v>
      </c>
      <c r="I881" s="151" t="s">
        <v>1184</v>
      </c>
      <c r="J881" s="151" t="s">
        <v>814</v>
      </c>
      <c r="K881" s="151" t="s">
        <v>5059</v>
      </c>
      <c r="L881" s="151" t="s">
        <v>4069</v>
      </c>
      <c r="M881" s="151" t="s">
        <v>5043</v>
      </c>
      <c r="N881" s="151"/>
      <c r="O881" s="151"/>
      <c r="P881" s="151"/>
      <c r="Q881" s="151"/>
      <c r="R881" s="151" t="s">
        <v>2177</v>
      </c>
      <c r="S881" s="151" t="s">
        <v>361</v>
      </c>
      <c r="T881" s="151" t="s">
        <v>435</v>
      </c>
      <c r="U881" s="151" t="s">
        <v>4092</v>
      </c>
      <c r="V881" s="151">
        <v>24</v>
      </c>
      <c r="W881" s="151" t="s">
        <v>4092</v>
      </c>
      <c r="X881" s="151" t="s">
        <v>431</v>
      </c>
      <c r="Y881" s="151" t="s">
        <v>4092</v>
      </c>
      <c r="Z881" s="151"/>
      <c r="AA881" s="151"/>
      <c r="AB881" s="151" t="s">
        <v>855</v>
      </c>
      <c r="AC881" s="342"/>
    </row>
    <row r="882" spans="1:29">
      <c r="A882" s="151" t="s">
        <v>5037</v>
      </c>
      <c r="B882" s="151" t="s">
        <v>5086</v>
      </c>
      <c r="C882" s="151" t="s">
        <v>341</v>
      </c>
      <c r="D882" s="151" t="s">
        <v>17</v>
      </c>
      <c r="E882" s="151" t="s">
        <v>5087</v>
      </c>
      <c r="F882" s="151" t="s">
        <v>551</v>
      </c>
      <c r="G882" s="151" t="s">
        <v>2173</v>
      </c>
      <c r="H882" s="151" t="s">
        <v>1183</v>
      </c>
      <c r="I882" s="151" t="s">
        <v>1184</v>
      </c>
      <c r="J882" s="151" t="s">
        <v>814</v>
      </c>
      <c r="K882" s="151" t="s">
        <v>5088</v>
      </c>
      <c r="L882" s="151" t="s">
        <v>4069</v>
      </c>
      <c r="M882" s="151" t="s">
        <v>5043</v>
      </c>
      <c r="N882" s="151"/>
      <c r="O882" s="151"/>
      <c r="P882" s="151"/>
      <c r="Q882" s="151"/>
      <c r="R882" s="151" t="s">
        <v>2177</v>
      </c>
      <c r="S882" s="151" t="s">
        <v>361</v>
      </c>
      <c r="T882" s="151" t="s">
        <v>435</v>
      </c>
      <c r="U882" s="151" t="s">
        <v>2207</v>
      </c>
      <c r="V882" s="151">
        <v>10</v>
      </c>
      <c r="W882" s="151" t="s">
        <v>2207</v>
      </c>
      <c r="X882" s="151" t="s">
        <v>431</v>
      </c>
      <c r="Y882" s="151" t="s">
        <v>2207</v>
      </c>
      <c r="Z882" s="151"/>
      <c r="AA882" s="151"/>
      <c r="AB882" s="151" t="s">
        <v>855</v>
      </c>
      <c r="AC882" s="342"/>
    </row>
    <row r="883" spans="1:29">
      <c r="A883" s="151" t="s">
        <v>5037</v>
      </c>
      <c r="B883" s="151" t="s">
        <v>4179</v>
      </c>
      <c r="C883" s="151" t="s">
        <v>341</v>
      </c>
      <c r="D883" s="151" t="s">
        <v>17</v>
      </c>
      <c r="E883" s="151" t="s">
        <v>5089</v>
      </c>
      <c r="F883" s="151" t="s">
        <v>551</v>
      </c>
      <c r="G883" s="151" t="s">
        <v>2173</v>
      </c>
      <c r="H883" s="151" t="s">
        <v>1183</v>
      </c>
      <c r="I883" s="151" t="s">
        <v>1184</v>
      </c>
      <c r="J883" s="151" t="s">
        <v>806</v>
      </c>
      <c r="K883" s="151" t="s">
        <v>3662</v>
      </c>
      <c r="L883" s="151" t="s">
        <v>3596</v>
      </c>
      <c r="M883" s="151" t="s">
        <v>5090</v>
      </c>
      <c r="N883" s="151"/>
      <c r="O883" s="151"/>
      <c r="P883" s="151"/>
      <c r="Q883" s="151"/>
      <c r="R883" s="151" t="s">
        <v>2177</v>
      </c>
      <c r="S883" s="151" t="s">
        <v>361</v>
      </c>
      <c r="T883" s="151" t="s">
        <v>2213</v>
      </c>
      <c r="U883" s="151" t="s">
        <v>2507</v>
      </c>
      <c r="V883" s="151"/>
      <c r="W883" s="151" t="s">
        <v>2507</v>
      </c>
      <c r="X883" s="151" t="s">
        <v>2445</v>
      </c>
      <c r="Y883" s="151" t="s">
        <v>2507</v>
      </c>
      <c r="Z883" s="151"/>
      <c r="AA883" s="151"/>
      <c r="AB883" s="151" t="s">
        <v>855</v>
      </c>
      <c r="AC883" s="342"/>
    </row>
    <row r="884" spans="1:29">
      <c r="A884" s="151" t="s">
        <v>5037</v>
      </c>
      <c r="B884" s="151" t="s">
        <v>5091</v>
      </c>
      <c r="C884" s="151" t="s">
        <v>5092</v>
      </c>
      <c r="D884" s="151" t="s">
        <v>17</v>
      </c>
      <c r="E884" s="151" t="s">
        <v>5093</v>
      </c>
      <c r="F884" s="151" t="s">
        <v>551</v>
      </c>
      <c r="G884" s="151" t="s">
        <v>2173</v>
      </c>
      <c r="H884" s="151" t="s">
        <v>1183</v>
      </c>
      <c r="I884" s="151" t="s">
        <v>1184</v>
      </c>
      <c r="J884" s="151" t="s">
        <v>814</v>
      </c>
      <c r="K884" s="151" t="s">
        <v>5094</v>
      </c>
      <c r="L884" s="151" t="s">
        <v>4069</v>
      </c>
      <c r="M884" s="151" t="s">
        <v>5064</v>
      </c>
      <c r="N884" s="151"/>
      <c r="O884" s="151"/>
      <c r="P884" s="151"/>
      <c r="Q884" s="151"/>
      <c r="R884" s="151" t="s">
        <v>2177</v>
      </c>
      <c r="S884" s="151" t="s">
        <v>361</v>
      </c>
      <c r="T884" s="151" t="s">
        <v>3607</v>
      </c>
      <c r="U884" s="151" t="s">
        <v>3608</v>
      </c>
      <c r="V884" s="151" t="s">
        <v>49</v>
      </c>
      <c r="W884" s="151" t="s">
        <v>4259</v>
      </c>
      <c r="X884" s="151" t="s">
        <v>49</v>
      </c>
      <c r="Y884" s="151" t="s">
        <v>3608</v>
      </c>
      <c r="Z884" s="151"/>
      <c r="AA884" s="151"/>
      <c r="AB884" s="151" t="s">
        <v>855</v>
      </c>
      <c r="AC884" s="342"/>
    </row>
    <row r="885" spans="1:29">
      <c r="A885" s="151" t="s">
        <v>5037</v>
      </c>
      <c r="B885" s="151" t="s">
        <v>5095</v>
      </c>
      <c r="C885" s="151" t="s">
        <v>5092</v>
      </c>
      <c r="D885" s="151" t="s">
        <v>17</v>
      </c>
      <c r="E885" s="151" t="s">
        <v>5096</v>
      </c>
      <c r="F885" s="151" t="s">
        <v>551</v>
      </c>
      <c r="G885" s="151" t="s">
        <v>2173</v>
      </c>
      <c r="H885" s="151" t="s">
        <v>1183</v>
      </c>
      <c r="I885" s="151" t="s">
        <v>1184</v>
      </c>
      <c r="J885" s="151" t="s">
        <v>814</v>
      </c>
      <c r="K885" s="151" t="s">
        <v>4107</v>
      </c>
      <c r="L885" s="151" t="s">
        <v>4069</v>
      </c>
      <c r="M885" s="151" t="s">
        <v>5064</v>
      </c>
      <c r="N885" s="151"/>
      <c r="O885" s="151"/>
      <c r="P885" s="151"/>
      <c r="Q885" s="151"/>
      <c r="R885" s="151" t="s">
        <v>2177</v>
      </c>
      <c r="S885" s="151" t="s">
        <v>361</v>
      </c>
      <c r="T885" s="151" t="s">
        <v>435</v>
      </c>
      <c r="U885" s="151" t="s">
        <v>2179</v>
      </c>
      <c r="V885" s="151">
        <v>24</v>
      </c>
      <c r="W885" s="151" t="s">
        <v>2373</v>
      </c>
      <c r="X885" s="151" t="s">
        <v>431</v>
      </c>
      <c r="Y885" s="151" t="s">
        <v>2179</v>
      </c>
      <c r="Z885" s="151"/>
      <c r="AA885" s="151"/>
      <c r="AB885" s="151" t="s">
        <v>855</v>
      </c>
      <c r="AC885" s="342"/>
    </row>
    <row r="886" spans="1:29">
      <c r="A886" s="151" t="s">
        <v>5037</v>
      </c>
      <c r="B886" s="151" t="s">
        <v>5097</v>
      </c>
      <c r="C886" s="151" t="s">
        <v>5092</v>
      </c>
      <c r="D886" s="151" t="s">
        <v>17</v>
      </c>
      <c r="E886" s="151" t="s">
        <v>5098</v>
      </c>
      <c r="F886" s="151" t="s">
        <v>551</v>
      </c>
      <c r="G886" s="151" t="s">
        <v>2173</v>
      </c>
      <c r="H886" s="151" t="s">
        <v>1183</v>
      </c>
      <c r="I886" s="151" t="s">
        <v>1184</v>
      </c>
      <c r="J886" s="151" t="s">
        <v>814</v>
      </c>
      <c r="K886" s="151" t="s">
        <v>4154</v>
      </c>
      <c r="L886" s="151" t="s">
        <v>4069</v>
      </c>
      <c r="M886" s="151" t="s">
        <v>5064</v>
      </c>
      <c r="N886" s="151"/>
      <c r="O886" s="151"/>
      <c r="P886" s="151"/>
      <c r="Q886" s="151"/>
      <c r="R886" s="151" t="s">
        <v>2177</v>
      </c>
      <c r="S886" s="151" t="s">
        <v>361</v>
      </c>
      <c r="T886" s="151" t="s">
        <v>435</v>
      </c>
      <c r="U886" s="151" t="s">
        <v>4092</v>
      </c>
      <c r="V886" s="151">
        <v>24</v>
      </c>
      <c r="W886" s="151" t="s">
        <v>4092</v>
      </c>
      <c r="X886" s="151" t="s">
        <v>431</v>
      </c>
      <c r="Y886" s="151" t="s">
        <v>4092</v>
      </c>
      <c r="Z886" s="151"/>
      <c r="AA886" s="151"/>
      <c r="AB886" s="151" t="s">
        <v>855</v>
      </c>
      <c r="AC886" s="342"/>
    </row>
    <row r="887" spans="1:29">
      <c r="A887" s="151" t="s">
        <v>5037</v>
      </c>
      <c r="B887" s="151" t="s">
        <v>5099</v>
      </c>
      <c r="C887" s="151" t="s">
        <v>5092</v>
      </c>
      <c r="D887" s="151" t="s">
        <v>17</v>
      </c>
      <c r="E887" s="151" t="s">
        <v>5100</v>
      </c>
      <c r="F887" s="151" t="s">
        <v>551</v>
      </c>
      <c r="G887" s="151" t="s">
        <v>2173</v>
      </c>
      <c r="H887" s="151" t="s">
        <v>1183</v>
      </c>
      <c r="I887" s="151" t="s">
        <v>1184</v>
      </c>
      <c r="J887" s="151" t="s">
        <v>814</v>
      </c>
      <c r="K887" s="151" t="s">
        <v>4113</v>
      </c>
      <c r="L887" s="151" t="s">
        <v>4069</v>
      </c>
      <c r="M887" s="151" t="s">
        <v>5064</v>
      </c>
      <c r="N887" s="151"/>
      <c r="O887" s="151"/>
      <c r="P887" s="151"/>
      <c r="Q887" s="151"/>
      <c r="R887" s="151" t="s">
        <v>2177</v>
      </c>
      <c r="S887" s="151" t="s">
        <v>361</v>
      </c>
      <c r="T887" s="151" t="s">
        <v>435</v>
      </c>
      <c r="U887" s="151" t="s">
        <v>4092</v>
      </c>
      <c r="V887" s="151">
        <v>10</v>
      </c>
      <c r="W887" s="151" t="s">
        <v>4092</v>
      </c>
      <c r="X887" s="151" t="s">
        <v>431</v>
      </c>
      <c r="Y887" s="151" t="s">
        <v>4092</v>
      </c>
      <c r="Z887" s="151"/>
      <c r="AA887" s="151"/>
      <c r="AB887" s="151" t="s">
        <v>855</v>
      </c>
      <c r="AC887" s="342"/>
    </row>
    <row r="888" spans="1:29">
      <c r="A888" s="151" t="s">
        <v>5037</v>
      </c>
      <c r="B888" s="151" t="s">
        <v>5101</v>
      </c>
      <c r="C888" s="151" t="s">
        <v>5092</v>
      </c>
      <c r="D888" s="151" t="s">
        <v>17</v>
      </c>
      <c r="E888" s="151" t="s">
        <v>5102</v>
      </c>
      <c r="F888" s="151" t="s">
        <v>551</v>
      </c>
      <c r="G888" s="151" t="s">
        <v>2173</v>
      </c>
      <c r="H888" s="151" t="s">
        <v>1183</v>
      </c>
      <c r="I888" s="151" t="s">
        <v>1184</v>
      </c>
      <c r="J888" s="151" t="s">
        <v>814</v>
      </c>
      <c r="K888" s="151" t="s">
        <v>4162</v>
      </c>
      <c r="L888" s="151" t="s">
        <v>4069</v>
      </c>
      <c r="M888" s="151" t="s">
        <v>5064</v>
      </c>
      <c r="N888" s="151"/>
      <c r="O888" s="151"/>
      <c r="P888" s="151"/>
      <c r="Q888" s="151"/>
      <c r="R888" s="151" t="s">
        <v>2177</v>
      </c>
      <c r="S888" s="151" t="s">
        <v>361</v>
      </c>
      <c r="T888" s="151" t="s">
        <v>435</v>
      </c>
      <c r="U888" s="151" t="s">
        <v>2179</v>
      </c>
      <c r="V888" s="151">
        <v>24</v>
      </c>
      <c r="W888" s="151" t="s">
        <v>2250</v>
      </c>
      <c r="X888" s="151" t="s">
        <v>431</v>
      </c>
      <c r="Y888" s="151" t="s">
        <v>2179</v>
      </c>
      <c r="Z888" s="151"/>
      <c r="AA888" s="151"/>
      <c r="AB888" s="151" t="s">
        <v>855</v>
      </c>
      <c r="AC888" s="342"/>
    </row>
    <row r="889" spans="1:29">
      <c r="A889" s="151" t="s">
        <v>5037</v>
      </c>
      <c r="B889" s="151" t="s">
        <v>5103</v>
      </c>
      <c r="C889" s="151" t="s">
        <v>5092</v>
      </c>
      <c r="D889" s="151" t="s">
        <v>17</v>
      </c>
      <c r="E889" s="151" t="s">
        <v>5104</v>
      </c>
      <c r="F889" s="151" t="s">
        <v>551</v>
      </c>
      <c r="G889" s="151" t="s">
        <v>2173</v>
      </c>
      <c r="H889" s="151" t="s">
        <v>1183</v>
      </c>
      <c r="I889" s="151" t="s">
        <v>1184</v>
      </c>
      <c r="J889" s="151" t="s">
        <v>814</v>
      </c>
      <c r="K889" s="151" t="s">
        <v>5105</v>
      </c>
      <c r="L889" s="151" t="s">
        <v>4069</v>
      </c>
      <c r="M889" s="151" t="s">
        <v>5064</v>
      </c>
      <c r="N889" s="151"/>
      <c r="O889" s="151"/>
      <c r="P889" s="151"/>
      <c r="Q889" s="151"/>
      <c r="R889" s="151" t="s">
        <v>2177</v>
      </c>
      <c r="S889" s="151" t="s">
        <v>361</v>
      </c>
      <c r="T889" s="151" t="s">
        <v>435</v>
      </c>
      <c r="U889" s="151" t="s">
        <v>2179</v>
      </c>
      <c r="V889" s="151">
        <v>24</v>
      </c>
      <c r="W889" s="151" t="s">
        <v>3615</v>
      </c>
      <c r="X889" s="151" t="s">
        <v>431</v>
      </c>
      <c r="Y889" s="151" t="s">
        <v>2179</v>
      </c>
      <c r="Z889" s="151"/>
      <c r="AA889" s="151"/>
      <c r="AB889" s="151" t="s">
        <v>855</v>
      </c>
      <c r="AC889" s="342"/>
    </row>
    <row r="890" spans="1:29">
      <c r="A890" s="151" t="s">
        <v>5037</v>
      </c>
      <c r="B890" s="151" t="s">
        <v>5106</v>
      </c>
      <c r="C890" s="151" t="s">
        <v>5092</v>
      </c>
      <c r="D890" s="151" t="s">
        <v>17</v>
      </c>
      <c r="E890" s="151" t="s">
        <v>5107</v>
      </c>
      <c r="F890" s="151" t="s">
        <v>551</v>
      </c>
      <c r="G890" s="151" t="s">
        <v>2173</v>
      </c>
      <c r="H890" s="151" t="s">
        <v>1183</v>
      </c>
      <c r="I890" s="151" t="s">
        <v>1184</v>
      </c>
      <c r="J890" s="151" t="s">
        <v>814</v>
      </c>
      <c r="K890" s="151" t="s">
        <v>5108</v>
      </c>
      <c r="L890" s="151" t="s">
        <v>4069</v>
      </c>
      <c r="M890" s="151" t="s">
        <v>5064</v>
      </c>
      <c r="N890" s="151"/>
      <c r="O890" s="151"/>
      <c r="P890" s="151"/>
      <c r="Q890" s="151"/>
      <c r="R890" s="151" t="s">
        <v>2177</v>
      </c>
      <c r="S890" s="151" t="s">
        <v>361</v>
      </c>
      <c r="T890" s="151" t="s">
        <v>435</v>
      </c>
      <c r="U890" s="151" t="s">
        <v>3582</v>
      </c>
      <c r="V890" s="151">
        <v>5</v>
      </c>
      <c r="W890" s="151" t="s">
        <v>2250</v>
      </c>
      <c r="X890" s="151" t="s">
        <v>431</v>
      </c>
      <c r="Y890" s="151" t="s">
        <v>3582</v>
      </c>
      <c r="Z890" s="151"/>
      <c r="AA890" s="151"/>
      <c r="AB890" s="151" t="s">
        <v>855</v>
      </c>
      <c r="AC890" s="342"/>
    </row>
    <row r="891" spans="1:29">
      <c r="A891" s="151" t="s">
        <v>5037</v>
      </c>
      <c r="B891" s="151" t="s">
        <v>5109</v>
      </c>
      <c r="C891" s="151" t="s">
        <v>5092</v>
      </c>
      <c r="D891" s="151" t="s">
        <v>17</v>
      </c>
      <c r="E891" s="151" t="s">
        <v>5110</v>
      </c>
      <c r="F891" s="151" t="s">
        <v>551</v>
      </c>
      <c r="G891" s="151" t="s">
        <v>2173</v>
      </c>
      <c r="H891" s="151" t="s">
        <v>1183</v>
      </c>
      <c r="I891" s="151" t="s">
        <v>1184</v>
      </c>
      <c r="J891" s="151" t="s">
        <v>814</v>
      </c>
      <c r="K891" s="151" t="s">
        <v>5111</v>
      </c>
      <c r="L891" s="151" t="s">
        <v>4069</v>
      </c>
      <c r="M891" s="151" t="s">
        <v>5043</v>
      </c>
      <c r="N891" s="151"/>
      <c r="O891" s="151"/>
      <c r="P891" s="151"/>
      <c r="Q891" s="151"/>
      <c r="R891" s="151" t="s">
        <v>2177</v>
      </c>
      <c r="S891" s="151" t="s">
        <v>361</v>
      </c>
      <c r="T891" s="151" t="s">
        <v>435</v>
      </c>
      <c r="U891" s="151" t="s">
        <v>2179</v>
      </c>
      <c r="V891" s="151">
        <v>24</v>
      </c>
      <c r="W891" s="151" t="s">
        <v>2250</v>
      </c>
      <c r="X891" s="151" t="s">
        <v>431</v>
      </c>
      <c r="Y891" s="151" t="s">
        <v>2179</v>
      </c>
      <c r="Z891" s="151"/>
      <c r="AA891" s="151"/>
      <c r="AB891" s="151" t="s">
        <v>855</v>
      </c>
      <c r="AC891" s="342"/>
    </row>
    <row r="892" spans="1:29">
      <c r="A892" s="151" t="s">
        <v>5037</v>
      </c>
      <c r="B892" s="151" t="s">
        <v>5112</v>
      </c>
      <c r="C892" s="151" t="s">
        <v>5092</v>
      </c>
      <c r="D892" s="151" t="s">
        <v>17</v>
      </c>
      <c r="E892" s="151" t="s">
        <v>5113</v>
      </c>
      <c r="F892" s="151" t="s">
        <v>551</v>
      </c>
      <c r="G892" s="151" t="s">
        <v>2173</v>
      </c>
      <c r="H892" s="151" t="s">
        <v>1183</v>
      </c>
      <c r="I892" s="151" t="s">
        <v>1184</v>
      </c>
      <c r="J892" s="151" t="s">
        <v>815</v>
      </c>
      <c r="K892" s="151" t="s">
        <v>5114</v>
      </c>
      <c r="L892" s="151" t="s">
        <v>5115</v>
      </c>
      <c r="M892" s="151" t="s">
        <v>5043</v>
      </c>
      <c r="N892" s="151"/>
      <c r="O892" s="151"/>
      <c r="P892" s="151"/>
      <c r="Q892" s="151"/>
      <c r="R892" s="151" t="s">
        <v>2177</v>
      </c>
      <c r="S892" s="151" t="s">
        <v>361</v>
      </c>
      <c r="T892" s="151" t="s">
        <v>435</v>
      </c>
      <c r="U892" s="151" t="s">
        <v>3608</v>
      </c>
      <c r="V892" s="151" t="s">
        <v>49</v>
      </c>
      <c r="W892" s="151" t="s">
        <v>2373</v>
      </c>
      <c r="X892" s="151" t="s">
        <v>49</v>
      </c>
      <c r="Y892" s="151" t="s">
        <v>3608</v>
      </c>
      <c r="Z892" s="151"/>
      <c r="AA892" s="151"/>
      <c r="AB892" s="151" t="s">
        <v>855</v>
      </c>
      <c r="AC892" s="342"/>
    </row>
    <row r="893" spans="1:29">
      <c r="A893" s="151" t="s">
        <v>5037</v>
      </c>
      <c r="B893" s="151" t="s">
        <v>5116</v>
      </c>
      <c r="C893" s="151" t="s">
        <v>5092</v>
      </c>
      <c r="D893" s="151" t="s">
        <v>17</v>
      </c>
      <c r="E893" s="151" t="s">
        <v>5117</v>
      </c>
      <c r="F893" s="151" t="s">
        <v>551</v>
      </c>
      <c r="G893" s="151" t="s">
        <v>2173</v>
      </c>
      <c r="H893" s="151" t="s">
        <v>1183</v>
      </c>
      <c r="I893" s="151" t="s">
        <v>1184</v>
      </c>
      <c r="J893" s="151" t="s">
        <v>815</v>
      </c>
      <c r="K893" s="151" t="s">
        <v>5118</v>
      </c>
      <c r="L893" s="151" t="s">
        <v>5115</v>
      </c>
      <c r="M893" s="151" t="s">
        <v>5043</v>
      </c>
      <c r="N893" s="151"/>
      <c r="O893" s="151"/>
      <c r="P893" s="151"/>
      <c r="Q893" s="151"/>
      <c r="R893" s="151" t="s">
        <v>2177</v>
      </c>
      <c r="S893" s="151" t="s">
        <v>361</v>
      </c>
      <c r="T893" s="151" t="s">
        <v>435</v>
      </c>
      <c r="U893" s="151" t="s">
        <v>4310</v>
      </c>
      <c r="V893" s="151">
        <v>24</v>
      </c>
      <c r="W893" s="151" t="s">
        <v>4310</v>
      </c>
      <c r="X893" s="151" t="s">
        <v>431</v>
      </c>
      <c r="Y893" s="151" t="s">
        <v>4310</v>
      </c>
      <c r="Z893" s="151"/>
      <c r="AA893" s="151"/>
      <c r="AB893" s="151" t="s">
        <v>855</v>
      </c>
      <c r="AC893" s="342"/>
    </row>
    <row r="894" spans="1:29">
      <c r="A894" s="151" t="s">
        <v>5037</v>
      </c>
      <c r="B894" s="151" t="s">
        <v>3623</v>
      </c>
      <c r="C894" s="151" t="s">
        <v>3919</v>
      </c>
      <c r="D894" s="151" t="s">
        <v>17</v>
      </c>
      <c r="E894" s="151" t="s">
        <v>5119</v>
      </c>
      <c r="F894" s="151" t="s">
        <v>551</v>
      </c>
      <c r="G894" s="151" t="s">
        <v>2173</v>
      </c>
      <c r="H894" s="151" t="s">
        <v>1183</v>
      </c>
      <c r="I894" s="151" t="s">
        <v>1184</v>
      </c>
      <c r="J894" s="151" t="s">
        <v>806</v>
      </c>
      <c r="K894" s="151" t="s">
        <v>3625</v>
      </c>
      <c r="L894" s="151" t="s">
        <v>3596</v>
      </c>
      <c r="M894" s="151" t="s">
        <v>5043</v>
      </c>
      <c r="N894" s="151"/>
      <c r="O894" s="151"/>
      <c r="P894" s="151"/>
      <c r="Q894" s="151"/>
      <c r="R894" s="151" t="s">
        <v>2177</v>
      </c>
      <c r="S894" s="151" t="s">
        <v>361</v>
      </c>
      <c r="T894" s="151" t="s">
        <v>435</v>
      </c>
      <c r="U894" s="151" t="s">
        <v>2179</v>
      </c>
      <c r="V894" s="151">
        <v>18</v>
      </c>
      <c r="W894" s="151" t="s">
        <v>2396</v>
      </c>
      <c r="X894" s="151" t="s">
        <v>431</v>
      </c>
      <c r="Y894" s="151" t="s">
        <v>2179</v>
      </c>
      <c r="Z894" s="151"/>
      <c r="AA894" s="151"/>
      <c r="AB894" s="151" t="s">
        <v>855</v>
      </c>
      <c r="AC894" s="342"/>
    </row>
    <row r="895" spans="1:29">
      <c r="A895" s="151" t="s">
        <v>5037</v>
      </c>
      <c r="B895" s="151" t="s">
        <v>3960</v>
      </c>
      <c r="C895" s="151" t="s">
        <v>3919</v>
      </c>
      <c r="D895" s="151" t="s">
        <v>17</v>
      </c>
      <c r="E895" s="151" t="s">
        <v>5120</v>
      </c>
      <c r="F895" s="151" t="s">
        <v>551</v>
      </c>
      <c r="G895" s="151" t="s">
        <v>2173</v>
      </c>
      <c r="H895" s="151" t="s">
        <v>1183</v>
      </c>
      <c r="I895" s="151" t="s">
        <v>1184</v>
      </c>
      <c r="J895" s="151" t="s">
        <v>3871</v>
      </c>
      <c r="K895" s="151" t="s">
        <v>3962</v>
      </c>
      <c r="L895" s="151" t="s">
        <v>3596</v>
      </c>
      <c r="M895" s="151" t="s">
        <v>5043</v>
      </c>
      <c r="N895" s="151"/>
      <c r="O895" s="151"/>
      <c r="P895" s="151"/>
      <c r="Q895" s="151"/>
      <c r="R895" s="151" t="s">
        <v>2177</v>
      </c>
      <c r="S895" s="151" t="s">
        <v>361</v>
      </c>
      <c r="T895" s="151" t="s">
        <v>435</v>
      </c>
      <c r="U895" s="151" t="s">
        <v>2179</v>
      </c>
      <c r="V895" s="151">
        <v>9</v>
      </c>
      <c r="W895" s="151" t="s">
        <v>2250</v>
      </c>
      <c r="X895" s="151" t="s">
        <v>431</v>
      </c>
      <c r="Y895" s="151" t="s">
        <v>2179</v>
      </c>
      <c r="Z895" s="151"/>
      <c r="AA895" s="151"/>
      <c r="AB895" s="151" t="s">
        <v>855</v>
      </c>
      <c r="AC895" s="342"/>
    </row>
    <row r="896" spans="1:29">
      <c r="A896" s="151" t="s">
        <v>5037</v>
      </c>
      <c r="B896" s="151" t="s">
        <v>3963</v>
      </c>
      <c r="C896" s="151" t="s">
        <v>3919</v>
      </c>
      <c r="D896" s="151" t="s">
        <v>17</v>
      </c>
      <c r="E896" s="151" t="s">
        <v>5121</v>
      </c>
      <c r="F896" s="151" t="s">
        <v>551</v>
      </c>
      <c r="G896" s="151" t="s">
        <v>2173</v>
      </c>
      <c r="H896" s="151" t="s">
        <v>1183</v>
      </c>
      <c r="I896" s="151" t="s">
        <v>1184</v>
      </c>
      <c r="J896" s="151" t="s">
        <v>3871</v>
      </c>
      <c r="K896" s="151" t="s">
        <v>3636</v>
      </c>
      <c r="L896" s="151" t="s">
        <v>3596</v>
      </c>
      <c r="M896" s="151" t="s">
        <v>5043</v>
      </c>
      <c r="N896" s="151"/>
      <c r="O896" s="151"/>
      <c r="P896" s="151"/>
      <c r="Q896" s="151"/>
      <c r="R896" s="151" t="s">
        <v>2177</v>
      </c>
      <c r="S896" s="151" t="s">
        <v>361</v>
      </c>
      <c r="T896" s="151" t="s">
        <v>435</v>
      </c>
      <c r="U896" s="151" t="s">
        <v>2179</v>
      </c>
      <c r="V896" s="151">
        <v>24</v>
      </c>
      <c r="W896" s="151" t="s">
        <v>2635</v>
      </c>
      <c r="X896" s="151" t="s">
        <v>431</v>
      </c>
      <c r="Y896" s="151" t="s">
        <v>2179</v>
      </c>
      <c r="Z896" s="151"/>
      <c r="AA896" s="151"/>
      <c r="AB896" s="151" t="s">
        <v>855</v>
      </c>
      <c r="AC896" s="342"/>
    </row>
    <row r="897" spans="1:29">
      <c r="A897" s="151" t="s">
        <v>5037</v>
      </c>
      <c r="B897" s="151" t="s">
        <v>5122</v>
      </c>
      <c r="C897" s="151" t="s">
        <v>3919</v>
      </c>
      <c r="D897" s="151" t="s">
        <v>17</v>
      </c>
      <c r="E897" s="151" t="s">
        <v>5123</v>
      </c>
      <c r="F897" s="151" t="s">
        <v>551</v>
      </c>
      <c r="G897" s="151" t="s">
        <v>2173</v>
      </c>
      <c r="H897" s="151" t="s">
        <v>1183</v>
      </c>
      <c r="I897" s="151" t="s">
        <v>1184</v>
      </c>
      <c r="J897" s="151" t="s">
        <v>806</v>
      </c>
      <c r="K897" s="151" t="s">
        <v>3636</v>
      </c>
      <c r="L897" s="151" t="s">
        <v>3596</v>
      </c>
      <c r="M897" s="151" t="s">
        <v>5043</v>
      </c>
      <c r="N897" s="151"/>
      <c r="O897" s="151"/>
      <c r="P897" s="151"/>
      <c r="Q897" s="151"/>
      <c r="R897" s="151" t="s">
        <v>2177</v>
      </c>
      <c r="S897" s="151" t="s">
        <v>361</v>
      </c>
      <c r="T897" s="151" t="s">
        <v>435</v>
      </c>
      <c r="U897" s="151" t="s">
        <v>3582</v>
      </c>
      <c r="V897" s="151" t="s">
        <v>49</v>
      </c>
      <c r="W897" s="151" t="s">
        <v>2635</v>
      </c>
      <c r="X897" s="151" t="s">
        <v>431</v>
      </c>
      <c r="Y897" s="151" t="s">
        <v>3582</v>
      </c>
      <c r="Z897" s="151"/>
      <c r="AA897" s="151"/>
      <c r="AB897" s="151" t="s">
        <v>855</v>
      </c>
      <c r="AC897" s="342"/>
    </row>
    <row r="898" spans="1:29">
      <c r="A898" s="151" t="s">
        <v>5037</v>
      </c>
      <c r="B898" s="151" t="s">
        <v>5124</v>
      </c>
      <c r="C898" s="151" t="s">
        <v>3919</v>
      </c>
      <c r="D898" s="151" t="s">
        <v>17</v>
      </c>
      <c r="E898" s="151" t="s">
        <v>5125</v>
      </c>
      <c r="F898" s="151" t="s">
        <v>551</v>
      </c>
      <c r="G898" s="151" t="s">
        <v>2173</v>
      </c>
      <c r="H898" s="151" t="s">
        <v>1183</v>
      </c>
      <c r="I898" s="151" t="s">
        <v>1184</v>
      </c>
      <c r="J898" s="151" t="s">
        <v>3871</v>
      </c>
      <c r="K898" s="151" t="s">
        <v>5126</v>
      </c>
      <c r="L898" s="151" t="s">
        <v>3596</v>
      </c>
      <c r="M898" s="151" t="s">
        <v>5043</v>
      </c>
      <c r="N898" s="151"/>
      <c r="O898" s="151"/>
      <c r="P898" s="151"/>
      <c r="Q898" s="151"/>
      <c r="R898" s="151" t="s">
        <v>2177</v>
      </c>
      <c r="S898" s="151" t="s">
        <v>361</v>
      </c>
      <c r="T898" s="151" t="s">
        <v>435</v>
      </c>
      <c r="U898" s="151" t="s">
        <v>2179</v>
      </c>
      <c r="V898" s="151">
        <v>24</v>
      </c>
      <c r="W898" s="151" t="s">
        <v>2396</v>
      </c>
      <c r="X898" s="151" t="s">
        <v>431</v>
      </c>
      <c r="Y898" s="151" t="s">
        <v>2179</v>
      </c>
      <c r="Z898" s="151"/>
      <c r="AA898" s="151"/>
      <c r="AB898" s="151" t="s">
        <v>855</v>
      </c>
      <c r="AC898" s="342"/>
    </row>
    <row r="899" spans="1:29">
      <c r="A899" s="151" t="s">
        <v>5037</v>
      </c>
      <c r="B899" s="151" t="s">
        <v>5127</v>
      </c>
      <c r="C899" s="151" t="s">
        <v>3919</v>
      </c>
      <c r="D899" s="151" t="s">
        <v>17</v>
      </c>
      <c r="E899" s="151" t="s">
        <v>5128</v>
      </c>
      <c r="F899" s="151" t="s">
        <v>551</v>
      </c>
      <c r="G899" s="151" t="s">
        <v>2173</v>
      </c>
      <c r="H899" s="151" t="s">
        <v>1183</v>
      </c>
      <c r="I899" s="151" t="s">
        <v>1184</v>
      </c>
      <c r="J899" s="151" t="s">
        <v>814</v>
      </c>
      <c r="K899" s="151" t="s">
        <v>5129</v>
      </c>
      <c r="L899" s="151" t="s">
        <v>4069</v>
      </c>
      <c r="M899" s="151" t="s">
        <v>5064</v>
      </c>
      <c r="N899" s="151"/>
      <c r="O899" s="151"/>
      <c r="P899" s="151"/>
      <c r="Q899" s="151"/>
      <c r="R899" s="151" t="s">
        <v>2177</v>
      </c>
      <c r="S899" s="151" t="s">
        <v>361</v>
      </c>
      <c r="T899" s="151" t="s">
        <v>435</v>
      </c>
      <c r="U899" s="151" t="s">
        <v>2207</v>
      </c>
      <c r="V899" s="151">
        <v>10</v>
      </c>
      <c r="W899" s="151" t="s">
        <v>2207</v>
      </c>
      <c r="X899" s="151" t="s">
        <v>431</v>
      </c>
      <c r="Y899" s="151" t="s">
        <v>2207</v>
      </c>
      <c r="Z899" s="151"/>
      <c r="AA899" s="151"/>
      <c r="AB899" s="151" t="s">
        <v>855</v>
      </c>
      <c r="AC899" s="342"/>
    </row>
    <row r="900" spans="1:29">
      <c r="A900" s="151" t="s">
        <v>5037</v>
      </c>
      <c r="B900" s="151" t="s">
        <v>5130</v>
      </c>
      <c r="C900" s="151" t="s">
        <v>3919</v>
      </c>
      <c r="D900" s="151" t="s">
        <v>17</v>
      </c>
      <c r="E900" s="151" t="s">
        <v>5131</v>
      </c>
      <c r="F900" s="151" t="s">
        <v>551</v>
      </c>
      <c r="G900" s="151" t="s">
        <v>2173</v>
      </c>
      <c r="H900" s="151" t="s">
        <v>1183</v>
      </c>
      <c r="I900" s="151" t="s">
        <v>1184</v>
      </c>
      <c r="J900" s="151" t="s">
        <v>803</v>
      </c>
      <c r="K900" s="151" t="s">
        <v>3766</v>
      </c>
      <c r="L900" s="151" t="s">
        <v>3648</v>
      </c>
      <c r="M900" s="151" t="s">
        <v>5132</v>
      </c>
      <c r="N900" s="151"/>
      <c r="O900" s="151"/>
      <c r="P900" s="151"/>
      <c r="Q900" s="151"/>
      <c r="R900" s="151" t="s">
        <v>2177</v>
      </c>
      <c r="S900" s="151" t="s">
        <v>361</v>
      </c>
      <c r="T900" s="151" t="s">
        <v>435</v>
      </c>
      <c r="U900" s="151" t="s">
        <v>2400</v>
      </c>
      <c r="V900" s="151">
        <v>10</v>
      </c>
      <c r="W900" s="151" t="s">
        <v>2400</v>
      </c>
      <c r="X900" s="151" t="s">
        <v>431</v>
      </c>
      <c r="Y900" s="151" t="s">
        <v>2400</v>
      </c>
      <c r="Z900" s="151"/>
      <c r="AA900" s="151"/>
      <c r="AB900" s="151" t="s">
        <v>855</v>
      </c>
      <c r="AC900" s="342"/>
    </row>
    <row r="901" spans="1:29">
      <c r="A901" s="151" t="s">
        <v>5037</v>
      </c>
      <c r="B901" s="151" t="s">
        <v>5133</v>
      </c>
      <c r="C901" s="151" t="s">
        <v>3919</v>
      </c>
      <c r="D901" s="151" t="s">
        <v>17</v>
      </c>
      <c r="E901" s="151" t="s">
        <v>5134</v>
      </c>
      <c r="F901" s="151" t="s">
        <v>551</v>
      </c>
      <c r="G901" s="151" t="s">
        <v>2173</v>
      </c>
      <c r="H901" s="151" t="s">
        <v>1183</v>
      </c>
      <c r="I901" s="151" t="s">
        <v>1184</v>
      </c>
      <c r="J901" s="151" t="s">
        <v>803</v>
      </c>
      <c r="K901" s="151" t="s">
        <v>3715</v>
      </c>
      <c r="L901" s="151" t="s">
        <v>5135</v>
      </c>
      <c r="M901" s="151" t="s">
        <v>5136</v>
      </c>
      <c r="N901" s="151"/>
      <c r="O901" s="151"/>
      <c r="P901" s="151"/>
      <c r="Q901" s="151"/>
      <c r="R901" s="151" t="s">
        <v>2177</v>
      </c>
      <c r="S901" s="151"/>
      <c r="T901" s="151" t="s">
        <v>435</v>
      </c>
      <c r="U901" s="151" t="s">
        <v>2400</v>
      </c>
      <c r="V901" s="151">
        <v>10</v>
      </c>
      <c r="W901" s="151" t="s">
        <v>2400</v>
      </c>
      <c r="X901" s="151" t="s">
        <v>431</v>
      </c>
      <c r="Y901" s="151" t="s">
        <v>2400</v>
      </c>
      <c r="Z901" s="151"/>
      <c r="AA901" s="151"/>
      <c r="AB901" s="151" t="s">
        <v>855</v>
      </c>
      <c r="AC901" s="342"/>
    </row>
    <row r="902" spans="1:29">
      <c r="A902" s="151" t="s">
        <v>5037</v>
      </c>
      <c r="B902" s="151" t="s">
        <v>5137</v>
      </c>
      <c r="C902" s="151" t="s">
        <v>3919</v>
      </c>
      <c r="D902" s="151" t="s">
        <v>17</v>
      </c>
      <c r="E902" s="151" t="s">
        <v>5138</v>
      </c>
      <c r="F902" s="151" t="s">
        <v>551</v>
      </c>
      <c r="G902" s="151" t="s">
        <v>2173</v>
      </c>
      <c r="H902" s="151" t="s">
        <v>1183</v>
      </c>
      <c r="I902" s="151" t="s">
        <v>1184</v>
      </c>
      <c r="J902" s="151" t="s">
        <v>806</v>
      </c>
      <c r="K902" s="151" t="s">
        <v>3666</v>
      </c>
      <c r="L902" s="151" t="s">
        <v>3596</v>
      </c>
      <c r="M902" s="151" t="s">
        <v>5043</v>
      </c>
      <c r="N902" s="151"/>
      <c r="O902" s="151"/>
      <c r="P902" s="151"/>
      <c r="Q902" s="151"/>
      <c r="R902" s="151" t="s">
        <v>2177</v>
      </c>
      <c r="S902" s="151" t="s">
        <v>361</v>
      </c>
      <c r="T902" s="151" t="s">
        <v>2213</v>
      </c>
      <c r="U902" s="151" t="s">
        <v>3608</v>
      </c>
      <c r="V902" s="151">
        <v>1</v>
      </c>
      <c r="W902" s="151">
        <v>1</v>
      </c>
      <c r="X902" s="151" t="s">
        <v>2445</v>
      </c>
      <c r="Y902" s="151" t="s">
        <v>3608</v>
      </c>
      <c r="Z902" s="151"/>
      <c r="AA902" s="151"/>
      <c r="AB902" s="151" t="s">
        <v>855</v>
      </c>
      <c r="AC902" s="342"/>
    </row>
    <row r="903" spans="1:29">
      <c r="A903" s="151" t="s">
        <v>5037</v>
      </c>
      <c r="B903" s="151" t="s">
        <v>5139</v>
      </c>
      <c r="C903" s="151" t="s">
        <v>3919</v>
      </c>
      <c r="D903" s="151" t="s">
        <v>17</v>
      </c>
      <c r="E903" s="151" t="s">
        <v>3740</v>
      </c>
      <c r="F903" s="151" t="s">
        <v>551</v>
      </c>
      <c r="G903" s="151" t="s">
        <v>2173</v>
      </c>
      <c r="H903" s="151" t="s">
        <v>1183</v>
      </c>
      <c r="I903" s="151" t="s">
        <v>1184</v>
      </c>
      <c r="J903" s="151" t="s">
        <v>803</v>
      </c>
      <c r="K903" s="151" t="s">
        <v>3741</v>
      </c>
      <c r="L903" s="151" t="s">
        <v>3648</v>
      </c>
      <c r="M903" s="151" t="s">
        <v>5043</v>
      </c>
      <c r="N903" s="151"/>
      <c r="O903" s="151"/>
      <c r="P903" s="151"/>
      <c r="Q903" s="151"/>
      <c r="R903" s="151" t="s">
        <v>2177</v>
      </c>
      <c r="S903" s="151" t="s">
        <v>361</v>
      </c>
      <c r="T903" s="151" t="s">
        <v>2213</v>
      </c>
      <c r="U903" s="151" t="s">
        <v>3751</v>
      </c>
      <c r="V903" s="151" t="s">
        <v>49</v>
      </c>
      <c r="W903" s="151" t="s">
        <v>3751</v>
      </c>
      <c r="X903" s="151" t="s">
        <v>2445</v>
      </c>
      <c r="Y903" s="151" t="s">
        <v>3751</v>
      </c>
      <c r="Z903" s="151"/>
      <c r="AA903" s="151"/>
      <c r="AB903" s="151" t="s">
        <v>855</v>
      </c>
      <c r="AC903" s="342"/>
    </row>
    <row r="904" spans="1:29">
      <c r="A904" s="151" t="s">
        <v>5037</v>
      </c>
      <c r="B904" s="151" t="s">
        <v>5140</v>
      </c>
      <c r="C904" s="151" t="s">
        <v>3919</v>
      </c>
      <c r="D904" s="151" t="s">
        <v>17</v>
      </c>
      <c r="E904" s="151" t="s">
        <v>5141</v>
      </c>
      <c r="F904" s="151" t="s">
        <v>551</v>
      </c>
      <c r="G904" s="151" t="s">
        <v>2173</v>
      </c>
      <c r="H904" s="151"/>
      <c r="I904" s="151"/>
      <c r="J904" s="151"/>
      <c r="K904" s="151"/>
      <c r="L904" s="151"/>
      <c r="M904" s="151"/>
      <c r="N904" s="151"/>
      <c r="O904" s="151"/>
      <c r="P904" s="151"/>
      <c r="Q904" s="151"/>
      <c r="R904" s="151" t="s">
        <v>2177</v>
      </c>
      <c r="S904" s="151"/>
      <c r="T904" s="151" t="s">
        <v>435</v>
      </c>
      <c r="U904" s="151" t="s">
        <v>5142</v>
      </c>
      <c r="V904" s="151">
        <v>28</v>
      </c>
      <c r="W904" s="151" t="s">
        <v>5142</v>
      </c>
      <c r="X904" s="151" t="s">
        <v>431</v>
      </c>
      <c r="Y904" s="151" t="s">
        <v>5142</v>
      </c>
      <c r="Z904" s="151"/>
      <c r="AA904" s="151"/>
      <c r="AB904" s="151" t="s">
        <v>855</v>
      </c>
      <c r="AC904" s="342"/>
    </row>
    <row r="905" spans="1:29">
      <c r="A905" s="151" t="s">
        <v>5037</v>
      </c>
      <c r="B905" s="151" t="s">
        <v>5143</v>
      </c>
      <c r="C905" s="151" t="s">
        <v>3919</v>
      </c>
      <c r="D905" s="151" t="s">
        <v>17</v>
      </c>
      <c r="E905" s="151" t="s">
        <v>5144</v>
      </c>
      <c r="F905" s="151" t="s">
        <v>551</v>
      </c>
      <c r="G905" s="151" t="s">
        <v>2652</v>
      </c>
      <c r="H905" s="151"/>
      <c r="I905" s="151"/>
      <c r="J905" s="151"/>
      <c r="K905" s="151"/>
      <c r="L905" s="151"/>
      <c r="M905" s="151"/>
      <c r="N905" s="151"/>
      <c r="O905" s="151"/>
      <c r="P905" s="151"/>
      <c r="Q905" s="151"/>
      <c r="R905" s="151" t="s">
        <v>2550</v>
      </c>
      <c r="S905" s="151"/>
      <c r="T905" s="151"/>
      <c r="U905" s="151"/>
      <c r="V905" s="151"/>
      <c r="W905" s="151"/>
      <c r="X905" s="151"/>
      <c r="Y905" s="151"/>
      <c r="Z905" s="151"/>
      <c r="AA905" s="151"/>
      <c r="AB905" s="151"/>
      <c r="AC905" s="342"/>
    </row>
    <row r="906" spans="1:29">
      <c r="A906" s="151" t="s">
        <v>5037</v>
      </c>
      <c r="B906" s="151" t="s">
        <v>3637</v>
      </c>
      <c r="C906" s="151" t="s">
        <v>3919</v>
      </c>
      <c r="D906" s="151" t="s">
        <v>17</v>
      </c>
      <c r="E906" s="151" t="s">
        <v>5145</v>
      </c>
      <c r="F906" s="151" t="s">
        <v>551</v>
      </c>
      <c r="G906" s="151" t="s">
        <v>2173</v>
      </c>
      <c r="H906" s="151" t="s">
        <v>1183</v>
      </c>
      <c r="I906" s="151" t="s">
        <v>1184</v>
      </c>
      <c r="J906" s="151" t="s">
        <v>806</v>
      </c>
      <c r="K906" s="151" t="s">
        <v>3639</v>
      </c>
      <c r="L906" s="151" t="s">
        <v>3596</v>
      </c>
      <c r="M906" s="151" t="s">
        <v>5043</v>
      </c>
      <c r="N906" s="151"/>
      <c r="O906" s="151"/>
      <c r="P906" s="151"/>
      <c r="Q906" s="151"/>
      <c r="R906" s="151" t="s">
        <v>2177</v>
      </c>
      <c r="S906" s="151" t="s">
        <v>361</v>
      </c>
      <c r="T906" s="151" t="s">
        <v>2213</v>
      </c>
      <c r="U906" s="151" t="s">
        <v>3608</v>
      </c>
      <c r="V906" s="151">
        <v>1</v>
      </c>
      <c r="W906" s="151">
        <v>1</v>
      </c>
      <c r="X906" s="151" t="s">
        <v>2445</v>
      </c>
      <c r="Y906" s="151" t="s">
        <v>3608</v>
      </c>
      <c r="Z906" s="151"/>
      <c r="AA906" s="151"/>
      <c r="AB906" s="151" t="s">
        <v>855</v>
      </c>
      <c r="AC906" s="342"/>
    </row>
    <row r="907" spans="1:29">
      <c r="A907" s="151" t="s">
        <v>5037</v>
      </c>
      <c r="B907" s="151" t="s">
        <v>5146</v>
      </c>
      <c r="C907" s="151" t="s">
        <v>3919</v>
      </c>
      <c r="D907" s="151" t="s">
        <v>17</v>
      </c>
      <c r="E907" s="151" t="s">
        <v>5147</v>
      </c>
      <c r="F907" s="151" t="s">
        <v>551</v>
      </c>
      <c r="G907" s="151" t="s">
        <v>2173</v>
      </c>
      <c r="H907" s="151" t="s">
        <v>1183</v>
      </c>
      <c r="I907" s="151" t="s">
        <v>1184</v>
      </c>
      <c r="J907" s="151" t="s">
        <v>805</v>
      </c>
      <c r="K907" s="151" t="s">
        <v>3954</v>
      </c>
      <c r="L907" s="151" t="s">
        <v>3706</v>
      </c>
      <c r="M907" s="151" t="s">
        <v>5043</v>
      </c>
      <c r="N907" s="151"/>
      <c r="O907" s="151"/>
      <c r="P907" s="151"/>
      <c r="Q907" s="151"/>
      <c r="R907" s="151" t="s">
        <v>2177</v>
      </c>
      <c r="S907" s="151" t="s">
        <v>361</v>
      </c>
      <c r="T907" s="151" t="s">
        <v>2213</v>
      </c>
      <c r="U907" s="151" t="s">
        <v>3582</v>
      </c>
      <c r="V907" s="151">
        <v>60</v>
      </c>
      <c r="W907" s="151" t="s">
        <v>3955</v>
      </c>
      <c r="X907" s="151" t="s">
        <v>2445</v>
      </c>
      <c r="Y907" s="151" t="s">
        <v>3582</v>
      </c>
      <c r="Z907" s="151"/>
      <c r="AA907" s="151"/>
      <c r="AB907" s="151" t="s">
        <v>855</v>
      </c>
      <c r="AC907" s="342"/>
    </row>
    <row r="908" spans="1:29">
      <c r="A908" s="151" t="s">
        <v>5037</v>
      </c>
      <c r="B908" s="151" t="s">
        <v>3924</v>
      </c>
      <c r="C908" s="151" t="s">
        <v>3919</v>
      </c>
      <c r="D908" s="151" t="s">
        <v>17</v>
      </c>
      <c r="E908" s="151" t="s">
        <v>5148</v>
      </c>
      <c r="F908" s="151" t="s">
        <v>551</v>
      </c>
      <c r="G908" s="151" t="s">
        <v>2173</v>
      </c>
      <c r="H908" s="151" t="s">
        <v>1183</v>
      </c>
      <c r="I908" s="151" t="s">
        <v>1184</v>
      </c>
      <c r="J908" s="151" t="s">
        <v>806</v>
      </c>
      <c r="K908" s="151" t="s">
        <v>3926</v>
      </c>
      <c r="L908" s="151" t="s">
        <v>3596</v>
      </c>
      <c r="M908" s="151" t="s">
        <v>5043</v>
      </c>
      <c r="N908" s="151"/>
      <c r="O908" s="151"/>
      <c r="P908" s="151"/>
      <c r="Q908" s="151"/>
      <c r="R908" s="151" t="s">
        <v>2177</v>
      </c>
      <c r="S908" s="151" t="s">
        <v>361</v>
      </c>
      <c r="T908" s="151" t="s">
        <v>2213</v>
      </c>
      <c r="U908" s="151" t="s">
        <v>3582</v>
      </c>
      <c r="V908" s="151">
        <v>5</v>
      </c>
      <c r="W908" s="151" t="s">
        <v>2250</v>
      </c>
      <c r="X908" s="151" t="s">
        <v>2445</v>
      </c>
      <c r="Y908" s="151" t="s">
        <v>3582</v>
      </c>
      <c r="Z908" s="151"/>
      <c r="AA908" s="151"/>
      <c r="AB908" s="151" t="s">
        <v>855</v>
      </c>
      <c r="AC908" s="342"/>
    </row>
    <row r="909" spans="1:29">
      <c r="A909" s="151" t="s">
        <v>5037</v>
      </c>
      <c r="B909" s="151" t="s">
        <v>3928</v>
      </c>
      <c r="C909" s="151" t="s">
        <v>3919</v>
      </c>
      <c r="D909" s="151" t="s">
        <v>17</v>
      </c>
      <c r="E909" s="151" t="s">
        <v>5149</v>
      </c>
      <c r="F909" s="151" t="s">
        <v>551</v>
      </c>
      <c r="G909" s="151" t="s">
        <v>2173</v>
      </c>
      <c r="H909" s="151" t="s">
        <v>1183</v>
      </c>
      <c r="I909" s="151" t="s">
        <v>1184</v>
      </c>
      <c r="J909" s="151" t="s">
        <v>806</v>
      </c>
      <c r="K909" s="151" t="s">
        <v>3930</v>
      </c>
      <c r="L909" s="151" t="s">
        <v>3596</v>
      </c>
      <c r="M909" s="151" t="s">
        <v>5043</v>
      </c>
      <c r="N909" s="151"/>
      <c r="O909" s="151"/>
      <c r="P909" s="151"/>
      <c r="Q909" s="151"/>
      <c r="R909" s="151" t="s">
        <v>2177</v>
      </c>
      <c r="S909" s="151" t="s">
        <v>361</v>
      </c>
      <c r="T909" s="151" t="s">
        <v>2213</v>
      </c>
      <c r="U909" s="151" t="s">
        <v>3582</v>
      </c>
      <c r="V909" s="151">
        <v>5</v>
      </c>
      <c r="W909" s="151" t="s">
        <v>2250</v>
      </c>
      <c r="X909" s="151" t="s">
        <v>2445</v>
      </c>
      <c r="Y909" s="151" t="s">
        <v>3582</v>
      </c>
      <c r="Z909" s="151"/>
      <c r="AA909" s="151"/>
      <c r="AB909" s="151" t="s">
        <v>855</v>
      </c>
      <c r="AC909" s="342"/>
    </row>
    <row r="910" spans="1:29">
      <c r="A910" s="151" t="s">
        <v>5037</v>
      </c>
      <c r="B910" s="151" t="s">
        <v>3932</v>
      </c>
      <c r="C910" s="151" t="s">
        <v>3919</v>
      </c>
      <c r="D910" s="151" t="s">
        <v>17</v>
      </c>
      <c r="E910" s="151" t="s">
        <v>5150</v>
      </c>
      <c r="F910" s="151" t="s">
        <v>551</v>
      </c>
      <c r="G910" s="151" t="s">
        <v>2173</v>
      </c>
      <c r="H910" s="151" t="s">
        <v>1183</v>
      </c>
      <c r="I910" s="151" t="s">
        <v>1184</v>
      </c>
      <c r="J910" s="151" t="s">
        <v>806</v>
      </c>
      <c r="K910" s="151" t="s">
        <v>3934</v>
      </c>
      <c r="L910" s="151" t="s">
        <v>3596</v>
      </c>
      <c r="M910" s="151" t="s">
        <v>5043</v>
      </c>
      <c r="N910" s="151"/>
      <c r="O910" s="151"/>
      <c r="P910" s="151"/>
      <c r="Q910" s="151"/>
      <c r="R910" s="151" t="s">
        <v>2177</v>
      </c>
      <c r="S910" s="151" t="s">
        <v>361</v>
      </c>
      <c r="T910" s="151" t="s">
        <v>2213</v>
      </c>
      <c r="U910" s="151" t="s">
        <v>3582</v>
      </c>
      <c r="V910" s="151">
        <v>5</v>
      </c>
      <c r="W910" s="151" t="s">
        <v>2250</v>
      </c>
      <c r="X910" s="151" t="s">
        <v>2445</v>
      </c>
      <c r="Y910" s="151" t="s">
        <v>3582</v>
      </c>
      <c r="Z910" s="151"/>
      <c r="AA910" s="151"/>
      <c r="AB910" s="151" t="s">
        <v>855</v>
      </c>
      <c r="AC910" s="342"/>
    </row>
    <row r="911" spans="1:29">
      <c r="A911" s="151" t="s">
        <v>5037</v>
      </c>
      <c r="B911" s="151" t="s">
        <v>3936</v>
      </c>
      <c r="C911" s="151" t="s">
        <v>3919</v>
      </c>
      <c r="D911" s="151" t="s">
        <v>17</v>
      </c>
      <c r="E911" s="151" t="s">
        <v>5151</v>
      </c>
      <c r="F911" s="151" t="s">
        <v>551</v>
      </c>
      <c r="G911" s="151" t="s">
        <v>2173</v>
      </c>
      <c r="H911" s="151" t="s">
        <v>1183</v>
      </c>
      <c r="I911" s="151" t="s">
        <v>1184</v>
      </c>
      <c r="J911" s="151" t="s">
        <v>806</v>
      </c>
      <c r="K911" s="151" t="s">
        <v>3938</v>
      </c>
      <c r="L911" s="151" t="s">
        <v>3596</v>
      </c>
      <c r="M911" s="151" t="s">
        <v>5043</v>
      </c>
      <c r="N911" s="151"/>
      <c r="O911" s="151"/>
      <c r="P911" s="151"/>
      <c r="Q911" s="151"/>
      <c r="R911" s="151" t="s">
        <v>2177</v>
      </c>
      <c r="S911" s="151" t="s">
        <v>361</v>
      </c>
      <c r="T911" s="151" t="s">
        <v>2213</v>
      </c>
      <c r="U911" s="151" t="s">
        <v>3582</v>
      </c>
      <c r="V911" s="151">
        <v>5</v>
      </c>
      <c r="W911" s="151" t="s">
        <v>2250</v>
      </c>
      <c r="X911" s="151" t="s">
        <v>2445</v>
      </c>
      <c r="Y911" s="151" t="s">
        <v>3582</v>
      </c>
      <c r="Z911" s="151"/>
      <c r="AA911" s="151"/>
      <c r="AB911" s="151" t="s">
        <v>855</v>
      </c>
      <c r="AC911" s="342"/>
    </row>
    <row r="912" spans="1:29">
      <c r="A912" s="151" t="s">
        <v>5037</v>
      </c>
      <c r="B912" s="151" t="s">
        <v>3940</v>
      </c>
      <c r="C912" s="151" t="s">
        <v>3919</v>
      </c>
      <c r="D912" s="151" t="s">
        <v>17</v>
      </c>
      <c r="E912" s="151" t="s">
        <v>5152</v>
      </c>
      <c r="F912" s="151" t="s">
        <v>551</v>
      </c>
      <c r="G912" s="151" t="s">
        <v>2173</v>
      </c>
      <c r="H912" s="151" t="s">
        <v>1183</v>
      </c>
      <c r="I912" s="151" t="s">
        <v>1184</v>
      </c>
      <c r="J912" s="151" t="s">
        <v>806</v>
      </c>
      <c r="K912" s="151" t="s">
        <v>3942</v>
      </c>
      <c r="L912" s="151" t="s">
        <v>3596</v>
      </c>
      <c r="M912" s="151" t="s">
        <v>5043</v>
      </c>
      <c r="N912" s="151"/>
      <c r="O912" s="151"/>
      <c r="P912" s="151"/>
      <c r="Q912" s="151"/>
      <c r="R912" s="151" t="s">
        <v>2177</v>
      </c>
      <c r="S912" s="151" t="s">
        <v>361</v>
      </c>
      <c r="T912" s="151" t="s">
        <v>2213</v>
      </c>
      <c r="U912" s="151" t="s">
        <v>3582</v>
      </c>
      <c r="V912" s="151">
        <v>5</v>
      </c>
      <c r="W912" s="151" t="s">
        <v>2250</v>
      </c>
      <c r="X912" s="151" t="s">
        <v>2445</v>
      </c>
      <c r="Y912" s="151" t="s">
        <v>3582</v>
      </c>
      <c r="Z912" s="151"/>
      <c r="AA912" s="151"/>
      <c r="AB912" s="151" t="s">
        <v>855</v>
      </c>
      <c r="AC912" s="342"/>
    </row>
    <row r="913" spans="1:29">
      <c r="A913" s="151" t="s">
        <v>5037</v>
      </c>
      <c r="B913" s="151" t="s">
        <v>2400</v>
      </c>
      <c r="C913" s="151" t="s">
        <v>3919</v>
      </c>
      <c r="D913" s="151" t="s">
        <v>17</v>
      </c>
      <c r="E913" s="151" t="s">
        <v>5153</v>
      </c>
      <c r="F913" s="151" t="s">
        <v>551</v>
      </c>
      <c r="G913" s="151" t="s">
        <v>2173</v>
      </c>
      <c r="H913" s="151" t="s">
        <v>1183</v>
      </c>
      <c r="I913" s="151" t="s">
        <v>1184</v>
      </c>
      <c r="J913" s="151" t="s">
        <v>3871</v>
      </c>
      <c r="K913" s="151" t="s">
        <v>3945</v>
      </c>
      <c r="L913" s="151" t="s">
        <v>3596</v>
      </c>
      <c r="M913" s="151" t="s">
        <v>5043</v>
      </c>
      <c r="N913" s="151"/>
      <c r="O913" s="151"/>
      <c r="P913" s="151"/>
      <c r="Q913" s="151"/>
      <c r="R913" s="151" t="s">
        <v>2177</v>
      </c>
      <c r="S913" s="151" t="s">
        <v>361</v>
      </c>
      <c r="T913" s="151" t="s">
        <v>435</v>
      </c>
      <c r="U913" s="151" t="s">
        <v>2400</v>
      </c>
      <c r="V913" s="151">
        <v>10</v>
      </c>
      <c r="W913" s="151" t="s">
        <v>2400</v>
      </c>
      <c r="X913" s="151" t="s">
        <v>431</v>
      </c>
      <c r="Y913" s="151" t="s">
        <v>2400</v>
      </c>
      <c r="Z913" s="151"/>
      <c r="AA913" s="151"/>
      <c r="AB913" s="151" t="s">
        <v>855</v>
      </c>
      <c r="AC913" s="342"/>
    </row>
    <row r="914" spans="1:29">
      <c r="A914" s="151" t="s">
        <v>5037</v>
      </c>
      <c r="B914" s="151" t="s">
        <v>3946</v>
      </c>
      <c r="C914" s="151" t="s">
        <v>3919</v>
      </c>
      <c r="D914" s="151" t="s">
        <v>17</v>
      </c>
      <c r="E914" s="151" t="s">
        <v>5154</v>
      </c>
      <c r="F914" s="151" t="s">
        <v>551</v>
      </c>
      <c r="G914" s="151" t="s">
        <v>2173</v>
      </c>
      <c r="H914" s="151" t="s">
        <v>1183</v>
      </c>
      <c r="I914" s="151" t="s">
        <v>1184</v>
      </c>
      <c r="J914" s="151" t="s">
        <v>3871</v>
      </c>
      <c r="K914" s="151" t="s">
        <v>3948</v>
      </c>
      <c r="L914" s="151" t="s">
        <v>3596</v>
      </c>
      <c r="M914" s="151" t="s">
        <v>5043</v>
      </c>
      <c r="N914" s="151"/>
      <c r="O914" s="151"/>
      <c r="P914" s="151"/>
      <c r="Q914" s="151"/>
      <c r="R914" s="151" t="s">
        <v>2177</v>
      </c>
      <c r="S914" s="151" t="s">
        <v>361</v>
      </c>
      <c r="T914" s="151" t="s">
        <v>435</v>
      </c>
      <c r="U914" s="151" t="s">
        <v>2507</v>
      </c>
      <c r="V914" s="151">
        <v>24</v>
      </c>
      <c r="W914" s="151" t="s">
        <v>2507</v>
      </c>
      <c r="X914" s="151" t="s">
        <v>431</v>
      </c>
      <c r="Y914" s="151" t="s">
        <v>2507</v>
      </c>
      <c r="Z914" s="151"/>
      <c r="AA914" s="151"/>
      <c r="AB914" s="151" t="s">
        <v>855</v>
      </c>
      <c r="AC914" s="342"/>
    </row>
    <row r="915" spans="1:29">
      <c r="A915" s="151" t="s">
        <v>5037</v>
      </c>
      <c r="B915" s="151" t="s">
        <v>3949</v>
      </c>
      <c r="C915" s="151" t="s">
        <v>3919</v>
      </c>
      <c r="D915" s="151" t="s">
        <v>17</v>
      </c>
      <c r="E915" s="151" t="s">
        <v>5155</v>
      </c>
      <c r="F915" s="151" t="s">
        <v>551</v>
      </c>
      <c r="G915" s="151" t="s">
        <v>2173</v>
      </c>
      <c r="H915" s="151" t="s">
        <v>1183</v>
      </c>
      <c r="I915" s="151" t="s">
        <v>1184</v>
      </c>
      <c r="J915" s="151" t="s">
        <v>3871</v>
      </c>
      <c r="K915" s="151" t="s">
        <v>3945</v>
      </c>
      <c r="L915" s="151" t="s">
        <v>3596</v>
      </c>
      <c r="M915" s="151" t="s">
        <v>5043</v>
      </c>
      <c r="N915" s="151"/>
      <c r="O915" s="151"/>
      <c r="P915" s="151"/>
      <c r="Q915" s="151"/>
      <c r="R915" s="151" t="s">
        <v>2177</v>
      </c>
      <c r="S915" s="151" t="s">
        <v>361</v>
      </c>
      <c r="T915" s="151" t="s">
        <v>435</v>
      </c>
      <c r="U915" s="151" t="s">
        <v>2207</v>
      </c>
      <c r="V915" s="151">
        <v>10</v>
      </c>
      <c r="W915" s="151" t="s">
        <v>2207</v>
      </c>
      <c r="X915" s="151" t="s">
        <v>431</v>
      </c>
      <c r="Y915" s="151" t="s">
        <v>2207</v>
      </c>
      <c r="Z915" s="151"/>
      <c r="AA915" s="151"/>
      <c r="AB915" s="151" t="s">
        <v>855</v>
      </c>
      <c r="AC915" s="342"/>
    </row>
    <row r="916" spans="1:29">
      <c r="A916" s="151" t="s">
        <v>5037</v>
      </c>
      <c r="B916" s="151" t="s">
        <v>3992</v>
      </c>
      <c r="C916" s="151" t="s">
        <v>3919</v>
      </c>
      <c r="D916" s="151" t="s">
        <v>17</v>
      </c>
      <c r="E916" s="151" t="s">
        <v>3993</v>
      </c>
      <c r="F916" s="151" t="s">
        <v>551</v>
      </c>
      <c r="G916" s="151" t="s">
        <v>2173</v>
      </c>
      <c r="H916" s="151" t="s">
        <v>1183</v>
      </c>
      <c r="I916" s="151" t="s">
        <v>1184</v>
      </c>
      <c r="J916" s="151" t="s">
        <v>806</v>
      </c>
      <c r="K916" s="151" t="s">
        <v>3994</v>
      </c>
      <c r="L916" s="151" t="s">
        <v>3596</v>
      </c>
      <c r="M916" s="151" t="s">
        <v>5043</v>
      </c>
      <c r="N916" s="151"/>
      <c r="O916" s="151"/>
      <c r="P916" s="151"/>
      <c r="Q916" s="151"/>
      <c r="R916" s="151" t="s">
        <v>2177</v>
      </c>
      <c r="S916" s="151" t="s">
        <v>361</v>
      </c>
      <c r="T916" s="151" t="s">
        <v>2213</v>
      </c>
      <c r="U916" s="151" t="s">
        <v>3582</v>
      </c>
      <c r="V916" s="151">
        <v>3</v>
      </c>
      <c r="W916" s="151" t="s">
        <v>3615</v>
      </c>
      <c r="X916" s="151" t="s">
        <v>2445</v>
      </c>
      <c r="Y916" s="151" t="s">
        <v>3582</v>
      </c>
      <c r="Z916" s="151"/>
      <c r="AA916" s="151"/>
      <c r="AB916" s="151" t="s">
        <v>855</v>
      </c>
      <c r="AC916" s="342"/>
    </row>
    <row r="917" spans="1:29">
      <c r="A917" s="151" t="s">
        <v>5037</v>
      </c>
      <c r="B917" s="151" t="s">
        <v>3729</v>
      </c>
      <c r="C917" s="151" t="s">
        <v>3919</v>
      </c>
      <c r="D917" s="151" t="s">
        <v>17</v>
      </c>
      <c r="E917" s="151" t="s">
        <v>5156</v>
      </c>
      <c r="F917" s="151" t="s">
        <v>551</v>
      </c>
      <c r="G917" s="151" t="s">
        <v>2173</v>
      </c>
      <c r="H917" s="151" t="s">
        <v>1183</v>
      </c>
      <c r="I917" s="151" t="s">
        <v>1184</v>
      </c>
      <c r="J917" s="151" t="s">
        <v>809</v>
      </c>
      <c r="K917" s="151" t="s">
        <v>3731</v>
      </c>
      <c r="L917" s="151" t="s">
        <v>3675</v>
      </c>
      <c r="M917" s="151" t="s">
        <v>5157</v>
      </c>
      <c r="N917" s="151"/>
      <c r="O917" s="151"/>
      <c r="P917" s="151"/>
      <c r="Q917" s="151"/>
      <c r="R917" s="151" t="s">
        <v>2177</v>
      </c>
      <c r="S917" s="151" t="s">
        <v>361</v>
      </c>
      <c r="T917" s="151" t="s">
        <v>435</v>
      </c>
      <c r="U917" s="151" t="s">
        <v>2179</v>
      </c>
      <c r="V917" s="151">
        <v>7</v>
      </c>
      <c r="W917" s="151" t="s">
        <v>2250</v>
      </c>
      <c r="X917" s="151" t="s">
        <v>431</v>
      </c>
      <c r="Y917" s="151" t="s">
        <v>2179</v>
      </c>
      <c r="Z917" s="151"/>
      <c r="AA917" s="151"/>
      <c r="AB917" s="151" t="s">
        <v>855</v>
      </c>
      <c r="AC917" s="342"/>
    </row>
    <row r="918" spans="1:29">
      <c r="A918" s="151" t="s">
        <v>5037</v>
      </c>
      <c r="B918" s="151" t="s">
        <v>5158</v>
      </c>
      <c r="C918" s="151" t="s">
        <v>3919</v>
      </c>
      <c r="D918" s="151" t="s">
        <v>17</v>
      </c>
      <c r="E918" s="151" t="s">
        <v>5159</v>
      </c>
      <c r="F918" s="151" t="s">
        <v>551</v>
      </c>
      <c r="G918" s="151" t="s">
        <v>2173</v>
      </c>
      <c r="H918" s="151" t="s">
        <v>1183</v>
      </c>
      <c r="I918" s="151" t="s">
        <v>1184</v>
      </c>
      <c r="J918" s="151" t="s">
        <v>817</v>
      </c>
      <c r="K918" s="151" t="s">
        <v>5160</v>
      </c>
      <c r="L918" s="151" t="s">
        <v>5161</v>
      </c>
      <c r="M918" s="151" t="s">
        <v>5162</v>
      </c>
      <c r="N918" s="151"/>
      <c r="O918" s="151"/>
      <c r="P918" s="151"/>
      <c r="Q918" s="151"/>
      <c r="R918" s="151" t="s">
        <v>2177</v>
      </c>
      <c r="S918" s="151" t="s">
        <v>361</v>
      </c>
      <c r="T918" s="151" t="s">
        <v>435</v>
      </c>
      <c r="U918" s="151" t="s">
        <v>2179</v>
      </c>
      <c r="V918" s="151">
        <v>7</v>
      </c>
      <c r="W918" s="151" t="s">
        <v>2250</v>
      </c>
      <c r="X918" s="151" t="s">
        <v>431</v>
      </c>
      <c r="Y918" s="151" t="s">
        <v>2179</v>
      </c>
      <c r="Z918" s="151"/>
      <c r="AA918" s="151"/>
      <c r="AB918" s="151" t="s">
        <v>855</v>
      </c>
      <c r="AC918" s="342"/>
    </row>
    <row r="919" spans="1:29">
      <c r="A919" s="151" t="s">
        <v>5037</v>
      </c>
      <c r="B919" s="151" t="s">
        <v>5163</v>
      </c>
      <c r="C919" s="151" t="s">
        <v>3919</v>
      </c>
      <c r="D919" s="151" t="s">
        <v>17</v>
      </c>
      <c r="E919" s="151" t="s">
        <v>5164</v>
      </c>
      <c r="F919" s="151" t="s">
        <v>551</v>
      </c>
      <c r="G919" s="151" t="s">
        <v>2173</v>
      </c>
      <c r="H919" s="151" t="s">
        <v>1183</v>
      </c>
      <c r="I919" s="151" t="s">
        <v>1184</v>
      </c>
      <c r="J919" s="151" t="s">
        <v>805</v>
      </c>
      <c r="K919" s="151" t="s">
        <v>5165</v>
      </c>
      <c r="L919" s="151" t="s">
        <v>3706</v>
      </c>
      <c r="M919" s="151" t="s">
        <v>5162</v>
      </c>
      <c r="N919" s="151"/>
      <c r="O919" s="151"/>
      <c r="P919" s="151"/>
      <c r="Q919" s="151"/>
      <c r="R919" s="151" t="s">
        <v>2177</v>
      </c>
      <c r="S919" s="151" t="s">
        <v>361</v>
      </c>
      <c r="T919" s="151" t="s">
        <v>2213</v>
      </c>
      <c r="U919" s="151" t="s">
        <v>2885</v>
      </c>
      <c r="V919" s="151"/>
      <c r="W919" s="151" t="s">
        <v>2885</v>
      </c>
      <c r="X919" s="151" t="s">
        <v>2445</v>
      </c>
      <c r="Y919" s="151" t="s">
        <v>2885</v>
      </c>
      <c r="Z919" s="151"/>
      <c r="AA919" s="151"/>
      <c r="AB919" s="151" t="s">
        <v>855</v>
      </c>
      <c r="AC919" s="342"/>
    </row>
    <row r="920" spans="1:29">
      <c r="A920" s="151" t="s">
        <v>5037</v>
      </c>
      <c r="B920" s="151" t="s">
        <v>5166</v>
      </c>
      <c r="C920" s="151" t="s">
        <v>3919</v>
      </c>
      <c r="D920" s="151" t="s">
        <v>17</v>
      </c>
      <c r="E920" s="151" t="s">
        <v>5167</v>
      </c>
      <c r="F920" s="151" t="s">
        <v>551</v>
      </c>
      <c r="G920" s="151" t="s">
        <v>2173</v>
      </c>
      <c r="H920" s="151" t="s">
        <v>1183</v>
      </c>
      <c r="I920" s="151" t="s">
        <v>1184</v>
      </c>
      <c r="J920" s="151" t="s">
        <v>818</v>
      </c>
      <c r="K920" s="151" t="s">
        <v>5168</v>
      </c>
      <c r="L920" s="151" t="s">
        <v>5169</v>
      </c>
      <c r="M920" s="151" t="s">
        <v>5043</v>
      </c>
      <c r="N920" s="151"/>
      <c r="O920" s="151"/>
      <c r="P920" s="151"/>
      <c r="Q920" s="151"/>
      <c r="R920" s="151" t="s">
        <v>2177</v>
      </c>
      <c r="S920" s="151" t="s">
        <v>361</v>
      </c>
      <c r="T920" s="151" t="s">
        <v>435</v>
      </c>
      <c r="U920" s="151" t="s">
        <v>2179</v>
      </c>
      <c r="V920" s="151">
        <v>24</v>
      </c>
      <c r="W920" s="151" t="s">
        <v>2250</v>
      </c>
      <c r="X920" s="151" t="s">
        <v>431</v>
      </c>
      <c r="Y920" s="151" t="s">
        <v>2179</v>
      </c>
      <c r="Z920" s="151"/>
      <c r="AA920" s="151"/>
      <c r="AB920" s="151" t="s">
        <v>855</v>
      </c>
      <c r="AC920" s="342"/>
    </row>
    <row r="921" spans="1:29">
      <c r="A921" s="151" t="s">
        <v>5037</v>
      </c>
      <c r="B921" s="151" t="s">
        <v>5170</v>
      </c>
      <c r="C921" s="151" t="s">
        <v>3919</v>
      </c>
      <c r="D921" s="151" t="s">
        <v>17</v>
      </c>
      <c r="E921" s="151" t="s">
        <v>5171</v>
      </c>
      <c r="F921" s="151" t="s">
        <v>551</v>
      </c>
      <c r="G921" s="151" t="s">
        <v>2173</v>
      </c>
      <c r="H921" s="151" t="s">
        <v>1183</v>
      </c>
      <c r="I921" s="151" t="s">
        <v>1184</v>
      </c>
      <c r="J921" s="151" t="s">
        <v>817</v>
      </c>
      <c r="K921" s="151" t="s">
        <v>5172</v>
      </c>
      <c r="L921" s="151" t="s">
        <v>5161</v>
      </c>
      <c r="M921" s="151" t="s">
        <v>5043</v>
      </c>
      <c r="N921" s="151"/>
      <c r="O921" s="151"/>
      <c r="P921" s="151"/>
      <c r="Q921" s="151"/>
      <c r="R921" s="151" t="s">
        <v>2177</v>
      </c>
      <c r="S921" s="151" t="s">
        <v>5173</v>
      </c>
      <c r="T921" s="151" t="s">
        <v>49</v>
      </c>
      <c r="U921" s="151" t="s">
        <v>3582</v>
      </c>
      <c r="V921" s="151" t="s">
        <v>49</v>
      </c>
      <c r="W921" s="151" t="s">
        <v>3615</v>
      </c>
      <c r="X921" s="151" t="s">
        <v>49</v>
      </c>
      <c r="Y921" s="151" t="s">
        <v>3582</v>
      </c>
      <c r="Z921" s="151"/>
      <c r="AA921" s="151"/>
      <c r="AB921" s="151" t="s">
        <v>855</v>
      </c>
      <c r="AC921" s="342"/>
    </row>
    <row r="922" spans="1:29">
      <c r="A922" s="151" t="s">
        <v>5037</v>
      </c>
      <c r="B922" s="151" t="s">
        <v>5174</v>
      </c>
      <c r="C922" s="151" t="s">
        <v>3919</v>
      </c>
      <c r="D922" s="151" t="s">
        <v>17</v>
      </c>
      <c r="E922" s="151" t="s">
        <v>5175</v>
      </c>
      <c r="F922" s="151" t="s">
        <v>551</v>
      </c>
      <c r="G922" s="151" t="s">
        <v>2173</v>
      </c>
      <c r="H922" s="151" t="s">
        <v>1183</v>
      </c>
      <c r="I922" s="151" t="s">
        <v>1184</v>
      </c>
      <c r="J922" s="151" t="s">
        <v>817</v>
      </c>
      <c r="K922" s="151" t="s">
        <v>5176</v>
      </c>
      <c r="L922" s="151" t="s">
        <v>5161</v>
      </c>
      <c r="M922" s="151" t="s">
        <v>5043</v>
      </c>
      <c r="N922" s="151"/>
      <c r="O922" s="151"/>
      <c r="P922" s="151"/>
      <c r="Q922" s="151"/>
      <c r="R922" s="151" t="s">
        <v>2177</v>
      </c>
      <c r="S922" s="151" t="s">
        <v>361</v>
      </c>
      <c r="T922" s="151" t="s">
        <v>2207</v>
      </c>
      <c r="U922" s="151" t="s">
        <v>2207</v>
      </c>
      <c r="V922" s="151">
        <v>10</v>
      </c>
      <c r="W922" s="151" t="s">
        <v>2207</v>
      </c>
      <c r="X922" s="151" t="s">
        <v>2207</v>
      </c>
      <c r="Y922" s="151" t="s">
        <v>2207</v>
      </c>
      <c r="Z922" s="151"/>
      <c r="AA922" s="151"/>
      <c r="AB922" s="151" t="s">
        <v>855</v>
      </c>
      <c r="AC922" s="342"/>
    </row>
    <row r="923" spans="1:29">
      <c r="A923" s="151" t="s">
        <v>5037</v>
      </c>
      <c r="B923" s="151" t="s">
        <v>5177</v>
      </c>
      <c r="C923" s="151" t="s">
        <v>3919</v>
      </c>
      <c r="D923" s="151" t="s">
        <v>17</v>
      </c>
      <c r="E923" s="151" t="s">
        <v>5178</v>
      </c>
      <c r="F923" s="151" t="s">
        <v>551</v>
      </c>
      <c r="G923" s="151" t="s">
        <v>2173</v>
      </c>
      <c r="H923" s="151" t="s">
        <v>1183</v>
      </c>
      <c r="I923" s="151" t="s">
        <v>1184</v>
      </c>
      <c r="J923" s="151" t="s">
        <v>817</v>
      </c>
      <c r="K923" s="151" t="s">
        <v>5073</v>
      </c>
      <c r="L923" s="151" t="s">
        <v>5161</v>
      </c>
      <c r="M923" s="151" t="s">
        <v>5043</v>
      </c>
      <c r="N923" s="151"/>
      <c r="O923" s="151"/>
      <c r="P923" s="151"/>
      <c r="Q923" s="151"/>
      <c r="R923" s="151" t="s">
        <v>2177</v>
      </c>
      <c r="S923" s="151" t="s">
        <v>361</v>
      </c>
      <c r="T923" s="151" t="s">
        <v>49</v>
      </c>
      <c r="U923" s="151" t="s">
        <v>5179</v>
      </c>
      <c r="V923" s="151" t="s">
        <v>49</v>
      </c>
      <c r="W923" s="151" t="s">
        <v>5179</v>
      </c>
      <c r="X923" s="151" t="s">
        <v>49</v>
      </c>
      <c r="Y923" s="151" t="s">
        <v>5179</v>
      </c>
      <c r="Z923" s="151"/>
      <c r="AA923" s="151"/>
      <c r="AB923" s="151" t="s">
        <v>855</v>
      </c>
      <c r="AC923" s="342"/>
    </row>
    <row r="924" spans="1:29">
      <c r="A924" s="151" t="s">
        <v>5037</v>
      </c>
      <c r="B924" s="151" t="s">
        <v>5180</v>
      </c>
      <c r="C924" s="151" t="s">
        <v>3919</v>
      </c>
      <c r="D924" s="151" t="s">
        <v>17</v>
      </c>
      <c r="E924" s="151" t="s">
        <v>5181</v>
      </c>
      <c r="F924" s="151" t="s">
        <v>551</v>
      </c>
      <c r="G924" s="151" t="s">
        <v>2173</v>
      </c>
      <c r="H924" s="151" t="s">
        <v>1183</v>
      </c>
      <c r="I924" s="151" t="s">
        <v>1184</v>
      </c>
      <c r="J924" s="151" t="s">
        <v>817</v>
      </c>
      <c r="K924" s="151" t="s">
        <v>5182</v>
      </c>
      <c r="L924" s="151" t="s">
        <v>5161</v>
      </c>
      <c r="M924" s="151" t="s">
        <v>5043</v>
      </c>
      <c r="N924" s="151"/>
      <c r="O924" s="151"/>
      <c r="P924" s="151"/>
      <c r="Q924" s="151"/>
      <c r="R924" s="151" t="s">
        <v>2177</v>
      </c>
      <c r="S924" s="151" t="s">
        <v>361</v>
      </c>
      <c r="T924" s="151" t="s">
        <v>435</v>
      </c>
      <c r="U924" s="151" t="s">
        <v>2179</v>
      </c>
      <c r="V924" s="151">
        <v>7</v>
      </c>
      <c r="W924" s="151" t="s">
        <v>2250</v>
      </c>
      <c r="X924" s="151" t="s">
        <v>431</v>
      </c>
      <c r="Y924" s="151" t="s">
        <v>2179</v>
      </c>
      <c r="Z924" s="151"/>
      <c r="AA924" s="151"/>
      <c r="AB924" s="151" t="s">
        <v>855</v>
      </c>
      <c r="AC924" s="342"/>
    </row>
    <row r="925" spans="1:29">
      <c r="A925" s="151" t="s">
        <v>5037</v>
      </c>
      <c r="B925" s="151" t="s">
        <v>4014</v>
      </c>
      <c r="C925" s="151" t="s">
        <v>5183</v>
      </c>
      <c r="D925" s="151" t="s">
        <v>17</v>
      </c>
      <c r="E925" s="151" t="s">
        <v>5184</v>
      </c>
      <c r="F925" s="151" t="s">
        <v>544</v>
      </c>
      <c r="G925" s="151" t="s">
        <v>2173</v>
      </c>
      <c r="H925" s="151" t="s">
        <v>1183</v>
      </c>
      <c r="I925" s="151" t="s">
        <v>1184</v>
      </c>
      <c r="J925" s="151" t="s">
        <v>4017</v>
      </c>
      <c r="K925" s="151" t="s">
        <v>4653</v>
      </c>
      <c r="L925" s="151" t="s">
        <v>5185</v>
      </c>
      <c r="M925" s="151" t="s">
        <v>5186</v>
      </c>
      <c r="N925" s="151"/>
      <c r="O925" s="151"/>
      <c r="P925" s="151"/>
      <c r="Q925" s="151"/>
      <c r="R925" s="151" t="s">
        <v>2177</v>
      </c>
      <c r="S925" s="151" t="s">
        <v>361</v>
      </c>
      <c r="T925" s="151" t="s">
        <v>435</v>
      </c>
      <c r="U925" s="151" t="s">
        <v>2179</v>
      </c>
      <c r="V925" s="151">
        <v>24</v>
      </c>
      <c r="W925" s="151" t="s">
        <v>2615</v>
      </c>
      <c r="X925" s="151" t="s">
        <v>431</v>
      </c>
      <c r="Y925" s="151" t="s">
        <v>2179</v>
      </c>
      <c r="Z925" s="151"/>
      <c r="AA925" s="151"/>
      <c r="AB925" s="151" t="s">
        <v>855</v>
      </c>
      <c r="AC925" s="342"/>
    </row>
    <row r="926" spans="1:29" ht="45">
      <c r="A926" s="151" t="s">
        <v>5037</v>
      </c>
      <c r="B926" s="151" t="s">
        <v>3476</v>
      </c>
      <c r="C926" s="151" t="s">
        <v>5183</v>
      </c>
      <c r="D926" s="151" t="s">
        <v>17</v>
      </c>
      <c r="E926" s="151" t="s">
        <v>5187</v>
      </c>
      <c r="F926" s="151" t="s">
        <v>544</v>
      </c>
      <c r="G926" s="151" t="s">
        <v>2173</v>
      </c>
      <c r="H926" s="151" t="s">
        <v>1183</v>
      </c>
      <c r="I926" s="151" t="s">
        <v>1184</v>
      </c>
      <c r="J926" s="151" t="s">
        <v>4017</v>
      </c>
      <c r="K926" s="151" t="s">
        <v>4027</v>
      </c>
      <c r="L926" s="341" t="s">
        <v>5185</v>
      </c>
      <c r="M926" s="341" t="s">
        <v>5186</v>
      </c>
      <c r="N926" s="341"/>
      <c r="O926" s="341"/>
      <c r="P926" s="341"/>
      <c r="Q926" s="341"/>
      <c r="R926" s="151" t="s">
        <v>2177</v>
      </c>
      <c r="S926" s="151" t="s">
        <v>5188</v>
      </c>
      <c r="T926" s="151" t="s">
        <v>435</v>
      </c>
      <c r="U926" s="151" t="s">
        <v>2179</v>
      </c>
      <c r="V926" s="151">
        <v>31</v>
      </c>
      <c r="W926" s="151" t="s">
        <v>4028</v>
      </c>
      <c r="X926" s="151" t="s">
        <v>431</v>
      </c>
      <c r="Y926" s="151" t="s">
        <v>2179</v>
      </c>
      <c r="Z926" s="151"/>
      <c r="AA926" s="151"/>
      <c r="AB926" s="151" t="s">
        <v>855</v>
      </c>
      <c r="AC926" s="342"/>
    </row>
    <row r="927" spans="1:29">
      <c r="A927" s="151" t="s">
        <v>5037</v>
      </c>
      <c r="B927" s="151" t="s">
        <v>2246</v>
      </c>
      <c r="C927" s="151" t="s">
        <v>5183</v>
      </c>
      <c r="D927" s="151" t="s">
        <v>17</v>
      </c>
      <c r="E927" s="151" t="s">
        <v>5189</v>
      </c>
      <c r="F927" s="151" t="s">
        <v>544</v>
      </c>
      <c r="G927" s="151" t="s">
        <v>2173</v>
      </c>
      <c r="H927" s="151" t="s">
        <v>1183</v>
      </c>
      <c r="I927" s="151" t="s">
        <v>1184</v>
      </c>
      <c r="J927" s="151" t="s">
        <v>5190</v>
      </c>
      <c r="K927" s="151" t="s">
        <v>4030</v>
      </c>
      <c r="L927" s="151" t="s">
        <v>5191</v>
      </c>
      <c r="M927" s="151" t="s">
        <v>5192</v>
      </c>
      <c r="N927" s="151"/>
      <c r="O927" s="151"/>
      <c r="P927" s="151"/>
      <c r="Q927" s="151"/>
      <c r="R927" s="151" t="s">
        <v>2177</v>
      </c>
      <c r="S927" s="151" t="s">
        <v>4035</v>
      </c>
      <c r="T927" s="151" t="s">
        <v>435</v>
      </c>
      <c r="U927" s="151" t="s">
        <v>2179</v>
      </c>
      <c r="V927" s="151" t="s">
        <v>49</v>
      </c>
      <c r="W927" s="151" t="s">
        <v>3131</v>
      </c>
      <c r="X927" s="151" t="s">
        <v>431</v>
      </c>
      <c r="Y927" s="151" t="s">
        <v>2179</v>
      </c>
      <c r="Z927" s="151"/>
      <c r="AA927" s="151"/>
      <c r="AB927" s="151" t="s">
        <v>855</v>
      </c>
      <c r="AC927"/>
    </row>
    <row r="928" spans="1:29">
      <c r="A928" s="151" t="s">
        <v>5037</v>
      </c>
      <c r="B928" s="151" t="s">
        <v>3524</v>
      </c>
      <c r="C928" s="151" t="s">
        <v>5183</v>
      </c>
      <c r="D928" s="151" t="s">
        <v>17</v>
      </c>
      <c r="E928" s="151" t="s">
        <v>5193</v>
      </c>
      <c r="F928" s="151" t="s">
        <v>544</v>
      </c>
      <c r="G928" s="151" t="s">
        <v>2173</v>
      </c>
      <c r="H928" s="151" t="s">
        <v>1183</v>
      </c>
      <c r="I928" s="151" t="s">
        <v>1184</v>
      </c>
      <c r="J928" s="151" t="s">
        <v>5194</v>
      </c>
      <c r="K928" s="151" t="s">
        <v>5195</v>
      </c>
      <c r="L928" s="151" t="s">
        <v>5196</v>
      </c>
      <c r="M928" s="151" t="s">
        <v>5197</v>
      </c>
      <c r="N928" s="151"/>
      <c r="O928" s="151"/>
      <c r="P928" s="151"/>
      <c r="Q928" s="151"/>
      <c r="R928" s="151" t="s">
        <v>2177</v>
      </c>
      <c r="S928" s="151" t="s">
        <v>361</v>
      </c>
      <c r="T928" s="151" t="s">
        <v>435</v>
      </c>
      <c r="U928" s="151" t="s">
        <v>2179</v>
      </c>
      <c r="V928" s="151">
        <v>10</v>
      </c>
      <c r="W928" s="151" t="s">
        <v>2257</v>
      </c>
      <c r="X928" s="151" t="s">
        <v>431</v>
      </c>
      <c r="Y928" s="151" t="s">
        <v>2179</v>
      </c>
      <c r="Z928" s="151"/>
      <c r="AA928" s="151"/>
      <c r="AB928" s="151" t="s">
        <v>855</v>
      </c>
      <c r="AC928" s="342"/>
    </row>
    <row r="929" spans="1:29" ht="120">
      <c r="A929" s="151" t="s">
        <v>5198</v>
      </c>
      <c r="B929" s="151" t="s">
        <v>5199</v>
      </c>
      <c r="C929" s="151" t="s">
        <v>5200</v>
      </c>
      <c r="D929" s="151" t="s">
        <v>17</v>
      </c>
      <c r="E929" s="151" t="s">
        <v>5201</v>
      </c>
      <c r="F929" s="151" t="s">
        <v>2527</v>
      </c>
      <c r="G929" s="151" t="s">
        <v>2173</v>
      </c>
      <c r="H929" s="151" t="s">
        <v>1183</v>
      </c>
      <c r="I929" s="151" t="s">
        <v>1184</v>
      </c>
      <c r="J929" s="151" t="s">
        <v>5202</v>
      </c>
      <c r="K929" s="151" t="s">
        <v>3701</v>
      </c>
      <c r="L929" s="151" t="s">
        <v>3675</v>
      </c>
      <c r="M929" s="151" t="s">
        <v>361</v>
      </c>
      <c r="N929" s="341" t="s">
        <v>5203</v>
      </c>
      <c r="O929" s="151">
        <v>6291464</v>
      </c>
      <c r="P929" s="151"/>
      <c r="Q929" s="151"/>
      <c r="R929" s="151" t="s">
        <v>2177</v>
      </c>
      <c r="S929" s="151" t="s">
        <v>361</v>
      </c>
      <c r="T929" s="151" t="s">
        <v>5204</v>
      </c>
      <c r="U929" s="151" t="s">
        <v>2885</v>
      </c>
      <c r="V929" s="151">
        <v>3</v>
      </c>
      <c r="W929" s="151" t="s">
        <v>2885</v>
      </c>
      <c r="X929" s="151" t="s">
        <v>2445</v>
      </c>
      <c r="Y929" s="151" t="s">
        <v>2885</v>
      </c>
      <c r="Z929" s="151"/>
      <c r="AA929" s="151"/>
      <c r="AB929" s="151" t="s">
        <v>5205</v>
      </c>
      <c r="AC929" s="342"/>
    </row>
    <row r="930" spans="1:29" ht="120">
      <c r="A930" s="151" t="s">
        <v>5198</v>
      </c>
      <c r="B930" s="151" t="s">
        <v>5206</v>
      </c>
      <c r="C930" s="151" t="s">
        <v>5200</v>
      </c>
      <c r="D930" s="151" t="s">
        <v>17</v>
      </c>
      <c r="E930" s="151" t="s">
        <v>5207</v>
      </c>
      <c r="F930" s="151" t="s">
        <v>2527</v>
      </c>
      <c r="G930" s="151" t="s">
        <v>2173</v>
      </c>
      <c r="H930" s="151" t="s">
        <v>1183</v>
      </c>
      <c r="I930" s="151" t="s">
        <v>1184</v>
      </c>
      <c r="J930" s="151" t="s">
        <v>809</v>
      </c>
      <c r="K930" s="151" t="s">
        <v>3682</v>
      </c>
      <c r="L930" s="151" t="s">
        <v>3675</v>
      </c>
      <c r="M930" s="151" t="s">
        <v>361</v>
      </c>
      <c r="N930" s="341" t="s">
        <v>5208</v>
      </c>
      <c r="O930" s="151">
        <v>6291464</v>
      </c>
      <c r="P930" s="151"/>
      <c r="Q930" s="151"/>
      <c r="R930" s="151" t="s">
        <v>2177</v>
      </c>
      <c r="S930" s="151" t="s">
        <v>361</v>
      </c>
      <c r="T930" s="151" t="s">
        <v>435</v>
      </c>
      <c r="U930" s="151" t="s">
        <v>2885</v>
      </c>
      <c r="V930" s="151" t="s">
        <v>49</v>
      </c>
      <c r="W930" s="151" t="s">
        <v>2885</v>
      </c>
      <c r="X930" s="151" t="s">
        <v>431</v>
      </c>
      <c r="Y930" s="151" t="s">
        <v>2885</v>
      </c>
      <c r="Z930" s="151"/>
      <c r="AA930" s="151"/>
      <c r="AB930" s="151" t="s">
        <v>855</v>
      </c>
      <c r="AC930" s="342"/>
    </row>
    <row r="931" spans="1:29" ht="120">
      <c r="A931" s="151" t="s">
        <v>5198</v>
      </c>
      <c r="B931" s="151" t="s">
        <v>5209</v>
      </c>
      <c r="C931" s="151" t="s">
        <v>5200</v>
      </c>
      <c r="D931" s="151" t="s">
        <v>17</v>
      </c>
      <c r="E931" s="151" t="s">
        <v>5210</v>
      </c>
      <c r="F931" s="151" t="s">
        <v>2527</v>
      </c>
      <c r="G931" s="151" t="s">
        <v>2173</v>
      </c>
      <c r="H931" s="151" t="s">
        <v>1183</v>
      </c>
      <c r="I931" s="151" t="s">
        <v>1184</v>
      </c>
      <c r="J931" s="151" t="s">
        <v>809</v>
      </c>
      <c r="K931" s="151" t="s">
        <v>3685</v>
      </c>
      <c r="L931" s="151" t="s">
        <v>3675</v>
      </c>
      <c r="M931" s="151" t="s">
        <v>361</v>
      </c>
      <c r="N931" s="341" t="s">
        <v>5211</v>
      </c>
      <c r="O931" s="151">
        <v>6291464</v>
      </c>
      <c r="P931" s="151"/>
      <c r="Q931" s="151"/>
      <c r="R931" s="151" t="s">
        <v>2177</v>
      </c>
      <c r="S931" s="151" t="s">
        <v>361</v>
      </c>
      <c r="T931" s="151" t="s">
        <v>435</v>
      </c>
      <c r="U931" s="151" t="s">
        <v>2885</v>
      </c>
      <c r="V931" s="151" t="s">
        <v>49</v>
      </c>
      <c r="W931" s="151" t="s">
        <v>2885</v>
      </c>
      <c r="X931" s="151" t="s">
        <v>431</v>
      </c>
      <c r="Y931" s="151" t="s">
        <v>2885</v>
      </c>
      <c r="Z931" s="151"/>
      <c r="AA931" s="151"/>
      <c r="AB931" s="151" t="s">
        <v>855</v>
      </c>
      <c r="AC931" s="342"/>
    </row>
    <row r="932" spans="1:29" ht="240">
      <c r="A932" s="151" t="s">
        <v>5198</v>
      </c>
      <c r="B932" s="151" t="s">
        <v>3729</v>
      </c>
      <c r="C932" s="151" t="s">
        <v>5200</v>
      </c>
      <c r="D932" s="151" t="s">
        <v>17</v>
      </c>
      <c r="E932" s="151" t="s">
        <v>5212</v>
      </c>
      <c r="F932" s="151" t="s">
        <v>2527</v>
      </c>
      <c r="G932" s="151" t="s">
        <v>2173</v>
      </c>
      <c r="H932" s="151" t="s">
        <v>1183</v>
      </c>
      <c r="I932" s="151" t="s">
        <v>1184</v>
      </c>
      <c r="J932" s="151" t="s">
        <v>5213</v>
      </c>
      <c r="K932" s="151" t="s">
        <v>5214</v>
      </c>
      <c r="L932" s="341" t="s">
        <v>5215</v>
      </c>
      <c r="M932" s="341" t="s">
        <v>5216</v>
      </c>
      <c r="N932" s="341" t="s">
        <v>5217</v>
      </c>
      <c r="O932" s="341" t="s">
        <v>5218</v>
      </c>
      <c r="P932" s="151" t="s">
        <v>5219</v>
      </c>
      <c r="Q932" s="151"/>
      <c r="R932" s="151" t="s">
        <v>2177</v>
      </c>
      <c r="S932" s="151" t="s">
        <v>361</v>
      </c>
      <c r="T932" s="151" t="s">
        <v>2213</v>
      </c>
      <c r="U932" s="151" t="s">
        <v>3582</v>
      </c>
      <c r="V932" s="151">
        <v>5</v>
      </c>
      <c r="W932" s="151" t="s">
        <v>4380</v>
      </c>
      <c r="X932" s="151"/>
      <c r="Y932" s="151"/>
      <c r="Z932" s="151"/>
      <c r="AA932" s="151"/>
      <c r="AB932" s="151" t="s">
        <v>855</v>
      </c>
      <c r="AC932" s="342"/>
    </row>
    <row r="933" spans="1:29" ht="105">
      <c r="A933" s="151" t="s">
        <v>5198</v>
      </c>
      <c r="B933" s="151" t="s">
        <v>5220</v>
      </c>
      <c r="C933" s="151" t="s">
        <v>5200</v>
      </c>
      <c r="D933" s="151" t="s">
        <v>17</v>
      </c>
      <c r="E933" s="151" t="s">
        <v>5221</v>
      </c>
      <c r="F933" s="151" t="s">
        <v>2527</v>
      </c>
      <c r="G933" s="151" t="s">
        <v>2173</v>
      </c>
      <c r="H933" s="151" t="s">
        <v>1183</v>
      </c>
      <c r="I933" s="151" t="s">
        <v>1184</v>
      </c>
      <c r="J933" s="151" t="s">
        <v>803</v>
      </c>
      <c r="K933" s="151" t="s">
        <v>5222</v>
      </c>
      <c r="L933" s="151" t="s">
        <v>3648</v>
      </c>
      <c r="M933" s="151" t="s">
        <v>361</v>
      </c>
      <c r="N933" s="341" t="s">
        <v>5223</v>
      </c>
      <c r="O933" s="151">
        <v>2212920</v>
      </c>
      <c r="P933" s="151"/>
      <c r="Q933" s="151"/>
      <c r="R933" s="151" t="s">
        <v>2177</v>
      </c>
      <c r="S933" s="151" t="s">
        <v>361</v>
      </c>
      <c r="T933" s="151" t="s">
        <v>2213</v>
      </c>
      <c r="U933" s="151" t="s">
        <v>2885</v>
      </c>
      <c r="V933" s="151">
        <v>10</v>
      </c>
      <c r="W933" s="151" t="s">
        <v>2885</v>
      </c>
      <c r="X933" s="151" t="s">
        <v>2445</v>
      </c>
      <c r="Y933" s="151" t="s">
        <v>2885</v>
      </c>
      <c r="Z933" s="151"/>
      <c r="AA933" s="151"/>
      <c r="AB933" s="151" t="s">
        <v>855</v>
      </c>
      <c r="AC933" s="342"/>
    </row>
    <row r="934" spans="1:29" ht="120">
      <c r="A934" s="151" t="s">
        <v>5198</v>
      </c>
      <c r="B934" s="151" t="s">
        <v>5224</v>
      </c>
      <c r="C934" s="151" t="s">
        <v>5200</v>
      </c>
      <c r="D934" s="151" t="s">
        <v>17</v>
      </c>
      <c r="E934" s="151" t="s">
        <v>5225</v>
      </c>
      <c r="F934" s="151" t="s">
        <v>2527</v>
      </c>
      <c r="G934" s="151" t="s">
        <v>2173</v>
      </c>
      <c r="H934" s="151" t="s">
        <v>1183</v>
      </c>
      <c r="I934" s="151" t="s">
        <v>1184</v>
      </c>
      <c r="J934" s="151" t="s">
        <v>809</v>
      </c>
      <c r="K934" s="151" t="s">
        <v>5226</v>
      </c>
      <c r="L934" s="151" t="s">
        <v>3675</v>
      </c>
      <c r="M934" s="151" t="s">
        <v>361</v>
      </c>
      <c r="N934" s="341" t="s">
        <v>5227</v>
      </c>
      <c r="O934" s="151">
        <v>6291464</v>
      </c>
      <c r="P934" s="151"/>
      <c r="Q934" s="151"/>
      <c r="R934" s="151" t="s">
        <v>2177</v>
      </c>
      <c r="S934" s="151" t="s">
        <v>361</v>
      </c>
      <c r="T934" s="151" t="s">
        <v>2213</v>
      </c>
      <c r="U934" s="151" t="s">
        <v>5228</v>
      </c>
      <c r="V934" s="151">
        <v>3</v>
      </c>
      <c r="W934" s="151" t="s">
        <v>5228</v>
      </c>
      <c r="X934" s="151" t="s">
        <v>2445</v>
      </c>
      <c r="Y934" s="151" t="s">
        <v>5228</v>
      </c>
      <c r="Z934" s="151"/>
      <c r="AA934" s="151"/>
      <c r="AB934" s="151" t="s">
        <v>855</v>
      </c>
      <c r="AC934" s="342"/>
    </row>
    <row r="935" spans="1:29" ht="120">
      <c r="A935" s="151" t="s">
        <v>5198</v>
      </c>
      <c r="B935" s="449" t="s">
        <v>3616</v>
      </c>
      <c r="C935" s="151" t="s">
        <v>341</v>
      </c>
      <c r="D935" s="151" t="s">
        <v>17</v>
      </c>
      <c r="E935" s="151" t="s">
        <v>5229</v>
      </c>
      <c r="F935" s="151" t="s">
        <v>2527</v>
      </c>
      <c r="G935" s="151" t="s">
        <v>2173</v>
      </c>
      <c r="H935" s="151" t="s">
        <v>1183</v>
      </c>
      <c r="I935" s="151" t="s">
        <v>1184</v>
      </c>
      <c r="J935" s="429" t="s">
        <v>5230</v>
      </c>
      <c r="K935" s="151" t="s">
        <v>5231</v>
      </c>
      <c r="L935" s="151" t="s">
        <v>5232</v>
      </c>
      <c r="M935" s="151" t="s">
        <v>361</v>
      </c>
      <c r="N935" s="341" t="s">
        <v>5233</v>
      </c>
      <c r="O935" s="151">
        <v>2212881</v>
      </c>
      <c r="P935" s="151"/>
      <c r="Q935" s="151"/>
      <c r="R935" s="151" t="s">
        <v>2177</v>
      </c>
      <c r="S935" s="151" t="s">
        <v>361</v>
      </c>
      <c r="T935" s="151" t="s">
        <v>435</v>
      </c>
      <c r="U935" s="151" t="s">
        <v>3582</v>
      </c>
      <c r="V935" s="151" t="s">
        <v>49</v>
      </c>
      <c r="W935" s="151" t="s">
        <v>2250</v>
      </c>
      <c r="X935" s="151" t="s">
        <v>49</v>
      </c>
      <c r="Y935" s="151" t="s">
        <v>3582</v>
      </c>
      <c r="Z935" s="151"/>
      <c r="AA935" s="151"/>
      <c r="AB935" s="151" t="s">
        <v>855</v>
      </c>
      <c r="AC935" s="342"/>
    </row>
    <row r="936" spans="1:29" ht="75">
      <c r="A936" s="151" t="s">
        <v>5198</v>
      </c>
      <c r="B936" s="151" t="s">
        <v>3626</v>
      </c>
      <c r="C936" s="151" t="s">
        <v>341</v>
      </c>
      <c r="D936" s="151" t="s">
        <v>17</v>
      </c>
      <c r="E936" s="151" t="s">
        <v>5234</v>
      </c>
      <c r="F936" s="151" t="s">
        <v>2527</v>
      </c>
      <c r="G936" s="151" t="s">
        <v>2173</v>
      </c>
      <c r="H936" s="151" t="s">
        <v>1183</v>
      </c>
      <c r="I936" s="151" t="s">
        <v>1184</v>
      </c>
      <c r="J936" s="151" t="s">
        <v>806</v>
      </c>
      <c r="K936" s="151" t="s">
        <v>3628</v>
      </c>
      <c r="L936" s="151" t="s">
        <v>5235</v>
      </c>
      <c r="M936" s="151" t="s">
        <v>361</v>
      </c>
      <c r="N936" s="341" t="s">
        <v>5236</v>
      </c>
      <c r="O936" s="151">
        <v>2212881</v>
      </c>
      <c r="P936" s="151"/>
      <c r="Q936" s="151"/>
      <c r="R936" s="151" t="s">
        <v>2177</v>
      </c>
      <c r="S936" s="151" t="s">
        <v>361</v>
      </c>
      <c r="T936" s="151" t="s">
        <v>2213</v>
      </c>
      <c r="U936" s="151" t="s">
        <v>3582</v>
      </c>
      <c r="V936" s="151">
        <v>10</v>
      </c>
      <c r="W936" s="151" t="s">
        <v>4380</v>
      </c>
      <c r="X936" s="151" t="s">
        <v>2445</v>
      </c>
      <c r="Y936" s="151" t="s">
        <v>3582</v>
      </c>
      <c r="Z936" s="151"/>
      <c r="AA936" s="151"/>
      <c r="AB936" s="151" t="s">
        <v>855</v>
      </c>
      <c r="AC936" s="342"/>
    </row>
    <row r="937" spans="1:29" ht="120">
      <c r="A937" s="151" t="s">
        <v>5198</v>
      </c>
      <c r="B937" s="151" t="s">
        <v>5237</v>
      </c>
      <c r="C937" s="151" t="s">
        <v>5200</v>
      </c>
      <c r="D937" s="151" t="s">
        <v>17</v>
      </c>
      <c r="E937" s="151" t="s">
        <v>5238</v>
      </c>
      <c r="F937" s="151" t="s">
        <v>2527</v>
      </c>
      <c r="G937" s="151" t="s">
        <v>2173</v>
      </c>
      <c r="H937" s="151" t="s">
        <v>1183</v>
      </c>
      <c r="I937" s="151" t="s">
        <v>1184</v>
      </c>
      <c r="J937" s="151" t="s">
        <v>809</v>
      </c>
      <c r="K937" s="151" t="s">
        <v>5239</v>
      </c>
      <c r="L937" s="151" t="s">
        <v>3675</v>
      </c>
      <c r="M937" s="151" t="s">
        <v>361</v>
      </c>
      <c r="N937" s="341" t="s">
        <v>5240</v>
      </c>
      <c r="O937" s="151">
        <v>6291464</v>
      </c>
      <c r="P937" s="151"/>
      <c r="Q937" s="151"/>
      <c r="R937" s="151" t="s">
        <v>2177</v>
      </c>
      <c r="S937" s="151" t="s">
        <v>361</v>
      </c>
      <c r="T937" s="151" t="s">
        <v>2213</v>
      </c>
      <c r="U937" s="151" t="s">
        <v>5241</v>
      </c>
      <c r="V937" s="151">
        <v>10</v>
      </c>
      <c r="W937" s="151" t="s">
        <v>5242</v>
      </c>
      <c r="X937" s="151" t="s">
        <v>2445</v>
      </c>
      <c r="Y937" s="151" t="s">
        <v>3629</v>
      </c>
      <c r="Z937" s="151"/>
      <c r="AA937" s="151"/>
      <c r="AB937" s="151" t="s">
        <v>855</v>
      </c>
      <c r="AC937" s="342"/>
    </row>
    <row r="938" spans="1:29" ht="120">
      <c r="A938" s="151" t="s">
        <v>5198</v>
      </c>
      <c r="B938" s="151" t="s">
        <v>5243</v>
      </c>
      <c r="C938" s="151" t="s">
        <v>5200</v>
      </c>
      <c r="D938" s="151" t="s">
        <v>17</v>
      </c>
      <c r="E938" s="151" t="s">
        <v>5244</v>
      </c>
      <c r="F938" s="151" t="s">
        <v>2527</v>
      </c>
      <c r="G938" s="151" t="s">
        <v>2173</v>
      </c>
      <c r="H938" s="151" t="s">
        <v>1183</v>
      </c>
      <c r="I938" s="151" t="s">
        <v>1184</v>
      </c>
      <c r="J938" s="151" t="s">
        <v>5245</v>
      </c>
      <c r="K938" s="151" t="s">
        <v>5246</v>
      </c>
      <c r="L938" s="151" t="s">
        <v>5247</v>
      </c>
      <c r="M938" s="151" t="s">
        <v>361</v>
      </c>
      <c r="N938" s="341" t="s">
        <v>5248</v>
      </c>
      <c r="O938" s="151">
        <v>109075</v>
      </c>
      <c r="P938" s="151"/>
      <c r="Q938" s="151"/>
      <c r="R938" s="151" t="s">
        <v>2177</v>
      </c>
      <c r="S938" s="151" t="s">
        <v>361</v>
      </c>
      <c r="T938" s="151" t="s">
        <v>2213</v>
      </c>
      <c r="U938" s="151" t="s">
        <v>3582</v>
      </c>
      <c r="V938" s="151">
        <v>4</v>
      </c>
      <c r="W938" s="151" t="s">
        <v>4380</v>
      </c>
      <c r="X938" s="151" t="s">
        <v>2445</v>
      </c>
      <c r="Y938" s="151" t="s">
        <v>3582</v>
      </c>
      <c r="Z938" s="151"/>
      <c r="AA938" s="151"/>
      <c r="AB938" s="151" t="s">
        <v>855</v>
      </c>
      <c r="AC938" s="342"/>
    </row>
    <row r="939" spans="1:29" ht="135">
      <c r="A939" s="151" t="s">
        <v>5198</v>
      </c>
      <c r="B939" s="151" t="s">
        <v>5249</v>
      </c>
      <c r="C939" s="151" t="s">
        <v>5200</v>
      </c>
      <c r="D939" s="151" t="s">
        <v>17</v>
      </c>
      <c r="E939" s="151" t="s">
        <v>5250</v>
      </c>
      <c r="F939" s="151" t="s">
        <v>2527</v>
      </c>
      <c r="G939" s="151" t="s">
        <v>2173</v>
      </c>
      <c r="H939" s="151" t="s">
        <v>1183</v>
      </c>
      <c r="I939" s="151" t="s">
        <v>1184</v>
      </c>
      <c r="J939" s="151" t="s">
        <v>5245</v>
      </c>
      <c r="K939" s="151" t="s">
        <v>5251</v>
      </c>
      <c r="L939" s="151" t="s">
        <v>5247</v>
      </c>
      <c r="M939" s="151" t="s">
        <v>361</v>
      </c>
      <c r="N939" s="341" t="s">
        <v>5252</v>
      </c>
      <c r="O939" s="151">
        <v>109075</v>
      </c>
      <c r="P939" s="151"/>
      <c r="Q939" s="151"/>
      <c r="R939" s="151" t="s">
        <v>2177</v>
      </c>
      <c r="S939" s="151" t="s">
        <v>361</v>
      </c>
      <c r="T939" s="151" t="s">
        <v>2213</v>
      </c>
      <c r="U939" s="151" t="s">
        <v>2885</v>
      </c>
      <c r="V939" s="151">
        <v>4</v>
      </c>
      <c r="W939" s="151" t="s">
        <v>2885</v>
      </c>
      <c r="X939" s="151" t="s">
        <v>2445</v>
      </c>
      <c r="Y939" s="151" t="s">
        <v>2885</v>
      </c>
      <c r="Z939" s="151"/>
      <c r="AA939" s="151"/>
      <c r="AB939" s="151" t="s">
        <v>855</v>
      </c>
      <c r="AC939" s="342"/>
    </row>
    <row r="940" spans="1:29" ht="105">
      <c r="A940" s="151" t="s">
        <v>5198</v>
      </c>
      <c r="B940" s="151" t="s">
        <v>5253</v>
      </c>
      <c r="C940" s="151" t="s">
        <v>5200</v>
      </c>
      <c r="D940" s="151" t="s">
        <v>17</v>
      </c>
      <c r="E940" s="151" t="s">
        <v>5254</v>
      </c>
      <c r="F940" s="151" t="s">
        <v>2527</v>
      </c>
      <c r="G940" s="151" t="s">
        <v>2173</v>
      </c>
      <c r="H940" s="151" t="s">
        <v>1183</v>
      </c>
      <c r="I940" s="151" t="s">
        <v>1184</v>
      </c>
      <c r="J940" s="151" t="s">
        <v>807</v>
      </c>
      <c r="K940" s="151" t="s">
        <v>5255</v>
      </c>
      <c r="L940" s="151" t="s">
        <v>3622</v>
      </c>
      <c r="M940" s="151" t="s">
        <v>361</v>
      </c>
      <c r="N940" s="341" t="s">
        <v>5256</v>
      </c>
      <c r="O940" s="151">
        <v>2212920</v>
      </c>
      <c r="P940" s="151"/>
      <c r="Q940" s="151"/>
      <c r="R940" s="151" t="s">
        <v>2177</v>
      </c>
      <c r="S940" s="151" t="s">
        <v>361</v>
      </c>
      <c r="T940" s="151" t="s">
        <v>2213</v>
      </c>
      <c r="U940" s="151" t="s">
        <v>3608</v>
      </c>
      <c r="V940" s="151">
        <v>4</v>
      </c>
      <c r="W940" s="151">
        <v>1</v>
      </c>
      <c r="X940" s="151" t="s">
        <v>2445</v>
      </c>
      <c r="Y940" s="151" t="s">
        <v>3608</v>
      </c>
      <c r="Z940" s="151"/>
      <c r="AA940" s="151"/>
      <c r="AB940" s="151" t="s">
        <v>855</v>
      </c>
      <c r="AC940" s="342"/>
    </row>
    <row r="941" spans="1:29" ht="75">
      <c r="A941" s="151" t="s">
        <v>5198</v>
      </c>
      <c r="B941" s="151" t="s">
        <v>2669</v>
      </c>
      <c r="C941" s="151" t="s">
        <v>341</v>
      </c>
      <c r="D941" s="151" t="s">
        <v>17</v>
      </c>
      <c r="E941" s="151" t="s">
        <v>5257</v>
      </c>
      <c r="F941" s="151" t="s">
        <v>2527</v>
      </c>
      <c r="G941" s="151" t="s">
        <v>2173</v>
      </c>
      <c r="H941" s="151" t="s">
        <v>1183</v>
      </c>
      <c r="I941" s="151" t="s">
        <v>1184</v>
      </c>
      <c r="J941" s="151" t="s">
        <v>806</v>
      </c>
      <c r="K941" s="151" t="s">
        <v>3614</v>
      </c>
      <c r="L941" s="341" t="s">
        <v>5258</v>
      </c>
      <c r="M941" s="151" t="s">
        <v>361</v>
      </c>
      <c r="N941" s="341" t="s">
        <v>5259</v>
      </c>
      <c r="O941" s="151">
        <v>2212881</v>
      </c>
      <c r="P941" s="151"/>
      <c r="Q941" s="151"/>
      <c r="R941" s="151" t="s">
        <v>2177</v>
      </c>
      <c r="S941" s="151" t="s">
        <v>361</v>
      </c>
      <c r="T941" s="151" t="s">
        <v>2213</v>
      </c>
      <c r="U941" s="151" t="s">
        <v>3582</v>
      </c>
      <c r="V941" s="151">
        <v>4</v>
      </c>
      <c r="W941" s="151" t="s">
        <v>4338</v>
      </c>
      <c r="X941" s="151" t="s">
        <v>2445</v>
      </c>
      <c r="Y941" s="151" t="s">
        <v>3582</v>
      </c>
      <c r="Z941" s="151"/>
      <c r="AA941" s="151"/>
      <c r="AB941" s="151" t="s">
        <v>855</v>
      </c>
      <c r="AC941" s="342"/>
    </row>
    <row r="942" spans="1:29" ht="90">
      <c r="A942" s="151" t="s">
        <v>5198</v>
      </c>
      <c r="B942" s="151" t="s">
        <v>4066</v>
      </c>
      <c r="C942" s="151" t="s">
        <v>341</v>
      </c>
      <c r="D942" s="151" t="s">
        <v>17</v>
      </c>
      <c r="E942" s="151" t="s">
        <v>5260</v>
      </c>
      <c r="F942" s="151" t="s">
        <v>2527</v>
      </c>
      <c r="G942" s="151" t="s">
        <v>2173</v>
      </c>
      <c r="H942" s="151" t="s">
        <v>1183</v>
      </c>
      <c r="I942" s="151" t="s">
        <v>1184</v>
      </c>
      <c r="J942" s="151" t="s">
        <v>5261</v>
      </c>
      <c r="K942" s="151" t="s">
        <v>5262</v>
      </c>
      <c r="L942" s="151" t="s">
        <v>5263</v>
      </c>
      <c r="M942" s="151" t="s">
        <v>361</v>
      </c>
      <c r="N942" s="341" t="s">
        <v>5264</v>
      </c>
      <c r="O942" s="151">
        <v>46120</v>
      </c>
      <c r="P942" s="151"/>
      <c r="Q942" s="151"/>
      <c r="R942" s="151" t="s">
        <v>2177</v>
      </c>
      <c r="S942" s="151" t="s">
        <v>361</v>
      </c>
      <c r="T942" s="151" t="s">
        <v>2213</v>
      </c>
      <c r="U942" s="151" t="s">
        <v>5241</v>
      </c>
      <c r="V942" s="151">
        <v>10</v>
      </c>
      <c r="W942" s="151" t="s">
        <v>5242</v>
      </c>
      <c r="X942" s="151" t="s">
        <v>2445</v>
      </c>
      <c r="Y942" s="151" t="s">
        <v>3629</v>
      </c>
      <c r="Z942" s="151"/>
      <c r="AA942" s="151"/>
      <c r="AB942" s="151" t="s">
        <v>855</v>
      </c>
      <c r="AC942" s="342"/>
    </row>
    <row r="943" spans="1:29" ht="75">
      <c r="A943" s="151" t="s">
        <v>5198</v>
      </c>
      <c r="B943" s="449" t="s">
        <v>5265</v>
      </c>
      <c r="C943" s="151" t="s">
        <v>341</v>
      </c>
      <c r="D943" s="151" t="s">
        <v>17</v>
      </c>
      <c r="E943" s="151" t="s">
        <v>5266</v>
      </c>
      <c r="F943" s="151" t="s">
        <v>2527</v>
      </c>
      <c r="G943" s="151" t="s">
        <v>2173</v>
      </c>
      <c r="H943" s="151" t="s">
        <v>1183</v>
      </c>
      <c r="I943" s="151" t="s">
        <v>1184</v>
      </c>
      <c r="J943" s="151" t="s">
        <v>806</v>
      </c>
      <c r="K943" s="151" t="s">
        <v>1830</v>
      </c>
      <c r="L943" s="151" t="s">
        <v>3596</v>
      </c>
      <c r="M943" s="151" t="s">
        <v>361</v>
      </c>
      <c r="N943" s="341" t="s">
        <v>5267</v>
      </c>
      <c r="O943" s="151">
        <v>2212881</v>
      </c>
      <c r="P943" s="151"/>
      <c r="Q943" s="151"/>
      <c r="R943" s="151" t="s">
        <v>2177</v>
      </c>
      <c r="S943" s="151" t="s">
        <v>361</v>
      </c>
      <c r="T943" s="151" t="s">
        <v>2213</v>
      </c>
      <c r="U943" s="151" t="s">
        <v>3582</v>
      </c>
      <c r="V943" s="151">
        <v>28</v>
      </c>
      <c r="W943" s="151" t="s">
        <v>4276</v>
      </c>
      <c r="X943" s="151" t="s">
        <v>2445</v>
      </c>
      <c r="Y943" s="151" t="s">
        <v>3582</v>
      </c>
      <c r="Z943" s="151"/>
      <c r="AA943" s="151"/>
      <c r="AB943" s="151" t="s">
        <v>855</v>
      </c>
      <c r="AC943" s="342"/>
    </row>
    <row r="944" spans="1:29" ht="90">
      <c r="A944" s="151" t="s">
        <v>5198</v>
      </c>
      <c r="B944" s="151" t="s">
        <v>5268</v>
      </c>
      <c r="C944" s="151" t="s">
        <v>5269</v>
      </c>
      <c r="D944" s="151" t="s">
        <v>17</v>
      </c>
      <c r="E944" s="151" t="s">
        <v>5270</v>
      </c>
      <c r="F944" s="151" t="s">
        <v>2527</v>
      </c>
      <c r="G944" s="151" t="s">
        <v>2173</v>
      </c>
      <c r="H944" s="151" t="s">
        <v>1183</v>
      </c>
      <c r="I944" s="151" t="s">
        <v>1184</v>
      </c>
      <c r="J944" s="151" t="s">
        <v>5271</v>
      </c>
      <c r="K944" s="151" t="s">
        <v>5272</v>
      </c>
      <c r="L944" s="151" t="s">
        <v>5273</v>
      </c>
      <c r="M944" s="151" t="s">
        <v>361</v>
      </c>
      <c r="N944" s="341" t="s">
        <v>5274</v>
      </c>
      <c r="O944" s="151">
        <v>1064184</v>
      </c>
      <c r="P944" s="151"/>
      <c r="Q944" s="151"/>
      <c r="R944" s="151" t="s">
        <v>2177</v>
      </c>
      <c r="S944" s="151" t="s">
        <v>361</v>
      </c>
      <c r="T944" s="151" t="s">
        <v>2213</v>
      </c>
      <c r="U944" s="151" t="s">
        <v>2885</v>
      </c>
      <c r="V944" s="151">
        <v>12</v>
      </c>
      <c r="W944" s="151" t="s">
        <v>2885</v>
      </c>
      <c r="X944" s="151" t="s">
        <v>2445</v>
      </c>
      <c r="Y944" s="151" t="s">
        <v>2885</v>
      </c>
      <c r="Z944" s="151"/>
      <c r="AA944" s="151"/>
      <c r="AB944" s="151" t="s">
        <v>855</v>
      </c>
      <c r="AC944" s="342"/>
    </row>
    <row r="945" spans="1:29" ht="90">
      <c r="A945" s="151" t="s">
        <v>5198</v>
      </c>
      <c r="B945" s="151" t="s">
        <v>5275</v>
      </c>
      <c r="C945" s="151" t="s">
        <v>5269</v>
      </c>
      <c r="D945" s="151" t="s">
        <v>17</v>
      </c>
      <c r="E945" s="151" t="s">
        <v>5276</v>
      </c>
      <c r="F945" s="151" t="s">
        <v>2527</v>
      </c>
      <c r="G945" s="151" t="s">
        <v>2173</v>
      </c>
      <c r="H945" s="151" t="s">
        <v>1183</v>
      </c>
      <c r="I945" s="151" t="s">
        <v>1184</v>
      </c>
      <c r="J945" s="151" t="s">
        <v>5271</v>
      </c>
      <c r="K945" s="151" t="s">
        <v>5073</v>
      </c>
      <c r="L945" s="151" t="s">
        <v>5277</v>
      </c>
      <c r="M945" s="151" t="s">
        <v>361</v>
      </c>
      <c r="N945" s="341" t="s">
        <v>5278</v>
      </c>
      <c r="O945" s="151">
        <v>1064184</v>
      </c>
      <c r="P945" s="151"/>
      <c r="Q945" s="151"/>
      <c r="R945" s="151" t="s">
        <v>2177</v>
      </c>
      <c r="S945" s="151" t="s">
        <v>361</v>
      </c>
      <c r="T945" s="151" t="s">
        <v>2213</v>
      </c>
      <c r="U945" s="151" t="s">
        <v>2885</v>
      </c>
      <c r="V945" s="151">
        <v>12</v>
      </c>
      <c r="W945" s="151" t="s">
        <v>2885</v>
      </c>
      <c r="X945" s="151" t="s">
        <v>2445</v>
      </c>
      <c r="Y945" s="151" t="s">
        <v>2885</v>
      </c>
      <c r="Z945" s="151"/>
      <c r="AA945" s="151"/>
      <c r="AB945" s="151" t="s">
        <v>855</v>
      </c>
      <c r="AC945" s="342"/>
    </row>
    <row r="946" spans="1:29">
      <c r="A946" s="151" t="s">
        <v>5198</v>
      </c>
      <c r="B946" s="151" t="s">
        <v>5279</v>
      </c>
      <c r="C946" s="151" t="s">
        <v>5269</v>
      </c>
      <c r="D946" s="151" t="s">
        <v>17</v>
      </c>
      <c r="E946" s="151" t="s">
        <v>5280</v>
      </c>
      <c r="F946" s="151" t="s">
        <v>2527</v>
      </c>
      <c r="G946" s="151" t="s">
        <v>3656</v>
      </c>
      <c r="H946" s="151" t="s">
        <v>361</v>
      </c>
      <c r="I946" s="151" t="s">
        <v>1184</v>
      </c>
      <c r="J946" s="151" t="s">
        <v>361</v>
      </c>
      <c r="K946" s="151" t="s">
        <v>361</v>
      </c>
      <c r="L946" s="151" t="s">
        <v>361</v>
      </c>
      <c r="M946" s="151" t="s">
        <v>361</v>
      </c>
      <c r="N946" s="151"/>
      <c r="O946" s="151"/>
      <c r="P946" s="151"/>
      <c r="Q946" s="151"/>
      <c r="R946" s="151" t="s">
        <v>2550</v>
      </c>
      <c r="S946" s="151" t="s">
        <v>5281</v>
      </c>
      <c r="T946" s="151"/>
      <c r="U946" s="151"/>
      <c r="V946" s="151"/>
      <c r="W946" s="151"/>
      <c r="X946" s="151"/>
      <c r="Y946" s="151"/>
      <c r="Z946" s="151"/>
      <c r="AA946" s="151"/>
      <c r="AB946" s="151"/>
      <c r="AC946" s="342"/>
    </row>
    <row r="947" spans="1:29" ht="135">
      <c r="A947" s="151" t="s">
        <v>5198</v>
      </c>
      <c r="B947" s="151" t="s">
        <v>159</v>
      </c>
      <c r="C947" s="151" t="s">
        <v>341</v>
      </c>
      <c r="D947" s="151" t="s">
        <v>17</v>
      </c>
      <c r="E947" s="151" t="s">
        <v>5282</v>
      </c>
      <c r="F947" s="151" t="s">
        <v>2527</v>
      </c>
      <c r="G947" s="151" t="s">
        <v>2173</v>
      </c>
      <c r="H947" s="151" t="s">
        <v>5283</v>
      </c>
      <c r="I947" s="151" t="s">
        <v>1184</v>
      </c>
      <c r="J947" s="151" t="s">
        <v>1377</v>
      </c>
      <c r="K947" s="151" t="s">
        <v>2307</v>
      </c>
      <c r="L947" s="151" t="s">
        <v>2175</v>
      </c>
      <c r="M947" s="341" t="s">
        <v>5284</v>
      </c>
      <c r="N947" s="151" t="s">
        <v>5285</v>
      </c>
      <c r="P947" s="151"/>
      <c r="Q947" s="151"/>
      <c r="R947" s="151" t="s">
        <v>2177</v>
      </c>
      <c r="S947" s="341" t="s">
        <v>5284</v>
      </c>
      <c r="T947" s="151"/>
      <c r="U947" s="151"/>
      <c r="V947" s="151"/>
      <c r="W947" s="151"/>
      <c r="X947" s="151"/>
      <c r="Y947" s="151"/>
      <c r="Z947" s="151"/>
      <c r="AA947" s="151"/>
      <c r="AB947" s="151"/>
      <c r="AC947" s="342"/>
    </row>
    <row r="948" spans="1:29">
      <c r="A948" s="151" t="s">
        <v>5198</v>
      </c>
      <c r="B948" s="151" t="s">
        <v>4356</v>
      </c>
      <c r="C948" s="151" t="s">
        <v>5286</v>
      </c>
      <c r="D948" s="151" t="s">
        <v>17</v>
      </c>
      <c r="E948" s="151" t="s">
        <v>5287</v>
      </c>
      <c r="F948" s="151" t="s">
        <v>2527</v>
      </c>
      <c r="G948" s="151" t="s">
        <v>2173</v>
      </c>
      <c r="H948" s="151" t="s">
        <v>1183</v>
      </c>
      <c r="I948" s="151" t="s">
        <v>1184</v>
      </c>
      <c r="J948" s="151" t="s">
        <v>806</v>
      </c>
      <c r="K948" s="151" t="s">
        <v>1830</v>
      </c>
      <c r="L948" s="151" t="s">
        <v>3596</v>
      </c>
      <c r="M948" s="151" t="s">
        <v>361</v>
      </c>
      <c r="N948" s="151" t="s">
        <v>5288</v>
      </c>
      <c r="O948" s="151"/>
      <c r="P948" s="151"/>
      <c r="Q948" s="151"/>
      <c r="R948" s="151" t="s">
        <v>2177</v>
      </c>
      <c r="S948" s="151" t="s">
        <v>361</v>
      </c>
      <c r="T948" s="151" t="s">
        <v>435</v>
      </c>
      <c r="U948" s="151" t="s">
        <v>3582</v>
      </c>
      <c r="V948" s="151" t="s">
        <v>49</v>
      </c>
      <c r="W948" s="151" t="s">
        <v>3598</v>
      </c>
      <c r="X948" s="151" t="s">
        <v>431</v>
      </c>
      <c r="Y948" s="151" t="s">
        <v>3582</v>
      </c>
      <c r="Z948" s="151"/>
      <c r="AA948" s="151"/>
      <c r="AB948" s="151" t="s">
        <v>855</v>
      </c>
      <c r="AC948" s="342"/>
    </row>
    <row r="949" spans="1:29">
      <c r="A949" s="151" t="s">
        <v>5198</v>
      </c>
      <c r="B949" s="151" t="s">
        <v>5289</v>
      </c>
      <c r="C949" s="151" t="s">
        <v>5286</v>
      </c>
      <c r="D949" s="151" t="s">
        <v>17</v>
      </c>
      <c r="E949" s="151" t="s">
        <v>5290</v>
      </c>
      <c r="F949" s="151" t="s">
        <v>2527</v>
      </c>
      <c r="G949" s="151" t="s">
        <v>2173</v>
      </c>
      <c r="H949" s="151" t="s">
        <v>1183</v>
      </c>
      <c r="I949" s="151" t="s">
        <v>1184</v>
      </c>
      <c r="J949" s="151" t="s">
        <v>5291</v>
      </c>
      <c r="K949" s="151" t="s">
        <v>4079</v>
      </c>
      <c r="L949" s="151" t="s">
        <v>5292</v>
      </c>
      <c r="M949" s="151" t="s">
        <v>361</v>
      </c>
      <c r="N949" s="151" t="s">
        <v>5293</v>
      </c>
      <c r="O949" s="151">
        <v>39020</v>
      </c>
      <c r="P949" s="151"/>
      <c r="Q949" s="151"/>
      <c r="R949" s="151" t="s">
        <v>2177</v>
      </c>
      <c r="S949" s="151" t="s">
        <v>361</v>
      </c>
      <c r="T949" s="151" t="s">
        <v>2213</v>
      </c>
      <c r="U949" s="151" t="s">
        <v>3608</v>
      </c>
      <c r="V949" s="151" t="s">
        <v>49</v>
      </c>
      <c r="W949" s="151" t="s">
        <v>5294</v>
      </c>
      <c r="X949" s="151" t="s">
        <v>2445</v>
      </c>
      <c r="Y949" s="151" t="s">
        <v>3608</v>
      </c>
      <c r="Z949" s="151"/>
      <c r="AA949" s="151"/>
      <c r="AB949" s="151" t="s">
        <v>855</v>
      </c>
      <c r="AC949" s="342"/>
    </row>
    <row r="950" spans="1:29">
      <c r="A950" s="151" t="s">
        <v>5198</v>
      </c>
      <c r="B950" s="151" t="s">
        <v>5295</v>
      </c>
      <c r="C950" s="151" t="s">
        <v>5286</v>
      </c>
      <c r="D950" s="151" t="s">
        <v>17</v>
      </c>
      <c r="E950" s="151" t="s">
        <v>5296</v>
      </c>
      <c r="F950" s="151" t="s">
        <v>2527</v>
      </c>
      <c r="G950" s="151" t="s">
        <v>2173</v>
      </c>
      <c r="H950" s="151" t="s">
        <v>1183</v>
      </c>
      <c r="I950" s="151" t="s">
        <v>1184</v>
      </c>
      <c r="J950" s="151" t="s">
        <v>5291</v>
      </c>
      <c r="K950" s="151" t="s">
        <v>5297</v>
      </c>
      <c r="L950" s="151" t="s">
        <v>5292</v>
      </c>
      <c r="M950" s="151" t="s">
        <v>361</v>
      </c>
      <c r="N950" s="151" t="s">
        <v>5298</v>
      </c>
      <c r="O950" s="151">
        <v>39020</v>
      </c>
      <c r="P950" s="151"/>
      <c r="Q950" s="151"/>
      <c r="R950" s="151" t="s">
        <v>2177</v>
      </c>
      <c r="S950" s="151" t="s">
        <v>361</v>
      </c>
      <c r="T950" s="151" t="s">
        <v>2213</v>
      </c>
      <c r="U950" s="151" t="s">
        <v>2507</v>
      </c>
      <c r="V950" s="151">
        <v>24</v>
      </c>
      <c r="W950" s="151" t="s">
        <v>2507</v>
      </c>
      <c r="X950" s="151" t="s">
        <v>2445</v>
      </c>
      <c r="Y950" s="151" t="s">
        <v>2507</v>
      </c>
      <c r="Z950" s="151"/>
      <c r="AA950" s="151"/>
      <c r="AB950" s="151" t="s">
        <v>855</v>
      </c>
      <c r="AC950" s="342"/>
    </row>
    <row r="951" spans="1:29">
      <c r="A951" s="151" t="s">
        <v>5198</v>
      </c>
      <c r="B951" s="151" t="s">
        <v>2669</v>
      </c>
      <c r="C951" s="151" t="s">
        <v>5286</v>
      </c>
      <c r="D951" s="151" t="s">
        <v>17</v>
      </c>
      <c r="E951" s="151" t="s">
        <v>5299</v>
      </c>
      <c r="F951" s="151" t="s">
        <v>2527</v>
      </c>
      <c r="G951" s="151" t="s">
        <v>2173</v>
      </c>
      <c r="H951" s="151" t="s">
        <v>1183</v>
      </c>
      <c r="I951" s="151" t="s">
        <v>1184</v>
      </c>
      <c r="J951" s="151" t="s">
        <v>5291</v>
      </c>
      <c r="K951" s="151" t="s">
        <v>5300</v>
      </c>
      <c r="L951" s="151" t="s">
        <v>5292</v>
      </c>
      <c r="M951" s="151" t="s">
        <v>361</v>
      </c>
      <c r="N951" s="151" t="s">
        <v>5301</v>
      </c>
      <c r="O951" s="151">
        <v>39020</v>
      </c>
      <c r="P951" s="151"/>
      <c r="Q951" s="151"/>
      <c r="R951" s="151" t="s">
        <v>2177</v>
      </c>
      <c r="S951" s="151" t="s">
        <v>361</v>
      </c>
      <c r="T951" s="151" t="s">
        <v>2213</v>
      </c>
      <c r="U951" s="151" t="s">
        <v>3582</v>
      </c>
      <c r="V951" s="151">
        <v>5</v>
      </c>
      <c r="W951" s="151" t="s">
        <v>5302</v>
      </c>
      <c r="X951" s="151" t="s">
        <v>2445</v>
      </c>
      <c r="Y951" s="151" t="s">
        <v>5303</v>
      </c>
      <c r="Z951" s="151"/>
      <c r="AA951" s="151"/>
      <c r="AB951" s="151" t="s">
        <v>855</v>
      </c>
      <c r="AC951" s="342"/>
    </row>
    <row r="952" spans="1:29">
      <c r="A952" s="151" t="s">
        <v>5198</v>
      </c>
      <c r="B952" s="151" t="s">
        <v>5304</v>
      </c>
      <c r="C952" s="151" t="s">
        <v>5286</v>
      </c>
      <c r="D952" s="151" t="s">
        <v>17</v>
      </c>
      <c r="E952" s="151" t="s">
        <v>5305</v>
      </c>
      <c r="F952" s="151" t="s">
        <v>2527</v>
      </c>
      <c r="G952" s="151" t="s">
        <v>2173</v>
      </c>
      <c r="H952" s="151" t="s">
        <v>1183</v>
      </c>
      <c r="I952" s="151" t="s">
        <v>1184</v>
      </c>
      <c r="J952" s="151" t="s">
        <v>5291</v>
      </c>
      <c r="K952" s="151" t="s">
        <v>5306</v>
      </c>
      <c r="L952" s="151" t="s">
        <v>5292</v>
      </c>
      <c r="M952" s="151" t="s">
        <v>361</v>
      </c>
      <c r="N952" s="151" t="s">
        <v>5307</v>
      </c>
      <c r="O952" s="151">
        <v>39020</v>
      </c>
      <c r="P952" s="151"/>
      <c r="Q952" s="151"/>
      <c r="R952" s="151" t="s">
        <v>2177</v>
      </c>
      <c r="S952" s="151" t="s">
        <v>361</v>
      </c>
      <c r="T952" s="151" t="s">
        <v>2400</v>
      </c>
      <c r="U952" s="151" t="s">
        <v>2207</v>
      </c>
      <c r="V952" s="151" t="s">
        <v>49</v>
      </c>
      <c r="W952" s="151" t="s">
        <v>2207</v>
      </c>
      <c r="X952" s="151" t="s">
        <v>2207</v>
      </c>
      <c r="Y952" s="151" t="s">
        <v>2207</v>
      </c>
      <c r="Z952" s="151"/>
      <c r="AA952" s="151"/>
      <c r="AB952" s="151" t="s">
        <v>855</v>
      </c>
      <c r="AC952" s="342"/>
    </row>
    <row r="953" spans="1:29">
      <c r="A953" s="151" t="s">
        <v>5198</v>
      </c>
      <c r="B953" s="151" t="s">
        <v>5308</v>
      </c>
      <c r="C953" s="151" t="s">
        <v>5286</v>
      </c>
      <c r="D953" s="151" t="s">
        <v>17</v>
      </c>
      <c r="E953" s="151" t="s">
        <v>5309</v>
      </c>
      <c r="F953" s="151" t="s">
        <v>2527</v>
      </c>
      <c r="G953" s="151" t="s">
        <v>2173</v>
      </c>
      <c r="H953" s="151" t="s">
        <v>1183</v>
      </c>
      <c r="I953" s="151" t="s">
        <v>1184</v>
      </c>
      <c r="J953" s="151" t="s">
        <v>5291</v>
      </c>
      <c r="K953" s="151" t="s">
        <v>5310</v>
      </c>
      <c r="L953" s="151" t="s">
        <v>5292</v>
      </c>
      <c r="M953" s="151" t="s">
        <v>361</v>
      </c>
      <c r="N953" s="151" t="s">
        <v>5311</v>
      </c>
      <c r="O953" s="151">
        <v>39020</v>
      </c>
      <c r="P953" s="151"/>
      <c r="Q953" s="151"/>
      <c r="R953" s="151" t="s">
        <v>2177</v>
      </c>
      <c r="S953" s="151" t="s">
        <v>361</v>
      </c>
      <c r="T953" s="151" t="s">
        <v>2213</v>
      </c>
      <c r="U953" s="151" t="s">
        <v>3582</v>
      </c>
      <c r="V953" s="151">
        <v>12</v>
      </c>
      <c r="W953" s="151" t="s">
        <v>5312</v>
      </c>
      <c r="X953" s="151" t="s">
        <v>2445</v>
      </c>
      <c r="Y953" s="151" t="s">
        <v>3582</v>
      </c>
      <c r="Z953" s="151"/>
      <c r="AA953" s="151"/>
      <c r="AB953" s="151" t="s">
        <v>855</v>
      </c>
      <c r="AC953" s="342"/>
    </row>
    <row r="954" spans="1:29">
      <c r="A954" s="151" t="s">
        <v>5198</v>
      </c>
      <c r="B954" s="151" t="s">
        <v>5313</v>
      </c>
      <c r="C954" s="151" t="s">
        <v>5286</v>
      </c>
      <c r="D954" s="151" t="s">
        <v>17</v>
      </c>
      <c r="E954" s="151" t="s">
        <v>5314</v>
      </c>
      <c r="F954" s="151" t="s">
        <v>2527</v>
      </c>
      <c r="G954" s="151" t="s">
        <v>2173</v>
      </c>
      <c r="H954" s="151" t="s">
        <v>1183</v>
      </c>
      <c r="I954" s="151" t="s">
        <v>1184</v>
      </c>
      <c r="J954" s="151" t="s">
        <v>5291</v>
      </c>
      <c r="K954" s="151" t="s">
        <v>5315</v>
      </c>
      <c r="L954" s="151" t="s">
        <v>5292</v>
      </c>
      <c r="M954" s="151" t="s">
        <v>361</v>
      </c>
      <c r="N954" s="151" t="s">
        <v>5316</v>
      </c>
      <c r="O954" s="151">
        <v>39020</v>
      </c>
      <c r="P954" s="151"/>
      <c r="Q954" s="151"/>
      <c r="R954" s="151" t="s">
        <v>2177</v>
      </c>
      <c r="S954" s="151" t="s">
        <v>361</v>
      </c>
      <c r="T954" s="151" t="s">
        <v>2213</v>
      </c>
      <c r="U954" s="151" t="s">
        <v>3608</v>
      </c>
      <c r="V954" s="151" t="s">
        <v>49</v>
      </c>
      <c r="W954" s="151" t="s">
        <v>5294</v>
      </c>
      <c r="X954" s="151" t="s">
        <v>2445</v>
      </c>
      <c r="Y954" s="151" t="s">
        <v>3608</v>
      </c>
      <c r="Z954" s="151"/>
      <c r="AA954" s="151"/>
      <c r="AB954" s="151" t="s">
        <v>855</v>
      </c>
      <c r="AC954" s="342"/>
    </row>
    <row r="955" spans="1:29">
      <c r="A955" s="151" t="s">
        <v>5198</v>
      </c>
      <c r="B955" s="151" t="s">
        <v>5317</v>
      </c>
      <c r="C955" s="151" t="s">
        <v>5286</v>
      </c>
      <c r="D955" s="151" t="s">
        <v>17</v>
      </c>
      <c r="E955" s="151" t="s">
        <v>5318</v>
      </c>
      <c r="F955" s="151" t="s">
        <v>2527</v>
      </c>
      <c r="G955" s="151" t="s">
        <v>2173</v>
      </c>
      <c r="H955" s="151" t="s">
        <v>1183</v>
      </c>
      <c r="I955" s="151" t="s">
        <v>1184</v>
      </c>
      <c r="J955" s="151" t="s">
        <v>5291</v>
      </c>
      <c r="K955" s="151" t="s">
        <v>4386</v>
      </c>
      <c r="L955" s="151" t="s">
        <v>5292</v>
      </c>
      <c r="M955" s="151" t="s">
        <v>361</v>
      </c>
      <c r="N955" s="151" t="s">
        <v>5319</v>
      </c>
      <c r="O955" s="151">
        <v>39020</v>
      </c>
      <c r="P955" s="151"/>
      <c r="Q955" s="151"/>
      <c r="R955" s="151" t="s">
        <v>2177</v>
      </c>
      <c r="S955" s="151" t="s">
        <v>361</v>
      </c>
      <c r="T955" s="151" t="s">
        <v>2213</v>
      </c>
      <c r="U955" s="151" t="s">
        <v>4368</v>
      </c>
      <c r="V955" s="151">
        <v>8</v>
      </c>
      <c r="W955" s="151" t="s">
        <v>5320</v>
      </c>
      <c r="X955" s="151" t="s">
        <v>2445</v>
      </c>
      <c r="Y955" s="151" t="s">
        <v>4368</v>
      </c>
      <c r="Z955" s="151"/>
      <c r="AA955" s="151"/>
      <c r="AB955" s="151" t="s">
        <v>855</v>
      </c>
      <c r="AC955" s="342"/>
    </row>
    <row r="956" spans="1:29">
      <c r="A956" s="151" t="s">
        <v>5198</v>
      </c>
      <c r="B956" s="151" t="s">
        <v>16</v>
      </c>
      <c r="C956" s="151" t="s">
        <v>5286</v>
      </c>
      <c r="D956" s="151" t="s">
        <v>17</v>
      </c>
      <c r="E956" s="151" t="s">
        <v>5321</v>
      </c>
      <c r="F956" s="151" t="s">
        <v>2527</v>
      </c>
      <c r="G956" s="151" t="s">
        <v>2173</v>
      </c>
      <c r="H956" s="151" t="s">
        <v>1183</v>
      </c>
      <c r="I956" s="151" t="s">
        <v>1184</v>
      </c>
      <c r="J956" s="151" t="s">
        <v>5291</v>
      </c>
      <c r="K956" s="151" t="s">
        <v>4718</v>
      </c>
      <c r="L956" s="151" t="s">
        <v>5292</v>
      </c>
      <c r="M956" s="151" t="s">
        <v>361</v>
      </c>
      <c r="N956" s="151" t="s">
        <v>5322</v>
      </c>
      <c r="O956" s="151">
        <v>39020</v>
      </c>
      <c r="P956" s="151"/>
      <c r="Q956" s="151"/>
      <c r="R956" s="151" t="s">
        <v>2177</v>
      </c>
      <c r="S956" s="151" t="s">
        <v>361</v>
      </c>
      <c r="T956" s="151" t="s">
        <v>2213</v>
      </c>
      <c r="U956" s="151" t="s">
        <v>3582</v>
      </c>
      <c r="V956" s="151"/>
      <c r="W956" s="151" t="s">
        <v>5323</v>
      </c>
      <c r="X956" s="151" t="s">
        <v>2445</v>
      </c>
      <c r="Y956" s="151" t="s">
        <v>3582</v>
      </c>
      <c r="Z956" s="151"/>
      <c r="AA956" s="151"/>
      <c r="AB956" s="151" t="s">
        <v>855</v>
      </c>
      <c r="AC956" s="342"/>
    </row>
    <row r="957" spans="1:29" ht="60">
      <c r="A957" s="151" t="s">
        <v>5198</v>
      </c>
      <c r="B957" s="151" t="s">
        <v>5324</v>
      </c>
      <c r="C957" s="151" t="s">
        <v>5325</v>
      </c>
      <c r="D957" s="151" t="s">
        <v>17</v>
      </c>
      <c r="E957" s="151" t="s">
        <v>5326</v>
      </c>
      <c r="F957" s="151" t="s">
        <v>2527</v>
      </c>
      <c r="G957" s="151" t="s">
        <v>2173</v>
      </c>
      <c r="H957" s="151" t="s">
        <v>1183</v>
      </c>
      <c r="I957" s="151" t="s">
        <v>1184</v>
      </c>
      <c r="J957" s="151" t="s">
        <v>806</v>
      </c>
      <c r="K957" s="151" t="s">
        <v>3659</v>
      </c>
      <c r="L957" s="151" t="s">
        <v>5235</v>
      </c>
      <c r="M957" s="151" t="s">
        <v>361</v>
      </c>
      <c r="N957" s="341" t="s">
        <v>5327</v>
      </c>
      <c r="O957" s="151">
        <v>2212898</v>
      </c>
      <c r="P957" s="151"/>
      <c r="Q957" s="151"/>
      <c r="R957" s="151" t="s">
        <v>2177</v>
      </c>
      <c r="S957" s="151" t="s">
        <v>361</v>
      </c>
      <c r="T957" s="151" t="s">
        <v>2213</v>
      </c>
      <c r="U957" s="151" t="s">
        <v>3582</v>
      </c>
      <c r="V957" s="151">
        <v>12</v>
      </c>
      <c r="W957" s="151" t="s">
        <v>5328</v>
      </c>
      <c r="X957" s="151" t="s">
        <v>2445</v>
      </c>
      <c r="Y957" s="151" t="s">
        <v>3582</v>
      </c>
      <c r="Z957" s="151"/>
      <c r="AA957" s="151"/>
      <c r="AB957" s="151" t="s">
        <v>855</v>
      </c>
      <c r="AC957" s="342"/>
    </row>
    <row r="958" spans="1:29" ht="105">
      <c r="A958" s="151" t="s">
        <v>5198</v>
      </c>
      <c r="B958" s="151" t="s">
        <v>5329</v>
      </c>
      <c r="C958" s="151" t="s">
        <v>5325</v>
      </c>
      <c r="D958" s="151" t="s">
        <v>17</v>
      </c>
      <c r="E958" s="151" t="s">
        <v>5330</v>
      </c>
      <c r="F958" s="151" t="s">
        <v>2527</v>
      </c>
      <c r="G958" s="151" t="s">
        <v>2173</v>
      </c>
      <c r="H958" s="151" t="s">
        <v>1183</v>
      </c>
      <c r="I958" s="151" t="s">
        <v>1184</v>
      </c>
      <c r="J958" s="151" t="s">
        <v>806</v>
      </c>
      <c r="K958" s="151" t="s">
        <v>3659</v>
      </c>
      <c r="L958" s="151" t="s">
        <v>3596</v>
      </c>
      <c r="M958" s="151" t="s">
        <v>361</v>
      </c>
      <c r="N958" s="341" t="s">
        <v>5331</v>
      </c>
      <c r="O958" s="151">
        <v>2212898</v>
      </c>
      <c r="P958" s="151"/>
      <c r="Q958" s="151"/>
      <c r="R958" s="151" t="s">
        <v>2177</v>
      </c>
      <c r="S958" s="433" t="s">
        <v>5332</v>
      </c>
      <c r="T958" s="151" t="s">
        <v>2213</v>
      </c>
      <c r="U958" s="151" t="s">
        <v>4368</v>
      </c>
      <c r="V958" s="151">
        <v>17</v>
      </c>
      <c r="W958" s="151" t="s">
        <v>5333</v>
      </c>
      <c r="X958" s="151" t="s">
        <v>2445</v>
      </c>
      <c r="Y958" s="151" t="s">
        <v>5334</v>
      </c>
      <c r="Z958" s="151"/>
      <c r="AA958" s="151"/>
      <c r="AB958" s="151" t="s">
        <v>855</v>
      </c>
      <c r="AC958" s="342"/>
    </row>
    <row r="959" spans="1:29" ht="105">
      <c r="A959" s="151" t="s">
        <v>5198</v>
      </c>
      <c r="B959" s="151" t="s">
        <v>5335</v>
      </c>
      <c r="C959" s="151" t="s">
        <v>5325</v>
      </c>
      <c r="D959" s="151" t="s">
        <v>17</v>
      </c>
      <c r="E959" s="151" t="s">
        <v>5336</v>
      </c>
      <c r="F959" s="151" t="s">
        <v>2527</v>
      </c>
      <c r="G959" s="151" t="s">
        <v>2173</v>
      </c>
      <c r="H959" s="151" t="s">
        <v>1183</v>
      </c>
      <c r="I959" s="151" t="s">
        <v>1184</v>
      </c>
      <c r="J959" s="151" t="s">
        <v>5261</v>
      </c>
      <c r="K959" s="151" t="s">
        <v>5337</v>
      </c>
      <c r="L959" s="151" t="s">
        <v>5338</v>
      </c>
      <c r="M959" s="151" t="s">
        <v>361</v>
      </c>
      <c r="N959" s="12" t="s">
        <v>5339</v>
      </c>
      <c r="O959" s="151">
        <v>46120</v>
      </c>
      <c r="Q959" s="151"/>
      <c r="R959" s="151" t="s">
        <v>2177</v>
      </c>
      <c r="S959" s="151" t="s">
        <v>361</v>
      </c>
      <c r="T959" s="151" t="s">
        <v>2213</v>
      </c>
      <c r="U959" s="151" t="s">
        <v>3582</v>
      </c>
      <c r="V959" s="151">
        <v>60</v>
      </c>
      <c r="W959" s="151" t="s">
        <v>5323</v>
      </c>
      <c r="X959" s="151" t="s">
        <v>2445</v>
      </c>
      <c r="Y959" s="151" t="s">
        <v>3582</v>
      </c>
      <c r="Z959" s="151"/>
      <c r="AA959" s="151"/>
      <c r="AB959" s="151" t="s">
        <v>855</v>
      </c>
      <c r="AC959" s="342"/>
    </row>
    <row r="960" spans="1:29" ht="210">
      <c r="A960" s="151" t="s">
        <v>5198</v>
      </c>
      <c r="B960" s="151" t="s">
        <v>5340</v>
      </c>
      <c r="C960" s="151" t="s">
        <v>5325</v>
      </c>
      <c r="D960" s="151" t="s">
        <v>17</v>
      </c>
      <c r="E960" s="151" t="s">
        <v>5341</v>
      </c>
      <c r="F960" s="151" t="s">
        <v>2527</v>
      </c>
      <c r="G960" s="151" t="s">
        <v>2173</v>
      </c>
      <c r="H960" s="151" t="s">
        <v>1183</v>
      </c>
      <c r="I960" s="151" t="s">
        <v>1184</v>
      </c>
      <c r="J960" s="151" t="s">
        <v>5342</v>
      </c>
      <c r="K960" s="434" t="s">
        <v>5343</v>
      </c>
      <c r="L960" s="434" t="s">
        <v>5344</v>
      </c>
      <c r="M960" s="433" t="s">
        <v>5345</v>
      </c>
      <c r="N960" s="433" t="s">
        <v>5346</v>
      </c>
      <c r="O960" s="433">
        <v>571</v>
      </c>
      <c r="P960" s="151" t="s">
        <v>5347</v>
      </c>
      <c r="Q960" s="151" t="s">
        <v>5348</v>
      </c>
      <c r="R960" s="151" t="s">
        <v>2177</v>
      </c>
      <c r="S960" s="437" t="s">
        <v>5349</v>
      </c>
      <c r="T960" s="151" t="s">
        <v>2213</v>
      </c>
      <c r="U960" s="151" t="s">
        <v>3608</v>
      </c>
      <c r="V960" s="151">
        <v>5</v>
      </c>
      <c r="W960" s="151">
        <v>1</v>
      </c>
      <c r="X960" s="151" t="s">
        <v>2445</v>
      </c>
      <c r="Y960" s="151" t="s">
        <v>3608</v>
      </c>
      <c r="Z960" s="151"/>
      <c r="AA960" s="151"/>
      <c r="AB960" s="151" t="s">
        <v>855</v>
      </c>
      <c r="AC960" s="342"/>
    </row>
    <row r="961" spans="1:29" ht="105">
      <c r="A961" s="151" t="s">
        <v>5198</v>
      </c>
      <c r="B961" s="151" t="s">
        <v>5350</v>
      </c>
      <c r="C961" s="151" t="s">
        <v>5325</v>
      </c>
      <c r="D961" s="151" t="s">
        <v>17</v>
      </c>
      <c r="E961" s="151" t="s">
        <v>5351</v>
      </c>
      <c r="F961" s="151" t="s">
        <v>2527</v>
      </c>
      <c r="G961" s="151" t="s">
        <v>2173</v>
      </c>
      <c r="H961" s="151" t="s">
        <v>1183</v>
      </c>
      <c r="I961" s="151" t="s">
        <v>1184</v>
      </c>
      <c r="J961" s="151" t="s">
        <v>806</v>
      </c>
      <c r="K961" s="151" t="s">
        <v>3659</v>
      </c>
      <c r="L961" s="151" t="s">
        <v>5352</v>
      </c>
      <c r="M961" s="151" t="s">
        <v>361</v>
      </c>
      <c r="N961" s="341" t="s">
        <v>5353</v>
      </c>
      <c r="O961" s="151">
        <v>46120</v>
      </c>
      <c r="P961" s="151" t="s">
        <v>5354</v>
      </c>
      <c r="Q961" s="151"/>
      <c r="R961" s="151" t="s">
        <v>2177</v>
      </c>
      <c r="S961" s="433" t="s">
        <v>5332</v>
      </c>
      <c r="T961" s="151" t="s">
        <v>4334</v>
      </c>
      <c r="U961" s="151" t="s">
        <v>3608</v>
      </c>
      <c r="V961" s="151"/>
      <c r="W961" s="151">
        <v>1</v>
      </c>
      <c r="X961" s="151" t="s">
        <v>2445</v>
      </c>
      <c r="Y961" s="151" t="s">
        <v>3608</v>
      </c>
      <c r="Z961" s="151"/>
      <c r="AA961" s="151"/>
      <c r="AB961" s="151" t="s">
        <v>855</v>
      </c>
      <c r="AC961" s="342"/>
    </row>
    <row r="962" spans="1:29">
      <c r="A962" s="151" t="s">
        <v>5198</v>
      </c>
      <c r="B962" s="151" t="s">
        <v>5355</v>
      </c>
      <c r="C962" s="151" t="s">
        <v>5325</v>
      </c>
      <c r="D962" s="151" t="s">
        <v>17</v>
      </c>
      <c r="E962" s="151" t="s">
        <v>5356</v>
      </c>
      <c r="F962" s="151" t="s">
        <v>2527</v>
      </c>
      <c r="G962" s="151" t="s">
        <v>3656</v>
      </c>
      <c r="H962" s="151" t="s">
        <v>1183</v>
      </c>
      <c r="I962" s="151" t="s">
        <v>1184</v>
      </c>
      <c r="J962" s="151" t="s">
        <v>5261</v>
      </c>
      <c r="K962" s="151" t="s">
        <v>5357</v>
      </c>
      <c r="L962" s="151" t="s">
        <v>5352</v>
      </c>
      <c r="M962" s="151" t="s">
        <v>361</v>
      </c>
      <c r="N962" s="151"/>
      <c r="O962" s="151"/>
      <c r="P962" s="151"/>
      <c r="Q962" s="151"/>
      <c r="R962" s="151" t="s">
        <v>2177</v>
      </c>
      <c r="S962" s="151" t="s">
        <v>361</v>
      </c>
      <c r="T962" s="151" t="s">
        <v>4334</v>
      </c>
      <c r="U962" s="151" t="s">
        <v>3608</v>
      </c>
      <c r="V962" s="151"/>
      <c r="W962" s="151">
        <v>1</v>
      </c>
      <c r="X962" s="151" t="s">
        <v>2445</v>
      </c>
      <c r="Y962" s="151" t="s">
        <v>3608</v>
      </c>
      <c r="Z962" s="151"/>
      <c r="AA962" s="151"/>
      <c r="AB962" s="151" t="s">
        <v>855</v>
      </c>
      <c r="AC962" s="342"/>
    </row>
    <row r="963" spans="1:29">
      <c r="A963" s="151" t="s">
        <v>5198</v>
      </c>
      <c r="B963" s="151" t="s">
        <v>5358</v>
      </c>
      <c r="C963" s="151" t="s">
        <v>5286</v>
      </c>
      <c r="D963" s="151" t="s">
        <v>17</v>
      </c>
      <c r="E963" s="151" t="s">
        <v>5359</v>
      </c>
      <c r="F963" s="151" t="s">
        <v>2527</v>
      </c>
      <c r="G963" s="151" t="s">
        <v>2173</v>
      </c>
      <c r="H963" s="151" t="s">
        <v>1183</v>
      </c>
      <c r="I963" s="151" t="s">
        <v>1184</v>
      </c>
      <c r="J963" s="151" t="s">
        <v>5291</v>
      </c>
      <c r="K963" s="151" t="s">
        <v>5360</v>
      </c>
      <c r="L963" s="151" t="s">
        <v>5292</v>
      </c>
      <c r="M963" s="151" t="s">
        <v>361</v>
      </c>
      <c r="N963" s="151" t="s">
        <v>5361</v>
      </c>
      <c r="O963" s="151"/>
      <c r="P963" s="151"/>
      <c r="Q963" s="151"/>
      <c r="R963" s="151" t="s">
        <v>2177</v>
      </c>
      <c r="S963" s="151" t="s">
        <v>361</v>
      </c>
      <c r="T963" s="151" t="s">
        <v>2213</v>
      </c>
      <c r="U963" s="151" t="s">
        <v>3582</v>
      </c>
      <c r="V963" s="151" t="s">
        <v>49</v>
      </c>
      <c r="W963" s="151" t="s">
        <v>2250</v>
      </c>
      <c r="X963" s="151" t="s">
        <v>2445</v>
      </c>
      <c r="Y963" s="151" t="s">
        <v>3582</v>
      </c>
      <c r="Z963" s="151"/>
      <c r="AA963" s="151"/>
      <c r="AB963" s="151" t="s">
        <v>855</v>
      </c>
      <c r="AC963" s="342"/>
    </row>
    <row r="964" spans="1:29" ht="90">
      <c r="A964" s="151" t="s">
        <v>5198</v>
      </c>
      <c r="B964" s="151" t="s">
        <v>5362</v>
      </c>
      <c r="C964" s="151" t="s">
        <v>3919</v>
      </c>
      <c r="D964" s="151" t="s">
        <v>17</v>
      </c>
      <c r="E964" s="151" t="s">
        <v>5363</v>
      </c>
      <c r="F964" s="151" t="s">
        <v>2527</v>
      </c>
      <c r="G964" s="151" t="s">
        <v>2173</v>
      </c>
      <c r="H964" s="151" t="s">
        <v>4523</v>
      </c>
      <c r="I964" s="151" t="s">
        <v>1184</v>
      </c>
      <c r="J964" s="151" t="s">
        <v>806</v>
      </c>
      <c r="K964" s="151" t="s">
        <v>3636</v>
      </c>
      <c r="L964" s="151" t="s">
        <v>3596</v>
      </c>
      <c r="M964" s="151" t="s">
        <v>361</v>
      </c>
      <c r="N964" s="341" t="s">
        <v>5364</v>
      </c>
      <c r="O964" s="151">
        <v>2212878</v>
      </c>
      <c r="P964" s="151"/>
      <c r="Q964" s="151"/>
      <c r="R964" s="151" t="s">
        <v>2177</v>
      </c>
      <c r="S964" s="151" t="s">
        <v>361</v>
      </c>
      <c r="T964" s="151" t="s">
        <v>2213</v>
      </c>
      <c r="U964" s="151" t="s">
        <v>4368</v>
      </c>
      <c r="V964" s="151">
        <v>15</v>
      </c>
      <c r="W964" s="151" t="s">
        <v>4320</v>
      </c>
      <c r="X964" s="151" t="s">
        <v>2445</v>
      </c>
      <c r="Y964" s="151" t="s">
        <v>4368</v>
      </c>
      <c r="Z964" s="151"/>
      <c r="AA964" s="151"/>
      <c r="AB964" s="151" t="s">
        <v>855</v>
      </c>
      <c r="AC964" s="342"/>
    </row>
    <row r="965" spans="1:29" ht="75">
      <c r="A965" s="151" t="s">
        <v>5198</v>
      </c>
      <c r="B965" s="151" t="s">
        <v>3626</v>
      </c>
      <c r="C965" s="151" t="s">
        <v>341</v>
      </c>
      <c r="D965" s="151" t="s">
        <v>17</v>
      </c>
      <c r="E965" s="151" t="s">
        <v>5365</v>
      </c>
      <c r="F965" s="151" t="s">
        <v>2527</v>
      </c>
      <c r="G965" s="151" t="s">
        <v>2173</v>
      </c>
      <c r="H965" s="151" t="s">
        <v>1183</v>
      </c>
      <c r="I965" s="151" t="s">
        <v>1184</v>
      </c>
      <c r="J965" s="151" t="s">
        <v>806</v>
      </c>
      <c r="K965" s="151" t="s">
        <v>3628</v>
      </c>
      <c r="L965" s="151" t="s">
        <v>3596</v>
      </c>
      <c r="M965" s="151" t="s">
        <v>361</v>
      </c>
      <c r="N965" s="341" t="s">
        <v>5366</v>
      </c>
      <c r="O965" s="151">
        <v>2212881</v>
      </c>
      <c r="P965" s="151"/>
      <c r="Q965" s="151"/>
      <c r="R965" s="151" t="s">
        <v>2177</v>
      </c>
      <c r="S965" s="151" t="s">
        <v>361</v>
      </c>
      <c r="T965" s="151" t="s">
        <v>2213</v>
      </c>
      <c r="U965" s="151" t="s">
        <v>2207</v>
      </c>
      <c r="V965" s="151">
        <v>10</v>
      </c>
      <c r="W965" s="151" t="s">
        <v>2207</v>
      </c>
      <c r="X965" s="151" t="s">
        <v>2445</v>
      </c>
      <c r="Y965" s="151" t="s">
        <v>2207</v>
      </c>
      <c r="Z965" s="151"/>
      <c r="AA965" s="151"/>
      <c r="AB965" s="151" t="s">
        <v>855</v>
      </c>
      <c r="AC965" s="342"/>
    </row>
    <row r="966" spans="1:29" ht="75">
      <c r="A966" s="151" t="s">
        <v>5198</v>
      </c>
      <c r="B966" s="151" t="s">
        <v>2269</v>
      </c>
      <c r="C966" s="151" t="s">
        <v>341</v>
      </c>
      <c r="D966" s="151" t="s">
        <v>17</v>
      </c>
      <c r="E966" s="151" t="s">
        <v>5367</v>
      </c>
      <c r="F966" s="151" t="s">
        <v>2527</v>
      </c>
      <c r="G966" s="151" t="s">
        <v>2173</v>
      </c>
      <c r="H966" s="151" t="s">
        <v>1183</v>
      </c>
      <c r="I966" s="151" t="s">
        <v>1184</v>
      </c>
      <c r="J966" s="151" t="s">
        <v>806</v>
      </c>
      <c r="K966" s="151" t="s">
        <v>5368</v>
      </c>
      <c r="L966" s="151" t="s">
        <v>3596</v>
      </c>
      <c r="M966" s="151" t="s">
        <v>361</v>
      </c>
      <c r="N966" s="341" t="s">
        <v>5369</v>
      </c>
      <c r="O966" s="151">
        <v>2212881</v>
      </c>
      <c r="P966" s="151"/>
      <c r="Q966" s="151"/>
      <c r="R966" s="151" t="s">
        <v>2177</v>
      </c>
      <c r="S966" s="151" t="s">
        <v>361</v>
      </c>
      <c r="T966" s="151" t="s">
        <v>2213</v>
      </c>
      <c r="U966" s="151" t="s">
        <v>3582</v>
      </c>
      <c r="V966" s="151">
        <v>15</v>
      </c>
      <c r="W966" s="151" t="s">
        <v>5370</v>
      </c>
      <c r="X966" s="151" t="s">
        <v>2445</v>
      </c>
      <c r="Y966" s="151" t="s">
        <v>3582</v>
      </c>
      <c r="Z966" s="151"/>
      <c r="AA966" s="151"/>
      <c r="AB966" s="151" t="s">
        <v>855</v>
      </c>
      <c r="AC966" s="342"/>
    </row>
    <row r="967" spans="1:29" ht="90">
      <c r="A967" s="151" t="s">
        <v>5198</v>
      </c>
      <c r="B967" s="151" t="s">
        <v>5371</v>
      </c>
      <c r="C967" s="151" t="s">
        <v>3919</v>
      </c>
      <c r="D967" s="151" t="s">
        <v>17</v>
      </c>
      <c r="E967" s="151" t="s">
        <v>5372</v>
      </c>
      <c r="F967" s="151" t="s">
        <v>2527</v>
      </c>
      <c r="G967" s="151" t="s">
        <v>2173</v>
      </c>
      <c r="H967" s="151" t="s">
        <v>4523</v>
      </c>
      <c r="I967" s="151" t="s">
        <v>1184</v>
      </c>
      <c r="J967" s="151" t="s">
        <v>806</v>
      </c>
      <c r="K967" s="151" t="s">
        <v>3636</v>
      </c>
      <c r="L967" s="151" t="s">
        <v>3596</v>
      </c>
      <c r="M967" s="151" t="s">
        <v>361</v>
      </c>
      <c r="N967" s="341" t="s">
        <v>5373</v>
      </c>
      <c r="O967" s="151">
        <v>2212878</v>
      </c>
      <c r="P967" s="151"/>
      <c r="Q967" s="151"/>
      <c r="R967" s="151" t="s">
        <v>2177</v>
      </c>
      <c r="S967" s="151" t="s">
        <v>361</v>
      </c>
      <c r="T967" s="151" t="s">
        <v>2213</v>
      </c>
      <c r="U967" s="151" t="s">
        <v>4368</v>
      </c>
      <c r="V967" s="151">
        <v>22</v>
      </c>
      <c r="W967" s="151" t="s">
        <v>4320</v>
      </c>
      <c r="X967" s="151" t="s">
        <v>2445</v>
      </c>
      <c r="Y967" s="151" t="s">
        <v>4368</v>
      </c>
      <c r="Z967" s="151"/>
      <c r="AA967" s="151"/>
      <c r="AB967" s="151" t="s">
        <v>855</v>
      </c>
      <c r="AC967" s="342"/>
    </row>
    <row r="968" spans="1:29">
      <c r="A968" s="151" t="s">
        <v>5198</v>
      </c>
      <c r="B968" s="151" t="s">
        <v>5374</v>
      </c>
      <c r="C968" s="151" t="s">
        <v>5335</v>
      </c>
      <c r="D968" s="151" t="s">
        <v>17</v>
      </c>
      <c r="E968" s="151" t="s">
        <v>5375</v>
      </c>
      <c r="F968" s="151" t="s">
        <v>5376</v>
      </c>
      <c r="G968" s="151" t="s">
        <v>2173</v>
      </c>
      <c r="H968" s="151" t="s">
        <v>1183</v>
      </c>
      <c r="I968" s="151" t="s">
        <v>1184</v>
      </c>
      <c r="J968" s="151" t="s">
        <v>806</v>
      </c>
      <c r="K968" s="151" t="s">
        <v>5377</v>
      </c>
      <c r="L968" s="151" t="s">
        <v>3596</v>
      </c>
      <c r="M968" s="151" t="s">
        <v>361</v>
      </c>
      <c r="N968" s="151"/>
      <c r="O968" s="151"/>
      <c r="P968" s="151"/>
      <c r="Q968" s="151"/>
      <c r="R968" s="151" t="s">
        <v>2177</v>
      </c>
      <c r="S968" s="151" t="s">
        <v>361</v>
      </c>
      <c r="T968" s="151" t="s">
        <v>2213</v>
      </c>
      <c r="U968" s="151" t="s">
        <v>3582</v>
      </c>
      <c r="V968" s="151">
        <v>30</v>
      </c>
      <c r="W968" s="151" t="s">
        <v>4380</v>
      </c>
      <c r="X968" s="151" t="s">
        <v>2445</v>
      </c>
      <c r="Y968" s="151" t="s">
        <v>3582</v>
      </c>
      <c r="Z968" s="151"/>
      <c r="AA968" s="151"/>
      <c r="AB968" s="151" t="s">
        <v>855</v>
      </c>
      <c r="AC968" s="342"/>
    </row>
    <row r="969" spans="1:29" ht="90">
      <c r="A969" s="151" t="s">
        <v>5198</v>
      </c>
      <c r="B969" s="151" t="s">
        <v>5378</v>
      </c>
      <c r="C969" s="151" t="s">
        <v>3919</v>
      </c>
      <c r="D969" s="151" t="s">
        <v>17</v>
      </c>
      <c r="E969" s="151" t="s">
        <v>5379</v>
      </c>
      <c r="F969" s="151" t="s">
        <v>2527</v>
      </c>
      <c r="G969" s="151" t="s">
        <v>2173</v>
      </c>
      <c r="H969" s="151" t="s">
        <v>1183</v>
      </c>
      <c r="I969" s="151" t="s">
        <v>1184</v>
      </c>
      <c r="J969" s="151" t="s">
        <v>5261</v>
      </c>
      <c r="K969" s="151" t="s">
        <v>5380</v>
      </c>
      <c r="L969" s="151" t="s">
        <v>5352</v>
      </c>
      <c r="M969" s="151" t="s">
        <v>361</v>
      </c>
      <c r="N969" s="341" t="s">
        <v>5381</v>
      </c>
      <c r="O969" s="151">
        <v>46120</v>
      </c>
      <c r="P969" s="151"/>
      <c r="Q969" s="151"/>
      <c r="R969" s="151" t="s">
        <v>2177</v>
      </c>
      <c r="S969" s="151" t="s">
        <v>361</v>
      </c>
      <c r="T969" s="151" t="s">
        <v>4334</v>
      </c>
      <c r="U969" s="151" t="s">
        <v>3608</v>
      </c>
      <c r="V969" s="151"/>
      <c r="W969" s="151">
        <v>1</v>
      </c>
      <c r="X969" s="151" t="s">
        <v>2445</v>
      </c>
      <c r="Y969" s="151" t="s">
        <v>3608</v>
      </c>
      <c r="Z969" s="151"/>
      <c r="AA969" s="151"/>
      <c r="AB969" s="151" t="s">
        <v>855</v>
      </c>
      <c r="AC969" s="342"/>
    </row>
    <row r="970" spans="1:29" ht="105">
      <c r="A970" s="151" t="s">
        <v>5198</v>
      </c>
      <c r="B970" s="151" t="s">
        <v>5382</v>
      </c>
      <c r="C970" s="151" t="s">
        <v>3919</v>
      </c>
      <c r="D970" s="151" t="s">
        <v>17</v>
      </c>
      <c r="E970" s="151" t="s">
        <v>5383</v>
      </c>
      <c r="F970" s="151" t="s">
        <v>2527</v>
      </c>
      <c r="G970" s="151" t="s">
        <v>2173</v>
      </c>
      <c r="H970" s="151" t="s">
        <v>1183</v>
      </c>
      <c r="I970" s="151" t="s">
        <v>1184</v>
      </c>
      <c r="J970" s="151" t="s">
        <v>5261</v>
      </c>
      <c r="K970" s="151" t="s">
        <v>5384</v>
      </c>
      <c r="L970" s="151" t="s">
        <v>5352</v>
      </c>
      <c r="M970" s="151" t="s">
        <v>361</v>
      </c>
      <c r="N970" s="341" t="s">
        <v>5385</v>
      </c>
      <c r="O970" s="151">
        <v>46120</v>
      </c>
      <c r="P970" s="151"/>
      <c r="Q970" s="151"/>
      <c r="R970" s="151" t="s">
        <v>2177</v>
      </c>
      <c r="S970" s="151" t="s">
        <v>361</v>
      </c>
      <c r="T970" s="151" t="s">
        <v>4334</v>
      </c>
      <c r="U970" s="151" t="s">
        <v>3608</v>
      </c>
      <c r="V970" s="151"/>
      <c r="W970" s="151">
        <v>1</v>
      </c>
      <c r="X970" s="151" t="s">
        <v>2445</v>
      </c>
      <c r="Y970" s="151" t="s">
        <v>3608</v>
      </c>
      <c r="Z970" s="151"/>
      <c r="AA970" s="151"/>
      <c r="AB970" s="151" t="s">
        <v>855</v>
      </c>
      <c r="AC970" s="342"/>
    </row>
    <row r="971" spans="1:29" ht="105">
      <c r="A971" s="151" t="s">
        <v>5198</v>
      </c>
      <c r="B971" s="151" t="s">
        <v>5386</v>
      </c>
      <c r="C971" s="151" t="s">
        <v>3919</v>
      </c>
      <c r="D971" s="151" t="s">
        <v>17</v>
      </c>
      <c r="E971" s="151" t="s">
        <v>5387</v>
      </c>
      <c r="F971" s="151" t="s">
        <v>2527</v>
      </c>
      <c r="G971" s="151" t="s">
        <v>2173</v>
      </c>
      <c r="H971" s="151" t="s">
        <v>1183</v>
      </c>
      <c r="I971" s="151" t="s">
        <v>1184</v>
      </c>
      <c r="J971" s="151" t="s">
        <v>5261</v>
      </c>
      <c r="K971" s="151" t="s">
        <v>5388</v>
      </c>
      <c r="L971" s="151" t="s">
        <v>5352</v>
      </c>
      <c r="M971" s="151" t="s">
        <v>361</v>
      </c>
      <c r="N971" s="341" t="s">
        <v>5389</v>
      </c>
      <c r="O971" s="151">
        <v>46120</v>
      </c>
      <c r="P971" s="151"/>
      <c r="Q971" s="151"/>
      <c r="R971" s="151" t="s">
        <v>2177</v>
      </c>
      <c r="S971" s="151" t="s">
        <v>361</v>
      </c>
      <c r="T971" s="151" t="s">
        <v>4334</v>
      </c>
      <c r="U971" s="151" t="s">
        <v>4252</v>
      </c>
      <c r="V971" s="151" t="s">
        <v>49</v>
      </c>
      <c r="W971" s="151">
        <v>1</v>
      </c>
      <c r="X971" s="151" t="s">
        <v>49</v>
      </c>
      <c r="Y971" s="151" t="s">
        <v>4252</v>
      </c>
      <c r="Z971" s="151"/>
      <c r="AA971" s="151"/>
      <c r="AB971" s="151" t="s">
        <v>855</v>
      </c>
      <c r="AC971" s="342"/>
    </row>
    <row r="972" spans="1:29" ht="90">
      <c r="A972" s="151" t="s">
        <v>5198</v>
      </c>
      <c r="B972" s="151" t="s">
        <v>5390</v>
      </c>
      <c r="C972" s="151" t="s">
        <v>3919</v>
      </c>
      <c r="D972" s="151" t="s">
        <v>17</v>
      </c>
      <c r="E972" s="151" t="s">
        <v>5391</v>
      </c>
      <c r="F972" s="151" t="s">
        <v>2527</v>
      </c>
      <c r="G972" s="151" t="s">
        <v>2173</v>
      </c>
      <c r="H972" s="151" t="s">
        <v>1183</v>
      </c>
      <c r="I972" s="151" t="s">
        <v>1184</v>
      </c>
      <c r="J972" s="151" t="s">
        <v>5392</v>
      </c>
      <c r="K972" s="151" t="s">
        <v>5393</v>
      </c>
      <c r="L972" s="151" t="s">
        <v>5394</v>
      </c>
      <c r="M972" s="151" t="s">
        <v>361</v>
      </c>
      <c r="N972" s="341" t="s">
        <v>5395</v>
      </c>
      <c r="O972" s="151">
        <v>47559</v>
      </c>
      <c r="P972" s="151"/>
      <c r="Q972" s="151"/>
      <c r="R972" s="151" t="s">
        <v>2177</v>
      </c>
      <c r="S972" s="151" t="s">
        <v>361</v>
      </c>
      <c r="T972" s="151" t="s">
        <v>2191</v>
      </c>
      <c r="U972" s="151" t="s">
        <v>4252</v>
      </c>
      <c r="V972" s="151" t="s">
        <v>49</v>
      </c>
      <c r="W972" s="151">
        <v>1</v>
      </c>
      <c r="X972" s="151" t="s">
        <v>49</v>
      </c>
      <c r="Y972" s="151" t="s">
        <v>4252</v>
      </c>
      <c r="Z972" s="151"/>
      <c r="AA972" s="151"/>
      <c r="AB972" s="151" t="s">
        <v>855</v>
      </c>
      <c r="AC972" s="342"/>
    </row>
    <row r="973" spans="1:29">
      <c r="A973" s="151" t="s">
        <v>5198</v>
      </c>
      <c r="B973" s="482" t="s">
        <v>5396</v>
      </c>
      <c r="C973" s="151" t="s">
        <v>3919</v>
      </c>
      <c r="D973" s="151" t="s">
        <v>17</v>
      </c>
      <c r="E973" s="151" t="s">
        <v>5397</v>
      </c>
      <c r="F973" s="151" t="s">
        <v>2527</v>
      </c>
      <c r="G973" s="151" t="s">
        <v>3656</v>
      </c>
      <c r="H973" s="151" t="s">
        <v>1183</v>
      </c>
      <c r="I973" s="151" t="s">
        <v>1184</v>
      </c>
      <c r="J973" s="151" t="s">
        <v>4017</v>
      </c>
      <c r="K973" s="151" t="s">
        <v>4023</v>
      </c>
      <c r="L973" s="151" t="s">
        <v>5398</v>
      </c>
      <c r="M973" s="151" t="s">
        <v>361</v>
      </c>
      <c r="N973" s="151" t="s">
        <v>5399</v>
      </c>
      <c r="O973" s="151"/>
      <c r="P973" s="151"/>
      <c r="Q973" s="151"/>
      <c r="R973" s="151" t="s">
        <v>2177</v>
      </c>
      <c r="S973" s="151" t="s">
        <v>361</v>
      </c>
      <c r="T973" s="151" t="s">
        <v>2213</v>
      </c>
      <c r="U973" s="151" t="s">
        <v>4368</v>
      </c>
      <c r="V973" s="151">
        <v>8</v>
      </c>
      <c r="W973" s="151" t="s">
        <v>4380</v>
      </c>
      <c r="X973" s="151" t="s">
        <v>2445</v>
      </c>
      <c r="Y973" s="151" t="s">
        <v>4368</v>
      </c>
      <c r="Z973" s="151"/>
      <c r="AA973" s="151"/>
      <c r="AB973" s="151" t="s">
        <v>855</v>
      </c>
      <c r="AC973" s="342"/>
    </row>
    <row r="974" spans="1:29" ht="90">
      <c r="A974" s="151" t="s">
        <v>5198</v>
      </c>
      <c r="B974" s="151" t="s">
        <v>5400</v>
      </c>
      <c r="C974" s="151" t="s">
        <v>3919</v>
      </c>
      <c r="D974" s="151" t="s">
        <v>17</v>
      </c>
      <c r="E974" s="151" t="s">
        <v>5401</v>
      </c>
      <c r="F974" s="151" t="s">
        <v>2527</v>
      </c>
      <c r="G974" s="151" t="s">
        <v>2173</v>
      </c>
      <c r="H974" s="151" t="s">
        <v>1183</v>
      </c>
      <c r="I974" s="151" t="s">
        <v>1184</v>
      </c>
      <c r="J974" s="151" t="s">
        <v>5261</v>
      </c>
      <c r="K974" s="151" t="s">
        <v>5402</v>
      </c>
      <c r="L974" s="151" t="s">
        <v>5338</v>
      </c>
      <c r="M974" s="151" t="s">
        <v>361</v>
      </c>
      <c r="N974" s="341" t="s">
        <v>5403</v>
      </c>
      <c r="O974" s="151">
        <v>46120</v>
      </c>
      <c r="P974" s="151"/>
      <c r="Q974" s="151"/>
      <c r="R974" s="151" t="s">
        <v>2177</v>
      </c>
      <c r="S974" s="151" t="s">
        <v>361</v>
      </c>
      <c r="T974" s="151" t="s">
        <v>2213</v>
      </c>
      <c r="U974" s="151" t="s">
        <v>3582</v>
      </c>
      <c r="V974" s="151">
        <v>31</v>
      </c>
      <c r="W974" s="151" t="s">
        <v>5404</v>
      </c>
      <c r="X974" s="151" t="s">
        <v>2445</v>
      </c>
      <c r="Y974" s="151" t="s">
        <v>3582</v>
      </c>
      <c r="Z974" s="151"/>
      <c r="AA974" s="151"/>
      <c r="AB974" s="151" t="s">
        <v>855</v>
      </c>
      <c r="AC974" s="342"/>
    </row>
    <row r="975" spans="1:29" ht="90">
      <c r="A975" s="151" t="s">
        <v>5198</v>
      </c>
      <c r="B975" s="151" t="s">
        <v>5405</v>
      </c>
      <c r="C975" s="151" t="s">
        <v>3919</v>
      </c>
      <c r="D975" s="151" t="s">
        <v>17</v>
      </c>
      <c r="E975" s="151" t="s">
        <v>5406</v>
      </c>
      <c r="F975" s="151" t="s">
        <v>2527</v>
      </c>
      <c r="G975" s="151" t="s">
        <v>2173</v>
      </c>
      <c r="H975" s="151" t="s">
        <v>1183</v>
      </c>
      <c r="I975" s="151" t="s">
        <v>1184</v>
      </c>
      <c r="J975" s="151" t="s">
        <v>5261</v>
      </c>
      <c r="K975" s="151" t="s">
        <v>5407</v>
      </c>
      <c r="L975" s="151" t="s">
        <v>5408</v>
      </c>
      <c r="M975" s="151" t="s">
        <v>361</v>
      </c>
      <c r="N975" s="341" t="s">
        <v>5409</v>
      </c>
      <c r="O975" s="151">
        <v>46120</v>
      </c>
      <c r="P975" s="151"/>
      <c r="Q975" s="151"/>
      <c r="R975" s="151" t="s">
        <v>2177</v>
      </c>
      <c r="S975" s="151" t="s">
        <v>361</v>
      </c>
      <c r="T975" s="151" t="s">
        <v>2213</v>
      </c>
      <c r="U975" s="151" t="s">
        <v>3582</v>
      </c>
      <c r="V975" s="151">
        <v>8</v>
      </c>
      <c r="W975" s="151" t="s">
        <v>5410</v>
      </c>
      <c r="X975" s="151" t="s">
        <v>2445</v>
      </c>
      <c r="Y975" s="151" t="s">
        <v>3582</v>
      </c>
      <c r="Z975" s="151"/>
      <c r="AA975" s="151"/>
      <c r="AB975" s="151" t="s">
        <v>855</v>
      </c>
      <c r="AC975" s="342"/>
    </row>
    <row r="976" spans="1:29" ht="105">
      <c r="A976" s="151" t="s">
        <v>5198</v>
      </c>
      <c r="B976" s="151" t="s">
        <v>5411</v>
      </c>
      <c r="C976" s="151" t="s">
        <v>3919</v>
      </c>
      <c r="D976" s="151" t="s">
        <v>17</v>
      </c>
      <c r="E976" s="151" t="s">
        <v>5412</v>
      </c>
      <c r="F976" s="151" t="s">
        <v>2527</v>
      </c>
      <c r="G976" s="151" t="s">
        <v>2173</v>
      </c>
      <c r="H976" s="151" t="s">
        <v>1183</v>
      </c>
      <c r="I976" s="151" t="s">
        <v>1184</v>
      </c>
      <c r="J976" s="151" t="s">
        <v>5261</v>
      </c>
      <c r="K976" s="151" t="s">
        <v>5413</v>
      </c>
      <c r="L976" s="151" t="s">
        <v>5414</v>
      </c>
      <c r="M976" s="151" t="s">
        <v>361</v>
      </c>
      <c r="N976" s="341" t="s">
        <v>5415</v>
      </c>
      <c r="O976" s="151">
        <v>46120</v>
      </c>
      <c r="P976" s="151"/>
      <c r="Q976" s="151"/>
      <c r="R976" s="151" t="s">
        <v>2177</v>
      </c>
      <c r="S976" s="151" t="s">
        <v>361</v>
      </c>
      <c r="T976" s="151" t="s">
        <v>4334</v>
      </c>
      <c r="U976" s="151" t="s">
        <v>3582</v>
      </c>
      <c r="V976" s="151">
        <v>5</v>
      </c>
      <c r="W976" s="151" t="s">
        <v>4380</v>
      </c>
      <c r="X976" s="151" t="s">
        <v>2445</v>
      </c>
      <c r="Y976" s="151" t="s">
        <v>3582</v>
      </c>
      <c r="Z976" s="151"/>
      <c r="AA976" s="151"/>
      <c r="AB976" s="151" t="s">
        <v>855</v>
      </c>
      <c r="AC976" s="342"/>
    </row>
    <row r="977" spans="1:29" ht="75">
      <c r="A977" s="151" t="s">
        <v>5198</v>
      </c>
      <c r="B977" s="151" t="s">
        <v>5416</v>
      </c>
      <c r="C977" s="151" t="s">
        <v>341</v>
      </c>
      <c r="D977" s="151" t="s">
        <v>17</v>
      </c>
      <c r="E977" s="151" t="s">
        <v>5417</v>
      </c>
      <c r="F977" s="151" t="s">
        <v>2527</v>
      </c>
      <c r="G977" s="151" t="s">
        <v>2173</v>
      </c>
      <c r="H977" s="151" t="s">
        <v>1183</v>
      </c>
      <c r="I977" s="151" t="s">
        <v>1184</v>
      </c>
      <c r="J977" s="151" t="s">
        <v>806</v>
      </c>
      <c r="K977" s="151" t="s">
        <v>4503</v>
      </c>
      <c r="L977" s="151" t="s">
        <v>3596</v>
      </c>
      <c r="M977" s="151" t="s">
        <v>361</v>
      </c>
      <c r="N977" s="341" t="s">
        <v>5418</v>
      </c>
      <c r="O977" s="151">
        <v>2212881</v>
      </c>
      <c r="P977" s="151"/>
      <c r="Q977" s="151"/>
      <c r="R977" s="151" t="s">
        <v>2177</v>
      </c>
      <c r="S977" s="151" t="s">
        <v>361</v>
      </c>
      <c r="T977" s="151" t="s">
        <v>2213</v>
      </c>
      <c r="U977" s="151" t="s">
        <v>2507</v>
      </c>
      <c r="V977" s="151">
        <v>24</v>
      </c>
      <c r="W977" s="151" t="s">
        <v>2507</v>
      </c>
      <c r="X977" s="151" t="s">
        <v>2445</v>
      </c>
      <c r="Y977" s="151" t="s">
        <v>2507</v>
      </c>
      <c r="Z977" s="151"/>
      <c r="AA977" s="151"/>
      <c r="AB977" s="151" t="s">
        <v>855</v>
      </c>
      <c r="AC977" s="342"/>
    </row>
    <row r="978" spans="1:29" ht="90">
      <c r="A978" s="151" t="s">
        <v>5198</v>
      </c>
      <c r="B978" s="151" t="s">
        <v>5419</v>
      </c>
      <c r="C978" s="151" t="s">
        <v>341</v>
      </c>
      <c r="D978" s="151" t="s">
        <v>17</v>
      </c>
      <c r="E978" s="151" t="s">
        <v>5420</v>
      </c>
      <c r="F978" s="151" t="s">
        <v>2527</v>
      </c>
      <c r="G978" s="151" t="s">
        <v>2173</v>
      </c>
      <c r="H978" s="151" t="s">
        <v>1183</v>
      </c>
      <c r="I978" s="151" t="s">
        <v>1184</v>
      </c>
      <c r="J978" s="151" t="s">
        <v>5261</v>
      </c>
      <c r="K978" s="151" t="s">
        <v>5421</v>
      </c>
      <c r="L978" s="151" t="s">
        <v>5422</v>
      </c>
      <c r="M978" s="151" t="s">
        <v>361</v>
      </c>
      <c r="N978" s="341" t="s">
        <v>5423</v>
      </c>
      <c r="O978" s="151">
        <v>46120</v>
      </c>
      <c r="P978" s="151"/>
      <c r="Q978" s="151"/>
      <c r="R978" s="151" t="s">
        <v>2177</v>
      </c>
      <c r="S978" s="151" t="s">
        <v>361</v>
      </c>
      <c r="T978" s="151" t="s">
        <v>2213</v>
      </c>
      <c r="U978" s="151" t="s">
        <v>3582</v>
      </c>
      <c r="V978" s="151">
        <v>25</v>
      </c>
      <c r="W978" s="151" t="s">
        <v>4380</v>
      </c>
      <c r="X978" s="151" t="s">
        <v>2445</v>
      </c>
      <c r="Y978" s="151" t="s">
        <v>3582</v>
      </c>
      <c r="Z978" s="151"/>
      <c r="AA978" s="151"/>
      <c r="AB978" s="151" t="s">
        <v>855</v>
      </c>
      <c r="AC978" s="342"/>
    </row>
    <row r="979" spans="1:29" ht="90">
      <c r="A979" s="151" t="s">
        <v>5198</v>
      </c>
      <c r="B979" s="151" t="s">
        <v>5424</v>
      </c>
      <c r="C979" s="151" t="s">
        <v>341</v>
      </c>
      <c r="D979" s="151" t="s">
        <v>17</v>
      </c>
      <c r="E979" s="151" t="s">
        <v>5425</v>
      </c>
      <c r="F979" s="151" t="s">
        <v>2527</v>
      </c>
      <c r="G979" s="151" t="s">
        <v>2173</v>
      </c>
      <c r="H979" s="151" t="s">
        <v>1183</v>
      </c>
      <c r="I979" s="151" t="s">
        <v>1184</v>
      </c>
      <c r="J979" s="151" t="s">
        <v>5261</v>
      </c>
      <c r="K979" s="151" t="s">
        <v>5426</v>
      </c>
      <c r="L979" s="151" t="s">
        <v>5352</v>
      </c>
      <c r="M979" s="151" t="s">
        <v>361</v>
      </c>
      <c r="N979" s="341" t="s">
        <v>5427</v>
      </c>
      <c r="O979" s="151">
        <v>46120</v>
      </c>
      <c r="P979" s="151"/>
      <c r="Q979" s="151"/>
      <c r="R979" s="151" t="s">
        <v>2177</v>
      </c>
      <c r="S979" s="151" t="s">
        <v>361</v>
      </c>
      <c r="T979" s="151" t="s">
        <v>4334</v>
      </c>
      <c r="U979" s="151" t="s">
        <v>3608</v>
      </c>
      <c r="V979" s="151"/>
      <c r="W979" s="151">
        <v>1</v>
      </c>
      <c r="X979" s="151" t="s">
        <v>2445</v>
      </c>
      <c r="Y979" s="151" t="s">
        <v>3608</v>
      </c>
      <c r="Z979" s="151"/>
      <c r="AA979" s="151"/>
      <c r="AB979" s="151" t="s">
        <v>855</v>
      </c>
      <c r="AC979" s="342"/>
    </row>
    <row r="980" spans="1:29" ht="90">
      <c r="A980" s="151" t="s">
        <v>5198</v>
      </c>
      <c r="B980" s="151" t="s">
        <v>5428</v>
      </c>
      <c r="C980" s="151" t="s">
        <v>341</v>
      </c>
      <c r="D980" s="151" t="s">
        <v>17</v>
      </c>
      <c r="E980" s="151" t="s">
        <v>5429</v>
      </c>
      <c r="F980" s="151" t="s">
        <v>2527</v>
      </c>
      <c r="G980" s="151" t="s">
        <v>2173</v>
      </c>
      <c r="H980" s="151" t="s">
        <v>1183</v>
      </c>
      <c r="I980" s="151" t="s">
        <v>1184</v>
      </c>
      <c r="J980" s="151" t="s">
        <v>806</v>
      </c>
      <c r="K980" s="151" t="s">
        <v>1830</v>
      </c>
      <c r="L980" s="151" t="s">
        <v>3596</v>
      </c>
      <c r="M980" s="151" t="s">
        <v>361</v>
      </c>
      <c r="N980" s="341" t="s">
        <v>5430</v>
      </c>
      <c r="O980" s="151">
        <v>2212881</v>
      </c>
      <c r="P980" s="151"/>
      <c r="Q980" s="151"/>
      <c r="R980" s="151" t="s">
        <v>2177</v>
      </c>
      <c r="S980" s="151" t="s">
        <v>361</v>
      </c>
      <c r="T980" s="151" t="s">
        <v>2213</v>
      </c>
      <c r="U980" s="151" t="s">
        <v>3582</v>
      </c>
      <c r="V980" s="151">
        <v>25</v>
      </c>
      <c r="W980" s="151" t="s">
        <v>4276</v>
      </c>
      <c r="X980" s="151" t="s">
        <v>2445</v>
      </c>
      <c r="Y980" s="151" t="s">
        <v>3582</v>
      </c>
      <c r="Z980" s="151"/>
      <c r="AA980" s="151"/>
      <c r="AB980" s="151" t="s">
        <v>855</v>
      </c>
      <c r="AC980" s="342"/>
    </row>
    <row r="981" spans="1:29" ht="90">
      <c r="A981" s="151" t="s">
        <v>5198</v>
      </c>
      <c r="B981" s="151" t="s">
        <v>5431</v>
      </c>
      <c r="C981" s="151" t="s">
        <v>3919</v>
      </c>
      <c r="D981" s="151" t="s">
        <v>17</v>
      </c>
      <c r="E981" s="151" t="s">
        <v>5432</v>
      </c>
      <c r="F981" s="151" t="s">
        <v>2527</v>
      </c>
      <c r="G981" s="151" t="s">
        <v>2173</v>
      </c>
      <c r="H981" s="151" t="s">
        <v>1183</v>
      </c>
      <c r="I981" s="151" t="s">
        <v>1184</v>
      </c>
      <c r="J981" s="151" t="s">
        <v>5261</v>
      </c>
      <c r="K981" s="151" t="s">
        <v>5433</v>
      </c>
      <c r="L981" s="151" t="s">
        <v>5352</v>
      </c>
      <c r="M981" s="151" t="s">
        <v>361</v>
      </c>
      <c r="N981" s="341" t="s">
        <v>5434</v>
      </c>
      <c r="O981" s="151">
        <v>46120</v>
      </c>
      <c r="P981" s="151"/>
      <c r="Q981" s="151"/>
      <c r="R981" s="151" t="s">
        <v>2177</v>
      </c>
      <c r="S981" s="151" t="s">
        <v>361</v>
      </c>
      <c r="T981" s="151" t="s">
        <v>4334</v>
      </c>
      <c r="U981" s="151" t="s">
        <v>3608</v>
      </c>
      <c r="V981" s="151"/>
      <c r="W981" s="151">
        <v>1</v>
      </c>
      <c r="X981" s="151" t="s">
        <v>2445</v>
      </c>
      <c r="Y981" s="151" t="s">
        <v>3608</v>
      </c>
      <c r="Z981" s="151"/>
      <c r="AA981" s="151"/>
      <c r="AB981" s="151" t="s">
        <v>855</v>
      </c>
      <c r="AC981" s="342"/>
    </row>
    <row r="982" spans="1:29" ht="90">
      <c r="A982" s="151" t="s">
        <v>5198</v>
      </c>
      <c r="B982" s="151" t="s">
        <v>5435</v>
      </c>
      <c r="C982" s="151" t="s">
        <v>341</v>
      </c>
      <c r="D982" s="151" t="s">
        <v>17</v>
      </c>
      <c r="E982" s="151" t="s">
        <v>5436</v>
      </c>
      <c r="F982" s="151" t="s">
        <v>2527</v>
      </c>
      <c r="G982" s="151" t="s">
        <v>2173</v>
      </c>
      <c r="H982" s="151" t="s">
        <v>1183</v>
      </c>
      <c r="I982" s="151" t="s">
        <v>1184</v>
      </c>
      <c r="J982" s="151" t="s">
        <v>5261</v>
      </c>
      <c r="K982" s="151" t="s">
        <v>5437</v>
      </c>
      <c r="L982" s="151" t="s">
        <v>5352</v>
      </c>
      <c r="M982" s="151" t="s">
        <v>361</v>
      </c>
      <c r="N982" s="341" t="s">
        <v>5438</v>
      </c>
      <c r="O982" s="151">
        <v>46120</v>
      </c>
      <c r="P982" s="151"/>
      <c r="Q982" s="151"/>
      <c r="R982" s="151" t="s">
        <v>2177</v>
      </c>
      <c r="S982" s="151" t="s">
        <v>361</v>
      </c>
      <c r="T982" s="151" t="s">
        <v>5439</v>
      </c>
      <c r="U982" s="151" t="s">
        <v>3608</v>
      </c>
      <c r="V982" s="151" t="s">
        <v>49</v>
      </c>
      <c r="W982" s="151" t="s">
        <v>5294</v>
      </c>
      <c r="X982" s="151"/>
      <c r="Y982" s="151" t="s">
        <v>3608</v>
      </c>
      <c r="Z982" s="151" t="s">
        <v>5440</v>
      </c>
      <c r="AA982" s="151"/>
      <c r="AB982" s="151" t="s">
        <v>855</v>
      </c>
      <c r="AC982" s="342"/>
    </row>
    <row r="983" spans="1:29" ht="90">
      <c r="A983" s="151" t="s">
        <v>5198</v>
      </c>
      <c r="B983" s="151" t="s">
        <v>5441</v>
      </c>
      <c r="C983" s="151" t="s">
        <v>341</v>
      </c>
      <c r="D983" s="151" t="s">
        <v>17</v>
      </c>
      <c r="E983" s="151" t="s">
        <v>5442</v>
      </c>
      <c r="F983" s="151" t="s">
        <v>2527</v>
      </c>
      <c r="G983" s="151" t="s">
        <v>2173</v>
      </c>
      <c r="H983" s="151" t="s">
        <v>1183</v>
      </c>
      <c r="I983" s="151" t="s">
        <v>1184</v>
      </c>
      <c r="J983" s="151" t="s">
        <v>5261</v>
      </c>
      <c r="K983" s="151" t="s">
        <v>5443</v>
      </c>
      <c r="L983" s="151" t="s">
        <v>5414</v>
      </c>
      <c r="M983" s="151" t="s">
        <v>361</v>
      </c>
      <c r="N983" s="341" t="s">
        <v>5444</v>
      </c>
      <c r="O983" s="151">
        <v>46120</v>
      </c>
      <c r="P983" s="151"/>
      <c r="Q983" s="151"/>
      <c r="R983" s="151" t="s">
        <v>2177</v>
      </c>
      <c r="S983" s="151" t="s">
        <v>361</v>
      </c>
      <c r="T983" s="151" t="s">
        <v>2213</v>
      </c>
      <c r="U983" s="151" t="s">
        <v>3582</v>
      </c>
      <c r="V983" s="151">
        <v>10</v>
      </c>
      <c r="W983" s="151" t="s">
        <v>4380</v>
      </c>
      <c r="X983" s="151" t="s">
        <v>2445</v>
      </c>
      <c r="Y983" s="151" t="s">
        <v>3582</v>
      </c>
      <c r="Z983" s="151"/>
      <c r="AA983" s="151"/>
      <c r="AB983" s="151" t="s">
        <v>855</v>
      </c>
      <c r="AC983" s="342"/>
    </row>
    <row r="984" spans="1:29" ht="105">
      <c r="A984" s="151" t="s">
        <v>5198</v>
      </c>
      <c r="B984" s="151" t="s">
        <v>5445</v>
      </c>
      <c r="C984" s="151" t="s">
        <v>3919</v>
      </c>
      <c r="D984" s="151" t="s">
        <v>17</v>
      </c>
      <c r="E984" s="151" t="s">
        <v>5446</v>
      </c>
      <c r="F984" s="151" t="s">
        <v>2527</v>
      </c>
      <c r="G984" s="151" t="s">
        <v>2173</v>
      </c>
      <c r="H984" s="151" t="s">
        <v>1183</v>
      </c>
      <c r="I984" s="151" t="s">
        <v>1184</v>
      </c>
      <c r="J984" s="151" t="s">
        <v>5261</v>
      </c>
      <c r="K984" s="151" t="s">
        <v>5357</v>
      </c>
      <c r="L984" s="151" t="s">
        <v>5352</v>
      </c>
      <c r="M984" s="151" t="s">
        <v>361</v>
      </c>
      <c r="N984" s="341" t="s">
        <v>5447</v>
      </c>
      <c r="O984" s="151">
        <v>46120</v>
      </c>
      <c r="P984" s="151"/>
      <c r="Q984" s="151"/>
      <c r="R984" s="151" t="s">
        <v>2177</v>
      </c>
      <c r="S984" s="151" t="s">
        <v>361</v>
      </c>
      <c r="T984" s="151" t="s">
        <v>4334</v>
      </c>
      <c r="U984" s="151" t="s">
        <v>3608</v>
      </c>
      <c r="V984" s="151" t="s">
        <v>49</v>
      </c>
      <c r="W984" s="151">
        <v>1</v>
      </c>
      <c r="X984" s="151" t="s">
        <v>2445</v>
      </c>
      <c r="Y984" s="151" t="s">
        <v>3608</v>
      </c>
      <c r="Z984" s="151"/>
      <c r="AA984" s="151"/>
      <c r="AB984" s="151" t="s">
        <v>855</v>
      </c>
      <c r="AC984" s="342"/>
    </row>
    <row r="985" spans="1:29" ht="90">
      <c r="A985" s="151" t="s">
        <v>5198</v>
      </c>
      <c r="B985" s="151" t="s">
        <v>5448</v>
      </c>
      <c r="C985" s="151" t="s">
        <v>3919</v>
      </c>
      <c r="D985" s="151" t="s">
        <v>17</v>
      </c>
      <c r="E985" s="151" t="s">
        <v>5449</v>
      </c>
      <c r="F985" s="151" t="s">
        <v>2527</v>
      </c>
      <c r="G985" s="151" t="s">
        <v>2173</v>
      </c>
      <c r="H985" s="151" t="s">
        <v>1183</v>
      </c>
      <c r="I985" s="151" t="s">
        <v>1184</v>
      </c>
      <c r="J985" s="151" t="s">
        <v>5261</v>
      </c>
      <c r="K985" s="151" t="s">
        <v>5450</v>
      </c>
      <c r="L985" s="151" t="s">
        <v>5352</v>
      </c>
      <c r="M985" s="151" t="s">
        <v>361</v>
      </c>
      <c r="N985" s="341" t="s">
        <v>5451</v>
      </c>
      <c r="O985" s="151">
        <v>46120</v>
      </c>
      <c r="P985" s="151"/>
      <c r="Q985" s="151"/>
      <c r="R985" s="151" t="s">
        <v>2177</v>
      </c>
      <c r="S985" s="151" t="s">
        <v>361</v>
      </c>
      <c r="T985" s="151" t="s">
        <v>4334</v>
      </c>
      <c r="U985" s="151" t="s">
        <v>3608</v>
      </c>
      <c r="V985" s="151" t="s">
        <v>49</v>
      </c>
      <c r="W985" s="151">
        <v>1</v>
      </c>
      <c r="X985" s="151" t="s">
        <v>2445</v>
      </c>
      <c r="Y985" s="151" t="s">
        <v>3608</v>
      </c>
      <c r="Z985" s="151"/>
      <c r="AA985" s="151"/>
      <c r="AB985" s="151" t="s">
        <v>855</v>
      </c>
      <c r="AC985" s="342"/>
    </row>
    <row r="986" spans="1:29" ht="105">
      <c r="A986" s="151" t="s">
        <v>5198</v>
      </c>
      <c r="B986" s="151" t="s">
        <v>5452</v>
      </c>
      <c r="C986" s="151" t="s">
        <v>3919</v>
      </c>
      <c r="D986" s="151" t="s">
        <v>17</v>
      </c>
      <c r="E986" s="151" t="s">
        <v>5453</v>
      </c>
      <c r="F986" s="151" t="s">
        <v>2527</v>
      </c>
      <c r="G986" s="151" t="s">
        <v>2546</v>
      </c>
      <c r="H986" s="151" t="s">
        <v>1183</v>
      </c>
      <c r="I986" s="151" t="s">
        <v>1184</v>
      </c>
      <c r="J986" s="151" t="s">
        <v>5261</v>
      </c>
      <c r="K986" s="151" t="s">
        <v>5454</v>
      </c>
      <c r="L986" s="151" t="s">
        <v>5455</v>
      </c>
      <c r="M986" s="151" t="s">
        <v>361</v>
      </c>
      <c r="N986" s="341" t="s">
        <v>5456</v>
      </c>
      <c r="O986" s="151">
        <v>46120</v>
      </c>
      <c r="P986" s="151"/>
      <c r="Q986" s="151"/>
      <c r="R986" s="151"/>
      <c r="S986" s="151" t="s">
        <v>361</v>
      </c>
      <c r="T986" s="151"/>
      <c r="U986" s="151"/>
      <c r="V986" s="151"/>
      <c r="W986" s="151"/>
      <c r="X986" s="151"/>
      <c r="Y986" s="151"/>
      <c r="Z986" s="151"/>
      <c r="AA986" s="151"/>
      <c r="AB986" s="151"/>
      <c r="AC986" s="342"/>
    </row>
    <row r="987" spans="1:29" ht="120">
      <c r="A987" s="151" t="s">
        <v>5198</v>
      </c>
      <c r="B987" s="151" t="s">
        <v>5457</v>
      </c>
      <c r="C987" s="151" t="s">
        <v>3919</v>
      </c>
      <c r="D987" s="151" t="s">
        <v>17</v>
      </c>
      <c r="E987" s="151" t="s">
        <v>5458</v>
      </c>
      <c r="F987" s="151" t="s">
        <v>2527</v>
      </c>
      <c r="G987" s="151" t="s">
        <v>2173</v>
      </c>
      <c r="H987" s="151" t="s">
        <v>1183</v>
      </c>
      <c r="I987" s="151" t="s">
        <v>4478</v>
      </c>
      <c r="J987" s="151" t="s">
        <v>5459</v>
      </c>
      <c r="K987" s="151" t="s">
        <v>5460</v>
      </c>
      <c r="L987" s="151" t="s">
        <v>5461</v>
      </c>
      <c r="M987" s="151" t="s">
        <v>361</v>
      </c>
      <c r="N987" s="341" t="s">
        <v>5462</v>
      </c>
      <c r="O987" s="151">
        <v>29221</v>
      </c>
      <c r="P987" s="151"/>
      <c r="Q987" s="151"/>
      <c r="R987" s="151" t="s">
        <v>2177</v>
      </c>
      <c r="S987" s="151" t="s">
        <v>361</v>
      </c>
      <c r="T987" s="151" t="s">
        <v>2213</v>
      </c>
      <c r="U987" s="151" t="s">
        <v>3582</v>
      </c>
      <c r="V987" s="151">
        <v>80</v>
      </c>
      <c r="W987" s="151" t="s">
        <v>5410</v>
      </c>
      <c r="X987" s="151" t="s">
        <v>2445</v>
      </c>
      <c r="Y987" s="151" t="s">
        <v>3582</v>
      </c>
      <c r="Z987" s="151"/>
      <c r="AA987" s="151"/>
      <c r="AB987" s="151" t="s">
        <v>855</v>
      </c>
      <c r="AC987" s="342"/>
    </row>
    <row r="988" spans="1:29" ht="120">
      <c r="A988" s="151" t="s">
        <v>5198</v>
      </c>
      <c r="B988" s="151" t="s">
        <v>5463</v>
      </c>
      <c r="C988" s="151" t="s">
        <v>3919</v>
      </c>
      <c r="D988" s="151" t="s">
        <v>17</v>
      </c>
      <c r="E988" s="151" t="s">
        <v>5464</v>
      </c>
      <c r="F988" s="151" t="s">
        <v>2527</v>
      </c>
      <c r="G988" s="151" t="s">
        <v>2173</v>
      </c>
      <c r="H988" s="151" t="s">
        <v>1183</v>
      </c>
      <c r="I988" s="151" t="s">
        <v>1184</v>
      </c>
      <c r="J988" s="151" t="s">
        <v>5459</v>
      </c>
      <c r="K988" s="151" t="s">
        <v>5465</v>
      </c>
      <c r="L988" s="151" t="s">
        <v>5461</v>
      </c>
      <c r="M988" s="151" t="s">
        <v>361</v>
      </c>
      <c r="N988" s="341" t="s">
        <v>5466</v>
      </c>
      <c r="O988" s="151">
        <v>29221</v>
      </c>
      <c r="P988" s="151"/>
      <c r="Q988" s="151"/>
      <c r="R988" s="151" t="s">
        <v>2177</v>
      </c>
      <c r="S988" s="151" t="s">
        <v>361</v>
      </c>
      <c r="T988" s="151" t="s">
        <v>2213</v>
      </c>
      <c r="U988" s="151" t="s">
        <v>3582</v>
      </c>
      <c r="V988" s="151">
        <v>80</v>
      </c>
      <c r="W988" s="151" t="s">
        <v>5410</v>
      </c>
      <c r="X988" s="151" t="s">
        <v>2445</v>
      </c>
      <c r="Y988" s="151" t="s">
        <v>3582</v>
      </c>
      <c r="Z988" s="151"/>
      <c r="AA988" s="151"/>
      <c r="AB988" s="151" t="s">
        <v>855</v>
      </c>
      <c r="AC988" s="342"/>
    </row>
    <row r="989" spans="1:29" ht="105">
      <c r="A989" s="151" t="s">
        <v>5198</v>
      </c>
      <c r="B989" s="151" t="s">
        <v>5467</v>
      </c>
      <c r="C989" s="151" t="s">
        <v>3919</v>
      </c>
      <c r="D989" s="151" t="s">
        <v>17</v>
      </c>
      <c r="E989" s="151" t="s">
        <v>5468</v>
      </c>
      <c r="F989" s="151" t="s">
        <v>2527</v>
      </c>
      <c r="G989" s="151" t="s">
        <v>2173</v>
      </c>
      <c r="H989" s="151" t="s">
        <v>1183</v>
      </c>
      <c r="I989" s="151" t="s">
        <v>1184</v>
      </c>
      <c r="J989" s="151" t="s">
        <v>5459</v>
      </c>
      <c r="K989" s="151" t="s">
        <v>5469</v>
      </c>
      <c r="L989" s="151" t="s">
        <v>5461</v>
      </c>
      <c r="M989" s="151" t="s">
        <v>361</v>
      </c>
      <c r="N989" s="341" t="s">
        <v>5470</v>
      </c>
      <c r="O989" s="151">
        <v>29221</v>
      </c>
      <c r="P989" s="151"/>
      <c r="Q989" s="151"/>
      <c r="R989" s="151" t="s">
        <v>2177</v>
      </c>
      <c r="S989" s="151" t="s">
        <v>361</v>
      </c>
      <c r="T989" s="151" t="s">
        <v>2213</v>
      </c>
      <c r="U989" s="151" t="s">
        <v>3582</v>
      </c>
      <c r="V989" s="151">
        <v>80</v>
      </c>
      <c r="W989" s="151" t="s">
        <v>5410</v>
      </c>
      <c r="X989" s="151" t="s">
        <v>2445</v>
      </c>
      <c r="Y989" s="151" t="s">
        <v>3582</v>
      </c>
      <c r="Z989" s="151"/>
      <c r="AA989" s="151"/>
      <c r="AB989" s="151" t="s">
        <v>855</v>
      </c>
      <c r="AC989" s="342"/>
    </row>
    <row r="990" spans="1:29" ht="105">
      <c r="A990" s="151" t="s">
        <v>5198</v>
      </c>
      <c r="B990" s="151" t="s">
        <v>5471</v>
      </c>
      <c r="C990" s="151" t="s">
        <v>3919</v>
      </c>
      <c r="D990" s="151" t="s">
        <v>17</v>
      </c>
      <c r="E990" s="151" t="s">
        <v>5472</v>
      </c>
      <c r="F990" s="151" t="s">
        <v>2527</v>
      </c>
      <c r="G990" s="151" t="s">
        <v>2173</v>
      </c>
      <c r="H990" s="151" t="s">
        <v>1183</v>
      </c>
      <c r="I990" s="151" t="s">
        <v>1184</v>
      </c>
      <c r="J990" s="151" t="s">
        <v>5459</v>
      </c>
      <c r="K990" s="151" t="s">
        <v>5473</v>
      </c>
      <c r="L990" s="151" t="s">
        <v>5461</v>
      </c>
      <c r="M990" s="151" t="s">
        <v>361</v>
      </c>
      <c r="N990" s="341" t="s">
        <v>5474</v>
      </c>
      <c r="O990" s="151">
        <v>29221</v>
      </c>
      <c r="P990" s="151"/>
      <c r="Q990" s="151"/>
      <c r="R990" s="151" t="s">
        <v>2177</v>
      </c>
      <c r="S990" s="151" t="s">
        <v>361</v>
      </c>
      <c r="T990" s="151" t="s">
        <v>2213</v>
      </c>
      <c r="U990" s="151" t="s">
        <v>3582</v>
      </c>
      <c r="V990" s="151">
        <v>80</v>
      </c>
      <c r="W990" s="151" t="s">
        <v>5410</v>
      </c>
      <c r="X990" s="151" t="s">
        <v>2445</v>
      </c>
      <c r="Y990" s="151" t="s">
        <v>3582</v>
      </c>
      <c r="Z990" s="151"/>
      <c r="AA990" s="151"/>
      <c r="AB990" s="151" t="s">
        <v>855</v>
      </c>
      <c r="AC990" s="342"/>
    </row>
    <row r="991" spans="1:29" ht="90">
      <c r="A991" s="151" t="s">
        <v>5198</v>
      </c>
      <c r="B991" s="151" t="s">
        <v>5475</v>
      </c>
      <c r="C991" s="151" t="s">
        <v>3919</v>
      </c>
      <c r="D991" s="151" t="s">
        <v>17</v>
      </c>
      <c r="E991" s="151" t="s">
        <v>5476</v>
      </c>
      <c r="F991" s="151" t="s">
        <v>2527</v>
      </c>
      <c r="G991" s="151" t="s">
        <v>2173</v>
      </c>
      <c r="H991" s="151" t="s">
        <v>1183</v>
      </c>
      <c r="I991" s="151" t="s">
        <v>1184</v>
      </c>
      <c r="J991" s="151" t="s">
        <v>805</v>
      </c>
      <c r="K991" s="151" t="s">
        <v>5477</v>
      </c>
      <c r="L991" s="151" t="s">
        <v>3706</v>
      </c>
      <c r="M991" s="151" t="s">
        <v>361</v>
      </c>
      <c r="N991" s="341" t="s">
        <v>5478</v>
      </c>
      <c r="O991" s="151">
        <v>2212878</v>
      </c>
      <c r="P991" s="151"/>
      <c r="Q991" s="151"/>
      <c r="R991" s="151" t="s">
        <v>2177</v>
      </c>
      <c r="S991" s="341" t="s">
        <v>361</v>
      </c>
      <c r="T991" s="151" t="s">
        <v>2213</v>
      </c>
      <c r="U991" s="151" t="s">
        <v>3582</v>
      </c>
      <c r="V991" s="151">
        <v>80</v>
      </c>
      <c r="W991" s="151" t="s">
        <v>5410</v>
      </c>
      <c r="X991" s="151" t="s">
        <v>2445</v>
      </c>
      <c r="Y991" s="151" t="s">
        <v>3582</v>
      </c>
      <c r="Z991" s="151"/>
      <c r="AA991" s="151"/>
      <c r="AB991" s="151" t="s">
        <v>855</v>
      </c>
      <c r="AC991" s="342"/>
    </row>
    <row r="992" spans="1:29" ht="105">
      <c r="A992" s="151" t="s">
        <v>5198</v>
      </c>
      <c r="B992" s="151" t="s">
        <v>5479</v>
      </c>
      <c r="C992" s="151" t="s">
        <v>3919</v>
      </c>
      <c r="D992" s="151" t="s">
        <v>17</v>
      </c>
      <c r="E992" s="151" t="s">
        <v>5480</v>
      </c>
      <c r="F992" s="151" t="s">
        <v>2527</v>
      </c>
      <c r="G992" s="151" t="s">
        <v>2173</v>
      </c>
      <c r="H992" s="151" t="s">
        <v>1183</v>
      </c>
      <c r="I992" s="151" t="s">
        <v>1184</v>
      </c>
      <c r="J992" s="151" t="s">
        <v>5459</v>
      </c>
      <c r="K992" s="151" t="s">
        <v>5481</v>
      </c>
      <c r="L992" s="151" t="s">
        <v>5461</v>
      </c>
      <c r="M992" s="151" t="s">
        <v>361</v>
      </c>
      <c r="N992" s="341" t="s">
        <v>5482</v>
      </c>
      <c r="O992" s="151">
        <v>29221</v>
      </c>
      <c r="P992" s="151"/>
      <c r="Q992" s="151"/>
      <c r="R992" s="151" t="s">
        <v>2177</v>
      </c>
      <c r="S992" s="151" t="s">
        <v>361</v>
      </c>
      <c r="T992" s="151" t="s">
        <v>2213</v>
      </c>
      <c r="U992" s="151" t="s">
        <v>3582</v>
      </c>
      <c r="V992" s="151">
        <v>80</v>
      </c>
      <c r="W992" s="151" t="s">
        <v>5410</v>
      </c>
      <c r="X992" s="151" t="s">
        <v>2445</v>
      </c>
      <c r="Y992" s="151" t="s">
        <v>3582</v>
      </c>
      <c r="Z992" s="151"/>
      <c r="AA992" s="151"/>
      <c r="AB992" s="151" t="s">
        <v>855</v>
      </c>
      <c r="AC992" s="342"/>
    </row>
    <row r="993" spans="1:29" ht="90">
      <c r="A993" s="151" t="s">
        <v>5198</v>
      </c>
      <c r="B993" s="151" t="s">
        <v>5483</v>
      </c>
      <c r="C993" s="151" t="s">
        <v>3919</v>
      </c>
      <c r="D993" s="151" t="s">
        <v>17</v>
      </c>
      <c r="E993" s="151" t="s">
        <v>5484</v>
      </c>
      <c r="F993" s="151" t="s">
        <v>2527</v>
      </c>
      <c r="G993" s="151" t="s">
        <v>2173</v>
      </c>
      <c r="H993" s="151" t="s">
        <v>1183</v>
      </c>
      <c r="I993" s="151" t="s">
        <v>1184</v>
      </c>
      <c r="J993" s="151" t="s">
        <v>805</v>
      </c>
      <c r="K993" s="151" t="s">
        <v>5485</v>
      </c>
      <c r="L993" s="151" t="s">
        <v>3706</v>
      </c>
      <c r="M993" s="151" t="s">
        <v>361</v>
      </c>
      <c r="N993" s="341" t="s">
        <v>5486</v>
      </c>
      <c r="O993" s="151">
        <v>2212878</v>
      </c>
      <c r="P993" s="151"/>
      <c r="Q993" s="151"/>
      <c r="R993" s="151" t="s">
        <v>2177</v>
      </c>
      <c r="S993" s="151" t="s">
        <v>361</v>
      </c>
      <c r="T993" s="151" t="s">
        <v>2213</v>
      </c>
      <c r="U993" s="151" t="s">
        <v>3582</v>
      </c>
      <c r="V993" s="151">
        <v>9</v>
      </c>
      <c r="W993" s="151"/>
      <c r="X993" s="151" t="s">
        <v>2445</v>
      </c>
      <c r="Y993" s="151" t="s">
        <v>3582</v>
      </c>
      <c r="Z993" s="151"/>
      <c r="AA993" s="151"/>
      <c r="AB993" s="151" t="s">
        <v>855</v>
      </c>
      <c r="AC993" s="342"/>
    </row>
    <row r="994" spans="1:29" ht="135">
      <c r="A994" s="151" t="s">
        <v>5198</v>
      </c>
      <c r="B994" s="151" t="s">
        <v>5416</v>
      </c>
      <c r="C994" s="151" t="s">
        <v>5487</v>
      </c>
      <c r="D994" s="151" t="s">
        <v>17</v>
      </c>
      <c r="E994" s="151" t="s">
        <v>5488</v>
      </c>
      <c r="F994" s="151" t="s">
        <v>2527</v>
      </c>
      <c r="G994" s="151" t="s">
        <v>2173</v>
      </c>
      <c r="H994" s="151" t="s">
        <v>1183</v>
      </c>
      <c r="I994" s="151" t="s">
        <v>1184</v>
      </c>
      <c r="J994" s="151" t="s">
        <v>5271</v>
      </c>
      <c r="K994" s="151" t="s">
        <v>5489</v>
      </c>
      <c r="L994" s="151" t="s">
        <v>5348</v>
      </c>
      <c r="M994" s="151" t="s">
        <v>361</v>
      </c>
      <c r="N994" s="341" t="s">
        <v>5490</v>
      </c>
      <c r="O994" s="151">
        <v>1064142</v>
      </c>
      <c r="P994" s="151"/>
      <c r="Q994" s="151"/>
      <c r="R994" s="151" t="s">
        <v>2177</v>
      </c>
      <c r="S994" s="151" t="s">
        <v>361</v>
      </c>
      <c r="T994" s="151" t="s">
        <v>2213</v>
      </c>
      <c r="U994" s="151" t="s">
        <v>2507</v>
      </c>
      <c r="V994" s="151">
        <v>24</v>
      </c>
      <c r="W994" s="151" t="s">
        <v>2507</v>
      </c>
      <c r="X994" s="151" t="s">
        <v>2445</v>
      </c>
      <c r="Y994" s="151" t="s">
        <v>2507</v>
      </c>
      <c r="Z994" s="151"/>
      <c r="AA994" s="151"/>
      <c r="AB994" s="151" t="s">
        <v>855</v>
      </c>
      <c r="AC994" s="342"/>
    </row>
    <row r="995" spans="1:29" ht="135">
      <c r="A995" s="151" t="s">
        <v>5198</v>
      </c>
      <c r="B995" s="151" t="s">
        <v>5491</v>
      </c>
      <c r="C995" s="151" t="s">
        <v>5487</v>
      </c>
      <c r="D995" s="151" t="s">
        <v>17</v>
      </c>
      <c r="E995" s="151" t="s">
        <v>5492</v>
      </c>
      <c r="F995" s="151" t="s">
        <v>2527</v>
      </c>
      <c r="G995" s="151" t="s">
        <v>2173</v>
      </c>
      <c r="H995" s="151" t="s">
        <v>1183</v>
      </c>
      <c r="I995" s="151" t="s">
        <v>1184</v>
      </c>
      <c r="J995" s="151" t="s">
        <v>5271</v>
      </c>
      <c r="K995" s="151" t="s">
        <v>5493</v>
      </c>
      <c r="L995" s="151" t="s">
        <v>5348</v>
      </c>
      <c r="M995" s="151" t="s">
        <v>361</v>
      </c>
      <c r="N995" s="341" t="s">
        <v>5494</v>
      </c>
      <c r="O995" s="151">
        <v>1064142</v>
      </c>
      <c r="P995" s="151"/>
      <c r="Q995" s="151"/>
      <c r="R995" s="151" t="s">
        <v>2177</v>
      </c>
      <c r="S995" s="151" t="s">
        <v>361</v>
      </c>
      <c r="T995" s="151" t="s">
        <v>4334</v>
      </c>
      <c r="U995" s="151" t="s">
        <v>3608</v>
      </c>
      <c r="V995" s="151" t="s">
        <v>49</v>
      </c>
      <c r="W995" s="151">
        <v>1</v>
      </c>
      <c r="X995" s="151" t="s">
        <v>2445</v>
      </c>
      <c r="Y995" s="151" t="s">
        <v>3608</v>
      </c>
      <c r="Z995" s="151"/>
      <c r="AA995" s="151"/>
      <c r="AB995" s="151" t="s">
        <v>855</v>
      </c>
      <c r="AC995" s="342"/>
    </row>
    <row r="996" spans="1:29" ht="120">
      <c r="A996" s="151" t="s">
        <v>5198</v>
      </c>
      <c r="B996" s="151" t="s">
        <v>5495</v>
      </c>
      <c r="C996" s="151" t="s">
        <v>5487</v>
      </c>
      <c r="D996" s="151" t="s">
        <v>17</v>
      </c>
      <c r="E996" s="151" t="s">
        <v>5496</v>
      </c>
      <c r="F996" s="151" t="s">
        <v>2527</v>
      </c>
      <c r="G996" s="151" t="s">
        <v>2173</v>
      </c>
      <c r="H996" s="151" t="s">
        <v>1183</v>
      </c>
      <c r="I996" s="151" t="s">
        <v>1184</v>
      </c>
      <c r="J996" s="151" t="s">
        <v>5271</v>
      </c>
      <c r="K996" s="151" t="s">
        <v>5497</v>
      </c>
      <c r="L996" s="151" t="s">
        <v>5348</v>
      </c>
      <c r="M996" s="151" t="s">
        <v>361</v>
      </c>
      <c r="N996" s="341" t="s">
        <v>5498</v>
      </c>
      <c r="O996" s="151">
        <v>1064142</v>
      </c>
      <c r="P996" s="151"/>
      <c r="Q996" s="151"/>
      <c r="R996" s="151" t="s">
        <v>2177</v>
      </c>
      <c r="S996" s="151" t="s">
        <v>361</v>
      </c>
      <c r="T996" s="151" t="s">
        <v>2213</v>
      </c>
      <c r="U996" s="151" t="s">
        <v>3582</v>
      </c>
      <c r="V996" s="151">
        <v>8</v>
      </c>
      <c r="W996" s="151" t="s">
        <v>4380</v>
      </c>
      <c r="X996" s="151" t="s">
        <v>2445</v>
      </c>
      <c r="Y996" s="151" t="s">
        <v>3582</v>
      </c>
      <c r="Z996" s="151"/>
      <c r="AA996" s="151"/>
      <c r="AB996" s="151" t="s">
        <v>855</v>
      </c>
      <c r="AC996" s="342"/>
    </row>
    <row r="997" spans="1:29" ht="195">
      <c r="A997" s="151" t="s">
        <v>5198</v>
      </c>
      <c r="B997" s="151" t="s">
        <v>4339</v>
      </c>
      <c r="C997" s="151" t="s">
        <v>5487</v>
      </c>
      <c r="D997" s="151" t="s">
        <v>17</v>
      </c>
      <c r="E997" s="151" t="s">
        <v>5499</v>
      </c>
      <c r="F997" s="151" t="s">
        <v>2527</v>
      </c>
      <c r="G997" s="151" t="s">
        <v>2173</v>
      </c>
      <c r="H997" s="151" t="s">
        <v>1183</v>
      </c>
      <c r="I997" s="151" t="s">
        <v>1184</v>
      </c>
      <c r="J997" s="151" t="s">
        <v>5271</v>
      </c>
      <c r="K997" s="341" t="s">
        <v>5500</v>
      </c>
      <c r="L997" s="438" t="s">
        <v>5348</v>
      </c>
      <c r="N997" s="457" t="s">
        <v>5501</v>
      </c>
      <c r="O997" s="374">
        <v>1064142</v>
      </c>
      <c r="P997" s="151" t="s">
        <v>5502</v>
      </c>
      <c r="Q997" s="151" t="s">
        <v>5503</v>
      </c>
      <c r="R997" s="151" t="s">
        <v>2177</v>
      </c>
      <c r="S997" s="151" t="s">
        <v>361</v>
      </c>
      <c r="T997" s="151" t="s">
        <v>2213</v>
      </c>
      <c r="U997" s="151" t="s">
        <v>3608</v>
      </c>
      <c r="V997" s="151" t="s">
        <v>49</v>
      </c>
      <c r="W997" s="151">
        <v>1</v>
      </c>
      <c r="X997" s="151" t="s">
        <v>2445</v>
      </c>
      <c r="Y997" s="151" t="s">
        <v>3608</v>
      </c>
      <c r="Z997" s="151"/>
      <c r="AA997" s="151"/>
      <c r="AB997" s="151" t="s">
        <v>855</v>
      </c>
      <c r="AC997" s="342"/>
    </row>
    <row r="998" spans="1:29" ht="195">
      <c r="A998" s="151" t="s">
        <v>5198</v>
      </c>
      <c r="B998" s="151" t="s">
        <v>5504</v>
      </c>
      <c r="C998" s="151" t="s">
        <v>5487</v>
      </c>
      <c r="D998" s="151" t="s">
        <v>17</v>
      </c>
      <c r="E998" s="151" t="s">
        <v>5505</v>
      </c>
      <c r="F998" s="151" t="s">
        <v>2527</v>
      </c>
      <c r="G998" s="151" t="s">
        <v>2173</v>
      </c>
      <c r="H998" s="151" t="s">
        <v>1183</v>
      </c>
      <c r="I998" s="151" t="s">
        <v>1184</v>
      </c>
      <c r="J998" s="151" t="s">
        <v>5271</v>
      </c>
      <c r="K998" s="341" t="s">
        <v>5506</v>
      </c>
      <c r="L998" s="438" t="s">
        <v>5348</v>
      </c>
      <c r="M998" s="151" t="s">
        <v>361</v>
      </c>
      <c r="N998" s="341" t="s">
        <v>5507</v>
      </c>
      <c r="O998" s="374">
        <v>1064142</v>
      </c>
      <c r="P998" s="151" t="s">
        <v>5508</v>
      </c>
      <c r="Q998" s="151" t="s">
        <v>5503</v>
      </c>
      <c r="R998" s="151" t="s">
        <v>2177</v>
      </c>
      <c r="S998" s="151" t="s">
        <v>361</v>
      </c>
      <c r="T998" s="151" t="s">
        <v>2213</v>
      </c>
      <c r="U998" s="151" t="s">
        <v>3608</v>
      </c>
      <c r="V998" s="151" t="s">
        <v>49</v>
      </c>
      <c r="W998" s="151">
        <v>1</v>
      </c>
      <c r="X998" s="151" t="s">
        <v>2445</v>
      </c>
      <c r="Y998" s="151" t="s">
        <v>3608</v>
      </c>
      <c r="Z998" s="151"/>
      <c r="AA998" s="151"/>
      <c r="AB998" s="151" t="s">
        <v>855</v>
      </c>
      <c r="AC998" s="342"/>
    </row>
    <row r="999" spans="1:29" ht="90">
      <c r="A999" s="151" t="s">
        <v>5198</v>
      </c>
      <c r="B999" s="151" t="s">
        <v>5509</v>
      </c>
      <c r="C999" s="151" t="s">
        <v>5487</v>
      </c>
      <c r="D999" s="151" t="s">
        <v>17</v>
      </c>
      <c r="E999" s="151" t="s">
        <v>5510</v>
      </c>
      <c r="F999" s="151" t="s">
        <v>2527</v>
      </c>
      <c r="G999" s="151" t="s">
        <v>2173</v>
      </c>
      <c r="H999" s="151" t="s">
        <v>1183</v>
      </c>
      <c r="I999" s="151" t="s">
        <v>1184</v>
      </c>
      <c r="J999" s="151" t="s">
        <v>806</v>
      </c>
      <c r="K999" s="151" t="s">
        <v>3659</v>
      </c>
      <c r="L999" s="151" t="s">
        <v>3596</v>
      </c>
      <c r="M999" s="151" t="s">
        <v>361</v>
      </c>
      <c r="N999" s="341" t="s">
        <v>5511</v>
      </c>
      <c r="O999" s="151">
        <v>2212924</v>
      </c>
      <c r="P999" s="151"/>
      <c r="Q999" s="151"/>
      <c r="R999" s="151" t="s">
        <v>2177</v>
      </c>
      <c r="S999" s="151" t="s">
        <v>361</v>
      </c>
      <c r="T999" s="151" t="s">
        <v>2213</v>
      </c>
      <c r="U999" s="151" t="s">
        <v>2507</v>
      </c>
      <c r="V999" s="151">
        <v>20</v>
      </c>
      <c r="W999" s="151" t="s">
        <v>2507</v>
      </c>
      <c r="X999" s="151" t="s">
        <v>2445</v>
      </c>
      <c r="Y999" s="151" t="s">
        <v>2507</v>
      </c>
      <c r="Z999" s="151"/>
      <c r="AA999" s="151"/>
      <c r="AB999" s="151" t="s">
        <v>855</v>
      </c>
      <c r="AC999" s="342"/>
    </row>
    <row r="1000" spans="1:29" ht="135">
      <c r="A1000" s="151" t="s">
        <v>5198</v>
      </c>
      <c r="B1000" s="151" t="s">
        <v>5512</v>
      </c>
      <c r="C1000" s="151" t="s">
        <v>5487</v>
      </c>
      <c r="D1000" s="151" t="s">
        <v>17</v>
      </c>
      <c r="E1000" s="151" t="s">
        <v>5513</v>
      </c>
      <c r="F1000" s="151" t="s">
        <v>2527</v>
      </c>
      <c r="G1000" s="151" t="s">
        <v>2173</v>
      </c>
      <c r="H1000" s="151" t="s">
        <v>1183</v>
      </c>
      <c r="I1000" s="151" t="s">
        <v>1184</v>
      </c>
      <c r="J1000" s="151" t="s">
        <v>5271</v>
      </c>
      <c r="K1000" s="151" t="s">
        <v>5514</v>
      </c>
      <c r="L1000" s="151" t="s">
        <v>5348</v>
      </c>
      <c r="M1000" s="151" t="s">
        <v>361</v>
      </c>
      <c r="N1000" s="341" t="s">
        <v>5515</v>
      </c>
      <c r="O1000" s="151">
        <v>1064142</v>
      </c>
      <c r="P1000" s="151"/>
      <c r="Q1000" s="151"/>
      <c r="R1000" s="151" t="s">
        <v>2177</v>
      </c>
      <c r="S1000" s="151" t="s">
        <v>361</v>
      </c>
      <c r="T1000" s="151" t="s">
        <v>2213</v>
      </c>
      <c r="U1000" s="151" t="s">
        <v>2207</v>
      </c>
      <c r="V1000" s="151"/>
      <c r="W1000" s="151" t="s">
        <v>2207</v>
      </c>
      <c r="X1000" s="151" t="s">
        <v>2445</v>
      </c>
      <c r="Y1000" s="151" t="s">
        <v>2207</v>
      </c>
      <c r="Z1000" s="151"/>
      <c r="AA1000" s="151"/>
      <c r="AB1000" s="151" t="s">
        <v>855</v>
      </c>
      <c r="AC1000" s="342"/>
    </row>
    <row r="1001" spans="1:29" ht="120">
      <c r="A1001" s="151" t="s">
        <v>5198</v>
      </c>
      <c r="B1001" s="151" t="s">
        <v>5516</v>
      </c>
      <c r="C1001" s="151" t="s">
        <v>5487</v>
      </c>
      <c r="D1001" s="151" t="s">
        <v>17</v>
      </c>
      <c r="E1001" s="151" t="s">
        <v>5517</v>
      </c>
      <c r="F1001" s="151" t="s">
        <v>2527</v>
      </c>
      <c r="G1001" s="151" t="s">
        <v>2173</v>
      </c>
      <c r="H1001" s="151" t="s">
        <v>1183</v>
      </c>
      <c r="I1001" s="151" t="s">
        <v>1184</v>
      </c>
      <c r="J1001" s="151" t="s">
        <v>5271</v>
      </c>
      <c r="K1001" s="151" t="s">
        <v>5518</v>
      </c>
      <c r="L1001" s="151" t="s">
        <v>5348</v>
      </c>
      <c r="M1001" s="151" t="s">
        <v>361</v>
      </c>
      <c r="N1001" s="341" t="s">
        <v>5519</v>
      </c>
      <c r="O1001" s="151">
        <v>1064142</v>
      </c>
      <c r="P1001" s="151" t="s">
        <v>5520</v>
      </c>
      <c r="Q1001" s="151"/>
      <c r="R1001" s="151" t="s">
        <v>2177</v>
      </c>
      <c r="S1001" s="151" t="s">
        <v>361</v>
      </c>
      <c r="T1001" s="151" t="s">
        <v>2213</v>
      </c>
      <c r="U1001" s="151" t="s">
        <v>4092</v>
      </c>
      <c r="V1001" s="151">
        <v>5</v>
      </c>
      <c r="W1001" s="151" t="s">
        <v>4092</v>
      </c>
      <c r="X1001" s="151" t="s">
        <v>2445</v>
      </c>
      <c r="Y1001" s="151" t="s">
        <v>4092</v>
      </c>
      <c r="Z1001" s="151"/>
      <c r="AA1001" s="151"/>
      <c r="AB1001" s="151" t="s">
        <v>855</v>
      </c>
      <c r="AC1001" s="342"/>
    </row>
    <row r="1002" spans="1:29" ht="120">
      <c r="A1002" s="151" t="s">
        <v>5198</v>
      </c>
      <c r="B1002" s="151" t="s">
        <v>5521</v>
      </c>
      <c r="C1002" s="151" t="s">
        <v>5487</v>
      </c>
      <c r="D1002" s="151" t="s">
        <v>17</v>
      </c>
      <c r="E1002" s="151" t="s">
        <v>5522</v>
      </c>
      <c r="F1002" s="151" t="s">
        <v>2527</v>
      </c>
      <c r="G1002" s="151" t="s">
        <v>2173</v>
      </c>
      <c r="H1002" s="151" t="s">
        <v>1183</v>
      </c>
      <c r="I1002" s="151" t="s">
        <v>1184</v>
      </c>
      <c r="J1002" s="151" t="s">
        <v>5271</v>
      </c>
      <c r="K1002" s="151" t="s">
        <v>5523</v>
      </c>
      <c r="L1002" s="151" t="s">
        <v>5348</v>
      </c>
      <c r="M1002" s="151" t="s">
        <v>361</v>
      </c>
      <c r="N1002" s="341" t="s">
        <v>5524</v>
      </c>
      <c r="O1002" s="151">
        <v>1062142</v>
      </c>
      <c r="P1002" s="151"/>
      <c r="Q1002" s="151"/>
      <c r="R1002" s="151" t="s">
        <v>2177</v>
      </c>
      <c r="S1002" s="151" t="s">
        <v>361</v>
      </c>
      <c r="T1002" s="151"/>
      <c r="U1002" s="151"/>
      <c r="V1002" s="151"/>
      <c r="W1002" s="151"/>
      <c r="X1002" s="151"/>
      <c r="Y1002" s="151"/>
      <c r="Z1002" s="151"/>
      <c r="AA1002" s="151"/>
      <c r="AB1002" s="151"/>
      <c r="AC1002" s="342"/>
    </row>
    <row r="1003" spans="1:29" ht="120">
      <c r="A1003" s="151" t="s">
        <v>5198</v>
      </c>
      <c r="B1003" s="151" t="s">
        <v>5525</v>
      </c>
      <c r="C1003" s="151" t="s">
        <v>5487</v>
      </c>
      <c r="D1003" s="151" t="s">
        <v>17</v>
      </c>
      <c r="E1003" s="151" t="s">
        <v>5526</v>
      </c>
      <c r="F1003" s="151" t="s">
        <v>2527</v>
      </c>
      <c r="G1003" s="151" t="s">
        <v>2173</v>
      </c>
      <c r="H1003" s="151" t="s">
        <v>1183</v>
      </c>
      <c r="I1003" s="151" t="s">
        <v>1184</v>
      </c>
      <c r="J1003" s="151" t="s">
        <v>5261</v>
      </c>
      <c r="K1003" s="151" t="s">
        <v>5527</v>
      </c>
      <c r="L1003" s="151" t="s">
        <v>5352</v>
      </c>
      <c r="M1003" s="151" t="s">
        <v>361</v>
      </c>
      <c r="N1003" s="341" t="s">
        <v>5528</v>
      </c>
      <c r="O1003" s="151">
        <v>46120</v>
      </c>
      <c r="P1003" s="151"/>
      <c r="Q1003" s="151"/>
      <c r="R1003" s="151" t="s">
        <v>2177</v>
      </c>
      <c r="S1003" s="151" t="s">
        <v>361</v>
      </c>
      <c r="T1003" s="151" t="s">
        <v>2207</v>
      </c>
      <c r="U1003" s="151" t="s">
        <v>2207</v>
      </c>
      <c r="V1003" s="151">
        <v>10</v>
      </c>
      <c r="W1003" s="151" t="s">
        <v>2207</v>
      </c>
      <c r="X1003" s="151" t="s">
        <v>2207</v>
      </c>
      <c r="Y1003" s="151" t="s">
        <v>2207</v>
      </c>
      <c r="Z1003" s="151"/>
      <c r="AA1003" s="151"/>
      <c r="AB1003" s="151" t="s">
        <v>855</v>
      </c>
      <c r="AC1003" s="342"/>
    </row>
    <row r="1004" spans="1:29" ht="105">
      <c r="A1004" s="151" t="s">
        <v>5198</v>
      </c>
      <c r="B1004" s="151" t="s">
        <v>4501</v>
      </c>
      <c r="C1004" s="151" t="s">
        <v>5487</v>
      </c>
      <c r="D1004" s="151" t="s">
        <v>17</v>
      </c>
      <c r="E1004" s="151" t="s">
        <v>5529</v>
      </c>
      <c r="F1004" s="151" t="s">
        <v>2527</v>
      </c>
      <c r="G1004" s="151" t="s">
        <v>2173</v>
      </c>
      <c r="H1004" s="151" t="s">
        <v>1183</v>
      </c>
      <c r="I1004" s="151" t="s">
        <v>1184</v>
      </c>
      <c r="J1004" s="151" t="s">
        <v>806</v>
      </c>
      <c r="K1004" s="151" t="s">
        <v>5530</v>
      </c>
      <c r="L1004" s="151" t="s">
        <v>3596</v>
      </c>
      <c r="M1004" s="151" t="s">
        <v>361</v>
      </c>
      <c r="N1004" s="341" t="s">
        <v>5531</v>
      </c>
      <c r="O1004" s="151">
        <v>2212924</v>
      </c>
      <c r="P1004" s="151"/>
      <c r="Q1004" s="151"/>
      <c r="R1004" s="151" t="s">
        <v>2177</v>
      </c>
      <c r="S1004" s="151" t="s">
        <v>361</v>
      </c>
      <c r="T1004" s="151" t="s">
        <v>2213</v>
      </c>
      <c r="U1004" s="151" t="s">
        <v>5532</v>
      </c>
      <c r="V1004" s="151">
        <v>24</v>
      </c>
      <c r="W1004" s="151" t="s">
        <v>5532</v>
      </c>
      <c r="X1004" s="151" t="s">
        <v>2445</v>
      </c>
      <c r="Y1004" s="151" t="s">
        <v>5532</v>
      </c>
      <c r="Z1004" s="151"/>
      <c r="AA1004" s="151"/>
      <c r="AB1004" s="151" t="s">
        <v>855</v>
      </c>
      <c r="AC1004" s="342"/>
    </row>
    <row r="1005" spans="1:29" ht="120">
      <c r="A1005" s="151" t="s">
        <v>5198</v>
      </c>
      <c r="B1005" s="151" t="s">
        <v>5533</v>
      </c>
      <c r="C1005" s="151" t="s">
        <v>5487</v>
      </c>
      <c r="D1005" s="151" t="s">
        <v>17</v>
      </c>
      <c r="E1005" s="151" t="s">
        <v>5534</v>
      </c>
      <c r="F1005" s="151" t="s">
        <v>2527</v>
      </c>
      <c r="G1005" s="151" t="s">
        <v>2173</v>
      </c>
      <c r="H1005" s="151" t="s">
        <v>1183</v>
      </c>
      <c r="I1005" s="151" t="s">
        <v>1184</v>
      </c>
      <c r="J1005" s="151" t="s">
        <v>5271</v>
      </c>
      <c r="K1005" s="151" t="s">
        <v>5535</v>
      </c>
      <c r="L1005" s="151" t="s">
        <v>5348</v>
      </c>
      <c r="M1005" s="151" t="s">
        <v>361</v>
      </c>
      <c r="N1005" s="341" t="s">
        <v>5536</v>
      </c>
      <c r="O1005" s="151">
        <v>1064142</v>
      </c>
      <c r="P1005" s="151"/>
      <c r="Q1005" s="151"/>
      <c r="R1005" s="151" t="s">
        <v>2177</v>
      </c>
      <c r="S1005" s="151" t="s">
        <v>361</v>
      </c>
      <c r="T1005" s="151" t="s">
        <v>2213</v>
      </c>
      <c r="U1005" s="151" t="s">
        <v>3582</v>
      </c>
      <c r="V1005" s="151">
        <v>4</v>
      </c>
      <c r="W1005" s="151" t="s">
        <v>5537</v>
      </c>
      <c r="X1005" s="151" t="s">
        <v>2445</v>
      </c>
      <c r="Y1005" s="151" t="s">
        <v>3582</v>
      </c>
      <c r="Z1005" s="151"/>
      <c r="AA1005" s="151"/>
      <c r="AB1005" s="151" t="s">
        <v>855</v>
      </c>
      <c r="AC1005" s="342"/>
    </row>
    <row r="1006" spans="1:29" ht="120">
      <c r="A1006" s="151" t="s">
        <v>5198</v>
      </c>
      <c r="B1006" s="151" t="s">
        <v>4345</v>
      </c>
      <c r="C1006" s="151" t="s">
        <v>5487</v>
      </c>
      <c r="D1006" s="151" t="s">
        <v>17</v>
      </c>
      <c r="E1006" s="151" t="s">
        <v>5538</v>
      </c>
      <c r="F1006" s="151" t="s">
        <v>2527</v>
      </c>
      <c r="G1006" s="151" t="s">
        <v>2173</v>
      </c>
      <c r="H1006" s="151" t="s">
        <v>1183</v>
      </c>
      <c r="I1006" s="151" t="s">
        <v>1184</v>
      </c>
      <c r="J1006" s="151" t="s">
        <v>5271</v>
      </c>
      <c r="K1006" s="151" t="s">
        <v>5539</v>
      </c>
      <c r="L1006" s="151" t="s">
        <v>5348</v>
      </c>
      <c r="M1006" s="151" t="s">
        <v>361</v>
      </c>
      <c r="N1006" s="341" t="s">
        <v>5540</v>
      </c>
      <c r="O1006" s="151">
        <v>1064142</v>
      </c>
      <c r="P1006" s="151"/>
      <c r="Q1006" s="151"/>
      <c r="R1006" s="151" t="s">
        <v>2177</v>
      </c>
      <c r="S1006" s="151" t="s">
        <v>361</v>
      </c>
      <c r="T1006" s="151" t="s">
        <v>2213</v>
      </c>
      <c r="U1006" s="151" t="s">
        <v>2207</v>
      </c>
      <c r="V1006" s="151"/>
      <c r="W1006" s="151" t="s">
        <v>2207</v>
      </c>
      <c r="X1006" s="151" t="s">
        <v>2445</v>
      </c>
      <c r="Y1006" s="151" t="s">
        <v>2207</v>
      </c>
      <c r="Z1006" s="151"/>
      <c r="AA1006" s="151"/>
      <c r="AB1006" s="151" t="s">
        <v>855</v>
      </c>
      <c r="AC1006" s="342"/>
    </row>
    <row r="1007" spans="1:29" ht="60">
      <c r="A1007" s="151" t="s">
        <v>5198</v>
      </c>
      <c r="B1007" s="151" t="s">
        <v>3476</v>
      </c>
      <c r="C1007" s="151" t="s">
        <v>3919</v>
      </c>
      <c r="D1007" s="151" t="s">
        <v>17</v>
      </c>
      <c r="E1007" s="151" t="s">
        <v>5541</v>
      </c>
      <c r="F1007" s="151" t="s">
        <v>2527</v>
      </c>
      <c r="G1007" s="151" t="s">
        <v>2173</v>
      </c>
      <c r="H1007" s="151" t="s">
        <v>1183</v>
      </c>
      <c r="I1007" s="151" t="s">
        <v>1184</v>
      </c>
      <c r="J1007" s="151" t="s">
        <v>806</v>
      </c>
      <c r="K1007" s="151" t="s">
        <v>5542</v>
      </c>
      <c r="L1007" s="151" t="s">
        <v>3596</v>
      </c>
      <c r="M1007" s="151" t="s">
        <v>361</v>
      </c>
      <c r="N1007" s="341" t="s">
        <v>5543</v>
      </c>
      <c r="O1007" s="151">
        <v>2212878</v>
      </c>
      <c r="P1007" s="151"/>
      <c r="Q1007" s="151"/>
      <c r="R1007" s="151" t="s">
        <v>2177</v>
      </c>
      <c r="S1007" s="151" t="s">
        <v>361</v>
      </c>
      <c r="T1007" s="151" t="s">
        <v>2213</v>
      </c>
      <c r="U1007" s="151" t="s">
        <v>3582</v>
      </c>
      <c r="V1007" s="151">
        <v>31</v>
      </c>
      <c r="W1007" s="151" t="s">
        <v>5404</v>
      </c>
      <c r="X1007" s="151" t="s">
        <v>2445</v>
      </c>
      <c r="Y1007" s="151" t="s">
        <v>3582</v>
      </c>
      <c r="Z1007" s="151"/>
      <c r="AA1007" s="151"/>
      <c r="AB1007" s="151" t="s">
        <v>855</v>
      </c>
      <c r="AC1007" s="342"/>
    </row>
    <row r="1008" spans="1:29" ht="75">
      <c r="A1008" s="151" t="s">
        <v>5198</v>
      </c>
      <c r="B1008" s="151" t="s">
        <v>3524</v>
      </c>
      <c r="C1008" s="151" t="s">
        <v>3919</v>
      </c>
      <c r="D1008" s="151" t="s">
        <v>17</v>
      </c>
      <c r="E1008" s="151" t="s">
        <v>5544</v>
      </c>
      <c r="F1008" s="151" t="s">
        <v>2527</v>
      </c>
      <c r="G1008" s="151" t="s">
        <v>2173</v>
      </c>
      <c r="H1008" s="151" t="s">
        <v>1183</v>
      </c>
      <c r="I1008" s="151" t="s">
        <v>1184</v>
      </c>
      <c r="J1008" s="151" t="s">
        <v>806</v>
      </c>
      <c r="K1008" s="151" t="s">
        <v>5545</v>
      </c>
      <c r="L1008" s="151" t="s">
        <v>3596</v>
      </c>
      <c r="M1008" s="151" t="s">
        <v>361</v>
      </c>
      <c r="N1008" s="341" t="s">
        <v>5546</v>
      </c>
      <c r="O1008" s="151">
        <v>2212878</v>
      </c>
      <c r="P1008" s="151"/>
      <c r="Q1008" s="151"/>
      <c r="R1008" s="151" t="s">
        <v>2177</v>
      </c>
      <c r="S1008" s="151" t="s">
        <v>361</v>
      </c>
      <c r="T1008" s="151" t="s">
        <v>2213</v>
      </c>
      <c r="U1008" s="151" t="s">
        <v>3582</v>
      </c>
      <c r="V1008" s="151">
        <v>8</v>
      </c>
      <c r="W1008" s="151" t="s">
        <v>5410</v>
      </c>
      <c r="X1008" s="151" t="s">
        <v>2445</v>
      </c>
      <c r="Y1008" s="151" t="s">
        <v>3582</v>
      </c>
      <c r="Z1008" s="151"/>
      <c r="AA1008" s="151"/>
      <c r="AB1008" s="151" t="s">
        <v>855</v>
      </c>
      <c r="AC1008" s="342"/>
    </row>
    <row r="1009" spans="1:29" ht="90">
      <c r="A1009" s="151" t="s">
        <v>5198</v>
      </c>
      <c r="B1009" s="151" t="s">
        <v>4021</v>
      </c>
      <c r="C1009" s="151" t="s">
        <v>3919</v>
      </c>
      <c r="D1009" s="151" t="s">
        <v>17</v>
      </c>
      <c r="E1009" s="151" t="s">
        <v>5547</v>
      </c>
      <c r="F1009" s="151" t="s">
        <v>2527</v>
      </c>
      <c r="G1009" s="151" t="s">
        <v>2173</v>
      </c>
      <c r="H1009" s="151" t="s">
        <v>1183</v>
      </c>
      <c r="I1009" s="151" t="s">
        <v>1184</v>
      </c>
      <c r="J1009" s="151" t="s">
        <v>4017</v>
      </c>
      <c r="K1009" s="151" t="s">
        <v>4023</v>
      </c>
      <c r="L1009" s="151" t="s">
        <v>4019</v>
      </c>
      <c r="M1009" s="151" t="s">
        <v>361</v>
      </c>
      <c r="N1009" s="341" t="s">
        <v>5548</v>
      </c>
      <c r="O1009" s="151">
        <v>3066714</v>
      </c>
      <c r="P1009" s="151"/>
      <c r="Q1009" s="151"/>
      <c r="R1009" s="151" t="s">
        <v>2177</v>
      </c>
      <c r="S1009" s="151" t="s">
        <v>361</v>
      </c>
      <c r="T1009" s="151" t="s">
        <v>2213</v>
      </c>
      <c r="U1009" s="151" t="s">
        <v>4368</v>
      </c>
      <c r="V1009" s="151">
        <v>8</v>
      </c>
      <c r="W1009" s="151" t="s">
        <v>4380</v>
      </c>
      <c r="X1009" s="151" t="s">
        <v>2445</v>
      </c>
      <c r="Y1009" s="151" t="s">
        <v>4368</v>
      </c>
      <c r="Z1009" s="151"/>
      <c r="AA1009" s="151"/>
      <c r="AB1009" s="151" t="s">
        <v>855</v>
      </c>
      <c r="AC1009" s="342"/>
    </row>
    <row r="1010" spans="1:29" ht="90">
      <c r="A1010" s="151" t="s">
        <v>5198</v>
      </c>
      <c r="B1010" s="151" t="s">
        <v>4014</v>
      </c>
      <c r="C1010" s="151" t="s">
        <v>3919</v>
      </c>
      <c r="D1010" s="151" t="s">
        <v>17</v>
      </c>
      <c r="E1010" s="151" t="s">
        <v>5549</v>
      </c>
      <c r="F1010" s="151" t="s">
        <v>2527</v>
      </c>
      <c r="G1010" s="151" t="s">
        <v>2173</v>
      </c>
      <c r="H1010" s="151" t="s">
        <v>1183</v>
      </c>
      <c r="I1010" s="151" t="s">
        <v>1184</v>
      </c>
      <c r="J1010" s="151" t="s">
        <v>4017</v>
      </c>
      <c r="K1010" s="151" t="s">
        <v>5550</v>
      </c>
      <c r="L1010" s="151" t="s">
        <v>4019</v>
      </c>
      <c r="M1010" s="151" t="s">
        <v>361</v>
      </c>
      <c r="N1010" s="341" t="s">
        <v>5551</v>
      </c>
      <c r="O1010" s="151">
        <v>3066714</v>
      </c>
      <c r="P1010" s="151"/>
      <c r="Q1010" s="151"/>
      <c r="R1010" s="151" t="s">
        <v>2177</v>
      </c>
      <c r="S1010" s="151" t="s">
        <v>361</v>
      </c>
      <c r="T1010" s="151" t="s">
        <v>5439</v>
      </c>
      <c r="U1010" s="151" t="s">
        <v>3582</v>
      </c>
      <c r="V1010" s="151">
        <v>20</v>
      </c>
      <c r="W1010" s="151" t="s">
        <v>4316</v>
      </c>
      <c r="X1010" s="151" t="s">
        <v>2445</v>
      </c>
      <c r="Y1010" s="151" t="s">
        <v>3582</v>
      </c>
      <c r="Z1010" s="151"/>
      <c r="AA1010" s="151"/>
      <c r="AB1010" s="151" t="s">
        <v>855</v>
      </c>
      <c r="AC1010" s="342"/>
    </row>
    <row r="1011" spans="1:29">
      <c r="A1011" s="151" t="s">
        <v>5198</v>
      </c>
      <c r="B1011" s="151" t="s">
        <v>5308</v>
      </c>
      <c r="C1011" s="151" t="s">
        <v>5552</v>
      </c>
      <c r="D1011" s="151" t="s">
        <v>17</v>
      </c>
      <c r="E1011" s="151" t="s">
        <v>5553</v>
      </c>
      <c r="F1011" s="151" t="s">
        <v>2527</v>
      </c>
      <c r="G1011" s="151" t="s">
        <v>2173</v>
      </c>
      <c r="H1011" s="151" t="s">
        <v>1314</v>
      </c>
      <c r="I1011" s="151" t="s">
        <v>1184</v>
      </c>
      <c r="J1011" s="431" t="s">
        <v>5554</v>
      </c>
      <c r="K1011" s="431" t="s">
        <v>5554</v>
      </c>
      <c r="L1011" s="431" t="s">
        <v>5554</v>
      </c>
      <c r="M1011" s="151" t="s">
        <v>361</v>
      </c>
      <c r="N1011" s="151" t="s">
        <v>49</v>
      </c>
      <c r="O1011" s="151"/>
      <c r="P1011" s="151" t="s">
        <v>5555</v>
      </c>
      <c r="Q1011" s="151"/>
      <c r="R1011" s="151" t="s">
        <v>2177</v>
      </c>
      <c r="S1011" s="431" t="s">
        <v>5554</v>
      </c>
      <c r="T1011" s="151" t="s">
        <v>2213</v>
      </c>
      <c r="U1011" s="151" t="s">
        <v>4271</v>
      </c>
      <c r="V1011" s="151">
        <v>2</v>
      </c>
      <c r="W1011" s="151">
        <v>2</v>
      </c>
      <c r="X1011" s="151" t="s">
        <v>2445</v>
      </c>
      <c r="Y1011" s="151" t="s">
        <v>4271</v>
      </c>
      <c r="Z1011" s="151"/>
      <c r="AA1011" s="151"/>
      <c r="AB1011" s="151" t="s">
        <v>855</v>
      </c>
      <c r="AC1011" s="342"/>
    </row>
    <row r="1012" spans="1:29">
      <c r="A1012" s="151" t="s">
        <v>5198</v>
      </c>
      <c r="B1012" s="151" t="s">
        <v>5556</v>
      </c>
      <c r="C1012" s="151" t="s">
        <v>5552</v>
      </c>
      <c r="D1012" s="151" t="s">
        <v>17</v>
      </c>
      <c r="E1012" s="151" t="s">
        <v>5557</v>
      </c>
      <c r="F1012" s="151" t="s">
        <v>2527</v>
      </c>
      <c r="G1012" s="151" t="s">
        <v>2173</v>
      </c>
      <c r="H1012" s="151" t="s">
        <v>1183</v>
      </c>
      <c r="I1012" s="151" t="s">
        <v>1184</v>
      </c>
      <c r="J1012" s="151" t="s">
        <v>5558</v>
      </c>
      <c r="K1012" s="151" t="s">
        <v>5559</v>
      </c>
      <c r="L1012" s="151" t="s">
        <v>5560</v>
      </c>
      <c r="M1012" s="151" t="s">
        <v>361</v>
      </c>
      <c r="N1012" s="151" t="s">
        <v>5561</v>
      </c>
      <c r="O1012" s="151"/>
      <c r="P1012" s="151" t="s">
        <v>5562</v>
      </c>
      <c r="Q1012" s="151" t="s">
        <v>5563</v>
      </c>
      <c r="R1012" s="151" t="s">
        <v>2177</v>
      </c>
      <c r="S1012" s="151" t="s">
        <v>5564</v>
      </c>
      <c r="T1012" s="151" t="s">
        <v>435</v>
      </c>
      <c r="U1012" s="151" t="s">
        <v>3582</v>
      </c>
      <c r="V1012" s="151" t="s">
        <v>49</v>
      </c>
      <c r="W1012" s="151" t="s">
        <v>2615</v>
      </c>
      <c r="X1012" s="151" t="s">
        <v>431</v>
      </c>
      <c r="Y1012" s="151" t="s">
        <v>3582</v>
      </c>
      <c r="Z1012" s="151"/>
      <c r="AA1012" s="151"/>
      <c r="AB1012" s="151" t="s">
        <v>855</v>
      </c>
      <c r="AC1012" s="342"/>
    </row>
    <row r="1013" spans="1:29">
      <c r="A1013" s="151" t="s">
        <v>5198</v>
      </c>
      <c r="B1013" s="151" t="s">
        <v>5565</v>
      </c>
      <c r="C1013" s="151" t="s">
        <v>5552</v>
      </c>
      <c r="D1013" s="151" t="s">
        <v>17</v>
      </c>
      <c r="E1013" s="151" t="s">
        <v>5566</v>
      </c>
      <c r="F1013" s="151" t="s">
        <v>2527</v>
      </c>
      <c r="G1013" s="151" t="s">
        <v>2173</v>
      </c>
      <c r="H1013" s="151" t="s">
        <v>1183</v>
      </c>
      <c r="I1013" s="151" t="s">
        <v>1184</v>
      </c>
      <c r="J1013" s="151" t="s">
        <v>5558</v>
      </c>
      <c r="K1013" s="151" t="s">
        <v>5567</v>
      </c>
      <c r="L1013" s="151" t="s">
        <v>5560</v>
      </c>
      <c r="M1013" s="151" t="s">
        <v>361</v>
      </c>
      <c r="N1013" s="151" t="s">
        <v>5568</v>
      </c>
      <c r="O1013" s="151">
        <v>2851</v>
      </c>
      <c r="P1013" s="151"/>
      <c r="Q1013" s="151" t="s">
        <v>5569</v>
      </c>
      <c r="R1013" s="151" t="s">
        <v>2177</v>
      </c>
      <c r="S1013" s="151" t="s">
        <v>5564</v>
      </c>
      <c r="T1013" s="151"/>
      <c r="U1013" s="151" t="s">
        <v>3582</v>
      </c>
      <c r="V1013" s="151"/>
      <c r="W1013" s="151" t="s">
        <v>5570</v>
      </c>
      <c r="X1013" s="151"/>
      <c r="Y1013" s="151" t="s">
        <v>3582</v>
      </c>
      <c r="Z1013" s="151"/>
      <c r="AA1013" s="151"/>
      <c r="AB1013" s="151" t="s">
        <v>855</v>
      </c>
      <c r="AC1013" s="342"/>
    </row>
    <row r="1014" spans="1:29">
      <c r="A1014" s="151" t="s">
        <v>5198</v>
      </c>
      <c r="B1014" s="151" t="s">
        <v>5571</v>
      </c>
      <c r="C1014" s="151" t="s">
        <v>5552</v>
      </c>
      <c r="D1014" s="151" t="s">
        <v>17</v>
      </c>
      <c r="E1014" s="151" t="s">
        <v>5572</v>
      </c>
      <c r="F1014" s="151" t="s">
        <v>2527</v>
      </c>
      <c r="G1014" s="151" t="s">
        <v>2173</v>
      </c>
      <c r="H1014" s="151" t="s">
        <v>1183</v>
      </c>
      <c r="I1014" s="151" t="s">
        <v>1184</v>
      </c>
      <c r="J1014" s="151" t="s">
        <v>5558</v>
      </c>
      <c r="K1014" s="151" t="s">
        <v>4503</v>
      </c>
      <c r="L1014" s="151" t="s">
        <v>5560</v>
      </c>
      <c r="M1014" s="151" t="s">
        <v>361</v>
      </c>
      <c r="N1014" s="151" t="s">
        <v>5573</v>
      </c>
      <c r="O1014" s="151">
        <v>2851</v>
      </c>
      <c r="P1014" s="151"/>
      <c r="Q1014" s="151" t="s">
        <v>5569</v>
      </c>
      <c r="R1014" s="151" t="s">
        <v>2177</v>
      </c>
      <c r="S1014" s="151" t="s">
        <v>5564</v>
      </c>
      <c r="T1014" s="151" t="s">
        <v>2213</v>
      </c>
      <c r="U1014" s="151" t="s">
        <v>4540</v>
      </c>
      <c r="V1014" s="151">
        <v>25</v>
      </c>
      <c r="W1014" s="151" t="s">
        <v>4540</v>
      </c>
      <c r="X1014" s="151" t="s">
        <v>2445</v>
      </c>
      <c r="Y1014" s="151" t="s">
        <v>4540</v>
      </c>
      <c r="Z1014" s="151"/>
      <c r="AA1014" s="151"/>
      <c r="AB1014" s="151" t="s">
        <v>855</v>
      </c>
      <c r="AC1014" s="342"/>
    </row>
    <row r="1015" spans="1:29">
      <c r="A1015" s="151" t="s">
        <v>5198</v>
      </c>
      <c r="B1015" s="151" t="s">
        <v>5574</v>
      </c>
      <c r="C1015" s="151" t="s">
        <v>5552</v>
      </c>
      <c r="D1015" s="151" t="s">
        <v>17</v>
      </c>
      <c r="E1015" s="151" t="s">
        <v>5575</v>
      </c>
      <c r="F1015" s="151" t="s">
        <v>2527</v>
      </c>
      <c r="G1015" s="151" t="s">
        <v>2173</v>
      </c>
      <c r="H1015" s="151" t="s">
        <v>1183</v>
      </c>
      <c r="I1015" s="151" t="s">
        <v>1184</v>
      </c>
      <c r="J1015" s="151" t="s">
        <v>5558</v>
      </c>
      <c r="K1015" s="151" t="s">
        <v>4503</v>
      </c>
      <c r="L1015" s="151" t="s">
        <v>5560</v>
      </c>
      <c r="M1015" s="151" t="s">
        <v>361</v>
      </c>
      <c r="N1015" s="151" t="s">
        <v>5573</v>
      </c>
      <c r="O1015" s="151">
        <v>2851</v>
      </c>
      <c r="P1015" s="151"/>
      <c r="Q1015" s="151" t="s">
        <v>5569</v>
      </c>
      <c r="R1015" s="151" t="s">
        <v>2177</v>
      </c>
      <c r="S1015" s="151" t="s">
        <v>5564</v>
      </c>
      <c r="T1015" s="151" t="s">
        <v>2213</v>
      </c>
      <c r="U1015" s="151" t="s">
        <v>4540</v>
      </c>
      <c r="V1015" s="151">
        <v>25</v>
      </c>
      <c r="W1015" s="151" t="s">
        <v>4540</v>
      </c>
      <c r="X1015" s="151" t="s">
        <v>2445</v>
      </c>
      <c r="Y1015" s="151" t="s">
        <v>4540</v>
      </c>
      <c r="Z1015" s="151"/>
      <c r="AA1015" s="151"/>
      <c r="AB1015" s="151" t="s">
        <v>855</v>
      </c>
      <c r="AC1015" s="342"/>
    </row>
    <row r="1016" spans="1:29">
      <c r="A1016" s="151" t="s">
        <v>5198</v>
      </c>
      <c r="B1016" s="151" t="s">
        <v>5576</v>
      </c>
      <c r="C1016" s="151" t="s">
        <v>5552</v>
      </c>
      <c r="D1016" s="151" t="s">
        <v>17</v>
      </c>
      <c r="E1016" s="151" t="s">
        <v>5577</v>
      </c>
      <c r="F1016" s="151" t="s">
        <v>2527</v>
      </c>
      <c r="G1016" s="151" t="s">
        <v>2173</v>
      </c>
      <c r="H1016" s="151" t="s">
        <v>1183</v>
      </c>
      <c r="I1016" s="151" t="s">
        <v>1184</v>
      </c>
      <c r="J1016" s="151" t="s">
        <v>5558</v>
      </c>
      <c r="K1016" s="434" t="s">
        <v>5578</v>
      </c>
      <c r="L1016" s="151" t="s">
        <v>5560</v>
      </c>
      <c r="M1016" s="433"/>
      <c r="N1016" s="431" t="s">
        <v>5579</v>
      </c>
      <c r="O1016" s="151">
        <v>2851</v>
      </c>
      <c r="P1016" s="151" t="s">
        <v>5580</v>
      </c>
      <c r="Q1016" s="151" t="s">
        <v>5569</v>
      </c>
      <c r="R1016" s="151" t="s">
        <v>2177</v>
      </c>
      <c r="S1016" s="151" t="s">
        <v>5564</v>
      </c>
      <c r="T1016" s="151" t="s">
        <v>2213</v>
      </c>
      <c r="U1016" s="151" t="s">
        <v>4540</v>
      </c>
      <c r="V1016" s="151">
        <v>25</v>
      </c>
      <c r="W1016" s="151" t="s">
        <v>4540</v>
      </c>
      <c r="X1016" s="151" t="s">
        <v>2445</v>
      </c>
      <c r="Y1016" s="151" t="s">
        <v>4540</v>
      </c>
      <c r="Z1016" s="151"/>
      <c r="AA1016" s="151"/>
      <c r="AB1016" s="151" t="s">
        <v>855</v>
      </c>
      <c r="AC1016" s="342"/>
    </row>
    <row r="1017" spans="1:29">
      <c r="A1017" s="151" t="s">
        <v>5198</v>
      </c>
      <c r="B1017" s="151" t="s">
        <v>5581</v>
      </c>
      <c r="C1017" s="151" t="s">
        <v>5552</v>
      </c>
      <c r="D1017" s="151" t="s">
        <v>17</v>
      </c>
      <c r="E1017" s="151" t="s">
        <v>5582</v>
      </c>
      <c r="F1017" s="151" t="s">
        <v>2527</v>
      </c>
      <c r="G1017" s="151" t="s">
        <v>2173</v>
      </c>
      <c r="H1017" s="151" t="s">
        <v>1183</v>
      </c>
      <c r="I1017" s="151" t="s">
        <v>1184</v>
      </c>
      <c r="J1017" s="151" t="s">
        <v>5558</v>
      </c>
      <c r="K1017" s="437" t="s">
        <v>5583</v>
      </c>
      <c r="L1017" s="151" t="s">
        <v>5560</v>
      </c>
      <c r="M1017" s="151" t="s">
        <v>361</v>
      </c>
      <c r="N1017" s="151" t="s">
        <v>5584</v>
      </c>
      <c r="O1017" s="151">
        <v>2851</v>
      </c>
      <c r="P1017" s="151"/>
      <c r="Q1017" s="151" t="s">
        <v>5569</v>
      </c>
      <c r="R1017" s="151" t="s">
        <v>2177</v>
      </c>
      <c r="S1017" s="151" t="s">
        <v>5564</v>
      </c>
      <c r="T1017" s="151" t="s">
        <v>2213</v>
      </c>
      <c r="U1017" s="151" t="s">
        <v>5585</v>
      </c>
      <c r="V1017" s="151">
        <v>25</v>
      </c>
      <c r="W1017" s="151" t="s">
        <v>5585</v>
      </c>
      <c r="X1017" s="151" t="s">
        <v>2445</v>
      </c>
      <c r="Y1017" s="151" t="s">
        <v>5585</v>
      </c>
      <c r="Z1017" s="151"/>
      <c r="AA1017" s="151"/>
      <c r="AB1017" s="151" t="s">
        <v>855</v>
      </c>
      <c r="AC1017" s="342"/>
    </row>
    <row r="1018" spans="1:29">
      <c r="A1018" s="151" t="s">
        <v>5198</v>
      </c>
      <c r="B1018" s="151" t="s">
        <v>2350</v>
      </c>
      <c r="C1018" s="151" t="s">
        <v>5552</v>
      </c>
      <c r="D1018" s="151" t="s">
        <v>17</v>
      </c>
      <c r="E1018" s="151" t="s">
        <v>5586</v>
      </c>
      <c r="F1018" s="151" t="s">
        <v>2527</v>
      </c>
      <c r="G1018" s="151" t="s">
        <v>2173</v>
      </c>
      <c r="H1018" s="151" t="s">
        <v>1183</v>
      </c>
      <c r="I1018" s="151" t="s">
        <v>1184</v>
      </c>
      <c r="J1018" s="151" t="s">
        <v>5558</v>
      </c>
      <c r="K1018" s="151" t="s">
        <v>5587</v>
      </c>
      <c r="L1018" s="151" t="s">
        <v>5560</v>
      </c>
      <c r="M1018" s="151" t="s">
        <v>361</v>
      </c>
      <c r="N1018" s="151" t="s">
        <v>5588</v>
      </c>
      <c r="O1018" s="151">
        <v>2851</v>
      </c>
      <c r="P1018" s="151" t="s">
        <v>5589</v>
      </c>
      <c r="Q1018" s="151" t="s">
        <v>5569</v>
      </c>
      <c r="R1018" s="151" t="s">
        <v>2177</v>
      </c>
      <c r="S1018" s="151" t="s">
        <v>5564</v>
      </c>
      <c r="T1018" s="151" t="s">
        <v>2207</v>
      </c>
      <c r="U1018" s="151" t="s">
        <v>2207</v>
      </c>
      <c r="V1018" s="151">
        <v>10</v>
      </c>
      <c r="W1018" s="151" t="s">
        <v>2207</v>
      </c>
      <c r="X1018" s="151" t="s">
        <v>2207</v>
      </c>
      <c r="Y1018" s="151" t="s">
        <v>2207</v>
      </c>
      <c r="Z1018" s="151"/>
      <c r="AA1018" s="151"/>
      <c r="AB1018" s="151" t="s">
        <v>855</v>
      </c>
      <c r="AC1018" s="342"/>
    </row>
    <row r="1019" spans="1:29">
      <c r="A1019" s="151" t="s">
        <v>5198</v>
      </c>
      <c r="B1019" s="151" t="s">
        <v>5590</v>
      </c>
      <c r="C1019" s="151" t="s">
        <v>5552</v>
      </c>
      <c r="D1019" s="151" t="s">
        <v>17</v>
      </c>
      <c r="E1019" s="151" t="s">
        <v>5591</v>
      </c>
      <c r="F1019" s="151" t="s">
        <v>2527</v>
      </c>
      <c r="G1019" s="151" t="s">
        <v>2173</v>
      </c>
      <c r="H1019" s="151" t="s">
        <v>1183</v>
      </c>
      <c r="I1019" s="151" t="s">
        <v>1184</v>
      </c>
      <c r="J1019" s="151" t="s">
        <v>5558</v>
      </c>
      <c r="K1019" s="151" t="s">
        <v>5592</v>
      </c>
      <c r="L1019" s="151" t="s">
        <v>5560</v>
      </c>
      <c r="M1019" s="151" t="s">
        <v>361</v>
      </c>
      <c r="N1019" s="151" t="s">
        <v>5593</v>
      </c>
      <c r="O1019" s="151">
        <v>2851</v>
      </c>
      <c r="P1019" s="151"/>
      <c r="Q1019" s="151" t="s">
        <v>5569</v>
      </c>
      <c r="R1019" s="151" t="s">
        <v>2177</v>
      </c>
      <c r="S1019" s="151" t="s">
        <v>5564</v>
      </c>
      <c r="T1019" s="151" t="s">
        <v>2207</v>
      </c>
      <c r="U1019" s="151" t="s">
        <v>2207</v>
      </c>
      <c r="V1019" s="151">
        <v>10</v>
      </c>
      <c r="W1019" s="151" t="s">
        <v>2207</v>
      </c>
      <c r="X1019" s="151" t="s">
        <v>2207</v>
      </c>
      <c r="Y1019" s="151" t="s">
        <v>2207</v>
      </c>
      <c r="Z1019" s="151"/>
      <c r="AA1019" s="151"/>
      <c r="AB1019" s="151" t="s">
        <v>855</v>
      </c>
      <c r="AC1019" s="342"/>
    </row>
    <row r="1020" spans="1:29">
      <c r="A1020" s="151" t="s">
        <v>5198</v>
      </c>
      <c r="B1020" s="151" t="s">
        <v>5594</v>
      </c>
      <c r="C1020" s="151" t="s">
        <v>5552</v>
      </c>
      <c r="D1020" s="151" t="s">
        <v>17</v>
      </c>
      <c r="E1020" s="151" t="s">
        <v>5595</v>
      </c>
      <c r="F1020" s="151" t="s">
        <v>2527</v>
      </c>
      <c r="G1020" s="151" t="s">
        <v>2173</v>
      </c>
      <c r="H1020" s="151" t="s">
        <v>1183</v>
      </c>
      <c r="I1020" s="151" t="s">
        <v>1184</v>
      </c>
      <c r="J1020" s="151" t="s">
        <v>5558</v>
      </c>
      <c r="K1020" s="151" t="s">
        <v>5587</v>
      </c>
      <c r="L1020" s="151" t="s">
        <v>5560</v>
      </c>
      <c r="M1020" s="151" t="s">
        <v>361</v>
      </c>
      <c r="N1020" s="151" t="s">
        <v>5596</v>
      </c>
      <c r="O1020" s="151">
        <v>2851</v>
      </c>
      <c r="P1020" s="151"/>
      <c r="Q1020" s="151" t="s">
        <v>5569</v>
      </c>
      <c r="R1020" s="151" t="s">
        <v>2177</v>
      </c>
      <c r="S1020" s="151" t="s">
        <v>5564</v>
      </c>
      <c r="T1020" s="151" t="s">
        <v>2207</v>
      </c>
      <c r="U1020" s="151" t="s">
        <v>2207</v>
      </c>
      <c r="V1020" s="151">
        <v>10</v>
      </c>
      <c r="W1020" s="151" t="s">
        <v>2207</v>
      </c>
      <c r="X1020" s="151" t="s">
        <v>2207</v>
      </c>
      <c r="Y1020" s="151" t="s">
        <v>2207</v>
      </c>
      <c r="Z1020" s="151"/>
      <c r="AA1020" s="151"/>
      <c r="AB1020" s="151" t="s">
        <v>855</v>
      </c>
      <c r="AC1020" s="342"/>
    </row>
    <row r="1021" spans="1:29">
      <c r="A1021" s="151" t="s">
        <v>5198</v>
      </c>
      <c r="B1021" s="151" t="s">
        <v>5565</v>
      </c>
      <c r="C1021" s="151" t="s">
        <v>3886</v>
      </c>
      <c r="D1021" s="151" t="s">
        <v>17</v>
      </c>
      <c r="E1021" s="151" t="s">
        <v>5597</v>
      </c>
      <c r="F1021" s="151" t="s">
        <v>2527</v>
      </c>
      <c r="G1021" s="151" t="s">
        <v>2173</v>
      </c>
      <c r="H1021" s="151" t="s">
        <v>1183</v>
      </c>
      <c r="I1021" s="151" t="s">
        <v>1184</v>
      </c>
      <c r="J1021" s="151" t="s">
        <v>5558</v>
      </c>
      <c r="K1021" s="151" t="s">
        <v>1501</v>
      </c>
      <c r="L1021" s="151" t="s">
        <v>5569</v>
      </c>
      <c r="M1021" s="151" t="s">
        <v>361</v>
      </c>
      <c r="N1021" s="151" t="s">
        <v>5598</v>
      </c>
      <c r="O1021" s="151"/>
      <c r="P1021" s="151"/>
      <c r="Q1021" s="151"/>
      <c r="R1021" s="151" t="s">
        <v>2177</v>
      </c>
      <c r="S1021" s="151" t="s">
        <v>361</v>
      </c>
      <c r="T1021" s="151"/>
      <c r="U1021" s="151" t="s">
        <v>3582</v>
      </c>
      <c r="V1021" s="151"/>
      <c r="W1021" s="151" t="s">
        <v>2594</v>
      </c>
      <c r="X1021" s="151"/>
      <c r="Y1021" s="151" t="s">
        <v>3582</v>
      </c>
      <c r="Z1021" s="151"/>
      <c r="AA1021" s="151"/>
      <c r="AB1021" s="151" t="s">
        <v>855</v>
      </c>
      <c r="AC1021" s="342"/>
    </row>
    <row r="1022" spans="1:29">
      <c r="A1022" s="151" t="s">
        <v>5198</v>
      </c>
      <c r="B1022" s="151" t="s">
        <v>5599</v>
      </c>
      <c r="C1022" s="151" t="s">
        <v>3886</v>
      </c>
      <c r="D1022" s="151" t="s">
        <v>17</v>
      </c>
      <c r="E1022" s="151" t="s">
        <v>5600</v>
      </c>
      <c r="F1022" s="151" t="s">
        <v>2527</v>
      </c>
      <c r="G1022" s="151" t="s">
        <v>2173</v>
      </c>
      <c r="H1022" s="151" t="s">
        <v>1314</v>
      </c>
      <c r="I1022" s="151" t="s">
        <v>1184</v>
      </c>
      <c r="J1022" s="151" t="s">
        <v>5558</v>
      </c>
      <c r="K1022" s="151" t="s">
        <v>5601</v>
      </c>
      <c r="L1022" s="151" t="s">
        <v>5602</v>
      </c>
      <c r="M1022" s="151" t="s">
        <v>361</v>
      </c>
      <c r="N1022" s="151" t="s">
        <v>5603</v>
      </c>
      <c r="O1022" s="151">
        <v>2851</v>
      </c>
      <c r="P1022" s="151" t="s">
        <v>5604</v>
      </c>
      <c r="Q1022" s="151"/>
      <c r="R1022" s="151" t="s">
        <v>2177</v>
      </c>
      <c r="S1022" s="151" t="s">
        <v>5605</v>
      </c>
      <c r="T1022" s="151" t="s">
        <v>2213</v>
      </c>
      <c r="U1022" s="151" t="s">
        <v>4540</v>
      </c>
      <c r="V1022" s="151">
        <v>25</v>
      </c>
      <c r="W1022" s="151" t="s">
        <v>4540</v>
      </c>
      <c r="X1022" s="151" t="s">
        <v>2445</v>
      </c>
      <c r="Y1022" s="151" t="s">
        <v>4540</v>
      </c>
      <c r="Z1022" s="151"/>
      <c r="AA1022" s="151"/>
      <c r="AB1022" s="151" t="s">
        <v>855</v>
      </c>
      <c r="AC1022" s="342"/>
    </row>
    <row r="1023" spans="1:29">
      <c r="A1023" s="151" t="s">
        <v>5198</v>
      </c>
      <c r="B1023" s="151" t="s">
        <v>5606</v>
      </c>
      <c r="C1023" s="151" t="s">
        <v>3886</v>
      </c>
      <c r="D1023" s="151" t="s">
        <v>17</v>
      </c>
      <c r="E1023" s="151" t="s">
        <v>5607</v>
      </c>
      <c r="F1023" s="151" t="s">
        <v>2527</v>
      </c>
      <c r="G1023" s="151" t="s">
        <v>2173</v>
      </c>
      <c r="H1023" s="151" t="s">
        <v>1314</v>
      </c>
      <c r="I1023" s="151" t="s">
        <v>1184</v>
      </c>
      <c r="J1023" s="151" t="s">
        <v>5558</v>
      </c>
      <c r="K1023" s="151" t="s">
        <v>5608</v>
      </c>
      <c r="L1023" s="151" t="s">
        <v>5602</v>
      </c>
      <c r="M1023" s="151" t="s">
        <v>361</v>
      </c>
      <c r="N1023" s="151" t="s">
        <v>5609</v>
      </c>
      <c r="O1023" s="151">
        <v>2851</v>
      </c>
      <c r="P1023" s="151" t="s">
        <v>5610</v>
      </c>
      <c r="Q1023" s="151"/>
      <c r="R1023" s="151" t="s">
        <v>2177</v>
      </c>
      <c r="S1023" s="151" t="s">
        <v>5605</v>
      </c>
      <c r="T1023" s="151" t="s">
        <v>2213</v>
      </c>
      <c r="U1023" s="151" t="s">
        <v>4540</v>
      </c>
      <c r="V1023" s="151">
        <v>25</v>
      </c>
      <c r="W1023" s="151" t="s">
        <v>4540</v>
      </c>
      <c r="X1023" s="151" t="s">
        <v>2445</v>
      </c>
      <c r="Y1023" s="151" t="s">
        <v>4540</v>
      </c>
      <c r="Z1023" s="151"/>
      <c r="AA1023" s="151"/>
      <c r="AB1023" s="151" t="s">
        <v>855</v>
      </c>
      <c r="AC1023" s="342"/>
    </row>
    <row r="1024" spans="1:29">
      <c r="A1024" s="151" t="s">
        <v>5198</v>
      </c>
      <c r="B1024" s="151" t="s">
        <v>5611</v>
      </c>
      <c r="C1024" s="151" t="s">
        <v>3886</v>
      </c>
      <c r="D1024" s="151" t="s">
        <v>17</v>
      </c>
      <c r="E1024" s="151" t="s">
        <v>5612</v>
      </c>
      <c r="F1024" s="151" t="s">
        <v>2527</v>
      </c>
      <c r="G1024" s="151" t="s">
        <v>2173</v>
      </c>
      <c r="H1024" s="151" t="s">
        <v>1314</v>
      </c>
      <c r="I1024" s="151" t="s">
        <v>1184</v>
      </c>
      <c r="J1024" s="151" t="s">
        <v>5558</v>
      </c>
      <c r="K1024" s="151" t="s">
        <v>5613</v>
      </c>
      <c r="L1024" s="151" t="s">
        <v>5602</v>
      </c>
      <c r="M1024" s="151" t="s">
        <v>361</v>
      </c>
      <c r="N1024" s="151" t="s">
        <v>5614</v>
      </c>
      <c r="O1024" s="151"/>
      <c r="P1024" s="151" t="s">
        <v>5615</v>
      </c>
      <c r="Q1024" s="151"/>
      <c r="R1024" s="151" t="s">
        <v>2177</v>
      </c>
      <c r="S1024" s="151" t="s">
        <v>5605</v>
      </c>
      <c r="T1024" s="151" t="s">
        <v>2213</v>
      </c>
      <c r="U1024" s="151" t="s">
        <v>4540</v>
      </c>
      <c r="V1024" s="151">
        <v>25</v>
      </c>
      <c r="W1024" s="151" t="s">
        <v>4540</v>
      </c>
      <c r="X1024" s="151" t="s">
        <v>2445</v>
      </c>
      <c r="Y1024" s="151" t="s">
        <v>4540</v>
      </c>
      <c r="Z1024" s="151"/>
      <c r="AA1024" s="151"/>
      <c r="AB1024" s="151" t="s">
        <v>855</v>
      </c>
      <c r="AC1024" s="342"/>
    </row>
    <row r="1025" spans="1:29">
      <c r="A1025" s="151" t="s">
        <v>5198</v>
      </c>
      <c r="B1025" s="151" t="s">
        <v>5616</v>
      </c>
      <c r="C1025" s="151" t="s">
        <v>3886</v>
      </c>
      <c r="D1025" s="151" t="s">
        <v>17</v>
      </c>
      <c r="E1025" s="151" t="s">
        <v>5617</v>
      </c>
      <c r="F1025" s="151" t="s">
        <v>2527</v>
      </c>
      <c r="G1025" s="151" t="s">
        <v>2173</v>
      </c>
      <c r="H1025" s="151" t="s">
        <v>1183</v>
      </c>
      <c r="I1025" s="151" t="s">
        <v>1184</v>
      </c>
      <c r="J1025" s="151" t="s">
        <v>5558</v>
      </c>
      <c r="K1025" s="151" t="s">
        <v>5618</v>
      </c>
      <c r="L1025" s="151" t="s">
        <v>5602</v>
      </c>
      <c r="M1025" s="151" t="s">
        <v>361</v>
      </c>
      <c r="N1025" s="151" t="s">
        <v>5619</v>
      </c>
      <c r="O1025" s="151">
        <v>2851</v>
      </c>
      <c r="P1025" s="151" t="s">
        <v>5580</v>
      </c>
      <c r="Q1025" s="151" t="s">
        <v>5569</v>
      </c>
      <c r="R1025" s="151" t="s">
        <v>2177</v>
      </c>
      <c r="S1025" s="151" t="s">
        <v>5564</v>
      </c>
      <c r="T1025" s="151" t="s">
        <v>2213</v>
      </c>
      <c r="U1025" s="151" t="s">
        <v>4540</v>
      </c>
      <c r="V1025" s="151">
        <v>25</v>
      </c>
      <c r="W1025" s="151" t="s">
        <v>4540</v>
      </c>
      <c r="X1025" s="151" t="s">
        <v>2445</v>
      </c>
      <c r="Y1025" s="151" t="s">
        <v>4540</v>
      </c>
      <c r="Z1025" s="151"/>
      <c r="AA1025" s="151"/>
      <c r="AB1025" s="151" t="s">
        <v>855</v>
      </c>
      <c r="AC1025" s="342"/>
    </row>
    <row r="1026" spans="1:29">
      <c r="A1026" s="151" t="s">
        <v>5198</v>
      </c>
      <c r="B1026" s="151" t="s">
        <v>5620</v>
      </c>
      <c r="C1026" s="151" t="s">
        <v>3886</v>
      </c>
      <c r="D1026" s="151" t="s">
        <v>17</v>
      </c>
      <c r="E1026" s="151" t="s">
        <v>5621</v>
      </c>
      <c r="F1026" s="151" t="s">
        <v>2527</v>
      </c>
      <c r="G1026" s="151" t="s">
        <v>2173</v>
      </c>
      <c r="H1026" s="151" t="s">
        <v>1183</v>
      </c>
      <c r="I1026" s="151" t="s">
        <v>1184</v>
      </c>
      <c r="J1026" s="151" t="s">
        <v>5558</v>
      </c>
      <c r="K1026" s="151" t="s">
        <v>5622</v>
      </c>
      <c r="L1026" s="151" t="s">
        <v>5602</v>
      </c>
      <c r="M1026" s="151" t="s">
        <v>361</v>
      </c>
      <c r="N1026" s="151" t="s">
        <v>5623</v>
      </c>
      <c r="O1026" s="151">
        <v>2851</v>
      </c>
      <c r="P1026" s="151"/>
      <c r="Q1026" s="151" t="s">
        <v>5569</v>
      </c>
      <c r="R1026" s="151" t="s">
        <v>2177</v>
      </c>
      <c r="S1026" s="151" t="s">
        <v>5564</v>
      </c>
      <c r="T1026" s="151" t="s">
        <v>2213</v>
      </c>
      <c r="U1026" s="151" t="s">
        <v>4271</v>
      </c>
      <c r="V1026" s="151">
        <v>3</v>
      </c>
      <c r="W1026" s="151">
        <v>3</v>
      </c>
      <c r="X1026" s="151" t="s">
        <v>2445</v>
      </c>
      <c r="Y1026" s="151" t="s">
        <v>4271</v>
      </c>
      <c r="Z1026" s="151"/>
      <c r="AA1026" s="151"/>
      <c r="AB1026" s="151" t="s">
        <v>855</v>
      </c>
      <c r="AC1026" s="342"/>
    </row>
    <row r="1027" spans="1:29">
      <c r="A1027" s="151" t="s">
        <v>5198</v>
      </c>
      <c r="B1027" s="151" t="s">
        <v>5581</v>
      </c>
      <c r="C1027" s="151" t="s">
        <v>3886</v>
      </c>
      <c r="D1027" s="151" t="s">
        <v>17</v>
      </c>
      <c r="E1027" s="151" t="s">
        <v>5624</v>
      </c>
      <c r="F1027" s="151" t="s">
        <v>2527</v>
      </c>
      <c r="G1027" s="151" t="s">
        <v>2173</v>
      </c>
      <c r="H1027" s="151" t="s">
        <v>1314</v>
      </c>
      <c r="I1027" s="151" t="s">
        <v>1184</v>
      </c>
      <c r="J1027" s="151" t="s">
        <v>5558</v>
      </c>
      <c r="K1027" s="151" t="s">
        <v>5625</v>
      </c>
      <c r="L1027" s="151" t="s">
        <v>361</v>
      </c>
      <c r="M1027" s="433"/>
      <c r="N1027" s="431" t="s">
        <v>5626</v>
      </c>
      <c r="O1027" s="151">
        <v>2851</v>
      </c>
      <c r="P1027" s="151" t="s">
        <v>5627</v>
      </c>
      <c r="Q1027" s="151"/>
      <c r="R1027" s="151" t="s">
        <v>2177</v>
      </c>
      <c r="S1027" s="151" t="s">
        <v>5564</v>
      </c>
      <c r="T1027" s="151" t="s">
        <v>2213</v>
      </c>
      <c r="U1027" s="151" t="s">
        <v>4540</v>
      </c>
      <c r="V1027" s="151">
        <v>25</v>
      </c>
      <c r="W1027" s="151" t="s">
        <v>4540</v>
      </c>
      <c r="X1027" s="151" t="s">
        <v>2445</v>
      </c>
      <c r="Y1027" s="151" t="s">
        <v>4540</v>
      </c>
      <c r="Z1027" s="151"/>
      <c r="AA1027" s="151"/>
      <c r="AB1027" s="151" t="s">
        <v>855</v>
      </c>
      <c r="AC1027" s="342"/>
    </row>
    <row r="1028" spans="1:29" ht="30">
      <c r="A1028" s="151" t="s">
        <v>5198</v>
      </c>
      <c r="B1028" s="151" t="s">
        <v>5628</v>
      </c>
      <c r="C1028" s="151" t="s">
        <v>3886</v>
      </c>
      <c r="D1028" s="151" t="s">
        <v>17</v>
      </c>
      <c r="E1028" s="151" t="s">
        <v>5629</v>
      </c>
      <c r="F1028" s="151" t="s">
        <v>2527</v>
      </c>
      <c r="G1028" s="151" t="s">
        <v>2173</v>
      </c>
      <c r="H1028" s="151" t="s">
        <v>1314</v>
      </c>
      <c r="I1028" s="151" t="s">
        <v>1184</v>
      </c>
      <c r="J1028" s="151" t="s">
        <v>5558</v>
      </c>
      <c r="K1028" s="433" t="s">
        <v>5630</v>
      </c>
      <c r="M1028" s="433"/>
      <c r="N1028" s="431" t="s">
        <v>5631</v>
      </c>
      <c r="O1028" s="151">
        <v>2851</v>
      </c>
      <c r="P1028" s="151" t="s">
        <v>5632</v>
      </c>
      <c r="Q1028" s="151"/>
      <c r="R1028" s="151" t="s">
        <v>2177</v>
      </c>
      <c r="S1028" s="151" t="s">
        <v>5564</v>
      </c>
      <c r="T1028" s="151" t="s">
        <v>2213</v>
      </c>
      <c r="U1028" s="151" t="s">
        <v>4540</v>
      </c>
      <c r="V1028" s="151">
        <v>25</v>
      </c>
      <c r="W1028" s="151" t="s">
        <v>4540</v>
      </c>
      <c r="X1028" s="151" t="s">
        <v>2445</v>
      </c>
      <c r="Y1028" s="151" t="s">
        <v>4540</v>
      </c>
      <c r="Z1028" s="151"/>
      <c r="AA1028" s="151"/>
      <c r="AB1028" s="151" t="s">
        <v>855</v>
      </c>
      <c r="AC1028" s="342"/>
    </row>
    <row r="1029" spans="1:29">
      <c r="A1029" s="151" t="s">
        <v>5198</v>
      </c>
      <c r="B1029" s="151" t="s">
        <v>440</v>
      </c>
      <c r="C1029" s="151" t="s">
        <v>3886</v>
      </c>
      <c r="D1029" s="151" t="s">
        <v>17</v>
      </c>
      <c r="E1029" s="151" t="s">
        <v>5633</v>
      </c>
      <c r="F1029" s="151" t="s">
        <v>2527</v>
      </c>
      <c r="G1029" s="151" t="s">
        <v>2173</v>
      </c>
      <c r="H1029" s="151" t="s">
        <v>1183</v>
      </c>
      <c r="I1029" s="151" t="s">
        <v>1184</v>
      </c>
      <c r="J1029" s="151" t="s">
        <v>5558</v>
      </c>
      <c r="K1029" s="151" t="s">
        <v>5634</v>
      </c>
      <c r="L1029" s="151" t="s">
        <v>5602</v>
      </c>
      <c r="M1029" s="151" t="s">
        <v>361</v>
      </c>
      <c r="N1029" s="151" t="s">
        <v>5635</v>
      </c>
      <c r="O1029" s="151">
        <v>2851</v>
      </c>
      <c r="P1029" s="151"/>
      <c r="Q1029" s="151" t="s">
        <v>5569</v>
      </c>
      <c r="R1029" s="151" t="s">
        <v>2177</v>
      </c>
      <c r="S1029" s="151" t="s">
        <v>5564</v>
      </c>
      <c r="T1029" s="151"/>
      <c r="U1029" s="151" t="s">
        <v>3582</v>
      </c>
      <c r="V1029" s="151"/>
      <c r="W1029" s="151" t="s">
        <v>2417</v>
      </c>
      <c r="X1029" s="151"/>
      <c r="Y1029" s="151" t="s">
        <v>3582</v>
      </c>
      <c r="Z1029" s="151"/>
      <c r="AA1029" s="151"/>
      <c r="AB1029" s="151" t="s">
        <v>855</v>
      </c>
      <c r="AC1029" s="342"/>
    </row>
    <row r="1030" spans="1:29">
      <c r="A1030" s="151" t="s">
        <v>5198</v>
      </c>
      <c r="B1030" s="151" t="s">
        <v>2669</v>
      </c>
      <c r="C1030" s="151" t="s">
        <v>3886</v>
      </c>
      <c r="D1030" s="151" t="s">
        <v>17</v>
      </c>
      <c r="E1030" s="151" t="s">
        <v>5636</v>
      </c>
      <c r="F1030" s="151" t="s">
        <v>2527</v>
      </c>
      <c r="G1030" s="151" t="s">
        <v>2173</v>
      </c>
      <c r="H1030" s="151" t="s">
        <v>1183</v>
      </c>
      <c r="I1030" s="151" t="s">
        <v>1184</v>
      </c>
      <c r="J1030" s="151" t="s">
        <v>5558</v>
      </c>
      <c r="K1030" s="151" t="s">
        <v>1657</v>
      </c>
      <c r="L1030" s="151" t="s">
        <v>5602</v>
      </c>
      <c r="M1030" s="151" t="s">
        <v>361</v>
      </c>
      <c r="N1030" s="151" t="s">
        <v>5637</v>
      </c>
      <c r="O1030" s="151">
        <v>2851</v>
      </c>
      <c r="P1030" s="151"/>
      <c r="Q1030" s="151" t="s">
        <v>5569</v>
      </c>
      <c r="R1030" s="151" t="s">
        <v>2177</v>
      </c>
      <c r="S1030" s="151" t="s">
        <v>5564</v>
      </c>
      <c r="T1030" s="151"/>
      <c r="U1030" s="151" t="s">
        <v>3582</v>
      </c>
      <c r="V1030" s="151"/>
      <c r="W1030" s="151" t="s">
        <v>3615</v>
      </c>
      <c r="X1030" s="151"/>
      <c r="Y1030" s="151" t="s">
        <v>3582</v>
      </c>
      <c r="Z1030" s="151"/>
      <c r="AA1030" s="151"/>
      <c r="AB1030" s="151" t="s">
        <v>855</v>
      </c>
      <c r="AC1030" s="342"/>
    </row>
    <row r="1031" spans="1:29">
      <c r="A1031" s="151" t="s">
        <v>5198</v>
      </c>
      <c r="B1031" s="151" t="s">
        <v>5638</v>
      </c>
      <c r="C1031" s="151" t="s">
        <v>3886</v>
      </c>
      <c r="D1031" s="151" t="s">
        <v>17</v>
      </c>
      <c r="E1031" s="151" t="s">
        <v>5639</v>
      </c>
      <c r="F1031" s="151" t="s">
        <v>2527</v>
      </c>
      <c r="G1031" s="151" t="s">
        <v>2173</v>
      </c>
      <c r="H1031" s="151" t="s">
        <v>1183</v>
      </c>
      <c r="I1031" s="151" t="s">
        <v>1184</v>
      </c>
      <c r="J1031" s="151" t="s">
        <v>5558</v>
      </c>
      <c r="K1031" s="151" t="s">
        <v>5640</v>
      </c>
      <c r="L1031" s="151" t="s">
        <v>5602</v>
      </c>
      <c r="M1031" s="151" t="s">
        <v>361</v>
      </c>
      <c r="N1031" s="151" t="s">
        <v>5641</v>
      </c>
      <c r="O1031" s="151">
        <v>2851</v>
      </c>
      <c r="P1031" s="151"/>
      <c r="Q1031" s="151" t="s">
        <v>5569</v>
      </c>
      <c r="R1031" s="151" t="s">
        <v>2177</v>
      </c>
      <c r="S1031" s="151" t="s">
        <v>5642</v>
      </c>
      <c r="T1031" s="151"/>
      <c r="U1031" s="151" t="s">
        <v>3608</v>
      </c>
      <c r="V1031" s="151"/>
      <c r="W1031" s="151">
        <v>1</v>
      </c>
      <c r="X1031" s="151"/>
      <c r="Y1031" s="151" t="s">
        <v>3608</v>
      </c>
      <c r="Z1031" s="151"/>
      <c r="AA1031" s="151"/>
      <c r="AB1031" s="151" t="s">
        <v>855</v>
      </c>
      <c r="AC1031" s="342"/>
    </row>
    <row r="1032" spans="1:29">
      <c r="A1032" s="151" t="s">
        <v>5198</v>
      </c>
      <c r="B1032" s="151" t="s">
        <v>5643</v>
      </c>
      <c r="C1032" s="151" t="s">
        <v>3886</v>
      </c>
      <c r="D1032" s="151" t="s">
        <v>17</v>
      </c>
      <c r="E1032" s="151" t="s">
        <v>5644</v>
      </c>
      <c r="F1032" s="151" t="s">
        <v>2527</v>
      </c>
      <c r="G1032" s="151" t="s">
        <v>2173</v>
      </c>
      <c r="H1032" s="151" t="s">
        <v>1314</v>
      </c>
      <c r="I1032" s="151" t="s">
        <v>1184</v>
      </c>
      <c r="J1032" s="151" t="s">
        <v>5558</v>
      </c>
      <c r="K1032" s="151" t="s">
        <v>4027</v>
      </c>
      <c r="L1032" s="151" t="s">
        <v>5602</v>
      </c>
      <c r="M1032" s="151" t="s">
        <v>361</v>
      </c>
      <c r="N1032" s="151" t="s">
        <v>5645</v>
      </c>
      <c r="O1032" s="151">
        <v>2851</v>
      </c>
      <c r="P1032" s="151" t="s">
        <v>5646</v>
      </c>
      <c r="Q1032" s="151"/>
      <c r="R1032" s="151" t="s">
        <v>2177</v>
      </c>
      <c r="S1032" s="151" t="s">
        <v>5564</v>
      </c>
      <c r="T1032" s="151"/>
      <c r="U1032" s="151" t="s">
        <v>3582</v>
      </c>
      <c r="V1032" s="151"/>
      <c r="W1032" s="151" t="s">
        <v>2615</v>
      </c>
      <c r="X1032" s="151"/>
      <c r="Y1032" s="151" t="s">
        <v>3582</v>
      </c>
      <c r="Z1032" s="151"/>
      <c r="AA1032" s="151"/>
      <c r="AB1032" s="151" t="s">
        <v>855</v>
      </c>
      <c r="AC1032" s="342"/>
    </row>
    <row r="1033" spans="1:29">
      <c r="A1033" s="151" t="s">
        <v>5198</v>
      </c>
      <c r="B1033" s="151" t="s">
        <v>5647</v>
      </c>
      <c r="C1033" s="151" t="s">
        <v>3886</v>
      </c>
      <c r="D1033" s="151" t="s">
        <v>17</v>
      </c>
      <c r="E1033" s="151" t="s">
        <v>5648</v>
      </c>
      <c r="F1033" s="151" t="s">
        <v>2527</v>
      </c>
      <c r="G1033" s="151" t="s">
        <v>2173</v>
      </c>
      <c r="H1033" s="151" t="s">
        <v>1183</v>
      </c>
      <c r="I1033" s="151" t="s">
        <v>1184</v>
      </c>
      <c r="J1033" s="151" t="s">
        <v>5558</v>
      </c>
      <c r="K1033" s="151" t="s">
        <v>5649</v>
      </c>
      <c r="L1033" s="8" t="s">
        <v>5602</v>
      </c>
      <c r="M1033" s="151" t="s">
        <v>361</v>
      </c>
      <c r="N1033" s="151" t="s">
        <v>5650</v>
      </c>
      <c r="O1033" s="151">
        <v>2851</v>
      </c>
      <c r="P1033" s="151"/>
      <c r="Q1033" s="151" t="s">
        <v>5569</v>
      </c>
      <c r="R1033" s="151" t="s">
        <v>2177</v>
      </c>
      <c r="S1033" s="151" t="s">
        <v>5564</v>
      </c>
      <c r="T1033" s="151"/>
      <c r="U1033" s="151" t="s">
        <v>3582</v>
      </c>
      <c r="V1033" s="151"/>
      <c r="W1033" s="151" t="s">
        <v>2594</v>
      </c>
      <c r="X1033" s="151"/>
      <c r="Y1033" s="151" t="s">
        <v>3582</v>
      </c>
      <c r="Z1033" s="151"/>
      <c r="AA1033" s="151"/>
      <c r="AB1033" s="151" t="s">
        <v>855</v>
      </c>
      <c r="AC1033" s="342"/>
    </row>
    <row r="1034" spans="1:29">
      <c r="A1034" s="151" t="s">
        <v>5198</v>
      </c>
      <c r="B1034" s="151" t="s">
        <v>5651</v>
      </c>
      <c r="C1034" s="151" t="s">
        <v>3886</v>
      </c>
      <c r="D1034" s="151" t="s">
        <v>17</v>
      </c>
      <c r="E1034" s="151" t="s">
        <v>5652</v>
      </c>
      <c r="F1034" s="151" t="s">
        <v>2527</v>
      </c>
      <c r="G1034" s="151" t="s">
        <v>2173</v>
      </c>
      <c r="H1034" s="151" t="s">
        <v>1314</v>
      </c>
      <c r="I1034" s="151" t="s">
        <v>1184</v>
      </c>
      <c r="J1034" s="151" t="s">
        <v>5558</v>
      </c>
      <c r="K1034" s="151" t="s">
        <v>5653</v>
      </c>
      <c r="L1034" s="8" t="s">
        <v>5602</v>
      </c>
      <c r="M1034" s="151" t="s">
        <v>361</v>
      </c>
      <c r="N1034" s="151" t="s">
        <v>5654</v>
      </c>
      <c r="O1034" s="151">
        <v>2851</v>
      </c>
      <c r="P1034" s="151" t="s">
        <v>5655</v>
      </c>
      <c r="Q1034" s="151"/>
      <c r="R1034" s="151" t="s">
        <v>2177</v>
      </c>
      <c r="T1034" s="151" t="s">
        <v>2213</v>
      </c>
      <c r="U1034" s="151" t="s">
        <v>4540</v>
      </c>
      <c r="V1034" s="151">
        <v>25</v>
      </c>
      <c r="W1034" s="151" t="s">
        <v>4540</v>
      </c>
      <c r="X1034" s="151" t="s">
        <v>2445</v>
      </c>
      <c r="Y1034" s="151" t="s">
        <v>4540</v>
      </c>
      <c r="Z1034" s="151"/>
      <c r="AA1034" s="151"/>
      <c r="AB1034" s="151" t="s">
        <v>855</v>
      </c>
      <c r="AC1034" s="342"/>
    </row>
    <row r="1035" spans="1:29">
      <c r="A1035" s="151" t="s">
        <v>5198</v>
      </c>
      <c r="B1035" s="151" t="s">
        <v>5656</v>
      </c>
      <c r="C1035" s="151" t="s">
        <v>3886</v>
      </c>
      <c r="D1035" s="151" t="s">
        <v>17</v>
      </c>
      <c r="E1035" s="151" t="s">
        <v>5657</v>
      </c>
      <c r="F1035" s="151" t="s">
        <v>2527</v>
      </c>
      <c r="G1035" s="151" t="s">
        <v>2173</v>
      </c>
      <c r="H1035" s="151" t="s">
        <v>1183</v>
      </c>
      <c r="I1035" s="151" t="s">
        <v>1184</v>
      </c>
      <c r="J1035" s="151" t="s">
        <v>5558</v>
      </c>
      <c r="K1035" s="151" t="s">
        <v>5658</v>
      </c>
      <c r="L1035" s="8" t="s">
        <v>5602</v>
      </c>
      <c r="M1035" s="151" t="s">
        <v>361</v>
      </c>
      <c r="N1035" s="151" t="s">
        <v>5659</v>
      </c>
      <c r="O1035" s="151">
        <v>2851</v>
      </c>
      <c r="P1035" s="151"/>
      <c r="Q1035" s="151" t="s">
        <v>5569</v>
      </c>
      <c r="R1035" s="151" t="s">
        <v>2177</v>
      </c>
      <c r="S1035" s="151" t="s">
        <v>5660</v>
      </c>
      <c r="T1035" s="151"/>
      <c r="U1035" s="151" t="s">
        <v>3608</v>
      </c>
      <c r="V1035" s="151"/>
      <c r="W1035" s="151">
        <v>1</v>
      </c>
      <c r="X1035" s="151"/>
      <c r="Y1035" s="151" t="s">
        <v>3608</v>
      </c>
      <c r="Z1035" s="151"/>
      <c r="AA1035" s="151"/>
      <c r="AB1035" s="151" t="s">
        <v>855</v>
      </c>
      <c r="AC1035" s="342"/>
    </row>
    <row r="1036" spans="1:29">
      <c r="A1036" s="151" t="s">
        <v>5198</v>
      </c>
      <c r="B1036" s="151" t="s">
        <v>5661</v>
      </c>
      <c r="C1036" s="151" t="s">
        <v>3886</v>
      </c>
      <c r="D1036" s="151" t="s">
        <v>17</v>
      </c>
      <c r="E1036" s="151" t="s">
        <v>5662</v>
      </c>
      <c r="F1036" s="151" t="s">
        <v>2527</v>
      </c>
      <c r="G1036" s="151" t="s">
        <v>2173</v>
      </c>
      <c r="H1036" s="151" t="s">
        <v>1183</v>
      </c>
      <c r="I1036" s="151" t="s">
        <v>1184</v>
      </c>
      <c r="J1036" s="151" t="s">
        <v>5558</v>
      </c>
      <c r="K1036" s="151" t="s">
        <v>5653</v>
      </c>
      <c r="L1036" s="8" t="s">
        <v>5602</v>
      </c>
      <c r="M1036" s="151" t="s">
        <v>361</v>
      </c>
      <c r="N1036" s="151" t="s">
        <v>5663</v>
      </c>
      <c r="O1036" s="151">
        <v>2851</v>
      </c>
      <c r="P1036" s="151" t="s">
        <v>5664</v>
      </c>
      <c r="Q1036" s="151" t="s">
        <v>5569</v>
      </c>
      <c r="R1036" s="151" t="s">
        <v>2177</v>
      </c>
      <c r="S1036" s="151" t="s">
        <v>5564</v>
      </c>
      <c r="T1036" s="151" t="s">
        <v>2213</v>
      </c>
      <c r="U1036" s="151" t="s">
        <v>4540</v>
      </c>
      <c r="V1036" s="151">
        <v>25</v>
      </c>
      <c r="W1036" s="151" t="s">
        <v>4540</v>
      </c>
      <c r="X1036" s="151" t="s">
        <v>2445</v>
      </c>
      <c r="Y1036" s="151" t="s">
        <v>4540</v>
      </c>
      <c r="Z1036" s="151"/>
      <c r="AA1036" s="151"/>
      <c r="AB1036" s="151" t="s">
        <v>855</v>
      </c>
      <c r="AC1036" s="342"/>
    </row>
    <row r="1037" spans="1:29">
      <c r="A1037" s="151" t="s">
        <v>5198</v>
      </c>
      <c r="B1037" s="151" t="s">
        <v>5665</v>
      </c>
      <c r="C1037" s="151" t="s">
        <v>3886</v>
      </c>
      <c r="D1037" s="151" t="s">
        <v>17</v>
      </c>
      <c r="E1037" s="151" t="s">
        <v>5666</v>
      </c>
      <c r="F1037" s="151" t="s">
        <v>2527</v>
      </c>
      <c r="G1037" s="151" t="s">
        <v>2173</v>
      </c>
      <c r="H1037" s="151" t="s">
        <v>1183</v>
      </c>
      <c r="I1037" s="151" t="s">
        <v>1184</v>
      </c>
      <c r="J1037" s="151" t="s">
        <v>5558</v>
      </c>
      <c r="K1037" s="151" t="s">
        <v>5587</v>
      </c>
      <c r="L1037" s="8" t="s">
        <v>5602</v>
      </c>
      <c r="M1037" s="151" t="s">
        <v>361</v>
      </c>
      <c r="N1037" t="s">
        <v>5667</v>
      </c>
      <c r="O1037" s="151">
        <v>2851</v>
      </c>
      <c r="Q1037" s="151" t="s">
        <v>5569</v>
      </c>
      <c r="R1037" s="151" t="s">
        <v>2177</v>
      </c>
      <c r="S1037" s="151" t="s">
        <v>5564</v>
      </c>
      <c r="T1037" s="151" t="s">
        <v>2207</v>
      </c>
      <c r="U1037" s="151" t="s">
        <v>2207</v>
      </c>
      <c r="V1037" s="151">
        <v>10</v>
      </c>
      <c r="W1037" s="151" t="s">
        <v>2207</v>
      </c>
      <c r="X1037" s="151" t="s">
        <v>2207</v>
      </c>
      <c r="Y1037" s="151" t="s">
        <v>2207</v>
      </c>
      <c r="Z1037" s="151"/>
      <c r="AA1037" s="151"/>
      <c r="AB1037" s="151" t="s">
        <v>855</v>
      </c>
      <c r="AC1037" s="342"/>
    </row>
    <row r="1038" spans="1:29">
      <c r="A1038" s="151" t="s">
        <v>5198</v>
      </c>
      <c r="B1038" s="151" t="s">
        <v>5668</v>
      </c>
      <c r="C1038" s="151" t="s">
        <v>3886</v>
      </c>
      <c r="D1038" s="151" t="s">
        <v>17</v>
      </c>
      <c r="E1038" s="151" t="s">
        <v>5669</v>
      </c>
      <c r="F1038" s="151" t="s">
        <v>2527</v>
      </c>
      <c r="G1038" s="151" t="s">
        <v>2173</v>
      </c>
      <c r="H1038" s="151" t="s">
        <v>1314</v>
      </c>
      <c r="I1038" s="151" t="s">
        <v>1184</v>
      </c>
      <c r="J1038" s="151" t="s">
        <v>5558</v>
      </c>
      <c r="K1038" s="151" t="s">
        <v>5670</v>
      </c>
      <c r="L1038" s="8" t="s">
        <v>5602</v>
      </c>
      <c r="M1038" s="151" t="s">
        <v>361</v>
      </c>
      <c r="N1038" s="151" t="s">
        <v>5671</v>
      </c>
      <c r="O1038" s="151">
        <v>2851</v>
      </c>
      <c r="P1038" s="151" t="s">
        <v>5672</v>
      </c>
      <c r="Q1038" s="151"/>
      <c r="R1038" s="151" t="s">
        <v>2177</v>
      </c>
      <c r="S1038" s="151" t="s">
        <v>5564</v>
      </c>
      <c r="T1038" s="151" t="s">
        <v>2207</v>
      </c>
      <c r="U1038" s="151" t="s">
        <v>2207</v>
      </c>
      <c r="V1038" s="151">
        <v>10</v>
      </c>
      <c r="W1038" s="151" t="s">
        <v>2207</v>
      </c>
      <c r="X1038" s="151" t="s">
        <v>2207</v>
      </c>
      <c r="Y1038" s="151" t="s">
        <v>2207</v>
      </c>
      <c r="Z1038" s="151"/>
      <c r="AA1038" s="151"/>
      <c r="AB1038" s="151" t="s">
        <v>855</v>
      </c>
      <c r="AC1038" s="342"/>
    </row>
    <row r="1039" spans="1:29">
      <c r="A1039" s="151" t="s">
        <v>5198</v>
      </c>
      <c r="B1039" s="151" t="s">
        <v>5673</v>
      </c>
      <c r="C1039" s="151" t="s">
        <v>3886</v>
      </c>
      <c r="D1039" s="151" t="s">
        <v>17</v>
      </c>
      <c r="E1039" s="151" t="s">
        <v>5674</v>
      </c>
      <c r="F1039" s="151" t="s">
        <v>2527</v>
      </c>
      <c r="G1039" s="151" t="s">
        <v>2173</v>
      </c>
      <c r="H1039" s="151" t="s">
        <v>1183</v>
      </c>
      <c r="I1039" s="151" t="s">
        <v>1184</v>
      </c>
      <c r="J1039" s="151" t="s">
        <v>5558</v>
      </c>
      <c r="K1039" s="151" t="s">
        <v>5587</v>
      </c>
      <c r="L1039" s="8" t="s">
        <v>5602</v>
      </c>
      <c r="M1039" s="151"/>
      <c r="N1039" s="151" t="s">
        <v>5675</v>
      </c>
      <c r="O1039" s="151">
        <v>2851</v>
      </c>
      <c r="P1039" s="151" t="s">
        <v>5676</v>
      </c>
      <c r="Q1039" s="151" t="s">
        <v>5569</v>
      </c>
      <c r="R1039" s="151" t="s">
        <v>2177</v>
      </c>
      <c r="S1039" s="151" t="s">
        <v>5564</v>
      </c>
      <c r="T1039" s="151" t="s">
        <v>2207</v>
      </c>
      <c r="U1039" s="151" t="s">
        <v>2207</v>
      </c>
      <c r="V1039" s="151">
        <v>10</v>
      </c>
      <c r="W1039" s="151" t="s">
        <v>2207</v>
      </c>
      <c r="X1039" s="151" t="s">
        <v>2207</v>
      </c>
      <c r="Y1039" s="151" t="s">
        <v>2207</v>
      </c>
      <c r="Z1039" s="151"/>
      <c r="AA1039" s="151"/>
      <c r="AB1039" s="151" t="s">
        <v>855</v>
      </c>
      <c r="AC1039" s="342"/>
    </row>
    <row r="1040" spans="1:29">
      <c r="A1040" s="151" t="s">
        <v>5198</v>
      </c>
      <c r="B1040" s="151" t="s">
        <v>5677</v>
      </c>
      <c r="C1040" s="151" t="s">
        <v>3886</v>
      </c>
      <c r="D1040" s="151" t="s">
        <v>17</v>
      </c>
      <c r="E1040" s="151" t="s">
        <v>5678</v>
      </c>
      <c r="F1040" s="151" t="s">
        <v>2527</v>
      </c>
      <c r="G1040" s="151" t="s">
        <v>2173</v>
      </c>
      <c r="H1040" s="151" t="s">
        <v>1183</v>
      </c>
      <c r="I1040" s="151" t="s">
        <v>1184</v>
      </c>
      <c r="J1040" s="151" t="s">
        <v>5558</v>
      </c>
      <c r="K1040" s="151" t="s">
        <v>5679</v>
      </c>
      <c r="L1040" s="8" t="s">
        <v>5602</v>
      </c>
      <c r="M1040" s="151" t="s">
        <v>361</v>
      </c>
      <c r="N1040" s="151" t="s">
        <v>5680</v>
      </c>
      <c r="O1040" s="151">
        <v>2851</v>
      </c>
      <c r="P1040" s="151"/>
      <c r="Q1040" s="151" t="s">
        <v>5569</v>
      </c>
      <c r="R1040" s="151" t="s">
        <v>2177</v>
      </c>
      <c r="S1040" s="151" t="s">
        <v>5564</v>
      </c>
      <c r="T1040" s="151" t="s">
        <v>2207</v>
      </c>
      <c r="U1040" s="151" t="s">
        <v>2207</v>
      </c>
      <c r="V1040" s="151">
        <v>10</v>
      </c>
      <c r="W1040" s="151" t="s">
        <v>2207</v>
      </c>
      <c r="X1040" s="151" t="s">
        <v>2207</v>
      </c>
      <c r="Y1040" s="151" t="s">
        <v>2207</v>
      </c>
      <c r="Z1040" s="151"/>
      <c r="AA1040" s="151"/>
      <c r="AB1040" s="151" t="s">
        <v>855</v>
      </c>
      <c r="AC1040" s="342"/>
    </row>
    <row r="1041" spans="1:29">
      <c r="A1041" s="151" t="s">
        <v>5198</v>
      </c>
      <c r="B1041" s="151" t="s">
        <v>5681</v>
      </c>
      <c r="C1041" s="151" t="s">
        <v>3886</v>
      </c>
      <c r="D1041" s="151" t="s">
        <v>17</v>
      </c>
      <c r="E1041" s="151" t="s">
        <v>5682</v>
      </c>
      <c r="F1041" s="151" t="s">
        <v>2527</v>
      </c>
      <c r="G1041" s="151" t="s">
        <v>2173</v>
      </c>
      <c r="H1041" s="151" t="s">
        <v>1183</v>
      </c>
      <c r="I1041" s="151" t="s">
        <v>1184</v>
      </c>
      <c r="J1041" s="151" t="s">
        <v>5558</v>
      </c>
      <c r="K1041" s="151" t="s">
        <v>5683</v>
      </c>
      <c r="L1041" s="8" t="s">
        <v>5602</v>
      </c>
      <c r="M1041" s="151" t="s">
        <v>361</v>
      </c>
      <c r="N1041" s="151" t="s">
        <v>5684</v>
      </c>
      <c r="O1041" s="151">
        <v>2851</v>
      </c>
      <c r="P1041" s="151"/>
      <c r="Q1041" s="151" t="s">
        <v>5569</v>
      </c>
      <c r="R1041" s="151" t="s">
        <v>2177</v>
      </c>
      <c r="S1041" s="151" t="s">
        <v>5564</v>
      </c>
      <c r="T1041" s="151" t="s">
        <v>2207</v>
      </c>
      <c r="U1041" s="151" t="s">
        <v>2207</v>
      </c>
      <c r="V1041" s="151">
        <v>10</v>
      </c>
      <c r="W1041" s="151" t="s">
        <v>2207</v>
      </c>
      <c r="X1041" s="151" t="s">
        <v>2207</v>
      </c>
      <c r="Y1041" s="151" t="s">
        <v>2207</v>
      </c>
      <c r="Z1041" s="151"/>
      <c r="AA1041" s="151"/>
      <c r="AB1041" s="151" t="s">
        <v>855</v>
      </c>
      <c r="AC1041" s="342"/>
    </row>
    <row r="1042" spans="1:29">
      <c r="A1042" s="151" t="s">
        <v>5198</v>
      </c>
      <c r="B1042" s="151" t="s">
        <v>5685</v>
      </c>
      <c r="C1042" s="151" t="s">
        <v>3886</v>
      </c>
      <c r="D1042" s="151" t="s">
        <v>17</v>
      </c>
      <c r="E1042" s="151" t="s">
        <v>5686</v>
      </c>
      <c r="F1042" s="151" t="s">
        <v>2527</v>
      </c>
      <c r="G1042" s="151" t="s">
        <v>2173</v>
      </c>
      <c r="H1042" s="151" t="s">
        <v>1314</v>
      </c>
      <c r="I1042" s="151" t="s">
        <v>1184</v>
      </c>
      <c r="J1042" s="151" t="s">
        <v>5558</v>
      </c>
      <c r="K1042" s="151" t="s">
        <v>5687</v>
      </c>
      <c r="L1042" s="8" t="s">
        <v>5602</v>
      </c>
      <c r="M1042" s="151" t="s">
        <v>361</v>
      </c>
      <c r="N1042" s="151" t="s">
        <v>5688</v>
      </c>
      <c r="O1042" s="151">
        <v>2851</v>
      </c>
      <c r="P1042" s="151" t="s">
        <v>5689</v>
      </c>
      <c r="Q1042" s="151"/>
      <c r="R1042" s="151" t="s">
        <v>2177</v>
      </c>
      <c r="S1042" s="151" t="s">
        <v>5564</v>
      </c>
      <c r="T1042" s="151" t="s">
        <v>2207</v>
      </c>
      <c r="U1042" s="151" t="s">
        <v>2207</v>
      </c>
      <c r="V1042" s="151">
        <v>10</v>
      </c>
      <c r="W1042" s="151" t="s">
        <v>2207</v>
      </c>
      <c r="X1042" s="151" t="s">
        <v>2207</v>
      </c>
      <c r="Y1042" s="151" t="s">
        <v>2207</v>
      </c>
      <c r="Z1042" s="151"/>
      <c r="AA1042" s="151"/>
      <c r="AB1042" s="151" t="s">
        <v>855</v>
      </c>
      <c r="AC1042" s="342"/>
    </row>
    <row r="1043" spans="1:29">
      <c r="A1043" s="151" t="s">
        <v>5198</v>
      </c>
      <c r="B1043" s="151" t="s">
        <v>5690</v>
      </c>
      <c r="C1043" s="151" t="s">
        <v>3886</v>
      </c>
      <c r="D1043" s="151" t="s">
        <v>17</v>
      </c>
      <c r="E1043" s="151" t="s">
        <v>5691</v>
      </c>
      <c r="F1043" s="151" t="s">
        <v>2527</v>
      </c>
      <c r="G1043" s="151" t="s">
        <v>2173</v>
      </c>
      <c r="H1043" s="151" t="s">
        <v>1183</v>
      </c>
      <c r="I1043" s="151" t="s">
        <v>1184</v>
      </c>
      <c r="J1043" s="151" t="s">
        <v>5558</v>
      </c>
      <c r="K1043" s="151" t="s">
        <v>5692</v>
      </c>
      <c r="L1043" s="8" t="s">
        <v>5602</v>
      </c>
      <c r="M1043" s="151" t="s">
        <v>361</v>
      </c>
      <c r="N1043" s="151" t="s">
        <v>5693</v>
      </c>
      <c r="O1043" s="151">
        <v>2851</v>
      </c>
      <c r="P1043" s="151"/>
      <c r="Q1043" s="151" t="s">
        <v>5569</v>
      </c>
      <c r="R1043" s="151" t="s">
        <v>2177</v>
      </c>
      <c r="S1043" s="151" t="s">
        <v>5564</v>
      </c>
      <c r="T1043" s="151" t="s">
        <v>2213</v>
      </c>
      <c r="U1043" s="151" t="s">
        <v>4271</v>
      </c>
      <c r="V1043" s="151">
        <v>3</v>
      </c>
      <c r="W1043" s="151">
        <v>3</v>
      </c>
      <c r="X1043" s="151" t="s">
        <v>2445</v>
      </c>
      <c r="Y1043" s="151" t="s">
        <v>4271</v>
      </c>
      <c r="Z1043" s="151"/>
      <c r="AA1043" s="151"/>
      <c r="AB1043" s="151" t="s">
        <v>855</v>
      </c>
      <c r="AC1043" s="342"/>
    </row>
    <row r="1044" spans="1:29">
      <c r="A1044" s="151" t="s">
        <v>5198</v>
      </c>
      <c r="B1044" s="151" t="s">
        <v>5694</v>
      </c>
      <c r="C1044" s="151" t="s">
        <v>3886</v>
      </c>
      <c r="D1044" s="151" t="s">
        <v>17</v>
      </c>
      <c r="E1044" s="151" t="s">
        <v>5695</v>
      </c>
      <c r="F1044" s="151" t="s">
        <v>2527</v>
      </c>
      <c r="G1044" s="151" t="s">
        <v>2173</v>
      </c>
      <c r="H1044" s="151" t="s">
        <v>1183</v>
      </c>
      <c r="I1044" s="151" t="s">
        <v>1184</v>
      </c>
      <c r="J1044" s="151" t="s">
        <v>5558</v>
      </c>
      <c r="K1044" s="151" t="s">
        <v>5696</v>
      </c>
      <c r="L1044" s="8" t="s">
        <v>5602</v>
      </c>
      <c r="M1044" s="151" t="s">
        <v>361</v>
      </c>
      <c r="N1044" s="151" t="s">
        <v>5697</v>
      </c>
      <c r="O1044" s="151">
        <v>2851</v>
      </c>
      <c r="P1044" s="151"/>
      <c r="Q1044" s="151" t="s">
        <v>5569</v>
      </c>
      <c r="R1044" s="151" t="s">
        <v>2177</v>
      </c>
      <c r="S1044" s="151" t="s">
        <v>5564</v>
      </c>
      <c r="T1044" s="151" t="s">
        <v>2207</v>
      </c>
      <c r="U1044" s="151" t="s">
        <v>2207</v>
      </c>
      <c r="V1044" s="151">
        <v>10</v>
      </c>
      <c r="W1044" s="151" t="s">
        <v>2207</v>
      </c>
      <c r="X1044" s="151" t="s">
        <v>2207</v>
      </c>
      <c r="Y1044" s="151" t="s">
        <v>2207</v>
      </c>
      <c r="Z1044" s="151"/>
      <c r="AA1044" s="151"/>
      <c r="AB1044" s="151" t="s">
        <v>855</v>
      </c>
      <c r="AC1044" s="342"/>
    </row>
    <row r="1045" spans="1:29">
      <c r="A1045" s="151" t="s">
        <v>5198</v>
      </c>
      <c r="B1045" s="151" t="s">
        <v>5698</v>
      </c>
      <c r="C1045" s="151" t="s">
        <v>3886</v>
      </c>
      <c r="D1045" s="151" t="s">
        <v>17</v>
      </c>
      <c r="E1045" s="151" t="s">
        <v>5699</v>
      </c>
      <c r="F1045" s="151" t="s">
        <v>2527</v>
      </c>
      <c r="G1045" s="151" t="s">
        <v>2173</v>
      </c>
      <c r="H1045" s="151" t="s">
        <v>1314</v>
      </c>
      <c r="I1045" s="151" t="s">
        <v>1184</v>
      </c>
      <c r="J1045" s="151" t="s">
        <v>5558</v>
      </c>
      <c r="K1045" t="s">
        <v>5700</v>
      </c>
      <c r="L1045" s="8" t="s">
        <v>5602</v>
      </c>
      <c r="M1045" s="151" t="s">
        <v>361</v>
      </c>
      <c r="N1045" s="151" t="s">
        <v>5701</v>
      </c>
      <c r="O1045" s="151">
        <v>2851</v>
      </c>
      <c r="P1045" s="151" t="s">
        <v>5702</v>
      </c>
      <c r="Q1045" s="151"/>
      <c r="R1045" s="151" t="s">
        <v>2177</v>
      </c>
      <c r="S1045" s="151" t="s">
        <v>5564</v>
      </c>
      <c r="T1045" s="151"/>
      <c r="U1045" s="151" t="s">
        <v>3608</v>
      </c>
      <c r="V1045" s="151"/>
      <c r="W1045" s="151">
        <v>1</v>
      </c>
      <c r="X1045" s="151"/>
      <c r="Y1045" s="151" t="s">
        <v>3608</v>
      </c>
      <c r="Z1045" s="151"/>
      <c r="AA1045" s="151"/>
      <c r="AB1045" s="151" t="s">
        <v>855</v>
      </c>
      <c r="AC1045" s="342"/>
    </row>
    <row r="1046" spans="1:29">
      <c r="A1046" s="151" t="s">
        <v>5198</v>
      </c>
      <c r="B1046" s="151" t="s">
        <v>5703</v>
      </c>
      <c r="C1046" s="151" t="s">
        <v>3886</v>
      </c>
      <c r="D1046" s="151" t="s">
        <v>17</v>
      </c>
      <c r="E1046" s="151" t="s">
        <v>5704</v>
      </c>
      <c r="F1046" s="151" t="s">
        <v>2527</v>
      </c>
      <c r="G1046" s="151" t="s">
        <v>2173</v>
      </c>
      <c r="H1046" s="151" t="s">
        <v>1314</v>
      </c>
      <c r="I1046" s="151" t="s">
        <v>1184</v>
      </c>
      <c r="J1046" s="151" t="s">
        <v>5558</v>
      </c>
      <c r="K1046" s="151" t="s">
        <v>5705</v>
      </c>
      <c r="L1046" s="8" t="s">
        <v>5602</v>
      </c>
      <c r="M1046" s="151" t="s">
        <v>361</v>
      </c>
      <c r="N1046" s="151" t="s">
        <v>5706</v>
      </c>
      <c r="O1046" s="151">
        <v>2851</v>
      </c>
      <c r="P1046" s="151" t="s">
        <v>5707</v>
      </c>
      <c r="Q1046" s="151"/>
      <c r="R1046" s="151" t="s">
        <v>2177</v>
      </c>
      <c r="S1046" s="151" t="s">
        <v>5564</v>
      </c>
      <c r="T1046" s="151"/>
      <c r="U1046" s="151" t="s">
        <v>3608</v>
      </c>
      <c r="V1046" s="151"/>
      <c r="W1046" s="151">
        <v>1</v>
      </c>
      <c r="X1046" s="151"/>
      <c r="Y1046" s="151" t="s">
        <v>3608</v>
      </c>
      <c r="Z1046" s="151"/>
      <c r="AA1046" s="151"/>
      <c r="AB1046" s="151" t="s">
        <v>855</v>
      </c>
      <c r="AC1046" s="342"/>
    </row>
    <row r="1047" spans="1:29">
      <c r="A1047" s="151" t="s">
        <v>5198</v>
      </c>
      <c r="B1047" s="151" t="s">
        <v>5708</v>
      </c>
      <c r="C1047" s="151" t="s">
        <v>3886</v>
      </c>
      <c r="D1047" s="151" t="s">
        <v>17</v>
      </c>
      <c r="E1047" s="151" t="s">
        <v>5709</v>
      </c>
      <c r="F1047" s="151" t="s">
        <v>2527</v>
      </c>
      <c r="G1047" s="151" t="s">
        <v>2173</v>
      </c>
      <c r="H1047" s="151" t="s">
        <v>1314</v>
      </c>
      <c r="I1047" s="151" t="s">
        <v>1184</v>
      </c>
      <c r="J1047" s="151" t="s">
        <v>5558</v>
      </c>
      <c r="K1047" s="151" t="s">
        <v>5710</v>
      </c>
      <c r="L1047" s="8" t="s">
        <v>5602</v>
      </c>
      <c r="M1047" s="151" t="s">
        <v>361</v>
      </c>
      <c r="N1047" s="151" t="s">
        <v>5711</v>
      </c>
      <c r="O1047" s="151">
        <v>2851</v>
      </c>
      <c r="P1047" s="151" t="s">
        <v>5712</v>
      </c>
      <c r="Q1047" s="151"/>
      <c r="R1047" s="151" t="s">
        <v>2177</v>
      </c>
      <c r="S1047" s="151" t="s">
        <v>5564</v>
      </c>
      <c r="T1047" s="151"/>
      <c r="U1047" s="151" t="s">
        <v>3582</v>
      </c>
      <c r="V1047" s="151"/>
      <c r="W1047" s="151" t="s">
        <v>2396</v>
      </c>
      <c r="X1047" s="151"/>
      <c r="Y1047" s="151" t="s">
        <v>3582</v>
      </c>
      <c r="Z1047" s="151"/>
      <c r="AA1047" s="151"/>
      <c r="AB1047" s="151" t="s">
        <v>855</v>
      </c>
      <c r="AC1047" s="342"/>
    </row>
    <row r="1048" spans="1:29">
      <c r="A1048" s="151" t="s">
        <v>5198</v>
      </c>
      <c r="B1048" s="151" t="s">
        <v>5713</v>
      </c>
      <c r="C1048" s="151" t="s">
        <v>3886</v>
      </c>
      <c r="D1048" s="151" t="s">
        <v>17</v>
      </c>
      <c r="E1048" s="151" t="s">
        <v>5714</v>
      </c>
      <c r="F1048" s="151" t="s">
        <v>2527</v>
      </c>
      <c r="G1048" s="151" t="s">
        <v>2173</v>
      </c>
      <c r="H1048" s="151" t="s">
        <v>1314</v>
      </c>
      <c r="I1048" s="151" t="s">
        <v>1184</v>
      </c>
      <c r="J1048" s="151" t="s">
        <v>5558</v>
      </c>
      <c r="K1048" s="151" t="s">
        <v>5715</v>
      </c>
      <c r="L1048" s="8" t="s">
        <v>5602</v>
      </c>
      <c r="M1048" s="151" t="s">
        <v>361</v>
      </c>
      <c r="N1048" s="151" t="s">
        <v>5716</v>
      </c>
      <c r="O1048" s="151">
        <v>2851</v>
      </c>
      <c r="P1048" s="151" t="s">
        <v>5717</v>
      </c>
      <c r="Q1048" s="151"/>
      <c r="R1048" s="151" t="s">
        <v>2177</v>
      </c>
      <c r="S1048" s="151" t="s">
        <v>5564</v>
      </c>
      <c r="T1048" s="151"/>
      <c r="U1048" s="151" t="s">
        <v>3582</v>
      </c>
      <c r="V1048" s="151"/>
      <c r="W1048" s="151" t="s">
        <v>2396</v>
      </c>
      <c r="X1048" s="151"/>
      <c r="Y1048" s="151" t="s">
        <v>3582</v>
      </c>
      <c r="Z1048" s="151"/>
      <c r="AA1048" s="151"/>
      <c r="AB1048" s="151" t="s">
        <v>855</v>
      </c>
      <c r="AC1048" s="342"/>
    </row>
    <row r="1049" spans="1:29">
      <c r="A1049" s="151" t="s">
        <v>5198</v>
      </c>
      <c r="B1049" s="151" t="s">
        <v>5718</v>
      </c>
      <c r="C1049" s="151" t="s">
        <v>3886</v>
      </c>
      <c r="D1049" s="151" t="s">
        <v>17</v>
      </c>
      <c r="E1049" s="151" t="s">
        <v>5719</v>
      </c>
      <c r="F1049" s="151" t="s">
        <v>2527</v>
      </c>
      <c r="G1049" s="151" t="s">
        <v>2173</v>
      </c>
      <c r="H1049" s="151" t="s">
        <v>1183</v>
      </c>
      <c r="I1049" s="151" t="s">
        <v>1184</v>
      </c>
      <c r="J1049" s="151" t="s">
        <v>5558</v>
      </c>
      <c r="K1049" s="151" t="s">
        <v>5720</v>
      </c>
      <c r="L1049" s="8" t="s">
        <v>5602</v>
      </c>
      <c r="M1049" s="151" t="s">
        <v>361</v>
      </c>
      <c r="N1049" t="s">
        <v>5721</v>
      </c>
      <c r="O1049" s="151">
        <v>2851</v>
      </c>
      <c r="Q1049" s="151" t="s">
        <v>5569</v>
      </c>
      <c r="R1049" s="151" t="s">
        <v>2177</v>
      </c>
      <c r="S1049" s="151" t="s">
        <v>5564</v>
      </c>
      <c r="T1049" s="151"/>
      <c r="U1049" s="151" t="s">
        <v>3582</v>
      </c>
      <c r="V1049" s="151"/>
      <c r="W1049" s="151" t="s">
        <v>2250</v>
      </c>
      <c r="X1049" s="151"/>
      <c r="Y1049" s="151" t="s">
        <v>3582</v>
      </c>
      <c r="Z1049" s="151"/>
      <c r="AA1049" s="151"/>
      <c r="AB1049" s="151" t="s">
        <v>855</v>
      </c>
      <c r="AC1049" s="342"/>
    </row>
    <row r="1050" spans="1:29">
      <c r="A1050" s="151" t="s">
        <v>5198</v>
      </c>
      <c r="B1050" s="151" t="s">
        <v>5722</v>
      </c>
      <c r="C1050" s="151" t="s">
        <v>3886</v>
      </c>
      <c r="D1050" s="151" t="s">
        <v>17</v>
      </c>
      <c r="E1050" s="151" t="s">
        <v>5723</v>
      </c>
      <c r="F1050" s="151" t="s">
        <v>2527</v>
      </c>
      <c r="G1050" s="151" t="s">
        <v>2173</v>
      </c>
      <c r="H1050" s="151" t="s">
        <v>1183</v>
      </c>
      <c r="I1050" s="151" t="s">
        <v>1184</v>
      </c>
      <c r="J1050" s="151" t="s">
        <v>5558</v>
      </c>
      <c r="K1050" s="151" t="s">
        <v>3731</v>
      </c>
      <c r="L1050" s="8" t="s">
        <v>5602</v>
      </c>
      <c r="M1050" s="151" t="s">
        <v>361</v>
      </c>
      <c r="N1050" t="s">
        <v>5724</v>
      </c>
      <c r="O1050" s="151">
        <v>2851</v>
      </c>
      <c r="Q1050" s="151" t="s">
        <v>5569</v>
      </c>
      <c r="R1050" s="151" t="s">
        <v>2177</v>
      </c>
      <c r="S1050" s="151" t="s">
        <v>5564</v>
      </c>
      <c r="T1050" s="151"/>
      <c r="U1050" s="151" t="s">
        <v>3582</v>
      </c>
      <c r="V1050" s="151"/>
      <c r="W1050" s="151" t="s">
        <v>2250</v>
      </c>
      <c r="X1050" s="151"/>
      <c r="Y1050" s="151" t="s">
        <v>3582</v>
      </c>
      <c r="Z1050" s="151"/>
      <c r="AA1050" s="151"/>
      <c r="AB1050" s="151" t="s">
        <v>855</v>
      </c>
      <c r="AC1050" s="342"/>
    </row>
    <row r="1051" spans="1:29">
      <c r="A1051" s="151" t="s">
        <v>5198</v>
      </c>
      <c r="B1051" s="151" t="s">
        <v>5725</v>
      </c>
      <c r="C1051" s="151" t="s">
        <v>3886</v>
      </c>
      <c r="D1051" s="151" t="s">
        <v>17</v>
      </c>
      <c r="E1051" s="151" t="s">
        <v>5726</v>
      </c>
      <c r="F1051" s="151" t="s">
        <v>2527</v>
      </c>
      <c r="G1051" s="151" t="s">
        <v>2173</v>
      </c>
      <c r="H1051" s="151" t="s">
        <v>1183</v>
      </c>
      <c r="I1051" s="151" t="s">
        <v>1184</v>
      </c>
      <c r="J1051" s="151" t="s">
        <v>5558</v>
      </c>
      <c r="K1051" s="151" t="s">
        <v>5727</v>
      </c>
      <c r="L1051" s="8" t="s">
        <v>5602</v>
      </c>
      <c r="M1051" s="151" t="s">
        <v>361</v>
      </c>
      <c r="N1051" t="s">
        <v>5728</v>
      </c>
      <c r="O1051" s="151">
        <v>2851</v>
      </c>
      <c r="Q1051" s="151" t="s">
        <v>5569</v>
      </c>
      <c r="R1051" s="151" t="s">
        <v>2177</v>
      </c>
      <c r="S1051" s="151" t="s">
        <v>5564</v>
      </c>
      <c r="T1051" s="151"/>
      <c r="U1051" s="151" t="s">
        <v>3582</v>
      </c>
      <c r="V1051" s="151"/>
      <c r="W1051" s="151" t="s">
        <v>2417</v>
      </c>
      <c r="X1051" s="151"/>
      <c r="Y1051" s="151" t="s">
        <v>3582</v>
      </c>
      <c r="Z1051" s="151"/>
      <c r="AA1051" s="151"/>
      <c r="AB1051" s="151" t="s">
        <v>855</v>
      </c>
      <c r="AC1051" s="342"/>
    </row>
    <row r="1052" spans="1:29">
      <c r="A1052" s="151" t="s">
        <v>5198</v>
      </c>
      <c r="B1052" s="151" t="s">
        <v>5729</v>
      </c>
      <c r="C1052" s="151" t="s">
        <v>3886</v>
      </c>
      <c r="D1052" s="151" t="s">
        <v>17</v>
      </c>
      <c r="E1052" s="151" t="s">
        <v>5730</v>
      </c>
      <c r="F1052" s="151" t="s">
        <v>2527</v>
      </c>
      <c r="G1052" s="151" t="s">
        <v>2173</v>
      </c>
      <c r="H1052" s="151" t="s">
        <v>1183</v>
      </c>
      <c r="I1052" s="151" t="s">
        <v>1184</v>
      </c>
      <c r="J1052" s="151" t="s">
        <v>5558</v>
      </c>
      <c r="K1052" s="151" t="s">
        <v>5731</v>
      </c>
      <c r="L1052" s="8" t="s">
        <v>5602</v>
      </c>
      <c r="M1052" s="151" t="s">
        <v>361</v>
      </c>
      <c r="N1052" t="s">
        <v>5732</v>
      </c>
      <c r="O1052" s="151">
        <v>2851</v>
      </c>
      <c r="Q1052" s="151" t="s">
        <v>5569</v>
      </c>
      <c r="R1052" s="151" t="s">
        <v>2177</v>
      </c>
      <c r="S1052" s="151" t="s">
        <v>5564</v>
      </c>
      <c r="T1052" s="151"/>
      <c r="U1052" s="151" t="s">
        <v>3582</v>
      </c>
      <c r="V1052" s="151"/>
      <c r="W1052" s="151" t="s">
        <v>2250</v>
      </c>
      <c r="X1052" s="151"/>
      <c r="Y1052" s="151" t="s">
        <v>3582</v>
      </c>
      <c r="Z1052" s="151"/>
      <c r="AA1052" s="151"/>
      <c r="AB1052" s="151" t="s">
        <v>855</v>
      </c>
      <c r="AC1052" s="342"/>
    </row>
    <row r="1053" spans="1:29">
      <c r="A1053" s="151" t="s">
        <v>5198</v>
      </c>
      <c r="B1053" s="151" t="s">
        <v>2637</v>
      </c>
      <c r="C1053" s="151" t="s">
        <v>3886</v>
      </c>
      <c r="D1053" s="151" t="s">
        <v>17</v>
      </c>
      <c r="E1053" s="151" t="s">
        <v>5733</v>
      </c>
      <c r="F1053" s="151" t="s">
        <v>2527</v>
      </c>
      <c r="G1053" s="151" t="s">
        <v>2173</v>
      </c>
      <c r="H1053" s="151" t="s">
        <v>1314</v>
      </c>
      <c r="I1053" s="151" t="s">
        <v>1184</v>
      </c>
      <c r="J1053" s="151" t="s">
        <v>5558</v>
      </c>
      <c r="K1053" s="151" t="s">
        <v>5734</v>
      </c>
      <c r="L1053" s="8" t="s">
        <v>5602</v>
      </c>
      <c r="N1053" s="374" t="s">
        <v>5735</v>
      </c>
      <c r="O1053" s="151">
        <v>2851</v>
      </c>
      <c r="P1053" s="151" t="s">
        <v>5736</v>
      </c>
      <c r="Q1053" s="151"/>
      <c r="R1053" s="151" t="s">
        <v>2177</v>
      </c>
      <c r="S1053" s="151" t="s">
        <v>5564</v>
      </c>
      <c r="T1053" s="151"/>
      <c r="U1053" s="151" t="s">
        <v>3582</v>
      </c>
      <c r="V1053" s="151"/>
      <c r="W1053" s="151" t="s">
        <v>2503</v>
      </c>
      <c r="X1053" s="151"/>
      <c r="Y1053" s="151" t="s">
        <v>3582</v>
      </c>
      <c r="Z1053" s="151"/>
      <c r="AA1053" s="151"/>
      <c r="AB1053" s="151" t="s">
        <v>855</v>
      </c>
      <c r="AC1053" s="342"/>
    </row>
    <row r="1054" spans="1:29">
      <c r="A1054" s="151" t="s">
        <v>5198</v>
      </c>
      <c r="B1054" s="151" t="s">
        <v>5737</v>
      </c>
      <c r="C1054" s="151" t="s">
        <v>3886</v>
      </c>
      <c r="D1054" s="151" t="s">
        <v>17</v>
      </c>
      <c r="E1054" s="151" t="s">
        <v>5738</v>
      </c>
      <c r="F1054" s="151" t="s">
        <v>2527</v>
      </c>
      <c r="G1054" s="151" t="s">
        <v>2173</v>
      </c>
      <c r="H1054" s="151" t="s">
        <v>1183</v>
      </c>
      <c r="I1054" s="151" t="s">
        <v>1184</v>
      </c>
      <c r="J1054" s="151" t="s">
        <v>5558</v>
      </c>
      <c r="K1054" s="151" t="s">
        <v>5739</v>
      </c>
      <c r="L1054" s="8" t="s">
        <v>5602</v>
      </c>
      <c r="M1054" s="151" t="s">
        <v>361</v>
      </c>
      <c r="N1054" s="151" t="s">
        <v>5740</v>
      </c>
      <c r="O1054" s="151">
        <v>6053</v>
      </c>
      <c r="P1054" s="151"/>
      <c r="Q1054" s="151" t="s">
        <v>5569</v>
      </c>
      <c r="R1054" s="151" t="s">
        <v>2177</v>
      </c>
      <c r="S1054" s="151" t="s">
        <v>361</v>
      </c>
      <c r="T1054" s="151"/>
      <c r="U1054" s="151" t="s">
        <v>3582</v>
      </c>
      <c r="V1054" s="151"/>
      <c r="W1054" s="151" t="s">
        <v>2598</v>
      </c>
      <c r="X1054" s="151"/>
      <c r="Y1054" s="151" t="s">
        <v>3582</v>
      </c>
      <c r="Z1054" s="151"/>
      <c r="AA1054" s="151"/>
      <c r="AB1054" s="151" t="s">
        <v>855</v>
      </c>
      <c r="AC1054" s="342"/>
    </row>
    <row r="1055" spans="1:29">
      <c r="A1055" s="151" t="s">
        <v>5198</v>
      </c>
      <c r="B1055" s="151" t="s">
        <v>5741</v>
      </c>
      <c r="C1055" s="151" t="s">
        <v>3886</v>
      </c>
      <c r="D1055" s="151" t="s">
        <v>17</v>
      </c>
      <c r="E1055" s="151" t="s">
        <v>5742</v>
      </c>
      <c r="F1055" s="151" t="s">
        <v>2527</v>
      </c>
      <c r="G1055" s="151" t="s">
        <v>2173</v>
      </c>
      <c r="H1055" s="151" t="s">
        <v>1183</v>
      </c>
      <c r="I1055" s="151" t="s">
        <v>1184</v>
      </c>
      <c r="J1055" s="151" t="s">
        <v>806</v>
      </c>
      <c r="K1055" s="161" t="s">
        <v>1830</v>
      </c>
      <c r="L1055" s="8" t="s">
        <v>5743</v>
      </c>
      <c r="M1055" s="151" t="s">
        <v>361</v>
      </c>
      <c r="N1055" s="151" t="s">
        <v>5744</v>
      </c>
      <c r="O1055" s="151">
        <v>3244</v>
      </c>
      <c r="P1055" s="151" t="s">
        <v>5745</v>
      </c>
      <c r="Q1055" s="151"/>
      <c r="R1055" s="151" t="s">
        <v>2177</v>
      </c>
      <c r="S1055" s="151" t="s">
        <v>361</v>
      </c>
      <c r="T1055" s="151"/>
      <c r="U1055" s="151" t="s">
        <v>3582</v>
      </c>
      <c r="V1055" s="151"/>
      <c r="W1055" s="151" t="s">
        <v>4141</v>
      </c>
      <c r="X1055" s="151"/>
      <c r="Y1055" s="151" t="s">
        <v>3582</v>
      </c>
      <c r="Z1055" s="151"/>
      <c r="AA1055" s="151"/>
      <c r="AB1055" s="151" t="s">
        <v>855</v>
      </c>
      <c r="AC1055" s="342"/>
    </row>
    <row r="1056" spans="1:29">
      <c r="A1056" s="151" t="s">
        <v>5198</v>
      </c>
      <c r="B1056" s="151" t="s">
        <v>5746</v>
      </c>
      <c r="C1056" s="151" t="s">
        <v>3886</v>
      </c>
      <c r="D1056" s="151" t="s">
        <v>17</v>
      </c>
      <c r="E1056" s="151" t="s">
        <v>5747</v>
      </c>
      <c r="F1056" s="151" t="s">
        <v>2527</v>
      </c>
      <c r="G1056" s="151" t="s">
        <v>2173</v>
      </c>
      <c r="H1056" s="151" t="s">
        <v>1314</v>
      </c>
      <c r="I1056" s="151" t="s">
        <v>1184</v>
      </c>
      <c r="J1056" s="434" t="s">
        <v>1831</v>
      </c>
      <c r="K1056" s="151" t="s">
        <v>5748</v>
      </c>
      <c r="L1056" s="8" t="s">
        <v>5749</v>
      </c>
      <c r="M1056" s="151" t="s">
        <v>361</v>
      </c>
      <c r="N1056" s="151" t="s">
        <v>5750</v>
      </c>
      <c r="O1056" s="151">
        <v>2851</v>
      </c>
      <c r="P1056" s="151" t="s">
        <v>5751</v>
      </c>
      <c r="Q1056" s="151"/>
      <c r="R1056" s="151" t="s">
        <v>2177</v>
      </c>
      <c r="S1056" s="151" t="s">
        <v>361</v>
      </c>
      <c r="T1056" s="151" t="s">
        <v>2213</v>
      </c>
      <c r="U1056" s="151" t="s">
        <v>2507</v>
      </c>
      <c r="V1056" s="151">
        <v>24</v>
      </c>
      <c r="W1056" s="151" t="s">
        <v>2507</v>
      </c>
      <c r="X1056" s="151" t="s">
        <v>2445</v>
      </c>
      <c r="Y1056" s="151" t="s">
        <v>2507</v>
      </c>
      <c r="Z1056" s="151"/>
      <c r="AA1056" s="151"/>
      <c r="AB1056" s="151" t="s">
        <v>855</v>
      </c>
      <c r="AC1056" s="342"/>
    </row>
    <row r="1057" spans="1:29">
      <c r="A1057" s="151" t="s">
        <v>5198</v>
      </c>
      <c r="B1057" s="151" t="s">
        <v>5752</v>
      </c>
      <c r="C1057" s="151" t="s">
        <v>3886</v>
      </c>
      <c r="D1057" s="151" t="s">
        <v>17</v>
      </c>
      <c r="E1057" s="151" t="s">
        <v>5753</v>
      </c>
      <c r="F1057" s="151" t="s">
        <v>2527</v>
      </c>
      <c r="G1057" s="151" t="s">
        <v>2173</v>
      </c>
      <c r="H1057" s="151" t="s">
        <v>1314</v>
      </c>
      <c r="I1057" s="151" t="s">
        <v>1184</v>
      </c>
      <c r="J1057" s="434" t="s">
        <v>1831</v>
      </c>
      <c r="K1057" s="434" t="s">
        <v>5754</v>
      </c>
      <c r="L1057" s="8" t="s">
        <v>5749</v>
      </c>
      <c r="M1057" s="151" t="s">
        <v>361</v>
      </c>
      <c r="N1057" s="151" t="s">
        <v>5755</v>
      </c>
      <c r="O1057" s="151">
        <v>2851</v>
      </c>
      <c r="P1057" s="151" t="s">
        <v>5756</v>
      </c>
      <c r="Q1057" s="151"/>
      <c r="R1057" s="151" t="s">
        <v>2177</v>
      </c>
      <c r="S1057" s="151" t="s">
        <v>361</v>
      </c>
      <c r="T1057" s="151"/>
      <c r="U1057" s="151" t="s">
        <v>3608</v>
      </c>
      <c r="V1057" s="151"/>
      <c r="W1057" s="151">
        <v>1</v>
      </c>
      <c r="X1057" s="151"/>
      <c r="Y1057" s="151" t="s">
        <v>3608</v>
      </c>
      <c r="Z1057" s="151"/>
      <c r="AA1057" s="151"/>
      <c r="AB1057" s="151" t="s">
        <v>855</v>
      </c>
      <c r="AC1057" s="342"/>
    </row>
    <row r="1058" spans="1:29">
      <c r="A1058" s="151" t="s">
        <v>5198</v>
      </c>
      <c r="B1058" s="151" t="s">
        <v>5757</v>
      </c>
      <c r="C1058" s="151" t="s">
        <v>3886</v>
      </c>
      <c r="D1058" s="151" t="s">
        <v>17</v>
      </c>
      <c r="E1058" s="151" t="s">
        <v>5758</v>
      </c>
      <c r="F1058" s="151" t="s">
        <v>2527</v>
      </c>
      <c r="G1058" s="151" t="s">
        <v>2173</v>
      </c>
      <c r="H1058" s="151" t="s">
        <v>1314</v>
      </c>
      <c r="I1058" s="151" t="s">
        <v>1184</v>
      </c>
      <c r="J1058" s="434" t="s">
        <v>1831</v>
      </c>
      <c r="K1058" s="434" t="s">
        <v>5759</v>
      </c>
      <c r="L1058" s="8" t="s">
        <v>5760</v>
      </c>
      <c r="M1058" s="151" t="s">
        <v>361</v>
      </c>
      <c r="N1058" s="151" t="s">
        <v>5761</v>
      </c>
      <c r="O1058" s="151">
        <v>2851</v>
      </c>
      <c r="P1058" s="151" t="s">
        <v>5762</v>
      </c>
      <c r="Q1058" s="151"/>
      <c r="R1058" s="151" t="s">
        <v>2177</v>
      </c>
      <c r="S1058" s="151" t="s">
        <v>361</v>
      </c>
      <c r="T1058" s="151" t="s">
        <v>2213</v>
      </c>
      <c r="U1058" s="151" t="s">
        <v>2507</v>
      </c>
      <c r="V1058" s="151">
        <v>24</v>
      </c>
      <c r="W1058" s="151" t="s">
        <v>2507</v>
      </c>
      <c r="X1058" s="151" t="s">
        <v>2445</v>
      </c>
      <c r="Y1058" s="151" t="s">
        <v>2507</v>
      </c>
      <c r="Z1058" s="151"/>
      <c r="AA1058" s="151"/>
      <c r="AB1058" s="151" t="s">
        <v>855</v>
      </c>
      <c r="AC1058" s="342"/>
    </row>
    <row r="1059" spans="1:29">
      <c r="A1059" s="151" t="s">
        <v>5198</v>
      </c>
      <c r="B1059" s="151" t="s">
        <v>5763</v>
      </c>
      <c r="C1059" s="151" t="s">
        <v>3886</v>
      </c>
      <c r="D1059" s="151" t="s">
        <v>17</v>
      </c>
      <c r="E1059" s="151" t="s">
        <v>5764</v>
      </c>
      <c r="F1059" s="151" t="s">
        <v>2527</v>
      </c>
      <c r="G1059" s="151" t="s">
        <v>2173</v>
      </c>
      <c r="H1059" s="151" t="s">
        <v>1314</v>
      </c>
      <c r="I1059" s="151" t="s">
        <v>1184</v>
      </c>
      <c r="J1059" s="434" t="s">
        <v>1831</v>
      </c>
      <c r="K1059" s="434" t="s">
        <v>5765</v>
      </c>
      <c r="L1059" s="8" t="s">
        <v>5766</v>
      </c>
      <c r="M1059" s="151" t="s">
        <v>361</v>
      </c>
      <c r="N1059" s="151" t="s">
        <v>5767</v>
      </c>
      <c r="O1059" s="151">
        <v>2851</v>
      </c>
      <c r="P1059" s="151" t="s">
        <v>5768</v>
      </c>
      <c r="Q1059" s="151"/>
      <c r="R1059" s="151" t="s">
        <v>2177</v>
      </c>
      <c r="S1059" s="151" t="s">
        <v>361</v>
      </c>
      <c r="T1059" s="151" t="s">
        <v>2213</v>
      </c>
      <c r="U1059" s="151" t="s">
        <v>2507</v>
      </c>
      <c r="V1059" s="151">
        <v>24</v>
      </c>
      <c r="W1059" s="151" t="s">
        <v>2507</v>
      </c>
      <c r="X1059" s="151" t="s">
        <v>2445</v>
      </c>
      <c r="Y1059" s="151" t="s">
        <v>2507</v>
      </c>
      <c r="Z1059" s="151"/>
      <c r="AA1059" s="151"/>
      <c r="AB1059" s="151" t="s">
        <v>855</v>
      </c>
      <c r="AC1059" s="342"/>
    </row>
    <row r="1060" spans="1:29">
      <c r="A1060" s="151" t="s">
        <v>5198</v>
      </c>
      <c r="B1060" s="151" t="s">
        <v>5769</v>
      </c>
      <c r="C1060" s="151" t="s">
        <v>3886</v>
      </c>
      <c r="D1060" s="151" t="s">
        <v>17</v>
      </c>
      <c r="E1060" s="151" t="s">
        <v>5770</v>
      </c>
      <c r="F1060" s="151" t="s">
        <v>2527</v>
      </c>
      <c r="G1060" s="151" t="s">
        <v>2173</v>
      </c>
      <c r="H1060" s="151" t="s">
        <v>1314</v>
      </c>
      <c r="I1060" s="151" t="s">
        <v>1184</v>
      </c>
      <c r="J1060" s="434" t="s">
        <v>1831</v>
      </c>
      <c r="K1060" s="434" t="s">
        <v>5771</v>
      </c>
      <c r="L1060" s="8" t="s">
        <v>5772</v>
      </c>
      <c r="M1060" s="151" t="s">
        <v>361</v>
      </c>
      <c r="N1060" s="151" t="s">
        <v>5773</v>
      </c>
      <c r="O1060" s="151">
        <v>85</v>
      </c>
      <c r="P1060" s="151" t="s">
        <v>5774</v>
      </c>
      <c r="Q1060" s="151"/>
      <c r="R1060" s="151" t="s">
        <v>2177</v>
      </c>
      <c r="S1060" s="151" t="s">
        <v>361</v>
      </c>
      <c r="T1060" s="151" t="s">
        <v>2213</v>
      </c>
      <c r="U1060" s="151" t="s">
        <v>2507</v>
      </c>
      <c r="V1060" s="151">
        <v>24</v>
      </c>
      <c r="W1060" s="151" t="s">
        <v>2507</v>
      </c>
      <c r="X1060" s="151" t="s">
        <v>2445</v>
      </c>
      <c r="Y1060" s="151" t="s">
        <v>2507</v>
      </c>
      <c r="Z1060" s="151"/>
      <c r="AA1060" s="151"/>
      <c r="AB1060" s="151" t="s">
        <v>855</v>
      </c>
      <c r="AC1060" s="342"/>
    </row>
    <row r="1061" spans="1:29">
      <c r="A1061" s="151" t="s">
        <v>5198</v>
      </c>
      <c r="B1061" s="151" t="s">
        <v>2849</v>
      </c>
      <c r="C1061" s="151" t="s">
        <v>5775</v>
      </c>
      <c r="D1061" s="151" t="s">
        <v>17</v>
      </c>
      <c r="E1061" s="151" t="s">
        <v>5776</v>
      </c>
      <c r="F1061" s="151" t="s">
        <v>2527</v>
      </c>
      <c r="G1061" s="151" t="s">
        <v>2173</v>
      </c>
      <c r="H1061" s="151" t="s">
        <v>1183</v>
      </c>
      <c r="I1061" s="151" t="s">
        <v>1184</v>
      </c>
      <c r="J1061" s="151" t="s">
        <v>5777</v>
      </c>
      <c r="K1061" s="151" t="s">
        <v>5778</v>
      </c>
      <c r="L1061" t="s">
        <v>5779</v>
      </c>
      <c r="M1061" s="151" t="s">
        <v>361</v>
      </c>
      <c r="N1061" s="151" t="s">
        <v>5780</v>
      </c>
      <c r="O1061" s="151">
        <v>27884</v>
      </c>
      <c r="P1061" s="151"/>
      <c r="Q1061" s="151" t="s">
        <v>5563</v>
      </c>
      <c r="R1061" s="151" t="s">
        <v>2177</v>
      </c>
      <c r="S1061" s="151" t="s">
        <v>5781</v>
      </c>
      <c r="T1061" s="151"/>
      <c r="U1061" s="151" t="s">
        <v>3582</v>
      </c>
      <c r="V1061" s="151"/>
      <c r="W1061" s="151" t="s">
        <v>2250</v>
      </c>
      <c r="X1061" s="151"/>
      <c r="Y1061" s="151" t="s">
        <v>3582</v>
      </c>
      <c r="Z1061" s="151"/>
      <c r="AA1061" s="151"/>
      <c r="AB1061" s="151" t="s">
        <v>855</v>
      </c>
      <c r="AC1061" s="342"/>
    </row>
    <row r="1062" spans="1:29">
      <c r="A1062" s="151" t="s">
        <v>5198</v>
      </c>
      <c r="B1062" s="151" t="s">
        <v>5782</v>
      </c>
      <c r="C1062" s="151" t="s">
        <v>5775</v>
      </c>
      <c r="D1062" s="151" t="s">
        <v>17</v>
      </c>
      <c r="E1062" s="151" t="s">
        <v>5776</v>
      </c>
      <c r="F1062" s="151" t="s">
        <v>2527</v>
      </c>
      <c r="G1062" s="151" t="s">
        <v>2173</v>
      </c>
      <c r="H1062" s="151" t="s">
        <v>1183</v>
      </c>
      <c r="I1062" s="151" t="s">
        <v>1184</v>
      </c>
      <c r="J1062" s="151" t="s">
        <v>5777</v>
      </c>
      <c r="K1062" s="151" t="s">
        <v>5778</v>
      </c>
      <c r="L1062" s="151" t="s">
        <v>5779</v>
      </c>
      <c r="M1062" s="151" t="s">
        <v>361</v>
      </c>
      <c r="N1062" s="151" t="s">
        <v>5783</v>
      </c>
      <c r="O1062" s="151">
        <v>27884</v>
      </c>
      <c r="P1062" s="151"/>
      <c r="Q1062" s="151"/>
      <c r="R1062" s="151" t="s">
        <v>2177</v>
      </c>
      <c r="S1062" s="151" t="s">
        <v>5781</v>
      </c>
      <c r="T1062" s="151"/>
      <c r="U1062" s="151" t="s">
        <v>3582</v>
      </c>
      <c r="V1062" s="151"/>
      <c r="W1062" s="151" t="s">
        <v>2250</v>
      </c>
      <c r="X1062" s="151"/>
      <c r="Y1062" s="151" t="s">
        <v>3582</v>
      </c>
      <c r="Z1062" s="151"/>
      <c r="AA1062" s="151"/>
      <c r="AB1062" s="151" t="s">
        <v>855</v>
      </c>
      <c r="AC1062" s="342"/>
    </row>
    <row r="1063" spans="1:29">
      <c r="A1063" s="151" t="s">
        <v>5198</v>
      </c>
      <c r="B1063" s="151" t="s">
        <v>5784</v>
      </c>
      <c r="C1063" s="151" t="s">
        <v>5775</v>
      </c>
      <c r="D1063" s="151" t="s">
        <v>17</v>
      </c>
      <c r="E1063" s="151" t="s">
        <v>5785</v>
      </c>
      <c r="F1063" s="151" t="s">
        <v>2527</v>
      </c>
      <c r="G1063" s="151" t="s">
        <v>2173</v>
      </c>
      <c r="H1063" s="151" t="s">
        <v>1183</v>
      </c>
      <c r="I1063" s="151" t="s">
        <v>1184</v>
      </c>
      <c r="J1063" s="151" t="s">
        <v>5777</v>
      </c>
      <c r="K1063" s="151" t="s">
        <v>5786</v>
      </c>
      <c r="L1063" s="151" t="s">
        <v>5779</v>
      </c>
      <c r="M1063" s="151" t="s">
        <v>361</v>
      </c>
      <c r="N1063" s="151" t="s">
        <v>5787</v>
      </c>
      <c r="O1063" s="151">
        <v>27884</v>
      </c>
      <c r="P1063" s="151" t="s">
        <v>5788</v>
      </c>
      <c r="Q1063" s="151"/>
      <c r="R1063" s="151" t="s">
        <v>2177</v>
      </c>
      <c r="S1063" s="151" t="s">
        <v>5781</v>
      </c>
      <c r="T1063" s="151" t="s">
        <v>2207</v>
      </c>
      <c r="U1063" s="151" t="s">
        <v>2207</v>
      </c>
      <c r="V1063" s="151">
        <v>10</v>
      </c>
      <c r="W1063" s="151" t="s">
        <v>2207</v>
      </c>
      <c r="X1063" s="151" t="s">
        <v>2207</v>
      </c>
      <c r="Y1063" s="151" t="s">
        <v>2207</v>
      </c>
      <c r="Z1063" s="151"/>
      <c r="AA1063" s="151"/>
      <c r="AB1063" s="151" t="s">
        <v>855</v>
      </c>
      <c r="AC1063" s="342"/>
    </row>
    <row r="1064" spans="1:29">
      <c r="A1064" s="151" t="s">
        <v>5198</v>
      </c>
      <c r="B1064" s="151" t="s">
        <v>5789</v>
      </c>
      <c r="C1064" s="151" t="s">
        <v>5775</v>
      </c>
      <c r="D1064" s="151" t="s">
        <v>17</v>
      </c>
      <c r="E1064" s="151" t="s">
        <v>5790</v>
      </c>
      <c r="F1064" s="151" t="s">
        <v>2527</v>
      </c>
      <c r="G1064" s="151" t="s">
        <v>2173</v>
      </c>
      <c r="H1064" s="151" t="s">
        <v>1183</v>
      </c>
      <c r="I1064" s="151" t="s">
        <v>1184</v>
      </c>
      <c r="J1064" s="151" t="s">
        <v>5777</v>
      </c>
      <c r="K1064" s="151" t="s">
        <v>5786</v>
      </c>
      <c r="L1064" s="151" t="s">
        <v>5779</v>
      </c>
      <c r="M1064" s="151" t="s">
        <v>361</v>
      </c>
      <c r="N1064" s="151" t="s">
        <v>5791</v>
      </c>
      <c r="O1064" s="151">
        <v>27884</v>
      </c>
      <c r="P1064" s="151" t="s">
        <v>5792</v>
      </c>
      <c r="Q1064" s="151"/>
      <c r="R1064" s="151" t="s">
        <v>2177</v>
      </c>
      <c r="S1064" s="151" t="s">
        <v>5781</v>
      </c>
      <c r="T1064" s="151" t="s">
        <v>2207</v>
      </c>
      <c r="U1064" s="151" t="s">
        <v>2207</v>
      </c>
      <c r="V1064" s="151">
        <v>10</v>
      </c>
      <c r="W1064" s="151" t="s">
        <v>2207</v>
      </c>
      <c r="X1064" s="151" t="s">
        <v>2207</v>
      </c>
      <c r="Y1064" s="151" t="s">
        <v>2207</v>
      </c>
      <c r="Z1064" s="151"/>
      <c r="AA1064" s="151"/>
      <c r="AB1064" s="151" t="s">
        <v>855</v>
      </c>
      <c r="AC1064" s="342"/>
    </row>
    <row r="1065" spans="1:29">
      <c r="A1065" s="151" t="s">
        <v>5198</v>
      </c>
      <c r="B1065" s="151" t="s">
        <v>5793</v>
      </c>
      <c r="C1065" s="151" t="s">
        <v>5775</v>
      </c>
      <c r="D1065" s="151" t="s">
        <v>17</v>
      </c>
      <c r="E1065" s="151" t="s">
        <v>5794</v>
      </c>
      <c r="F1065" s="151" t="s">
        <v>2527</v>
      </c>
      <c r="G1065" s="151" t="s">
        <v>2173</v>
      </c>
      <c r="H1065" s="151" t="s">
        <v>1183</v>
      </c>
      <c r="I1065" s="151" t="s">
        <v>1184</v>
      </c>
      <c r="J1065" s="151" t="s">
        <v>5777</v>
      </c>
      <c r="K1065" s="151" t="s">
        <v>5795</v>
      </c>
      <c r="L1065" s="151" t="s">
        <v>5779</v>
      </c>
      <c r="M1065" s="151" t="s">
        <v>361</v>
      </c>
      <c r="N1065" s="151" t="s">
        <v>5796</v>
      </c>
      <c r="O1065" s="151">
        <v>27884</v>
      </c>
      <c r="P1065" s="151"/>
      <c r="Q1065" s="151"/>
      <c r="R1065" s="151" t="s">
        <v>2177</v>
      </c>
      <c r="S1065" s="151" t="s">
        <v>5781</v>
      </c>
      <c r="T1065" s="151" t="s">
        <v>2207</v>
      </c>
      <c r="U1065" s="151" t="s">
        <v>2207</v>
      </c>
      <c r="V1065" s="151">
        <v>10</v>
      </c>
      <c r="W1065" s="151" t="s">
        <v>2207</v>
      </c>
      <c r="X1065" s="151" t="s">
        <v>2207</v>
      </c>
      <c r="Y1065" s="151" t="s">
        <v>2207</v>
      </c>
      <c r="Z1065" s="151"/>
      <c r="AA1065" s="151"/>
      <c r="AB1065" s="151" t="s">
        <v>855</v>
      </c>
      <c r="AC1065" s="342"/>
    </row>
    <row r="1066" spans="1:29">
      <c r="A1066" s="151" t="s">
        <v>5198</v>
      </c>
      <c r="B1066" s="151" t="s">
        <v>5797</v>
      </c>
      <c r="C1066" s="151" t="s">
        <v>5775</v>
      </c>
      <c r="D1066" s="151" t="s">
        <v>17</v>
      </c>
      <c r="E1066" s="151" t="s">
        <v>5798</v>
      </c>
      <c r="F1066" s="151" t="s">
        <v>2527</v>
      </c>
      <c r="G1066" s="151" t="s">
        <v>2173</v>
      </c>
      <c r="H1066" s="151" t="s">
        <v>1183</v>
      </c>
      <c r="I1066" s="151" t="s">
        <v>1184</v>
      </c>
      <c r="J1066" s="151" t="s">
        <v>5777</v>
      </c>
      <c r="K1066" s="151" t="s">
        <v>5799</v>
      </c>
      <c r="L1066" s="151" t="s">
        <v>5779</v>
      </c>
      <c r="M1066" s="151" t="s">
        <v>361</v>
      </c>
      <c r="N1066" s="151" t="s">
        <v>5800</v>
      </c>
      <c r="O1066" s="151">
        <v>27884</v>
      </c>
      <c r="P1066" s="151"/>
      <c r="Q1066" s="151"/>
      <c r="R1066" s="151" t="s">
        <v>2177</v>
      </c>
      <c r="S1066" s="151" t="s">
        <v>5781</v>
      </c>
      <c r="T1066" s="151" t="s">
        <v>2207</v>
      </c>
      <c r="U1066" s="151" t="s">
        <v>2207</v>
      </c>
      <c r="V1066" s="151">
        <v>10</v>
      </c>
      <c r="W1066" s="151" t="s">
        <v>2207</v>
      </c>
      <c r="X1066" s="151" t="s">
        <v>2207</v>
      </c>
      <c r="Y1066" s="151" t="s">
        <v>2207</v>
      </c>
      <c r="Z1066" s="151"/>
      <c r="AA1066" s="151"/>
      <c r="AB1066" s="151" t="s">
        <v>855</v>
      </c>
      <c r="AC1066" s="342"/>
    </row>
    <row r="1067" spans="1:29">
      <c r="A1067" s="151" t="s">
        <v>5198</v>
      </c>
      <c r="B1067" s="151" t="s">
        <v>2637</v>
      </c>
      <c r="C1067" s="151" t="s">
        <v>5775</v>
      </c>
      <c r="D1067" s="151" t="s">
        <v>17</v>
      </c>
      <c r="E1067" s="151" t="s">
        <v>5801</v>
      </c>
      <c r="F1067" s="151" t="s">
        <v>2527</v>
      </c>
      <c r="G1067" s="151" t="s">
        <v>2173</v>
      </c>
      <c r="H1067" s="151" t="s">
        <v>1183</v>
      </c>
      <c r="I1067" s="151" t="s">
        <v>1184</v>
      </c>
      <c r="J1067" s="151" t="s">
        <v>5777</v>
      </c>
      <c r="K1067" s="151" t="s">
        <v>5734</v>
      </c>
      <c r="L1067" s="151" t="s">
        <v>5779</v>
      </c>
      <c r="M1067" s="151" t="s">
        <v>361</v>
      </c>
      <c r="N1067" s="151" t="s">
        <v>5802</v>
      </c>
      <c r="O1067" s="151">
        <v>27884</v>
      </c>
      <c r="P1067" s="151" t="s">
        <v>5803</v>
      </c>
      <c r="Q1067" s="151"/>
      <c r="R1067" s="151" t="s">
        <v>2177</v>
      </c>
      <c r="S1067" s="151" t="s">
        <v>5781</v>
      </c>
      <c r="T1067" s="151"/>
      <c r="U1067" s="151" t="s">
        <v>3582</v>
      </c>
      <c r="V1067" s="151"/>
      <c r="W1067" s="151" t="s">
        <v>3955</v>
      </c>
      <c r="X1067" s="151"/>
      <c r="Y1067" s="151" t="s">
        <v>3582</v>
      </c>
      <c r="Z1067" s="151"/>
      <c r="AA1067" s="151"/>
      <c r="AB1067" s="151" t="s">
        <v>855</v>
      </c>
      <c r="AC1067" s="342"/>
    </row>
    <row r="1068" spans="1:29">
      <c r="A1068" s="151" t="s">
        <v>5198</v>
      </c>
      <c r="B1068" s="151" t="s">
        <v>159</v>
      </c>
      <c r="C1068" s="151" t="s">
        <v>5775</v>
      </c>
      <c r="D1068" s="151" t="s">
        <v>17</v>
      </c>
      <c r="E1068" s="151" t="s">
        <v>5804</v>
      </c>
      <c r="F1068" s="151" t="s">
        <v>2527</v>
      </c>
      <c r="G1068" s="151" t="s">
        <v>2173</v>
      </c>
      <c r="H1068" s="151" t="s">
        <v>1183</v>
      </c>
      <c r="I1068" s="151" t="s">
        <v>1184</v>
      </c>
      <c r="J1068" s="151" t="s">
        <v>5777</v>
      </c>
      <c r="K1068" s="151" t="s">
        <v>4079</v>
      </c>
      <c r="L1068" s="151" t="s">
        <v>5779</v>
      </c>
      <c r="M1068" s="151" t="s">
        <v>361</v>
      </c>
      <c r="N1068" s="151" t="s">
        <v>5805</v>
      </c>
      <c r="O1068" s="151">
        <v>27884</v>
      </c>
      <c r="P1068" s="151"/>
      <c r="Q1068" s="151"/>
      <c r="R1068" s="151" t="s">
        <v>2177</v>
      </c>
      <c r="S1068" s="151" t="s">
        <v>5781</v>
      </c>
      <c r="T1068" s="151" t="s">
        <v>4334</v>
      </c>
      <c r="U1068" s="151" t="s">
        <v>3608</v>
      </c>
      <c r="V1068" s="151"/>
      <c r="W1068" s="151">
        <v>1</v>
      </c>
      <c r="X1068" s="151" t="s">
        <v>2445</v>
      </c>
      <c r="Y1068" s="151" t="s">
        <v>3608</v>
      </c>
      <c r="Z1068" s="151"/>
      <c r="AA1068" s="151"/>
      <c r="AB1068" s="151" t="s">
        <v>855</v>
      </c>
      <c r="AC1068" s="342"/>
    </row>
    <row r="1069" spans="1:29" ht="165">
      <c r="A1069" s="151" t="s">
        <v>5198</v>
      </c>
      <c r="B1069" s="151" t="s">
        <v>5806</v>
      </c>
      <c r="C1069" s="151" t="s">
        <v>5775</v>
      </c>
      <c r="D1069" s="151" t="s">
        <v>17</v>
      </c>
      <c r="E1069" s="151" t="s">
        <v>5807</v>
      </c>
      <c r="F1069" s="151" t="s">
        <v>2527</v>
      </c>
      <c r="G1069" s="151" t="s">
        <v>2173</v>
      </c>
      <c r="H1069" s="151" t="s">
        <v>1314</v>
      </c>
      <c r="I1069" s="151" t="s">
        <v>1184</v>
      </c>
      <c r="J1069" s="151" t="s">
        <v>5808</v>
      </c>
      <c r="K1069" s="151" t="s">
        <v>5809</v>
      </c>
      <c r="L1069" s="151" t="s">
        <v>5810</v>
      </c>
      <c r="M1069" s="151" t="s">
        <v>361</v>
      </c>
      <c r="N1069" s="341" t="s">
        <v>5811</v>
      </c>
      <c r="O1069" s="151">
        <v>14</v>
      </c>
      <c r="P1069" s="151"/>
      <c r="Q1069" s="151"/>
      <c r="R1069" s="151" t="s">
        <v>2177</v>
      </c>
      <c r="S1069" s="341" t="s">
        <v>5781</v>
      </c>
      <c r="T1069" s="151" t="s">
        <v>2207</v>
      </c>
      <c r="U1069" s="151" t="s">
        <v>2207</v>
      </c>
      <c r="V1069" s="151">
        <v>10</v>
      </c>
      <c r="W1069" s="151" t="s">
        <v>2207</v>
      </c>
      <c r="X1069" s="151" t="s">
        <v>2207</v>
      </c>
      <c r="Y1069" s="151" t="s">
        <v>2207</v>
      </c>
      <c r="Z1069" s="151"/>
      <c r="AA1069" s="151"/>
      <c r="AB1069" s="151" t="s">
        <v>855</v>
      </c>
      <c r="AC1069" s="342"/>
    </row>
    <row r="1070" spans="1:29" ht="105">
      <c r="A1070" s="151" t="s">
        <v>5198</v>
      </c>
      <c r="B1070" s="151" t="s">
        <v>5812</v>
      </c>
      <c r="C1070" s="151" t="s">
        <v>5775</v>
      </c>
      <c r="D1070" s="151" t="s">
        <v>17</v>
      </c>
      <c r="E1070" s="151" t="s">
        <v>5813</v>
      </c>
      <c r="F1070" s="151" t="s">
        <v>2527</v>
      </c>
      <c r="G1070" s="151" t="s">
        <v>2173</v>
      </c>
      <c r="H1070" s="151" t="s">
        <v>1314</v>
      </c>
      <c r="I1070" s="151" t="s">
        <v>1184</v>
      </c>
      <c r="J1070" s="151" t="s">
        <v>5808</v>
      </c>
      <c r="K1070" s="151" t="s">
        <v>5814</v>
      </c>
      <c r="L1070" s="151" t="s">
        <v>5810</v>
      </c>
      <c r="M1070" s="151" t="s">
        <v>361</v>
      </c>
      <c r="N1070" s="341" t="s">
        <v>5815</v>
      </c>
      <c r="O1070" s="151">
        <v>14</v>
      </c>
      <c r="P1070" s="151"/>
      <c r="Q1070" s="151"/>
      <c r="R1070" s="151" t="s">
        <v>2177</v>
      </c>
      <c r="S1070" s="151" t="s">
        <v>5781</v>
      </c>
      <c r="T1070" s="151" t="s">
        <v>2207</v>
      </c>
      <c r="U1070" s="151" t="s">
        <v>2207</v>
      </c>
      <c r="V1070" s="151">
        <v>10</v>
      </c>
      <c r="W1070" s="151" t="s">
        <v>2207</v>
      </c>
      <c r="X1070" s="151" t="s">
        <v>2207</v>
      </c>
      <c r="Y1070" s="151" t="s">
        <v>2207</v>
      </c>
      <c r="Z1070" s="151"/>
      <c r="AA1070" s="151"/>
      <c r="AB1070" s="151" t="s">
        <v>855</v>
      </c>
      <c r="AC1070" s="342"/>
    </row>
    <row r="1071" spans="1:29" ht="165">
      <c r="A1071" s="151" t="s">
        <v>5198</v>
      </c>
      <c r="B1071" s="151" t="s">
        <v>159</v>
      </c>
      <c r="C1071" s="151" t="s">
        <v>5775</v>
      </c>
      <c r="D1071" s="151" t="s">
        <v>17</v>
      </c>
      <c r="E1071" s="151" t="s">
        <v>5816</v>
      </c>
      <c r="F1071" s="151" t="s">
        <v>2527</v>
      </c>
      <c r="G1071" s="151" t="s">
        <v>2173</v>
      </c>
      <c r="H1071" s="151" t="s">
        <v>1314</v>
      </c>
      <c r="I1071" s="151" t="s">
        <v>1184</v>
      </c>
      <c r="J1071" s="151" t="s">
        <v>5808</v>
      </c>
      <c r="K1071" s="151" t="s">
        <v>5817</v>
      </c>
      <c r="L1071" s="151" t="s">
        <v>5569</v>
      </c>
      <c r="M1071" s="151" t="s">
        <v>361</v>
      </c>
      <c r="N1071" s="341" t="s">
        <v>5818</v>
      </c>
      <c r="O1071" s="151">
        <v>14</v>
      </c>
      <c r="P1071" s="151" t="s">
        <v>5819</v>
      </c>
      <c r="Q1071" s="151"/>
      <c r="R1071" s="151" t="s">
        <v>2177</v>
      </c>
      <c r="S1071" s="341" t="s">
        <v>5781</v>
      </c>
      <c r="T1071" s="151"/>
      <c r="U1071" s="151" t="s">
        <v>3582</v>
      </c>
      <c r="V1071" s="151"/>
      <c r="W1071" s="151" t="s">
        <v>2250</v>
      </c>
      <c r="X1071" s="151"/>
      <c r="Y1071" s="151" t="s">
        <v>3582</v>
      </c>
      <c r="Z1071" s="151"/>
      <c r="AA1071" s="151"/>
      <c r="AB1071" s="151" t="s">
        <v>855</v>
      </c>
      <c r="AC1071" s="342"/>
    </row>
    <row r="1072" spans="1:29" ht="165">
      <c r="A1072" s="151" t="s">
        <v>5198</v>
      </c>
      <c r="B1072" s="151" t="s">
        <v>5820</v>
      </c>
      <c r="C1072" s="151" t="s">
        <v>5775</v>
      </c>
      <c r="D1072" s="151" t="s">
        <v>17</v>
      </c>
      <c r="E1072" s="151" t="s">
        <v>5821</v>
      </c>
      <c r="F1072" s="151" t="s">
        <v>2527</v>
      </c>
      <c r="G1072" s="151" t="s">
        <v>2173</v>
      </c>
      <c r="H1072" s="151" t="s">
        <v>1183</v>
      </c>
      <c r="I1072" s="151" t="s">
        <v>1184</v>
      </c>
      <c r="J1072" s="151" t="s">
        <v>5808</v>
      </c>
      <c r="K1072" s="151" t="s">
        <v>5822</v>
      </c>
      <c r="L1072" s="161" t="s">
        <v>5569</v>
      </c>
      <c r="M1072" s="151" t="s">
        <v>361</v>
      </c>
      <c r="N1072" s="341" t="s">
        <v>5823</v>
      </c>
      <c r="O1072" s="151">
        <v>14</v>
      </c>
      <c r="P1072" s="151" t="s">
        <v>5824</v>
      </c>
      <c r="Q1072" s="151"/>
      <c r="R1072" s="151" t="s">
        <v>2177</v>
      </c>
      <c r="S1072" s="341" t="s">
        <v>5781</v>
      </c>
      <c r="T1072" s="151" t="s">
        <v>2207</v>
      </c>
      <c r="U1072" s="151" t="s">
        <v>2207</v>
      </c>
      <c r="V1072" s="151">
        <v>10</v>
      </c>
      <c r="W1072" s="151" t="s">
        <v>2207</v>
      </c>
      <c r="X1072" s="151" t="s">
        <v>2207</v>
      </c>
      <c r="Y1072" s="151" t="s">
        <v>2207</v>
      </c>
      <c r="Z1072" s="151"/>
      <c r="AA1072" s="151"/>
      <c r="AB1072" s="151" t="s">
        <v>855</v>
      </c>
      <c r="AC1072" s="342"/>
    </row>
    <row r="1073" spans="1:29" ht="105">
      <c r="A1073" s="151" t="s">
        <v>5198</v>
      </c>
      <c r="B1073" s="151" t="s">
        <v>440</v>
      </c>
      <c r="C1073" s="151" t="s">
        <v>5775</v>
      </c>
      <c r="D1073" s="151" t="s">
        <v>17</v>
      </c>
      <c r="E1073" s="151" t="s">
        <v>5825</v>
      </c>
      <c r="F1073" s="151" t="s">
        <v>2527</v>
      </c>
      <c r="G1073" s="151" t="s">
        <v>2173</v>
      </c>
      <c r="H1073" s="151" t="s">
        <v>1314</v>
      </c>
      <c r="I1073" s="151" t="s">
        <v>1184</v>
      </c>
      <c r="J1073" s="151" t="s">
        <v>5808</v>
      </c>
      <c r="K1073" s="151" t="s">
        <v>5826</v>
      </c>
      <c r="L1073" s="151" t="s">
        <v>5810</v>
      </c>
      <c r="M1073" s="151" t="s">
        <v>361</v>
      </c>
      <c r="N1073" s="341" t="s">
        <v>5827</v>
      </c>
      <c r="O1073" s="151">
        <v>14</v>
      </c>
      <c r="P1073" s="151"/>
      <c r="Q1073" s="151"/>
      <c r="R1073" s="151" t="s">
        <v>2177</v>
      </c>
      <c r="S1073" s="151" t="s">
        <v>5781</v>
      </c>
      <c r="T1073" s="151"/>
      <c r="U1073" s="151" t="s">
        <v>3582</v>
      </c>
      <c r="V1073" s="151"/>
      <c r="W1073" s="151">
        <v>99</v>
      </c>
      <c r="X1073" s="151"/>
      <c r="Y1073" s="151" t="s">
        <v>3582</v>
      </c>
      <c r="Z1073" s="151"/>
      <c r="AA1073" s="151"/>
      <c r="AB1073" s="151" t="s">
        <v>855</v>
      </c>
      <c r="AC1073" s="342"/>
    </row>
    <row r="1074" spans="1:29" ht="105">
      <c r="A1074" s="151" t="s">
        <v>5198</v>
      </c>
      <c r="B1074" s="151" t="s">
        <v>5828</v>
      </c>
      <c r="C1074" s="151" t="s">
        <v>5775</v>
      </c>
      <c r="D1074" s="151" t="s">
        <v>17</v>
      </c>
      <c r="E1074" s="151" t="s">
        <v>5829</v>
      </c>
      <c r="F1074" s="151" t="s">
        <v>2527</v>
      </c>
      <c r="G1074" s="151" t="s">
        <v>2173</v>
      </c>
      <c r="H1074" s="151" t="s">
        <v>1314</v>
      </c>
      <c r="I1074" s="151" t="s">
        <v>1184</v>
      </c>
      <c r="J1074" s="151" t="s">
        <v>5808</v>
      </c>
      <c r="K1074" s="151" t="s">
        <v>5830</v>
      </c>
      <c r="L1074" s="151" t="s">
        <v>5810</v>
      </c>
      <c r="M1074" s="151" t="s">
        <v>361</v>
      </c>
      <c r="N1074" s="341" t="s">
        <v>5831</v>
      </c>
      <c r="O1074" s="151">
        <v>14</v>
      </c>
      <c r="P1074" s="151"/>
      <c r="Q1074" s="151"/>
      <c r="R1074" s="151" t="s">
        <v>2177</v>
      </c>
      <c r="S1074" s="151" t="s">
        <v>5781</v>
      </c>
      <c r="T1074" s="151" t="s">
        <v>2213</v>
      </c>
      <c r="U1074" s="151" t="s">
        <v>4146</v>
      </c>
      <c r="V1074" s="151">
        <v>24</v>
      </c>
      <c r="W1074" s="151" t="s">
        <v>4146</v>
      </c>
      <c r="X1074" s="151" t="s">
        <v>2445</v>
      </c>
      <c r="Y1074" s="151" t="s">
        <v>4146</v>
      </c>
      <c r="Z1074" s="151"/>
      <c r="AA1074" s="151"/>
      <c r="AB1074" s="151" t="s">
        <v>855</v>
      </c>
      <c r="AC1074" s="342"/>
    </row>
    <row r="1075" spans="1:29" ht="105">
      <c r="A1075" s="151" t="s">
        <v>5198</v>
      </c>
      <c r="B1075" s="151" t="s">
        <v>5565</v>
      </c>
      <c r="C1075" s="151" t="s">
        <v>5832</v>
      </c>
      <c r="D1075" s="151" t="s">
        <v>17</v>
      </c>
      <c r="E1075" s="151" t="s">
        <v>5833</v>
      </c>
      <c r="F1075" s="151" t="s">
        <v>2527</v>
      </c>
      <c r="G1075" s="151" t="s">
        <v>2173</v>
      </c>
      <c r="H1075" s="151" t="s">
        <v>1183</v>
      </c>
      <c r="I1075" s="151" t="s">
        <v>1184</v>
      </c>
      <c r="J1075" s="151" t="s">
        <v>5834</v>
      </c>
      <c r="K1075" s="151" t="s">
        <v>1501</v>
      </c>
      <c r="L1075" s="151" t="s">
        <v>5835</v>
      </c>
      <c r="M1075" s="151" t="s">
        <v>361</v>
      </c>
      <c r="N1075" s="341"/>
      <c r="O1075" s="151"/>
      <c r="P1075" s="151"/>
      <c r="Q1075" s="151" t="s">
        <v>3596</v>
      </c>
      <c r="R1075" s="151" t="s">
        <v>2177</v>
      </c>
      <c r="S1075" s="341" t="s">
        <v>5836</v>
      </c>
      <c r="T1075" s="151"/>
      <c r="U1075" s="151" t="s">
        <v>3582</v>
      </c>
      <c r="V1075" s="151"/>
      <c r="W1075" s="151" t="s">
        <v>2594</v>
      </c>
      <c r="X1075" s="151"/>
      <c r="Y1075" s="151" t="s">
        <v>3582</v>
      </c>
      <c r="Z1075" s="151"/>
      <c r="AA1075" s="151"/>
      <c r="AB1075" s="151" t="s">
        <v>855</v>
      </c>
      <c r="AC1075" s="342"/>
    </row>
    <row r="1076" spans="1:29" ht="105">
      <c r="A1076" s="151" t="s">
        <v>5198</v>
      </c>
      <c r="B1076" s="151" t="s">
        <v>3594</v>
      </c>
      <c r="C1076" s="151" t="s">
        <v>5832</v>
      </c>
      <c r="D1076" s="151" t="s">
        <v>17</v>
      </c>
      <c r="E1076" s="151" t="s">
        <v>5837</v>
      </c>
      <c r="F1076" s="151" t="s">
        <v>2527</v>
      </c>
      <c r="G1076" s="151" t="s">
        <v>2173</v>
      </c>
      <c r="H1076" s="151" t="s">
        <v>1183</v>
      </c>
      <c r="I1076" s="151" t="s">
        <v>1184</v>
      </c>
      <c r="J1076" s="151" t="s">
        <v>5834</v>
      </c>
      <c r="K1076" s="151" t="s">
        <v>1298</v>
      </c>
      <c r="L1076" s="151" t="s">
        <v>5835</v>
      </c>
      <c r="M1076" s="151" t="s">
        <v>361</v>
      </c>
      <c r="N1076" s="151"/>
      <c r="O1076" s="151"/>
      <c r="P1076" s="151" t="s">
        <v>5838</v>
      </c>
      <c r="Q1076" s="151" t="s">
        <v>3596</v>
      </c>
      <c r="R1076" s="151" t="s">
        <v>2177</v>
      </c>
      <c r="S1076" s="433" t="s">
        <v>5839</v>
      </c>
      <c r="T1076" s="151"/>
      <c r="U1076" s="151" t="s">
        <v>3582</v>
      </c>
      <c r="V1076" s="151"/>
      <c r="W1076" s="151" t="s">
        <v>3598</v>
      </c>
      <c r="X1076" s="151"/>
      <c r="Y1076" s="151" t="s">
        <v>3582</v>
      </c>
      <c r="Z1076" s="151"/>
      <c r="AA1076" s="151"/>
      <c r="AB1076" s="151" t="s">
        <v>855</v>
      </c>
      <c r="AC1076" s="342"/>
    </row>
    <row r="1077" spans="1:29" ht="90">
      <c r="A1077" s="151" t="s">
        <v>5198</v>
      </c>
      <c r="B1077" s="151" t="s">
        <v>5840</v>
      </c>
      <c r="C1077" s="151" t="s">
        <v>5832</v>
      </c>
      <c r="D1077" s="151" t="s">
        <v>17</v>
      </c>
      <c r="E1077" s="151" t="s">
        <v>5841</v>
      </c>
      <c r="F1077" s="151" t="s">
        <v>2527</v>
      </c>
      <c r="G1077" s="151" t="s">
        <v>2173</v>
      </c>
      <c r="H1077" s="151" t="s">
        <v>1183</v>
      </c>
      <c r="I1077" s="151" t="s">
        <v>1184</v>
      </c>
      <c r="J1077" s="151" t="s">
        <v>806</v>
      </c>
      <c r="K1077" s="151" t="s">
        <v>1654</v>
      </c>
      <c r="L1077" s="151" t="s">
        <v>3596</v>
      </c>
      <c r="M1077" s="151" t="s">
        <v>361</v>
      </c>
      <c r="N1077" s="12" t="s">
        <v>5842</v>
      </c>
      <c r="O1077">
        <v>2212924</v>
      </c>
      <c r="Q1077" s="151"/>
      <c r="R1077" s="151" t="s">
        <v>2177</v>
      </c>
      <c r="S1077" s="151" t="s">
        <v>361</v>
      </c>
      <c r="T1077" s="151"/>
      <c r="U1077" s="151" t="s">
        <v>3582</v>
      </c>
      <c r="V1077" s="151"/>
      <c r="W1077" s="151" t="s">
        <v>2598</v>
      </c>
      <c r="X1077" s="151"/>
      <c r="Y1077" s="151" t="s">
        <v>3582</v>
      </c>
      <c r="Z1077" s="151"/>
      <c r="AA1077" s="151"/>
      <c r="AB1077" s="151" t="s">
        <v>855</v>
      </c>
      <c r="AC1077" s="342"/>
    </row>
    <row r="1078" spans="1:29" ht="120">
      <c r="A1078" s="151" t="s">
        <v>5198</v>
      </c>
      <c r="B1078" s="151" t="s">
        <v>2350</v>
      </c>
      <c r="C1078" s="151" t="s">
        <v>5832</v>
      </c>
      <c r="D1078" s="151" t="s">
        <v>17</v>
      </c>
      <c r="E1078" s="151" t="s">
        <v>5843</v>
      </c>
      <c r="F1078" s="151" t="s">
        <v>2527</v>
      </c>
      <c r="G1078" s="151" t="s">
        <v>2173</v>
      </c>
      <c r="H1078" s="151" t="s">
        <v>1183</v>
      </c>
      <c r="I1078" s="151" t="s">
        <v>1184</v>
      </c>
      <c r="J1078" s="151" t="s">
        <v>5834</v>
      </c>
      <c r="K1078" s="151" t="s">
        <v>5844</v>
      </c>
      <c r="L1078" s="151" t="s">
        <v>5835</v>
      </c>
      <c r="M1078" s="151" t="s">
        <v>361</v>
      </c>
      <c r="N1078" s="151"/>
      <c r="O1078" s="151"/>
      <c r="P1078" s="151" t="s">
        <v>5845</v>
      </c>
      <c r="Q1078" s="151" t="s">
        <v>5569</v>
      </c>
      <c r="R1078" s="151" t="s">
        <v>2177</v>
      </c>
      <c r="S1078" s="341" t="s">
        <v>5846</v>
      </c>
      <c r="T1078" s="151" t="s">
        <v>2207</v>
      </c>
      <c r="U1078" s="151" t="s">
        <v>2207</v>
      </c>
      <c r="V1078" s="151">
        <v>10</v>
      </c>
      <c r="W1078" s="151" t="s">
        <v>2207</v>
      </c>
      <c r="X1078" s="151" t="s">
        <v>2207</v>
      </c>
      <c r="Y1078" s="151" t="s">
        <v>2207</v>
      </c>
      <c r="Z1078" s="151"/>
      <c r="AA1078" s="151"/>
      <c r="AB1078" s="151" t="s">
        <v>855</v>
      </c>
      <c r="AC1078" s="342"/>
    </row>
    <row r="1079" spans="1:29">
      <c r="A1079" s="151" t="s">
        <v>5198</v>
      </c>
      <c r="B1079" s="151" t="s">
        <v>5847</v>
      </c>
      <c r="C1079" s="151" t="s">
        <v>5832</v>
      </c>
      <c r="D1079" s="151" t="s">
        <v>17</v>
      </c>
      <c r="E1079" s="151" t="s">
        <v>5848</v>
      </c>
      <c r="F1079" s="151" t="s">
        <v>2527</v>
      </c>
      <c r="G1079" s="151" t="s">
        <v>2173</v>
      </c>
      <c r="H1079" s="151" t="s">
        <v>1183</v>
      </c>
      <c r="I1079" s="151" t="s">
        <v>1184</v>
      </c>
      <c r="J1079" s="151" t="s">
        <v>5849</v>
      </c>
      <c r="K1079" s="151" t="s">
        <v>5850</v>
      </c>
      <c r="L1079" s="151" t="s">
        <v>5851</v>
      </c>
      <c r="M1079" s="151" t="s">
        <v>361</v>
      </c>
      <c r="N1079"/>
      <c r="O1079"/>
      <c r="P1079" s="8" t="s">
        <v>5852</v>
      </c>
      <c r="Q1079" s="151" t="s">
        <v>5853</v>
      </c>
      <c r="R1079" s="151" t="s">
        <v>2177</v>
      </c>
      <c r="S1079" s="151" t="s">
        <v>5836</v>
      </c>
      <c r="T1079" s="151"/>
      <c r="U1079" s="151" t="s">
        <v>3582</v>
      </c>
      <c r="V1079" s="151"/>
      <c r="W1079" s="151" t="s">
        <v>2598</v>
      </c>
      <c r="X1079" s="151"/>
      <c r="Y1079" s="151" t="s">
        <v>3582</v>
      </c>
      <c r="Z1079" s="151"/>
      <c r="AA1079" s="151"/>
      <c r="AB1079" s="151" t="s">
        <v>855</v>
      </c>
      <c r="AC1079" s="342"/>
    </row>
    <row r="1080" spans="1:29">
      <c r="A1080" s="151" t="s">
        <v>5198</v>
      </c>
      <c r="B1080" s="151" t="s">
        <v>5854</v>
      </c>
      <c r="C1080" s="151" t="s">
        <v>5832</v>
      </c>
      <c r="D1080" s="151" t="s">
        <v>17</v>
      </c>
      <c r="E1080" s="151" t="s">
        <v>5855</v>
      </c>
      <c r="F1080" s="151" t="s">
        <v>2527</v>
      </c>
      <c r="G1080" s="151" t="s">
        <v>2173</v>
      </c>
      <c r="H1080" s="151" t="s">
        <v>1183</v>
      </c>
      <c r="I1080" s="151" t="s">
        <v>1184</v>
      </c>
      <c r="J1080" s="151" t="s">
        <v>3793</v>
      </c>
      <c r="K1080" s="151" t="s">
        <v>3794</v>
      </c>
      <c r="L1080" s="151" t="s">
        <v>361</v>
      </c>
      <c r="M1080" s="151" t="s">
        <v>361</v>
      </c>
      <c r="N1080" s="151"/>
      <c r="O1080" s="151"/>
      <c r="P1080" s="151"/>
      <c r="Q1080" s="151"/>
      <c r="R1080" s="151" t="s">
        <v>2177</v>
      </c>
      <c r="S1080" s="431" t="s">
        <v>5839</v>
      </c>
      <c r="T1080" s="151"/>
      <c r="U1080" s="151" t="s">
        <v>3582</v>
      </c>
      <c r="V1080" s="151"/>
      <c r="W1080" s="151" t="s">
        <v>3796</v>
      </c>
      <c r="X1080" s="151"/>
      <c r="Y1080" s="151" t="s">
        <v>3582</v>
      </c>
      <c r="Z1080" s="151"/>
      <c r="AA1080" s="151"/>
      <c r="AB1080" s="151" t="s">
        <v>855</v>
      </c>
      <c r="AC1080" s="342"/>
    </row>
    <row r="1081" spans="1:29">
      <c r="A1081" s="151" t="s">
        <v>5198</v>
      </c>
      <c r="B1081" s="151" t="s">
        <v>5856</v>
      </c>
      <c r="C1081" s="151" t="s">
        <v>5832</v>
      </c>
      <c r="D1081" s="151" t="s">
        <v>17</v>
      </c>
      <c r="E1081" s="151" t="s">
        <v>5857</v>
      </c>
      <c r="F1081" s="151" t="s">
        <v>2527</v>
      </c>
      <c r="G1081" s="151" t="s">
        <v>2173</v>
      </c>
      <c r="H1081" s="151" t="s">
        <v>1183</v>
      </c>
      <c r="I1081" s="151" t="s">
        <v>1184</v>
      </c>
      <c r="J1081" s="151" t="s">
        <v>5834</v>
      </c>
      <c r="K1081" s="151" t="s">
        <v>5858</v>
      </c>
      <c r="L1081" s="151" t="s">
        <v>5851</v>
      </c>
      <c r="M1081" s="151" t="s">
        <v>361</v>
      </c>
      <c r="N1081" s="151"/>
      <c r="O1081" s="151"/>
      <c r="P1081" s="151"/>
      <c r="Q1081" s="151" t="s">
        <v>5853</v>
      </c>
      <c r="R1081" s="151" t="s">
        <v>2177</v>
      </c>
      <c r="S1081" s="431" t="s">
        <v>5839</v>
      </c>
      <c r="T1081" s="151" t="s">
        <v>2213</v>
      </c>
      <c r="U1081" s="151" t="s">
        <v>4146</v>
      </c>
      <c r="V1081" s="151">
        <v>20</v>
      </c>
      <c r="W1081" s="151" t="s">
        <v>4146</v>
      </c>
      <c r="X1081" s="151" t="s">
        <v>2445</v>
      </c>
      <c r="Y1081" s="151" t="s">
        <v>4146</v>
      </c>
      <c r="Z1081" s="151"/>
      <c r="AA1081" s="151"/>
      <c r="AB1081" s="151" t="s">
        <v>855</v>
      </c>
      <c r="AC1081" s="342"/>
    </row>
    <row r="1082" spans="1:29">
      <c r="A1082" s="151" t="s">
        <v>5198</v>
      </c>
      <c r="B1082" s="151" t="s">
        <v>5859</v>
      </c>
      <c r="C1082" s="151" t="s">
        <v>5832</v>
      </c>
      <c r="D1082" s="151" t="s">
        <v>17</v>
      </c>
      <c r="E1082" s="151" t="s">
        <v>5860</v>
      </c>
      <c r="F1082" s="151" t="s">
        <v>2527</v>
      </c>
      <c r="G1082" s="151" t="s">
        <v>2546</v>
      </c>
      <c r="H1082" s="151" t="s">
        <v>1183</v>
      </c>
      <c r="I1082" s="151" t="s">
        <v>1184</v>
      </c>
      <c r="J1082" s="151" t="s">
        <v>5834</v>
      </c>
      <c r="K1082" s="151" t="s">
        <v>5861</v>
      </c>
      <c r="L1082" s="151" t="s">
        <v>361</v>
      </c>
      <c r="M1082" s="151" t="s">
        <v>361</v>
      </c>
      <c r="N1082" s="151"/>
      <c r="O1082" s="151"/>
      <c r="P1082" s="151"/>
      <c r="Q1082" s="151" t="s">
        <v>5862</v>
      </c>
      <c r="R1082" s="151"/>
      <c r="S1082" s="151" t="s">
        <v>5863</v>
      </c>
      <c r="T1082" s="151"/>
      <c r="U1082" s="151"/>
      <c r="V1082" s="151"/>
      <c r="W1082" s="151"/>
      <c r="X1082" s="151"/>
      <c r="Y1082" s="151"/>
      <c r="Z1082" s="151"/>
      <c r="AA1082" s="151"/>
      <c r="AB1082" s="151"/>
      <c r="AC1082" s="342"/>
    </row>
    <row r="1083" spans="1:29">
      <c r="A1083" s="151" t="s">
        <v>5198</v>
      </c>
      <c r="B1083" s="151" t="s">
        <v>5864</v>
      </c>
      <c r="C1083" s="151" t="s">
        <v>5832</v>
      </c>
      <c r="D1083" s="151" t="s">
        <v>17</v>
      </c>
      <c r="E1083" s="151" t="s">
        <v>5865</v>
      </c>
      <c r="F1083" s="151" t="s">
        <v>2527</v>
      </c>
      <c r="G1083" s="151" t="s">
        <v>2546</v>
      </c>
      <c r="H1083" s="151" t="s">
        <v>1183</v>
      </c>
      <c r="I1083" s="151" t="s">
        <v>1184</v>
      </c>
      <c r="J1083" s="151" t="s">
        <v>5834</v>
      </c>
      <c r="K1083" s="151" t="s">
        <v>5866</v>
      </c>
      <c r="L1083" s="151" t="s">
        <v>361</v>
      </c>
      <c r="M1083" s="151" t="s">
        <v>361</v>
      </c>
      <c r="N1083" s="151"/>
      <c r="O1083" s="151"/>
      <c r="P1083" s="151"/>
      <c r="Q1083" s="151" t="s">
        <v>5862</v>
      </c>
      <c r="R1083" s="151"/>
      <c r="S1083" s="151" t="s">
        <v>5867</v>
      </c>
      <c r="T1083" s="151"/>
      <c r="U1083" s="151"/>
      <c r="V1083" s="151"/>
      <c r="W1083" s="151"/>
      <c r="X1083" s="151"/>
      <c r="Y1083" s="151"/>
      <c r="Z1083" s="151"/>
      <c r="AA1083" s="151"/>
      <c r="AB1083" s="151"/>
      <c r="AC1083" s="342"/>
    </row>
    <row r="1084" spans="1:29">
      <c r="A1084" s="151" t="s">
        <v>5198</v>
      </c>
      <c r="B1084" s="151" t="s">
        <v>5868</v>
      </c>
      <c r="C1084" s="151" t="s">
        <v>5832</v>
      </c>
      <c r="D1084" s="151" t="s">
        <v>17</v>
      </c>
      <c r="E1084" s="151" t="s">
        <v>5869</v>
      </c>
      <c r="F1084" s="151" t="s">
        <v>2527</v>
      </c>
      <c r="G1084" s="151" t="s">
        <v>2173</v>
      </c>
      <c r="H1084" s="151" t="s">
        <v>1183</v>
      </c>
      <c r="I1084" s="151" t="s">
        <v>1184</v>
      </c>
      <c r="J1084" s="151" t="s">
        <v>5834</v>
      </c>
      <c r="K1084" s="151" t="s">
        <v>5870</v>
      </c>
      <c r="L1084" s="151" t="s">
        <v>5851</v>
      </c>
      <c r="M1084" s="151" t="s">
        <v>361</v>
      </c>
      <c r="N1084" s="151"/>
      <c r="O1084" s="151"/>
      <c r="P1084" s="151"/>
      <c r="Q1084" s="151" t="s">
        <v>5853</v>
      </c>
      <c r="R1084" s="151" t="s">
        <v>2177</v>
      </c>
      <c r="S1084" s="431" t="s">
        <v>5839</v>
      </c>
      <c r="T1084" s="151" t="s">
        <v>2213</v>
      </c>
      <c r="U1084" s="151" t="s">
        <v>4146</v>
      </c>
      <c r="V1084" s="151">
        <v>24</v>
      </c>
      <c r="W1084" s="151" t="s">
        <v>4146</v>
      </c>
      <c r="X1084" s="151" t="s">
        <v>2445</v>
      </c>
      <c r="Y1084" s="151" t="s">
        <v>4146</v>
      </c>
      <c r="Z1084" s="151"/>
      <c r="AA1084" s="151"/>
      <c r="AB1084" s="151" t="s">
        <v>855</v>
      </c>
      <c r="AC1084" s="342"/>
    </row>
    <row r="1085" spans="1:29">
      <c r="A1085" s="151" t="s">
        <v>5198</v>
      </c>
      <c r="B1085" s="151" t="s">
        <v>2669</v>
      </c>
      <c r="C1085" s="151" t="s">
        <v>5832</v>
      </c>
      <c r="D1085" s="151" t="s">
        <v>17</v>
      </c>
      <c r="E1085" s="151" t="s">
        <v>5871</v>
      </c>
      <c r="F1085" s="151" t="s">
        <v>2527</v>
      </c>
      <c r="G1085" s="151" t="s">
        <v>2173</v>
      </c>
      <c r="H1085" s="151" t="s">
        <v>1183</v>
      </c>
      <c r="I1085" s="151" t="s">
        <v>1184</v>
      </c>
      <c r="J1085" s="151" t="s">
        <v>5834</v>
      </c>
      <c r="K1085" s="151" t="s">
        <v>5872</v>
      </c>
      <c r="L1085" s="151" t="s">
        <v>5835</v>
      </c>
      <c r="M1085" s="151" t="s">
        <v>361</v>
      </c>
      <c r="N1085" s="151" t="s">
        <v>5873</v>
      </c>
      <c r="O1085" s="151"/>
      <c r="P1085" s="151" t="s">
        <v>5853</v>
      </c>
      <c r="Q1085" s="151"/>
      <c r="R1085" s="151" t="s">
        <v>2177</v>
      </c>
      <c r="S1085" s="151" t="s">
        <v>361</v>
      </c>
      <c r="T1085" s="151"/>
      <c r="U1085" s="151" t="s">
        <v>3582</v>
      </c>
      <c r="V1085" s="151"/>
      <c r="W1085" s="151" t="s">
        <v>3615</v>
      </c>
      <c r="X1085" s="151"/>
      <c r="Y1085" s="151" t="s">
        <v>3582</v>
      </c>
      <c r="Z1085" s="151"/>
      <c r="AA1085" s="151"/>
      <c r="AB1085" s="151" t="s">
        <v>855</v>
      </c>
      <c r="AC1085" s="342"/>
    </row>
    <row r="1086" spans="1:29">
      <c r="A1086" s="151" t="s">
        <v>5198</v>
      </c>
      <c r="B1086" s="151" t="s">
        <v>5509</v>
      </c>
      <c r="C1086" s="151" t="s">
        <v>5832</v>
      </c>
      <c r="D1086" s="151" t="s">
        <v>17</v>
      </c>
      <c r="E1086" s="151" t="s">
        <v>5874</v>
      </c>
      <c r="F1086" s="151" t="s">
        <v>2527</v>
      </c>
      <c r="G1086" s="151" t="s">
        <v>2173</v>
      </c>
      <c r="H1086" s="151" t="s">
        <v>1183</v>
      </c>
      <c r="I1086" s="151" t="s">
        <v>1184</v>
      </c>
      <c r="J1086" s="151" t="s">
        <v>5834</v>
      </c>
      <c r="K1086" s="151" t="s">
        <v>5875</v>
      </c>
      <c r="L1086" s="8" t="s">
        <v>5835</v>
      </c>
      <c r="M1086" s="151" t="s">
        <v>361</v>
      </c>
      <c r="N1086" s="151" t="s">
        <v>5873</v>
      </c>
      <c r="O1086" s="151"/>
      <c r="P1086" s="151" t="s">
        <v>5876</v>
      </c>
      <c r="Q1086" s="151" t="s">
        <v>5569</v>
      </c>
      <c r="R1086" s="151" t="s">
        <v>2177</v>
      </c>
      <c r="S1086" s="151" t="s">
        <v>361</v>
      </c>
      <c r="T1086" s="151" t="s">
        <v>2213</v>
      </c>
      <c r="U1086" s="151" t="s">
        <v>4540</v>
      </c>
      <c r="V1086" s="151">
        <v>25</v>
      </c>
      <c r="W1086" s="151" t="s">
        <v>4540</v>
      </c>
      <c r="X1086" s="151" t="s">
        <v>2445</v>
      </c>
      <c r="Y1086" s="151" t="s">
        <v>4540</v>
      </c>
      <c r="Z1086" s="151"/>
      <c r="AA1086" s="151"/>
      <c r="AB1086" s="151" t="s">
        <v>855</v>
      </c>
      <c r="AC1086" s="342"/>
    </row>
    <row r="1087" spans="1:29">
      <c r="A1087" s="151" t="s">
        <v>5198</v>
      </c>
      <c r="B1087" s="151" t="s">
        <v>2669</v>
      </c>
      <c r="C1087" s="151" t="s">
        <v>5832</v>
      </c>
      <c r="D1087" s="151" t="s">
        <v>17</v>
      </c>
      <c r="E1087" s="151" t="s">
        <v>5871</v>
      </c>
      <c r="F1087" s="151" t="s">
        <v>2527</v>
      </c>
      <c r="G1087" s="151" t="s">
        <v>2173</v>
      </c>
      <c r="H1087" s="151" t="s">
        <v>1183</v>
      </c>
      <c r="I1087" s="151" t="s">
        <v>1184</v>
      </c>
      <c r="J1087" s="151" t="s">
        <v>5834</v>
      </c>
      <c r="K1087" s="151" t="s">
        <v>1657</v>
      </c>
      <c r="L1087" s="8" t="s">
        <v>5835</v>
      </c>
      <c r="M1087" s="151" t="s">
        <v>361</v>
      </c>
      <c r="N1087" s="151" t="s">
        <v>5873</v>
      </c>
      <c r="O1087"/>
      <c r="Q1087" s="151" t="s">
        <v>5853</v>
      </c>
      <c r="R1087" s="151" t="s">
        <v>2177</v>
      </c>
      <c r="S1087" s="151" t="s">
        <v>361</v>
      </c>
      <c r="T1087" s="151"/>
      <c r="U1087" s="151" t="s">
        <v>3582</v>
      </c>
      <c r="V1087" s="151"/>
      <c r="W1087" s="151" t="s">
        <v>3615</v>
      </c>
      <c r="X1087" s="151"/>
      <c r="Y1087" s="151" t="s">
        <v>3582</v>
      </c>
      <c r="Z1087" s="151"/>
      <c r="AA1087" s="151"/>
      <c r="AB1087" s="151" t="s">
        <v>855</v>
      </c>
      <c r="AC1087" s="342"/>
    </row>
    <row r="1088" spans="1:29">
      <c r="A1088" s="151" t="s">
        <v>5198</v>
      </c>
      <c r="B1088" s="151" t="s">
        <v>5877</v>
      </c>
      <c r="C1088" s="151" t="s">
        <v>5832</v>
      </c>
      <c r="D1088" s="151" t="s">
        <v>17</v>
      </c>
      <c r="E1088" s="151" t="s">
        <v>5878</v>
      </c>
      <c r="F1088" s="151" t="s">
        <v>2527</v>
      </c>
      <c r="G1088" s="151" t="s">
        <v>2173</v>
      </c>
      <c r="H1088" s="151" t="s">
        <v>1183</v>
      </c>
      <c r="I1088" s="151" t="s">
        <v>1184</v>
      </c>
      <c r="J1088" s="151" t="s">
        <v>5834</v>
      </c>
      <c r="K1088" s="151" t="s">
        <v>5879</v>
      </c>
      <c r="L1088" s="436" t="s">
        <v>5880</v>
      </c>
      <c r="M1088" s="433"/>
      <c r="N1088" s="433"/>
      <c r="O1088" s="433"/>
      <c r="P1088" s="151" t="s">
        <v>5881</v>
      </c>
      <c r="Q1088" s="151" t="s">
        <v>5569</v>
      </c>
      <c r="R1088" s="151" t="s">
        <v>2177</v>
      </c>
      <c r="S1088" s="151" t="s">
        <v>5882</v>
      </c>
      <c r="T1088" s="151" t="s">
        <v>2213</v>
      </c>
      <c r="U1088" s="151" t="s">
        <v>4540</v>
      </c>
      <c r="V1088" s="151">
        <v>25</v>
      </c>
      <c r="W1088" s="151" t="s">
        <v>4540</v>
      </c>
      <c r="X1088" s="151" t="s">
        <v>2445</v>
      </c>
      <c r="Y1088" s="151" t="s">
        <v>4540</v>
      </c>
      <c r="Z1088" s="151"/>
      <c r="AA1088" s="151"/>
      <c r="AB1088" s="151" t="s">
        <v>855</v>
      </c>
      <c r="AC1088" s="342"/>
    </row>
    <row r="1089" spans="1:29">
      <c r="A1089" s="151" t="s">
        <v>5198</v>
      </c>
      <c r="B1089" s="151" t="s">
        <v>5883</v>
      </c>
      <c r="C1089" s="151" t="s">
        <v>5832</v>
      </c>
      <c r="D1089" s="151" t="s">
        <v>17</v>
      </c>
      <c r="E1089" s="151" t="s">
        <v>5884</v>
      </c>
      <c r="F1089" s="151" t="s">
        <v>2527</v>
      </c>
      <c r="G1089" s="151" t="s">
        <v>2173</v>
      </c>
      <c r="H1089" s="151" t="s">
        <v>1183</v>
      </c>
      <c r="I1089" s="151" t="s">
        <v>1184</v>
      </c>
      <c r="J1089" s="151" t="s">
        <v>1665</v>
      </c>
      <c r="K1089" s="151" t="s">
        <v>5885</v>
      </c>
      <c r="L1089"/>
      <c r="M1089" s="151" t="s">
        <v>361</v>
      </c>
      <c r="N1089" s="151"/>
      <c r="O1089" s="151"/>
      <c r="P1089" s="151"/>
      <c r="Q1089" s="151"/>
      <c r="R1089" s="151" t="s">
        <v>2177</v>
      </c>
      <c r="S1089" s="151" t="s">
        <v>361</v>
      </c>
      <c r="T1089" s="151" t="s">
        <v>2213</v>
      </c>
      <c r="U1089" s="151" t="s">
        <v>2885</v>
      </c>
      <c r="V1089" s="151">
        <v>12</v>
      </c>
      <c r="W1089" s="151" t="s">
        <v>2885</v>
      </c>
      <c r="X1089" s="151" t="s">
        <v>2445</v>
      </c>
      <c r="Y1089" s="151" t="s">
        <v>2885</v>
      </c>
      <c r="Z1089" s="151"/>
      <c r="AA1089" s="151"/>
      <c r="AB1089" s="151" t="s">
        <v>855</v>
      </c>
      <c r="AC1089" s="342"/>
    </row>
    <row r="1090" spans="1:29">
      <c r="A1090" s="151" t="s">
        <v>5198</v>
      </c>
      <c r="B1090" s="151" t="s">
        <v>5886</v>
      </c>
      <c r="C1090" s="151" t="s">
        <v>5832</v>
      </c>
      <c r="D1090" s="151" t="s">
        <v>17</v>
      </c>
      <c r="E1090" s="151" t="s">
        <v>5887</v>
      </c>
      <c r="F1090" s="151" t="s">
        <v>2527</v>
      </c>
      <c r="G1090" s="151" t="s">
        <v>2173</v>
      </c>
      <c r="H1090" s="151" t="s">
        <v>1183</v>
      </c>
      <c r="I1090" s="151" t="s">
        <v>1184</v>
      </c>
      <c r="J1090" s="151" t="s">
        <v>5834</v>
      </c>
      <c r="K1090" s="151" t="s">
        <v>5888</v>
      </c>
      <c r="L1090" s="8" t="s">
        <v>5835</v>
      </c>
      <c r="M1090" s="151" t="s">
        <v>361</v>
      </c>
      <c r="N1090" s="151" t="s">
        <v>5873</v>
      </c>
      <c r="O1090" s="151"/>
      <c r="P1090" s="151"/>
      <c r="Q1090" s="151" t="s">
        <v>5853</v>
      </c>
      <c r="R1090" s="151" t="s">
        <v>2177</v>
      </c>
      <c r="S1090" s="151" t="s">
        <v>361</v>
      </c>
      <c r="T1090" s="151" t="s">
        <v>4334</v>
      </c>
      <c r="U1090" s="151" t="s">
        <v>3608</v>
      </c>
      <c r="V1090" s="151"/>
      <c r="W1090" s="151">
        <v>1</v>
      </c>
      <c r="X1090" s="151" t="s">
        <v>2445</v>
      </c>
      <c r="Y1090" s="151" t="s">
        <v>3608</v>
      </c>
      <c r="Z1090" s="151"/>
      <c r="AA1090" s="151"/>
      <c r="AB1090" s="151" t="s">
        <v>855</v>
      </c>
      <c r="AC1090" s="342"/>
    </row>
    <row r="1091" spans="1:29">
      <c r="A1091" s="151" t="s">
        <v>5198</v>
      </c>
      <c r="B1091" s="151" t="s">
        <v>5889</v>
      </c>
      <c r="C1091" s="151" t="s">
        <v>5832</v>
      </c>
      <c r="D1091" s="151" t="s">
        <v>17</v>
      </c>
      <c r="E1091" s="151" t="s">
        <v>5890</v>
      </c>
      <c r="F1091" s="151" t="s">
        <v>2527</v>
      </c>
      <c r="G1091" s="151" t="s">
        <v>2173</v>
      </c>
      <c r="H1091" s="151" t="s">
        <v>1183</v>
      </c>
      <c r="I1091" s="151" t="s">
        <v>1184</v>
      </c>
      <c r="J1091" s="151" t="s">
        <v>5834</v>
      </c>
      <c r="K1091" s="151" t="s">
        <v>5891</v>
      </c>
      <c r="L1091" s="8" t="s">
        <v>5835</v>
      </c>
      <c r="M1091" s="151" t="s">
        <v>361</v>
      </c>
      <c r="N1091" s="151" t="s">
        <v>5873</v>
      </c>
      <c r="O1091" s="151"/>
      <c r="P1091" s="151"/>
      <c r="Q1091" s="151" t="s">
        <v>5853</v>
      </c>
      <c r="R1091" s="151" t="s">
        <v>2177</v>
      </c>
      <c r="S1091" s="151" t="s">
        <v>361</v>
      </c>
      <c r="T1091" s="151" t="s">
        <v>4334</v>
      </c>
      <c r="U1091" s="151" t="s">
        <v>3608</v>
      </c>
      <c r="V1091" s="151"/>
      <c r="W1091" s="151">
        <v>1</v>
      </c>
      <c r="X1091" s="151" t="s">
        <v>2445</v>
      </c>
      <c r="Y1091" s="151" t="s">
        <v>3608</v>
      </c>
      <c r="Z1091" s="151"/>
      <c r="AA1091" s="151"/>
      <c r="AB1091" s="151" t="s">
        <v>855</v>
      </c>
      <c r="AC1091" s="342"/>
    </row>
    <row r="1092" spans="1:29">
      <c r="A1092" s="151" t="s">
        <v>5198</v>
      </c>
      <c r="B1092" s="151" t="s">
        <v>2343</v>
      </c>
      <c r="C1092" s="151" t="s">
        <v>5832</v>
      </c>
      <c r="D1092" s="151" t="s">
        <v>17</v>
      </c>
      <c r="E1092" s="151" t="s">
        <v>5892</v>
      </c>
      <c r="F1092" s="151" t="s">
        <v>2527</v>
      </c>
      <c r="G1092" s="151" t="s">
        <v>2173</v>
      </c>
      <c r="H1092" s="151" t="s">
        <v>1183</v>
      </c>
      <c r="I1092" s="151" t="s">
        <v>1184</v>
      </c>
      <c r="J1092" s="151" t="s">
        <v>5834</v>
      </c>
      <c r="K1092" s="151" t="s">
        <v>5893</v>
      </c>
      <c r="L1092" s="8" t="s">
        <v>5835</v>
      </c>
      <c r="M1092" s="151" t="s">
        <v>361</v>
      </c>
      <c r="N1092" s="151" t="s">
        <v>5873</v>
      </c>
      <c r="O1092" s="151"/>
      <c r="P1092" s="151"/>
      <c r="Q1092" s="151" t="s">
        <v>5853</v>
      </c>
      <c r="R1092" s="151" t="s">
        <v>2177</v>
      </c>
      <c r="S1092" s="151" t="s">
        <v>361</v>
      </c>
      <c r="T1092" s="151"/>
      <c r="U1092" s="151" t="s">
        <v>3582</v>
      </c>
      <c r="V1092" s="151"/>
      <c r="W1092" s="151" t="s">
        <v>2250</v>
      </c>
      <c r="X1092" s="151"/>
      <c r="Y1092" s="151" t="s">
        <v>3582</v>
      </c>
      <c r="Z1092" s="151"/>
      <c r="AA1092" s="151"/>
      <c r="AB1092" s="151" t="s">
        <v>855</v>
      </c>
      <c r="AC1092" s="342"/>
    </row>
    <row r="1093" spans="1:29">
      <c r="A1093" s="151" t="s">
        <v>5198</v>
      </c>
      <c r="B1093" s="151" t="s">
        <v>5894</v>
      </c>
      <c r="C1093" s="151" t="s">
        <v>5832</v>
      </c>
      <c r="D1093" s="151" t="s">
        <v>17</v>
      </c>
      <c r="E1093" s="151" t="s">
        <v>5895</v>
      </c>
      <c r="F1093" s="151" t="s">
        <v>2527</v>
      </c>
      <c r="G1093" s="151" t="s">
        <v>2173</v>
      </c>
      <c r="H1093" s="151" t="s">
        <v>1314</v>
      </c>
      <c r="I1093" s="151" t="s">
        <v>1184</v>
      </c>
      <c r="J1093" s="151" t="s">
        <v>1835</v>
      </c>
      <c r="K1093" s="151" t="s">
        <v>5896</v>
      </c>
      <c r="L1093" s="151" t="s">
        <v>5897</v>
      </c>
      <c r="N1093" s="374"/>
      <c r="O1093" s="374"/>
      <c r="P1093" s="434" t="s">
        <v>5898</v>
      </c>
      <c r="Q1093" s="151"/>
      <c r="R1093" s="151" t="s">
        <v>2177</v>
      </c>
      <c r="S1093" s="151" t="s">
        <v>5899</v>
      </c>
      <c r="T1093" s="151" t="s">
        <v>4334</v>
      </c>
      <c r="U1093" s="151" t="s">
        <v>3582</v>
      </c>
      <c r="V1093" s="151">
        <v>1</v>
      </c>
      <c r="W1093" s="151" t="s">
        <v>2250</v>
      </c>
      <c r="X1093" s="151" t="s">
        <v>2445</v>
      </c>
      <c r="Y1093" s="151" t="s">
        <v>3582</v>
      </c>
      <c r="Z1093" s="151" t="s">
        <v>5900</v>
      </c>
      <c r="AA1093" s="151"/>
      <c r="AB1093" s="151" t="s">
        <v>855</v>
      </c>
      <c r="AC1093" s="342"/>
    </row>
    <row r="1094" spans="1:29">
      <c r="A1094" s="151" t="s">
        <v>5198</v>
      </c>
      <c r="B1094" s="151" t="s">
        <v>5901</v>
      </c>
      <c r="C1094" s="151" t="s">
        <v>5832</v>
      </c>
      <c r="D1094" s="151" t="s">
        <v>17</v>
      </c>
      <c r="E1094" s="151" t="s">
        <v>5902</v>
      </c>
      <c r="F1094" s="151" t="s">
        <v>2527</v>
      </c>
      <c r="G1094" s="151" t="s">
        <v>2173</v>
      </c>
      <c r="H1094" s="151" t="s">
        <v>1314</v>
      </c>
      <c r="I1094" s="151" t="s">
        <v>1184</v>
      </c>
      <c r="J1094" s="8" t="s">
        <v>1835</v>
      </c>
      <c r="K1094" s="151" t="s">
        <v>5896</v>
      </c>
      <c r="L1094" s="151" t="s">
        <v>5903</v>
      </c>
      <c r="M1094" s="151" t="s">
        <v>361</v>
      </c>
      <c r="N1094"/>
      <c r="O1094"/>
      <c r="P1094" s="434" t="s">
        <v>5904</v>
      </c>
      <c r="Q1094" s="151"/>
      <c r="R1094" s="151" t="s">
        <v>2177</v>
      </c>
      <c r="S1094" s="151" t="s">
        <v>361</v>
      </c>
      <c r="T1094" s="151"/>
      <c r="U1094" s="151" t="s">
        <v>3582</v>
      </c>
      <c r="V1094" s="151"/>
      <c r="W1094" s="151" t="s">
        <v>4028</v>
      </c>
      <c r="X1094" s="151"/>
      <c r="Y1094" s="151" t="s">
        <v>3582</v>
      </c>
      <c r="Z1094" s="151"/>
      <c r="AA1094" s="151"/>
      <c r="AB1094" s="151" t="s">
        <v>855</v>
      </c>
      <c r="AC1094" s="342"/>
    </row>
    <row r="1095" spans="1:29" ht="120">
      <c r="A1095" s="151" t="s">
        <v>5198</v>
      </c>
      <c r="B1095" s="151" t="s">
        <v>5905</v>
      </c>
      <c r="C1095" s="151" t="s">
        <v>5832</v>
      </c>
      <c r="D1095" s="151" t="s">
        <v>17</v>
      </c>
      <c r="E1095" s="151" t="s">
        <v>5906</v>
      </c>
      <c r="F1095" s="151" t="s">
        <v>2527</v>
      </c>
      <c r="G1095" s="151" t="s">
        <v>2173</v>
      </c>
      <c r="H1095" s="151" t="s">
        <v>1183</v>
      </c>
      <c r="I1095" s="151" t="s">
        <v>1184</v>
      </c>
      <c r="J1095" s="151" t="s">
        <v>5834</v>
      </c>
      <c r="K1095" s="151" t="s">
        <v>5907</v>
      </c>
      <c r="L1095" s="151" t="s">
        <v>5853</v>
      </c>
      <c r="M1095" s="151" t="s">
        <v>361</v>
      </c>
      <c r="N1095" s="341" t="s">
        <v>5908</v>
      </c>
      <c r="O1095" s="151">
        <v>14211</v>
      </c>
      <c r="P1095" s="151"/>
      <c r="Q1095" s="151"/>
      <c r="R1095" s="151" t="s">
        <v>2177</v>
      </c>
      <c r="S1095" s="151" t="s">
        <v>361</v>
      </c>
      <c r="T1095" s="151" t="s">
        <v>2207</v>
      </c>
      <c r="U1095" s="151" t="s">
        <v>2207</v>
      </c>
      <c r="V1095" s="151">
        <v>10</v>
      </c>
      <c r="W1095" s="151" t="s">
        <v>2207</v>
      </c>
      <c r="X1095" s="151" t="s">
        <v>2207</v>
      </c>
      <c r="Y1095" s="151" t="s">
        <v>2207</v>
      </c>
      <c r="Z1095" s="151"/>
      <c r="AA1095" s="151"/>
      <c r="AB1095" s="151" t="s">
        <v>855</v>
      </c>
      <c r="AC1095" s="342"/>
    </row>
    <row r="1096" spans="1:29">
      <c r="A1096" s="151" t="s">
        <v>5198</v>
      </c>
      <c r="B1096" s="151" t="s">
        <v>5909</v>
      </c>
      <c r="C1096" s="151" t="s">
        <v>5832</v>
      </c>
      <c r="D1096" s="151" t="s">
        <v>17</v>
      </c>
      <c r="E1096" s="151" t="s">
        <v>5910</v>
      </c>
      <c r="F1096" s="151" t="s">
        <v>2527</v>
      </c>
      <c r="G1096" s="151" t="s">
        <v>2173</v>
      </c>
      <c r="H1096" s="151" t="s">
        <v>1183</v>
      </c>
      <c r="I1096" s="151" t="s">
        <v>1184</v>
      </c>
      <c r="J1096" s="8" t="s">
        <v>5911</v>
      </c>
      <c r="K1096" s="151" t="s">
        <v>5912</v>
      </c>
      <c r="L1096" s="8" t="s">
        <v>5903</v>
      </c>
      <c r="M1096" s="151" t="s">
        <v>5913</v>
      </c>
      <c r="N1096" s="151"/>
      <c r="O1096" s="151"/>
      <c r="P1096" s="151" t="s">
        <v>5914</v>
      </c>
      <c r="Q1096" s="151" t="s">
        <v>4019</v>
      </c>
      <c r="R1096" s="151" t="s">
        <v>2177</v>
      </c>
      <c r="S1096" s="151" t="s">
        <v>361</v>
      </c>
      <c r="T1096" s="151" t="s">
        <v>2213</v>
      </c>
      <c r="U1096" s="151" t="s">
        <v>2179</v>
      </c>
      <c r="V1096" s="151">
        <v>80</v>
      </c>
      <c r="W1096" s="151" t="s">
        <v>5915</v>
      </c>
      <c r="X1096" s="151" t="s">
        <v>2179</v>
      </c>
      <c r="Y1096" s="151" t="s">
        <v>2445</v>
      </c>
      <c r="Z1096" s="151"/>
      <c r="AA1096" s="151"/>
      <c r="AB1096" s="151" t="s">
        <v>855</v>
      </c>
      <c r="AC1096" s="342"/>
    </row>
    <row r="1097" spans="1:29" ht="120">
      <c r="A1097" s="151" t="s">
        <v>5198</v>
      </c>
      <c r="B1097" s="151" t="s">
        <v>5916</v>
      </c>
      <c r="C1097" s="151" t="s">
        <v>5832</v>
      </c>
      <c r="D1097" s="151" t="s">
        <v>17</v>
      </c>
      <c r="E1097" s="151" t="s">
        <v>5917</v>
      </c>
      <c r="F1097" s="151" t="s">
        <v>2527</v>
      </c>
      <c r="G1097" s="151" t="s">
        <v>2173</v>
      </c>
      <c r="H1097" s="151" t="s">
        <v>1183</v>
      </c>
      <c r="I1097" s="151" t="s">
        <v>1184</v>
      </c>
      <c r="J1097" s="151" t="s">
        <v>5834</v>
      </c>
      <c r="K1097" s="151" t="s">
        <v>5918</v>
      </c>
      <c r="L1097" s="151" t="s">
        <v>5853</v>
      </c>
      <c r="M1097" s="151" t="s">
        <v>361</v>
      </c>
      <c r="N1097" s="341" t="s">
        <v>5919</v>
      </c>
      <c r="O1097" s="151">
        <v>14211</v>
      </c>
      <c r="P1097" s="151"/>
      <c r="Q1097" s="151"/>
      <c r="R1097" s="151" t="s">
        <v>2177</v>
      </c>
      <c r="S1097" s="151" t="s">
        <v>361</v>
      </c>
      <c r="T1097" s="151" t="s">
        <v>2207</v>
      </c>
      <c r="U1097" s="151" t="s">
        <v>2207</v>
      </c>
      <c r="V1097" s="151">
        <v>10</v>
      </c>
      <c r="W1097" s="151" t="s">
        <v>2207</v>
      </c>
      <c r="X1097" s="151" t="s">
        <v>2207</v>
      </c>
      <c r="Y1097" s="151" t="s">
        <v>2207</v>
      </c>
      <c r="Z1097" s="151"/>
      <c r="AA1097" s="151"/>
      <c r="AB1097" s="151" t="s">
        <v>855</v>
      </c>
      <c r="AC1097" s="342"/>
    </row>
    <row r="1098" spans="1:29">
      <c r="A1098" s="151" t="s">
        <v>5198</v>
      </c>
      <c r="B1098" s="151" t="s">
        <v>5920</v>
      </c>
      <c r="C1098" s="151" t="s">
        <v>5832</v>
      </c>
      <c r="D1098" s="151" t="s">
        <v>17</v>
      </c>
      <c r="E1098" s="151" t="s">
        <v>5921</v>
      </c>
      <c r="F1098" s="151" t="s">
        <v>2527</v>
      </c>
      <c r="G1098" s="151" t="s">
        <v>2173</v>
      </c>
      <c r="H1098" s="151" t="s">
        <v>1314</v>
      </c>
      <c r="I1098" s="151" t="s">
        <v>1184</v>
      </c>
      <c r="J1098" s="151" t="s">
        <v>1709</v>
      </c>
      <c r="K1098" s="151" t="s">
        <v>5896</v>
      </c>
      <c r="L1098" s="151" t="s">
        <v>5922</v>
      </c>
      <c r="M1098" s="151" t="s">
        <v>361</v>
      </c>
      <c r="N1098"/>
      <c r="O1098"/>
      <c r="P1098" s="434" t="s">
        <v>5898</v>
      </c>
      <c r="Q1098" s="151"/>
      <c r="R1098" s="151" t="s">
        <v>2177</v>
      </c>
      <c r="S1098" s="151" t="s">
        <v>361</v>
      </c>
      <c r="T1098" s="151" t="s">
        <v>3582</v>
      </c>
      <c r="U1098" s="151"/>
      <c r="V1098" s="151" t="s">
        <v>2250</v>
      </c>
      <c r="W1098" s="151"/>
      <c r="X1098" s="151" t="s">
        <v>3582</v>
      </c>
      <c r="Y1098" s="151"/>
      <c r="Z1098" s="151"/>
      <c r="AA1098" s="151"/>
      <c r="AB1098" s="151" t="s">
        <v>855</v>
      </c>
      <c r="AC1098" s="342"/>
    </row>
    <row r="1099" spans="1:29">
      <c r="A1099" s="151" t="s">
        <v>5198</v>
      </c>
      <c r="B1099" s="151" t="s">
        <v>5923</v>
      </c>
      <c r="C1099" s="151" t="s">
        <v>5832</v>
      </c>
      <c r="D1099" s="151" t="s">
        <v>17</v>
      </c>
      <c r="E1099" s="151" t="s">
        <v>5924</v>
      </c>
      <c r="F1099" s="151" t="s">
        <v>2527</v>
      </c>
      <c r="G1099" s="151" t="s">
        <v>2173</v>
      </c>
      <c r="H1099" s="151" t="s">
        <v>1314</v>
      </c>
      <c r="I1099" s="151" t="s">
        <v>1184</v>
      </c>
      <c r="J1099" s="151" t="s">
        <v>1709</v>
      </c>
      <c r="K1099" s="151" t="s">
        <v>5925</v>
      </c>
      <c r="L1099" s="151" t="s">
        <v>5922</v>
      </c>
      <c r="M1099" s="151" t="s">
        <v>361</v>
      </c>
      <c r="N1099"/>
      <c r="O1099"/>
      <c r="P1099" s="434" t="s">
        <v>5898</v>
      </c>
      <c r="Q1099" s="151"/>
      <c r="R1099" s="151" t="s">
        <v>2177</v>
      </c>
      <c r="S1099" s="151" t="s">
        <v>361</v>
      </c>
      <c r="T1099" s="151" t="s">
        <v>2213</v>
      </c>
      <c r="U1099" s="151" t="s">
        <v>2885</v>
      </c>
      <c r="V1099" s="151">
        <v>12</v>
      </c>
      <c r="W1099" s="151" t="s">
        <v>2885</v>
      </c>
      <c r="X1099" s="151" t="s">
        <v>2445</v>
      </c>
      <c r="Y1099" s="151" t="s">
        <v>2885</v>
      </c>
      <c r="Z1099" s="151"/>
      <c r="AA1099" s="151"/>
      <c r="AB1099" s="151" t="s">
        <v>855</v>
      </c>
      <c r="AC1099" s="342"/>
    </row>
    <row r="1100" spans="1:29">
      <c r="A1100" s="151" t="s">
        <v>5198</v>
      </c>
      <c r="B1100" s="151" t="s">
        <v>5926</v>
      </c>
      <c r="C1100" s="151" t="s">
        <v>5832</v>
      </c>
      <c r="D1100" s="151" t="s">
        <v>17</v>
      </c>
      <c r="E1100" s="151" t="s">
        <v>5927</v>
      </c>
      <c r="F1100" s="151" t="s">
        <v>2527</v>
      </c>
      <c r="G1100" s="151" t="s">
        <v>2173</v>
      </c>
      <c r="H1100" s="151" t="s">
        <v>1314</v>
      </c>
      <c r="I1100" s="151" t="s">
        <v>1184</v>
      </c>
      <c r="J1100" s="151" t="s">
        <v>1709</v>
      </c>
      <c r="K1100" s="151" t="s">
        <v>5928</v>
      </c>
      <c r="L1100" s="151" t="s">
        <v>5922</v>
      </c>
      <c r="M1100" s="151" t="s">
        <v>361</v>
      </c>
      <c r="N1100"/>
      <c r="O1100"/>
      <c r="P1100" s="434" t="s">
        <v>5898</v>
      </c>
      <c r="Q1100" s="151"/>
      <c r="R1100" s="151" t="s">
        <v>2177</v>
      </c>
      <c r="S1100" s="151" t="s">
        <v>361</v>
      </c>
      <c r="T1100" s="151" t="s">
        <v>2213</v>
      </c>
      <c r="U1100" s="151" t="s">
        <v>2507</v>
      </c>
      <c r="V1100" s="151">
        <v>20</v>
      </c>
      <c r="W1100" s="151">
        <v>20</v>
      </c>
      <c r="X1100" s="151" t="s">
        <v>2445</v>
      </c>
      <c r="Y1100" s="151" t="s">
        <v>2507</v>
      </c>
      <c r="Z1100" s="151"/>
      <c r="AA1100" s="151"/>
      <c r="AB1100" s="151" t="s">
        <v>855</v>
      </c>
      <c r="AC1100" s="342"/>
    </row>
    <row r="1101" spans="1:29" ht="135">
      <c r="A1101" s="151" t="s">
        <v>5198</v>
      </c>
      <c r="B1101" s="151" t="s">
        <v>5929</v>
      </c>
      <c r="C1101" s="151" t="s">
        <v>5832</v>
      </c>
      <c r="D1101" s="151" t="s">
        <v>17</v>
      </c>
      <c r="E1101" s="151" t="s">
        <v>5930</v>
      </c>
      <c r="F1101" s="151" t="s">
        <v>2527</v>
      </c>
      <c r="G1101" s="151" t="s">
        <v>2173</v>
      </c>
      <c r="H1101" s="151" t="s">
        <v>1183</v>
      </c>
      <c r="I1101" s="151" t="s">
        <v>1184</v>
      </c>
      <c r="J1101" s="151" t="s">
        <v>5834</v>
      </c>
      <c r="K1101" s="151" t="s">
        <v>5931</v>
      </c>
      <c r="L1101" s="151" t="s">
        <v>5853</v>
      </c>
      <c r="M1101" s="151" t="s">
        <v>361</v>
      </c>
      <c r="N1101" s="341" t="s">
        <v>5932</v>
      </c>
      <c r="O1101" s="151">
        <v>14211</v>
      </c>
      <c r="P1101" s="151"/>
      <c r="Q1101" s="151"/>
      <c r="R1101" s="151" t="s">
        <v>2177</v>
      </c>
      <c r="S1101" s="151" t="s">
        <v>361</v>
      </c>
      <c r="T1101" s="151" t="s">
        <v>2207</v>
      </c>
      <c r="U1101" s="151" t="s">
        <v>2207</v>
      </c>
      <c r="V1101" s="151">
        <v>10</v>
      </c>
      <c r="W1101" s="151" t="s">
        <v>2207</v>
      </c>
      <c r="X1101" s="151" t="s">
        <v>2207</v>
      </c>
      <c r="Y1101" s="151" t="s">
        <v>2207</v>
      </c>
      <c r="Z1101" s="151"/>
      <c r="AA1101" s="151"/>
      <c r="AB1101" s="151" t="s">
        <v>855</v>
      </c>
      <c r="AC1101" s="342"/>
    </row>
    <row r="1102" spans="1:29" ht="135">
      <c r="A1102" s="151" t="s">
        <v>5198</v>
      </c>
      <c r="B1102" s="151" t="s">
        <v>2637</v>
      </c>
      <c r="C1102" s="151" t="s">
        <v>5832</v>
      </c>
      <c r="D1102" s="151" t="s">
        <v>17</v>
      </c>
      <c r="E1102" s="151" t="s">
        <v>5933</v>
      </c>
      <c r="F1102" s="151" t="s">
        <v>2527</v>
      </c>
      <c r="G1102" s="151" t="s">
        <v>2173</v>
      </c>
      <c r="H1102" s="151" t="s">
        <v>1183</v>
      </c>
      <c r="I1102" s="151" t="s">
        <v>1184</v>
      </c>
      <c r="J1102" s="151" t="s">
        <v>5834</v>
      </c>
      <c r="K1102" s="151" t="s">
        <v>5734</v>
      </c>
      <c r="L1102" s="151" t="s">
        <v>5853</v>
      </c>
      <c r="M1102" s="151" t="s">
        <v>361</v>
      </c>
      <c r="N1102" s="341" t="s">
        <v>5934</v>
      </c>
      <c r="O1102" s="151">
        <v>14211</v>
      </c>
      <c r="P1102" s="151"/>
      <c r="Q1102" s="151"/>
      <c r="R1102" s="151" t="s">
        <v>2177</v>
      </c>
      <c r="S1102" s="151" t="s">
        <v>361</v>
      </c>
      <c r="T1102" s="151"/>
      <c r="U1102" s="151" t="s">
        <v>3582</v>
      </c>
      <c r="V1102" s="151"/>
      <c r="W1102" s="151" t="s">
        <v>4616</v>
      </c>
      <c r="X1102" s="151"/>
      <c r="Y1102" s="151" t="s">
        <v>3582</v>
      </c>
      <c r="Z1102" s="151"/>
      <c r="AA1102" s="151"/>
      <c r="AB1102" s="151" t="s">
        <v>855</v>
      </c>
      <c r="AC1102" s="342"/>
    </row>
    <row r="1103" spans="1:29" ht="120">
      <c r="A1103" s="151" t="s">
        <v>5198</v>
      </c>
      <c r="B1103" s="151" t="s">
        <v>5935</v>
      </c>
      <c r="C1103" s="151" t="s">
        <v>5936</v>
      </c>
      <c r="D1103" s="151" t="s">
        <v>17</v>
      </c>
      <c r="E1103" s="151" t="s">
        <v>5937</v>
      </c>
      <c r="F1103" s="151" t="s">
        <v>2527</v>
      </c>
      <c r="G1103" s="151" t="s">
        <v>2173</v>
      </c>
      <c r="H1103" s="151" t="s">
        <v>1183</v>
      </c>
      <c r="I1103" s="151" t="s">
        <v>1184</v>
      </c>
      <c r="J1103" s="151" t="s">
        <v>5938</v>
      </c>
      <c r="K1103" s="151" t="s">
        <v>5939</v>
      </c>
      <c r="L1103" s="151" t="s">
        <v>5940</v>
      </c>
      <c r="M1103" s="151" t="s">
        <v>361</v>
      </c>
      <c r="N1103" s="520" t="s">
        <v>3800</v>
      </c>
      <c r="O1103" s="151"/>
      <c r="P1103" s="151"/>
      <c r="Q1103" s="151" t="s">
        <v>5563</v>
      </c>
      <c r="R1103" s="151" t="s">
        <v>2177</v>
      </c>
      <c r="S1103" s="341" t="s">
        <v>5941</v>
      </c>
      <c r="T1103" s="151" t="s">
        <v>2213</v>
      </c>
      <c r="U1103" s="151" t="s">
        <v>3608</v>
      </c>
      <c r="V1103" s="151">
        <v>5</v>
      </c>
      <c r="W1103" s="151">
        <v>1</v>
      </c>
      <c r="X1103" s="151" t="s">
        <v>2445</v>
      </c>
      <c r="Y1103" s="151" t="s">
        <v>3608</v>
      </c>
      <c r="Z1103" s="151"/>
      <c r="AA1103" s="151"/>
      <c r="AB1103" s="151" t="s">
        <v>855</v>
      </c>
      <c r="AC1103" s="342"/>
    </row>
    <row r="1104" spans="1:29">
      <c r="A1104" s="151" t="s">
        <v>5198</v>
      </c>
      <c r="B1104" s="491" t="s">
        <v>5495</v>
      </c>
      <c r="C1104" s="151" t="s">
        <v>5936</v>
      </c>
      <c r="D1104" s="151" t="s">
        <v>17</v>
      </c>
      <c r="E1104" s="151" t="s">
        <v>5942</v>
      </c>
      <c r="F1104" s="151" t="s">
        <v>2527</v>
      </c>
      <c r="G1104" s="151" t="s">
        <v>2173</v>
      </c>
      <c r="H1104" s="151" t="s">
        <v>1183</v>
      </c>
      <c r="I1104" s="151" t="s">
        <v>1184</v>
      </c>
      <c r="J1104" s="151" t="s">
        <v>5938</v>
      </c>
      <c r="K1104" s="151" t="s">
        <v>5497</v>
      </c>
      <c r="L1104" s="431" t="s">
        <v>5943</v>
      </c>
      <c r="M1104" s="151" t="s">
        <v>361</v>
      </c>
      <c r="N1104" s="151" t="s">
        <v>3800</v>
      </c>
      <c r="O1104" s="151"/>
      <c r="P1104" s="151"/>
      <c r="Q1104" s="151"/>
      <c r="R1104" s="151" t="s">
        <v>2177</v>
      </c>
      <c r="S1104" s="151" t="s">
        <v>361</v>
      </c>
      <c r="T1104" s="151" t="s">
        <v>2213</v>
      </c>
      <c r="U1104" s="151" t="s">
        <v>3582</v>
      </c>
      <c r="V1104" s="151">
        <v>5</v>
      </c>
      <c r="W1104" s="151" t="s">
        <v>4380</v>
      </c>
      <c r="X1104" s="151" t="s">
        <v>2445</v>
      </c>
      <c r="Y1104" s="151" t="s">
        <v>3582</v>
      </c>
      <c r="Z1104" s="151"/>
      <c r="AA1104" s="151"/>
      <c r="AB1104" s="151" t="s">
        <v>855</v>
      </c>
      <c r="AC1104" s="342"/>
    </row>
    <row r="1105" spans="1:29" ht="120">
      <c r="A1105" s="151" t="s">
        <v>5198</v>
      </c>
      <c r="B1105" s="151" t="s">
        <v>5944</v>
      </c>
      <c r="C1105" s="151" t="s">
        <v>5936</v>
      </c>
      <c r="D1105" s="151" t="s">
        <v>17</v>
      </c>
      <c r="E1105" s="151" t="s">
        <v>5945</v>
      </c>
      <c r="F1105" s="151" t="s">
        <v>2527</v>
      </c>
      <c r="G1105" s="151" t="s">
        <v>2173</v>
      </c>
      <c r="H1105" s="151" t="s">
        <v>1183</v>
      </c>
      <c r="I1105" s="151" t="s">
        <v>1184</v>
      </c>
      <c r="J1105" s="151" t="s">
        <v>5946</v>
      </c>
      <c r="K1105" s="151" t="s">
        <v>5947</v>
      </c>
      <c r="L1105" s="151" t="s">
        <v>5948</v>
      </c>
      <c r="M1105" s="341" t="s">
        <v>5949</v>
      </c>
      <c r="N1105" s="456" t="s">
        <v>5950</v>
      </c>
      <c r="O1105" s="151">
        <v>1667567</v>
      </c>
      <c r="P1105" s="151"/>
      <c r="Q1105" s="151"/>
      <c r="R1105" s="151" t="s">
        <v>2177</v>
      </c>
      <c r="S1105" s="151" t="s">
        <v>361</v>
      </c>
      <c r="T1105" s="151" t="s">
        <v>2213</v>
      </c>
      <c r="U1105" s="151" t="s">
        <v>2207</v>
      </c>
      <c r="V1105" s="151">
        <v>10</v>
      </c>
      <c r="W1105" s="151" t="s">
        <v>2207</v>
      </c>
      <c r="X1105" s="151" t="s">
        <v>2445</v>
      </c>
      <c r="Y1105" s="151" t="s">
        <v>2207</v>
      </c>
      <c r="Z1105" s="151"/>
      <c r="AA1105" s="151"/>
      <c r="AB1105" s="151" t="s">
        <v>855</v>
      </c>
      <c r="AC1105" s="342"/>
    </row>
    <row r="1106" spans="1:29" ht="105">
      <c r="A1106" s="151" t="s">
        <v>5198</v>
      </c>
      <c r="B1106" s="151" t="s">
        <v>5951</v>
      </c>
      <c r="C1106" s="151" t="s">
        <v>5936</v>
      </c>
      <c r="D1106" s="151" t="s">
        <v>17</v>
      </c>
      <c r="E1106" s="151" t="s">
        <v>5952</v>
      </c>
      <c r="F1106" s="151" t="s">
        <v>2527</v>
      </c>
      <c r="G1106" s="151" t="s">
        <v>2173</v>
      </c>
      <c r="H1106" s="151" t="s">
        <v>1183</v>
      </c>
      <c r="I1106" s="151" t="s">
        <v>1184</v>
      </c>
      <c r="J1106" s="151" t="s">
        <v>5946</v>
      </c>
      <c r="K1106" s="151" t="s">
        <v>5953</v>
      </c>
      <c r="L1106" s="151" t="s">
        <v>5948</v>
      </c>
      <c r="M1106" s="341" t="s">
        <v>5954</v>
      </c>
      <c r="N1106" s="456" t="s">
        <v>5955</v>
      </c>
      <c r="O1106" s="151">
        <v>1667567</v>
      </c>
      <c r="P1106" s="151"/>
      <c r="Q1106" s="151"/>
      <c r="R1106" s="151" t="s">
        <v>2177</v>
      </c>
      <c r="S1106" s="151" t="s">
        <v>361</v>
      </c>
      <c r="T1106" s="151" t="s">
        <v>2213</v>
      </c>
      <c r="U1106" s="151" t="s">
        <v>2507</v>
      </c>
      <c r="V1106" s="151">
        <v>24</v>
      </c>
      <c r="W1106" s="151" t="s">
        <v>2507</v>
      </c>
      <c r="X1106" s="151" t="s">
        <v>2445</v>
      </c>
      <c r="Y1106" s="151" t="s">
        <v>2507</v>
      </c>
      <c r="Z1106" s="151"/>
      <c r="AA1106" s="151"/>
      <c r="AB1106" s="151" t="s">
        <v>855</v>
      </c>
      <c r="AC1106" s="342"/>
    </row>
    <row r="1107" spans="1:29" ht="105">
      <c r="A1107" s="151" t="s">
        <v>5198</v>
      </c>
      <c r="B1107" s="151" t="s">
        <v>5956</v>
      </c>
      <c r="C1107" s="151" t="s">
        <v>5936</v>
      </c>
      <c r="D1107" s="151" t="s">
        <v>17</v>
      </c>
      <c r="E1107" s="151" t="s">
        <v>5957</v>
      </c>
      <c r="F1107" s="151" t="s">
        <v>2527</v>
      </c>
      <c r="G1107" s="151" t="s">
        <v>2173</v>
      </c>
      <c r="H1107" s="151" t="s">
        <v>1183</v>
      </c>
      <c r="I1107" s="151" t="s">
        <v>1184</v>
      </c>
      <c r="J1107" s="151" t="s">
        <v>5946</v>
      </c>
      <c r="K1107" s="151" t="s">
        <v>5958</v>
      </c>
      <c r="L1107" s="151" t="s">
        <v>5948</v>
      </c>
      <c r="M1107" s="341" t="s">
        <v>5959</v>
      </c>
      <c r="N1107" s="456" t="s">
        <v>5960</v>
      </c>
      <c r="O1107" s="151">
        <v>1667567</v>
      </c>
      <c r="P1107" s="151"/>
      <c r="Q1107" s="151"/>
      <c r="R1107" s="151" t="s">
        <v>2177</v>
      </c>
      <c r="S1107" s="151" t="s">
        <v>361</v>
      </c>
      <c r="T1107" s="151" t="s">
        <v>2213</v>
      </c>
      <c r="U1107" s="151" t="s">
        <v>2507</v>
      </c>
      <c r="V1107" s="151">
        <v>24</v>
      </c>
      <c r="W1107" s="151" t="s">
        <v>2507</v>
      </c>
      <c r="X1107" s="151" t="s">
        <v>2445</v>
      </c>
      <c r="Y1107" s="151" t="s">
        <v>2507</v>
      </c>
      <c r="Z1107" s="151"/>
      <c r="AA1107" s="151"/>
      <c r="AB1107" s="151" t="s">
        <v>855</v>
      </c>
      <c r="AC1107" s="342"/>
    </row>
    <row r="1108" spans="1:29" ht="105">
      <c r="A1108" s="151" t="s">
        <v>5198</v>
      </c>
      <c r="B1108" s="151" t="s">
        <v>5961</v>
      </c>
      <c r="C1108" s="151" t="s">
        <v>5936</v>
      </c>
      <c r="D1108" s="151" t="s">
        <v>17</v>
      </c>
      <c r="E1108" s="151" t="s">
        <v>5962</v>
      </c>
      <c r="F1108" s="151" t="s">
        <v>2527</v>
      </c>
      <c r="G1108" s="151" t="s">
        <v>2173</v>
      </c>
      <c r="H1108" s="151" t="s">
        <v>1183</v>
      </c>
      <c r="I1108" s="151" t="s">
        <v>1184</v>
      </c>
      <c r="J1108" s="151" t="s">
        <v>5946</v>
      </c>
      <c r="K1108" s="151" t="s">
        <v>5963</v>
      </c>
      <c r="L1108" s="151" t="s">
        <v>5948</v>
      </c>
      <c r="M1108" s="341" t="s">
        <v>5964</v>
      </c>
      <c r="N1108" s="456" t="s">
        <v>5965</v>
      </c>
      <c r="O1108" s="151">
        <v>1667567</v>
      </c>
      <c r="P1108" s="151"/>
      <c r="Q1108" s="151"/>
      <c r="R1108" s="151" t="s">
        <v>2177</v>
      </c>
      <c r="S1108" s="151" t="s">
        <v>361</v>
      </c>
      <c r="T1108" s="151" t="s">
        <v>2213</v>
      </c>
      <c r="U1108" s="151" t="s">
        <v>2507</v>
      </c>
      <c r="V1108" s="151">
        <v>24</v>
      </c>
      <c r="W1108" s="151" t="s">
        <v>2507</v>
      </c>
      <c r="X1108" s="151" t="s">
        <v>2445</v>
      </c>
      <c r="Y1108" s="151" t="s">
        <v>2507</v>
      </c>
      <c r="Z1108" s="151"/>
      <c r="AA1108" s="151"/>
      <c r="AB1108" s="151" t="s">
        <v>855</v>
      </c>
      <c r="AC1108" s="342"/>
    </row>
    <row r="1109" spans="1:29">
      <c r="A1109" s="151" t="s">
        <v>5198</v>
      </c>
      <c r="B1109" s="151" t="s">
        <v>5935</v>
      </c>
      <c r="C1109" s="151" t="s">
        <v>5966</v>
      </c>
      <c r="D1109" s="151" t="s">
        <v>17</v>
      </c>
      <c r="E1109" s="151" t="s">
        <v>5967</v>
      </c>
      <c r="F1109" s="151" t="s">
        <v>2527</v>
      </c>
      <c r="G1109" s="151" t="s">
        <v>2173</v>
      </c>
      <c r="H1109" s="151" t="s">
        <v>1183</v>
      </c>
      <c r="I1109" s="151" t="s">
        <v>1184</v>
      </c>
      <c r="J1109" s="151" t="s">
        <v>5938</v>
      </c>
      <c r="K1109" s="151" t="s">
        <v>5939</v>
      </c>
      <c r="L1109" s="431" t="s">
        <v>5943</v>
      </c>
      <c r="M1109" s="151" t="s">
        <v>361</v>
      </c>
      <c r="N1109" s="151"/>
      <c r="O1109" s="151"/>
      <c r="P1109" s="151" t="s">
        <v>5563</v>
      </c>
      <c r="Q1109" s="151"/>
      <c r="R1109" s="151" t="s">
        <v>2177</v>
      </c>
      <c r="S1109" s="151" t="s">
        <v>5968</v>
      </c>
      <c r="T1109" s="151" t="s">
        <v>2213</v>
      </c>
      <c r="U1109" s="151" t="s">
        <v>3608</v>
      </c>
      <c r="V1109" s="151">
        <v>5</v>
      </c>
      <c r="W1109" s="151">
        <v>1</v>
      </c>
      <c r="X1109" s="151" t="s">
        <v>2445</v>
      </c>
      <c r="Y1109" s="151" t="s">
        <v>3608</v>
      </c>
      <c r="Z1109" s="151"/>
      <c r="AA1109" s="151"/>
      <c r="AB1109" s="151" t="s">
        <v>855</v>
      </c>
      <c r="AC1109" s="342"/>
    </row>
    <row r="1110" spans="1:29">
      <c r="A1110" s="151" t="s">
        <v>5198</v>
      </c>
      <c r="B1110" s="151" t="s">
        <v>5495</v>
      </c>
      <c r="C1110" s="151" t="s">
        <v>5966</v>
      </c>
      <c r="D1110" s="151" t="s">
        <v>17</v>
      </c>
      <c r="E1110" s="151" t="s">
        <v>5969</v>
      </c>
      <c r="F1110" s="151" t="s">
        <v>2527</v>
      </c>
      <c r="G1110" s="151" t="s">
        <v>2173</v>
      </c>
      <c r="H1110" s="151" t="s">
        <v>1183</v>
      </c>
      <c r="I1110" s="151" t="s">
        <v>1184</v>
      </c>
      <c r="J1110" s="151" t="s">
        <v>5938</v>
      </c>
      <c r="K1110" s="151" t="s">
        <v>5497</v>
      </c>
      <c r="L1110" s="431" t="s">
        <v>5943</v>
      </c>
      <c r="M1110" s="151" t="s">
        <v>361</v>
      </c>
      <c r="N1110" s="151"/>
      <c r="O1110" s="151"/>
      <c r="P1110" s="151" t="s">
        <v>5563</v>
      </c>
      <c r="Q1110" s="151"/>
      <c r="R1110" s="151" t="s">
        <v>2177</v>
      </c>
      <c r="S1110" s="151" t="s">
        <v>5968</v>
      </c>
      <c r="T1110" s="151" t="s">
        <v>2213</v>
      </c>
      <c r="U1110" s="151" t="s">
        <v>3582</v>
      </c>
      <c r="V1110" s="151">
        <v>5</v>
      </c>
      <c r="W1110" s="151" t="s">
        <v>4380</v>
      </c>
      <c r="X1110" s="151" t="s">
        <v>2445</v>
      </c>
      <c r="Y1110" s="151" t="s">
        <v>3582</v>
      </c>
      <c r="Z1110" s="151"/>
      <c r="AA1110" s="151"/>
      <c r="AB1110" s="151" t="s">
        <v>855</v>
      </c>
      <c r="AC1110" s="342"/>
    </row>
    <row r="1111" spans="1:29">
      <c r="A1111" s="151" t="s">
        <v>5198</v>
      </c>
      <c r="B1111" s="151" t="s">
        <v>5944</v>
      </c>
      <c r="C1111" s="151" t="s">
        <v>5966</v>
      </c>
      <c r="D1111" s="151" t="s">
        <v>17</v>
      </c>
      <c r="E1111" s="151" t="s">
        <v>5970</v>
      </c>
      <c r="F1111" s="151" t="s">
        <v>2527</v>
      </c>
      <c r="G1111" s="151" t="s">
        <v>2173</v>
      </c>
      <c r="H1111" s="151" t="s">
        <v>1183</v>
      </c>
      <c r="I1111" s="151" t="s">
        <v>1184</v>
      </c>
      <c r="J1111" s="151" t="s">
        <v>5946</v>
      </c>
      <c r="K1111" s="151" t="s">
        <v>5947</v>
      </c>
      <c r="L1111" s="431" t="s">
        <v>5943</v>
      </c>
      <c r="M1111" s="151" t="s">
        <v>361</v>
      </c>
      <c r="N1111" s="151"/>
      <c r="O1111" s="151"/>
      <c r="P1111" s="151" t="s">
        <v>5948</v>
      </c>
      <c r="Q1111" s="151"/>
      <c r="R1111" s="151" t="s">
        <v>2177</v>
      </c>
      <c r="S1111" s="151" t="s">
        <v>5968</v>
      </c>
      <c r="T1111" s="151" t="s">
        <v>2213</v>
      </c>
      <c r="U1111" s="151" t="s">
        <v>2207</v>
      </c>
      <c r="V1111" s="151">
        <v>10</v>
      </c>
      <c r="W1111" s="151" t="s">
        <v>2207</v>
      </c>
      <c r="X1111" s="151" t="s">
        <v>2445</v>
      </c>
      <c r="Y1111" s="151" t="s">
        <v>2207</v>
      </c>
      <c r="Z1111" s="151"/>
      <c r="AA1111" s="151"/>
      <c r="AB1111" s="151" t="s">
        <v>855</v>
      </c>
      <c r="AC1111" s="342"/>
    </row>
    <row r="1112" spans="1:29">
      <c r="A1112" s="151" t="s">
        <v>5198</v>
      </c>
      <c r="B1112" s="151" t="s">
        <v>5951</v>
      </c>
      <c r="C1112" s="151" t="s">
        <v>5966</v>
      </c>
      <c r="D1112" s="151" t="s">
        <v>17</v>
      </c>
      <c r="E1112" s="151" t="s">
        <v>5971</v>
      </c>
      <c r="F1112" s="151" t="s">
        <v>2527</v>
      </c>
      <c r="G1112" s="151" t="s">
        <v>2173</v>
      </c>
      <c r="H1112" s="151" t="s">
        <v>1183</v>
      </c>
      <c r="I1112" s="151" t="s">
        <v>1184</v>
      </c>
      <c r="J1112" s="151" t="s">
        <v>5946</v>
      </c>
      <c r="K1112" s="151" t="s">
        <v>5953</v>
      </c>
      <c r="L1112" s="431" t="s">
        <v>5943</v>
      </c>
      <c r="M1112" s="151" t="s">
        <v>361</v>
      </c>
      <c r="N1112" s="151"/>
      <c r="O1112" s="151"/>
      <c r="P1112" s="151" t="s">
        <v>5948</v>
      </c>
      <c r="Q1112" s="151"/>
      <c r="R1112" s="151" t="s">
        <v>2177</v>
      </c>
      <c r="S1112" s="151" t="s">
        <v>5968</v>
      </c>
      <c r="T1112" s="151" t="s">
        <v>2213</v>
      </c>
      <c r="U1112" s="151" t="s">
        <v>2507</v>
      </c>
      <c r="V1112" s="151">
        <v>24</v>
      </c>
      <c r="W1112" s="151" t="s">
        <v>2507</v>
      </c>
      <c r="X1112" s="151" t="s">
        <v>2445</v>
      </c>
      <c r="Y1112" s="151" t="s">
        <v>2507</v>
      </c>
      <c r="Z1112" s="151"/>
      <c r="AA1112" s="151"/>
      <c r="AB1112" s="151" t="s">
        <v>855</v>
      </c>
      <c r="AC1112" s="342"/>
    </row>
    <row r="1113" spans="1:29">
      <c r="A1113" s="151" t="s">
        <v>5198</v>
      </c>
      <c r="B1113" s="151" t="s">
        <v>5956</v>
      </c>
      <c r="C1113" s="151" t="s">
        <v>5966</v>
      </c>
      <c r="D1113" s="151" t="s">
        <v>17</v>
      </c>
      <c r="E1113" s="151" t="s">
        <v>5972</v>
      </c>
      <c r="F1113" s="151" t="s">
        <v>2527</v>
      </c>
      <c r="G1113" s="151" t="s">
        <v>2173</v>
      </c>
      <c r="H1113" s="151" t="s">
        <v>1183</v>
      </c>
      <c r="I1113" s="151" t="s">
        <v>1184</v>
      </c>
      <c r="J1113" s="151" t="s">
        <v>5946</v>
      </c>
      <c r="K1113" s="151" t="s">
        <v>5958</v>
      </c>
      <c r="L1113" s="431" t="s">
        <v>5943</v>
      </c>
      <c r="M1113" s="151" t="s">
        <v>361</v>
      </c>
      <c r="N1113" s="151"/>
      <c r="O1113" s="151"/>
      <c r="P1113" s="151" t="s">
        <v>5948</v>
      </c>
      <c r="Q1113" s="151"/>
      <c r="R1113" s="151" t="s">
        <v>2177</v>
      </c>
      <c r="S1113" s="151" t="s">
        <v>5968</v>
      </c>
      <c r="T1113" s="151" t="s">
        <v>2213</v>
      </c>
      <c r="U1113" s="151" t="s">
        <v>2507</v>
      </c>
      <c r="V1113" s="151">
        <v>24</v>
      </c>
      <c r="W1113" s="151" t="s">
        <v>2507</v>
      </c>
      <c r="X1113" s="151" t="s">
        <v>2445</v>
      </c>
      <c r="Y1113" s="151" t="s">
        <v>2507</v>
      </c>
      <c r="Z1113" s="151"/>
      <c r="AA1113" s="151"/>
      <c r="AB1113" s="151" t="s">
        <v>855</v>
      </c>
      <c r="AC1113" s="342"/>
    </row>
    <row r="1114" spans="1:29">
      <c r="A1114" s="151" t="s">
        <v>5198</v>
      </c>
      <c r="B1114" s="151" t="s">
        <v>5973</v>
      </c>
      <c r="C1114" s="151" t="s">
        <v>5966</v>
      </c>
      <c r="D1114" s="151" t="s">
        <v>17</v>
      </c>
      <c r="E1114" s="151" t="s">
        <v>5974</v>
      </c>
      <c r="F1114" s="151" t="s">
        <v>2527</v>
      </c>
      <c r="G1114" s="151" t="s">
        <v>2173</v>
      </c>
      <c r="H1114" s="151" t="s">
        <v>1183</v>
      </c>
      <c r="I1114" s="151" t="s">
        <v>1184</v>
      </c>
      <c r="J1114" s="151" t="s">
        <v>5946</v>
      </c>
      <c r="K1114" s="151" t="s">
        <v>5975</v>
      </c>
      <c r="L1114" s="431" t="s">
        <v>5943</v>
      </c>
      <c r="M1114" s="151" t="s">
        <v>361</v>
      </c>
      <c r="N1114" s="151"/>
      <c r="O1114" s="151"/>
      <c r="P1114" s="151" t="s">
        <v>5948</v>
      </c>
      <c r="Q1114" s="151"/>
      <c r="R1114" s="151" t="s">
        <v>2177</v>
      </c>
      <c r="S1114" s="151" t="s">
        <v>5968</v>
      </c>
      <c r="T1114" s="151" t="s">
        <v>2213</v>
      </c>
      <c r="U1114" s="151" t="s">
        <v>2207</v>
      </c>
      <c r="V1114" s="151">
        <v>10</v>
      </c>
      <c r="W1114" s="151" t="s">
        <v>2207</v>
      </c>
      <c r="X1114" s="151" t="s">
        <v>2445</v>
      </c>
      <c r="Y1114" s="151" t="s">
        <v>2207</v>
      </c>
      <c r="Z1114" s="151"/>
      <c r="AA1114" s="151"/>
      <c r="AB1114" s="151" t="s">
        <v>855</v>
      </c>
      <c r="AC1114" s="342"/>
    </row>
    <row r="1115" spans="1:29">
      <c r="A1115" s="151" t="s">
        <v>5198</v>
      </c>
      <c r="B1115" s="151" t="s">
        <v>5976</v>
      </c>
      <c r="C1115" s="151" t="s">
        <v>5966</v>
      </c>
      <c r="D1115" s="151" t="s">
        <v>17</v>
      </c>
      <c r="E1115" s="151" t="s">
        <v>5977</v>
      </c>
      <c r="F1115" s="151" t="s">
        <v>2527</v>
      </c>
      <c r="G1115" s="151" t="s">
        <v>2173</v>
      </c>
      <c r="H1115" s="151" t="s">
        <v>1183</v>
      </c>
      <c r="I1115" s="151" t="s">
        <v>1184</v>
      </c>
      <c r="J1115" s="151" t="s">
        <v>5946</v>
      </c>
      <c r="K1115" s="151" t="s">
        <v>5978</v>
      </c>
      <c r="L1115" s="431" t="s">
        <v>5943</v>
      </c>
      <c r="M1115" s="151" t="s">
        <v>361</v>
      </c>
      <c r="N1115" s="151"/>
      <c r="O1115" s="151"/>
      <c r="P1115" s="151" t="s">
        <v>5948</v>
      </c>
      <c r="Q1115" s="151"/>
      <c r="R1115" s="151" t="s">
        <v>2177</v>
      </c>
      <c r="S1115" s="151" t="s">
        <v>5968</v>
      </c>
      <c r="T1115" s="151" t="s">
        <v>2213</v>
      </c>
      <c r="U1115" s="151" t="s">
        <v>2207</v>
      </c>
      <c r="V1115" s="151">
        <v>10</v>
      </c>
      <c r="W1115" s="151" t="s">
        <v>2207</v>
      </c>
      <c r="X1115" s="151" t="s">
        <v>2445</v>
      </c>
      <c r="Y1115" s="151" t="s">
        <v>2207</v>
      </c>
      <c r="Z1115" s="151"/>
      <c r="AA1115" s="151"/>
      <c r="AB1115" s="151" t="s">
        <v>855</v>
      </c>
      <c r="AC1115" s="342"/>
    </row>
    <row r="1116" spans="1:29">
      <c r="A1116" s="151" t="s">
        <v>5198</v>
      </c>
      <c r="B1116" s="151" t="s">
        <v>5979</v>
      </c>
      <c r="C1116" s="151" t="s">
        <v>5980</v>
      </c>
      <c r="D1116" s="151" t="s">
        <v>17</v>
      </c>
      <c r="E1116" s="151" t="s">
        <v>5981</v>
      </c>
      <c r="F1116" s="151" t="s">
        <v>2527</v>
      </c>
      <c r="G1116" s="151" t="s">
        <v>3656</v>
      </c>
      <c r="H1116" s="151" t="s">
        <v>361</v>
      </c>
      <c r="I1116" s="151" t="s">
        <v>1184</v>
      </c>
      <c r="J1116" s="151" t="s">
        <v>361</v>
      </c>
      <c r="K1116" s="151" t="s">
        <v>361</v>
      </c>
      <c r="L1116" s="151" t="s">
        <v>361</v>
      </c>
      <c r="M1116" s="151" t="s">
        <v>361</v>
      </c>
      <c r="N1116" s="151"/>
      <c r="O1116" s="151"/>
      <c r="P1116" s="151"/>
      <c r="Q1116" s="151"/>
      <c r="R1116" s="151" t="s">
        <v>3576</v>
      </c>
      <c r="S1116" s="151" t="s">
        <v>361</v>
      </c>
      <c r="T1116" s="151"/>
      <c r="U1116" s="151"/>
      <c r="V1116" s="151"/>
      <c r="W1116" s="151"/>
      <c r="X1116" s="151"/>
      <c r="Y1116" s="151"/>
      <c r="Z1116" s="151"/>
      <c r="AA1116" s="151"/>
      <c r="AB1116" s="151"/>
      <c r="AC1116" s="342"/>
    </row>
    <row r="1117" spans="1:29">
      <c r="A1117" s="151" t="s">
        <v>5198</v>
      </c>
      <c r="B1117" s="151" t="s">
        <v>5982</v>
      </c>
      <c r="C1117" s="151" t="s">
        <v>5980</v>
      </c>
      <c r="D1117" s="151" t="s">
        <v>17</v>
      </c>
      <c r="E1117" s="151" t="s">
        <v>5983</v>
      </c>
      <c r="F1117" s="151" t="s">
        <v>2527</v>
      </c>
      <c r="G1117" s="151" t="s">
        <v>3656</v>
      </c>
      <c r="H1117" s="151" t="s">
        <v>361</v>
      </c>
      <c r="I1117" s="151" t="s">
        <v>1184</v>
      </c>
      <c r="J1117" s="151" t="s">
        <v>361</v>
      </c>
      <c r="K1117" s="151" t="s">
        <v>361</v>
      </c>
      <c r="L1117" s="151" t="s">
        <v>361</v>
      </c>
      <c r="M1117" s="151" t="s">
        <v>361</v>
      </c>
      <c r="N1117" s="151"/>
      <c r="O1117" s="151"/>
      <c r="P1117" s="151"/>
      <c r="Q1117" s="151"/>
      <c r="R1117" s="151" t="s">
        <v>3576</v>
      </c>
      <c r="S1117" s="151" t="s">
        <v>361</v>
      </c>
      <c r="T1117" s="151"/>
      <c r="U1117" s="151"/>
      <c r="V1117" s="151"/>
      <c r="W1117" s="151"/>
      <c r="X1117" s="151"/>
      <c r="Y1117" s="151"/>
      <c r="Z1117" s="151"/>
      <c r="AA1117" s="151"/>
      <c r="AB1117" s="151"/>
      <c r="AC1117" s="342"/>
    </row>
    <row r="1118" spans="1:29">
      <c r="A1118" s="151" t="s">
        <v>5198</v>
      </c>
      <c r="B1118" s="151" t="s">
        <v>5984</v>
      </c>
      <c r="C1118" s="151" t="s">
        <v>5980</v>
      </c>
      <c r="D1118" s="151" t="s">
        <v>17</v>
      </c>
      <c r="E1118" s="151" t="s">
        <v>5985</v>
      </c>
      <c r="F1118" s="151" t="s">
        <v>2527</v>
      </c>
      <c r="G1118" s="151" t="s">
        <v>3656</v>
      </c>
      <c r="H1118" s="151" t="s">
        <v>361</v>
      </c>
      <c r="I1118" s="151" t="s">
        <v>1184</v>
      </c>
      <c r="J1118" s="151" t="s">
        <v>361</v>
      </c>
      <c r="K1118" s="151" t="s">
        <v>361</v>
      </c>
      <c r="L1118" s="151" t="s">
        <v>361</v>
      </c>
      <c r="M1118" s="151" t="s">
        <v>361</v>
      </c>
      <c r="N1118" s="151"/>
      <c r="O1118" s="151"/>
      <c r="P1118" s="151"/>
      <c r="Q1118" s="151"/>
      <c r="R1118" s="151" t="s">
        <v>3576</v>
      </c>
      <c r="S1118" s="151" t="s">
        <v>361</v>
      </c>
      <c r="T1118" s="151"/>
      <c r="U1118" s="151"/>
      <c r="V1118" s="151"/>
      <c r="W1118" s="151"/>
      <c r="X1118" s="151"/>
      <c r="Y1118" s="151"/>
      <c r="Z1118" s="151"/>
      <c r="AA1118" s="151"/>
      <c r="AB1118" s="151"/>
      <c r="AC1118" s="342"/>
    </row>
    <row r="1119" spans="1:29">
      <c r="A1119" s="151" t="s">
        <v>5198</v>
      </c>
      <c r="B1119" s="151" t="s">
        <v>5986</v>
      </c>
      <c r="C1119" s="151" t="s">
        <v>5980</v>
      </c>
      <c r="D1119" s="151" t="s">
        <v>17</v>
      </c>
      <c r="E1119" s="151" t="s">
        <v>5987</v>
      </c>
      <c r="F1119" s="151" t="s">
        <v>2527</v>
      </c>
      <c r="G1119" s="151" t="s">
        <v>3656</v>
      </c>
      <c r="H1119" s="151" t="s">
        <v>361</v>
      </c>
      <c r="I1119" s="151" t="s">
        <v>1184</v>
      </c>
      <c r="J1119" s="151" t="s">
        <v>361</v>
      </c>
      <c r="K1119" s="151" t="s">
        <v>361</v>
      </c>
      <c r="L1119" s="151" t="s">
        <v>361</v>
      </c>
      <c r="M1119" s="151" t="s">
        <v>361</v>
      </c>
      <c r="N1119" s="151"/>
      <c r="O1119" s="151"/>
      <c r="P1119" s="151"/>
      <c r="Q1119" s="151"/>
      <c r="R1119" s="151" t="s">
        <v>3576</v>
      </c>
      <c r="S1119" s="151" t="s">
        <v>361</v>
      </c>
      <c r="T1119" s="151"/>
      <c r="U1119" s="151"/>
      <c r="V1119" s="151"/>
      <c r="W1119" s="151"/>
      <c r="X1119" s="151"/>
      <c r="Y1119" s="151"/>
      <c r="Z1119" s="151"/>
      <c r="AA1119" s="151"/>
      <c r="AB1119" s="151"/>
      <c r="AC1119" s="342"/>
    </row>
    <row r="1120" spans="1:29">
      <c r="A1120" s="151" t="s">
        <v>5198</v>
      </c>
      <c r="B1120" s="151" t="s">
        <v>5988</v>
      </c>
      <c r="C1120" s="151" t="s">
        <v>5980</v>
      </c>
      <c r="D1120" s="151" t="s">
        <v>17</v>
      </c>
      <c r="E1120" s="151" t="s">
        <v>5989</v>
      </c>
      <c r="F1120" s="151" t="s">
        <v>2527</v>
      </c>
      <c r="G1120" s="151" t="s">
        <v>3656</v>
      </c>
      <c r="H1120" s="151" t="s">
        <v>361</v>
      </c>
      <c r="I1120" s="151" t="s">
        <v>1184</v>
      </c>
      <c r="J1120" s="151" t="s">
        <v>361</v>
      </c>
      <c r="K1120" s="151" t="s">
        <v>361</v>
      </c>
      <c r="L1120" s="151" t="s">
        <v>361</v>
      </c>
      <c r="M1120" s="151" t="s">
        <v>361</v>
      </c>
      <c r="N1120" s="151"/>
      <c r="O1120" s="151"/>
      <c r="P1120" s="151"/>
      <c r="Q1120" s="151"/>
      <c r="R1120" s="151" t="s">
        <v>3576</v>
      </c>
      <c r="S1120" s="151" t="s">
        <v>361</v>
      </c>
      <c r="T1120" s="151"/>
      <c r="U1120" s="151"/>
      <c r="V1120" s="151"/>
      <c r="W1120" s="151"/>
      <c r="X1120" s="151"/>
      <c r="Y1120" s="151"/>
      <c r="Z1120" s="151"/>
      <c r="AA1120" s="151"/>
      <c r="AB1120" s="151"/>
      <c r="AC1120" s="342"/>
    </row>
    <row r="1121" spans="1:29">
      <c r="A1121" s="151" t="s">
        <v>5198</v>
      </c>
      <c r="B1121" s="151" t="s">
        <v>5990</v>
      </c>
      <c r="C1121" s="151" t="s">
        <v>5980</v>
      </c>
      <c r="D1121" s="151" t="s">
        <v>17</v>
      </c>
      <c r="E1121" s="151" t="s">
        <v>5991</v>
      </c>
      <c r="F1121" s="151" t="s">
        <v>2527</v>
      </c>
      <c r="G1121" s="151" t="s">
        <v>3656</v>
      </c>
      <c r="H1121" s="151" t="s">
        <v>361</v>
      </c>
      <c r="I1121" s="151" t="s">
        <v>1184</v>
      </c>
      <c r="J1121" s="151" t="s">
        <v>361</v>
      </c>
      <c r="K1121" s="151" t="s">
        <v>361</v>
      </c>
      <c r="L1121" s="151" t="s">
        <v>361</v>
      </c>
      <c r="M1121" s="151" t="s">
        <v>361</v>
      </c>
      <c r="N1121" s="151"/>
      <c r="O1121" s="151"/>
      <c r="P1121" s="151"/>
      <c r="Q1121" s="151"/>
      <c r="R1121" s="151" t="s">
        <v>3576</v>
      </c>
      <c r="S1121" s="151" t="s">
        <v>361</v>
      </c>
      <c r="T1121" s="151"/>
      <c r="U1121" s="151"/>
      <c r="V1121" s="151"/>
      <c r="W1121" s="151"/>
      <c r="X1121" s="151"/>
      <c r="Y1121" s="151"/>
      <c r="Z1121" s="151"/>
      <c r="AA1121" s="151"/>
      <c r="AB1121" s="151"/>
      <c r="AC1121" s="342"/>
    </row>
    <row r="1122" spans="1:29" ht="90">
      <c r="A1122" s="151" t="s">
        <v>5198</v>
      </c>
      <c r="B1122" s="151" t="s">
        <v>4237</v>
      </c>
      <c r="C1122" s="151" t="s">
        <v>5992</v>
      </c>
      <c r="D1122" s="151" t="s">
        <v>17</v>
      </c>
      <c r="E1122" s="151" t="s">
        <v>5993</v>
      </c>
      <c r="F1122" s="151" t="s">
        <v>2527</v>
      </c>
      <c r="G1122" s="151" t="s">
        <v>2173</v>
      </c>
      <c r="H1122" s="151" t="s">
        <v>1183</v>
      </c>
      <c r="I1122" s="151" t="s">
        <v>1184</v>
      </c>
      <c r="J1122" s="151" t="s">
        <v>5994</v>
      </c>
      <c r="K1122" s="151" t="s">
        <v>5995</v>
      </c>
      <c r="L1122" s="151" t="s">
        <v>5996</v>
      </c>
      <c r="M1122" s="151" t="s">
        <v>361</v>
      </c>
      <c r="N1122" s="341" t="s">
        <v>5997</v>
      </c>
      <c r="O1122" s="151">
        <v>342806</v>
      </c>
      <c r="P1122" s="151"/>
      <c r="Q1122" s="151"/>
      <c r="R1122" s="151" t="s">
        <v>2177</v>
      </c>
      <c r="S1122" s="151" t="s">
        <v>361</v>
      </c>
      <c r="T1122" s="151" t="s">
        <v>2207</v>
      </c>
      <c r="U1122" s="151" t="s">
        <v>2207</v>
      </c>
      <c r="V1122" s="151">
        <v>10</v>
      </c>
      <c r="W1122" s="151" t="s">
        <v>2207</v>
      </c>
      <c r="X1122" s="151" t="s">
        <v>2207</v>
      </c>
      <c r="Y1122" s="151" t="s">
        <v>2207</v>
      </c>
      <c r="Z1122" s="151"/>
      <c r="AA1122" s="151"/>
      <c r="AB1122" s="151" t="s">
        <v>855</v>
      </c>
      <c r="AC1122" s="342"/>
    </row>
    <row r="1123" spans="1:29" ht="90">
      <c r="A1123" s="151" t="s">
        <v>5198</v>
      </c>
      <c r="B1123" s="151" t="s">
        <v>4242</v>
      </c>
      <c r="C1123" s="151" t="s">
        <v>5992</v>
      </c>
      <c r="D1123" s="151" t="s">
        <v>17</v>
      </c>
      <c r="E1123" s="151" t="s">
        <v>5998</v>
      </c>
      <c r="F1123" s="151" t="s">
        <v>2527</v>
      </c>
      <c r="G1123" s="151" t="s">
        <v>2173</v>
      </c>
      <c r="H1123" s="151" t="s">
        <v>1183</v>
      </c>
      <c r="I1123" s="151" t="s">
        <v>1184</v>
      </c>
      <c r="J1123" s="151" t="s">
        <v>802</v>
      </c>
      <c r="K1123" s="151" t="s">
        <v>1707</v>
      </c>
      <c r="L1123" s="151" t="s">
        <v>4245</v>
      </c>
      <c r="M1123" s="151" t="s">
        <v>361</v>
      </c>
      <c r="N1123" s="341" t="s">
        <v>5999</v>
      </c>
      <c r="O1123" s="151">
        <v>2199</v>
      </c>
      <c r="P1123" s="151"/>
      <c r="Q1123" s="151"/>
      <c r="R1123" s="151" t="s">
        <v>2177</v>
      </c>
      <c r="S1123" s="151" t="s">
        <v>361</v>
      </c>
      <c r="T1123" s="151" t="s">
        <v>49</v>
      </c>
      <c r="U1123" s="151" t="s">
        <v>3629</v>
      </c>
      <c r="V1123" s="151" t="s">
        <v>49</v>
      </c>
      <c r="W1123" s="151" t="s">
        <v>3629</v>
      </c>
      <c r="X1123" s="151" t="s">
        <v>49</v>
      </c>
      <c r="Y1123" s="151" t="s">
        <v>3629</v>
      </c>
      <c r="Z1123" s="151"/>
      <c r="AA1123" s="151"/>
      <c r="AB1123" s="151" t="s">
        <v>855</v>
      </c>
      <c r="AC1123" s="342"/>
    </row>
    <row r="1124" spans="1:29" ht="105">
      <c r="A1124" s="151" t="s">
        <v>5198</v>
      </c>
      <c r="B1124" s="151" t="s">
        <v>4293</v>
      </c>
      <c r="C1124" s="151" t="s">
        <v>5992</v>
      </c>
      <c r="D1124" s="151" t="s">
        <v>17</v>
      </c>
      <c r="E1124" s="151" t="s">
        <v>6000</v>
      </c>
      <c r="F1124" s="151" t="s">
        <v>2527</v>
      </c>
      <c r="G1124" s="151" t="s">
        <v>2173</v>
      </c>
      <c r="H1124" s="151" t="s">
        <v>1183</v>
      </c>
      <c r="I1124" s="151" t="s">
        <v>1184</v>
      </c>
      <c r="J1124" s="151" t="s">
        <v>802</v>
      </c>
      <c r="K1124" s="151" t="s">
        <v>1512</v>
      </c>
      <c r="L1124" s="151" t="s">
        <v>4245</v>
      </c>
      <c r="M1124" s="151" t="s">
        <v>361</v>
      </c>
      <c r="N1124" s="341" t="s">
        <v>6001</v>
      </c>
      <c r="O1124" s="151">
        <v>2199</v>
      </c>
      <c r="P1124" s="151"/>
      <c r="Q1124" s="151"/>
      <c r="R1124" s="151" t="s">
        <v>2177</v>
      </c>
      <c r="S1124" s="151" t="s">
        <v>361</v>
      </c>
      <c r="T1124" s="151" t="s">
        <v>2200</v>
      </c>
      <c r="U1124" s="151" t="s">
        <v>3582</v>
      </c>
      <c r="V1124" s="151" t="s">
        <v>49</v>
      </c>
      <c r="W1124" s="151" t="s">
        <v>4028</v>
      </c>
      <c r="X1124" s="151" t="s">
        <v>431</v>
      </c>
      <c r="Y1124" s="151" t="s">
        <v>3582</v>
      </c>
      <c r="Z1124" s="151"/>
      <c r="AA1124" s="151"/>
      <c r="AB1124" s="151" t="s">
        <v>855</v>
      </c>
      <c r="AC1124" s="342"/>
    </row>
    <row r="1125" spans="1:29" ht="105">
      <c r="A1125" s="151" t="s">
        <v>5198</v>
      </c>
      <c r="B1125" s="151" t="s">
        <v>2669</v>
      </c>
      <c r="C1125" s="151" t="s">
        <v>5992</v>
      </c>
      <c r="D1125" s="151" t="s">
        <v>17</v>
      </c>
      <c r="E1125" s="151" t="s">
        <v>6002</v>
      </c>
      <c r="F1125" s="151" t="s">
        <v>2527</v>
      </c>
      <c r="G1125" s="151" t="s">
        <v>2173</v>
      </c>
      <c r="H1125" s="151" t="s">
        <v>1183</v>
      </c>
      <c r="I1125" s="151" t="s">
        <v>1184</v>
      </c>
      <c r="J1125" s="151" t="s">
        <v>802</v>
      </c>
      <c r="K1125" s="151" t="s">
        <v>1657</v>
      </c>
      <c r="L1125" s="151" t="s">
        <v>4245</v>
      </c>
      <c r="M1125" s="151" t="s">
        <v>361</v>
      </c>
      <c r="N1125" s="341" t="s">
        <v>6003</v>
      </c>
      <c r="O1125" s="151"/>
      <c r="P1125" s="151"/>
      <c r="Q1125" s="151"/>
      <c r="R1125" s="151" t="s">
        <v>2177</v>
      </c>
      <c r="S1125" s="151" t="s">
        <v>361</v>
      </c>
      <c r="T1125" s="151" t="s">
        <v>2200</v>
      </c>
      <c r="U1125" s="151" t="s">
        <v>3582</v>
      </c>
      <c r="V1125" s="151" t="s">
        <v>49</v>
      </c>
      <c r="W1125" s="151" t="s">
        <v>3615</v>
      </c>
      <c r="X1125" s="151" t="s">
        <v>431</v>
      </c>
      <c r="Y1125" s="151" t="s">
        <v>3582</v>
      </c>
      <c r="Z1125" s="151"/>
      <c r="AA1125" s="151"/>
      <c r="AB1125" s="151" t="s">
        <v>855</v>
      </c>
      <c r="AC1125" s="342"/>
    </row>
    <row r="1126" spans="1:29" ht="105">
      <c r="A1126" s="151" t="s">
        <v>5198</v>
      </c>
      <c r="B1126" s="151" t="s">
        <v>4298</v>
      </c>
      <c r="C1126" s="151" t="s">
        <v>5992</v>
      </c>
      <c r="D1126" s="151" t="s">
        <v>17</v>
      </c>
      <c r="E1126" s="151" t="s">
        <v>6004</v>
      </c>
      <c r="F1126" s="151" t="s">
        <v>2527</v>
      </c>
      <c r="G1126" s="151" t="s">
        <v>2173</v>
      </c>
      <c r="H1126" s="151" t="s">
        <v>1183</v>
      </c>
      <c r="I1126" s="151" t="s">
        <v>1184</v>
      </c>
      <c r="J1126" s="151" t="s">
        <v>802</v>
      </c>
      <c r="K1126" s="151" t="s">
        <v>4300</v>
      </c>
      <c r="L1126" s="151" t="s">
        <v>4245</v>
      </c>
      <c r="M1126" s="151" t="s">
        <v>361</v>
      </c>
      <c r="N1126" s="341" t="s">
        <v>6005</v>
      </c>
      <c r="O1126" s="151"/>
      <c r="P1126" s="151" t="s">
        <v>6006</v>
      </c>
      <c r="R1126" s="151" t="s">
        <v>2177</v>
      </c>
      <c r="S1126" s="151" t="s">
        <v>361</v>
      </c>
      <c r="T1126" s="151" t="s">
        <v>2200</v>
      </c>
      <c r="U1126" s="151" t="s">
        <v>3582</v>
      </c>
      <c r="V1126" s="151" t="s">
        <v>49</v>
      </c>
      <c r="W1126" s="151" t="s">
        <v>2373</v>
      </c>
      <c r="X1126" s="151" t="s">
        <v>431</v>
      </c>
      <c r="Y1126" s="151" t="s">
        <v>3582</v>
      </c>
      <c r="Z1126" s="151"/>
      <c r="AA1126" s="151"/>
      <c r="AB1126" s="151" t="s">
        <v>855</v>
      </c>
      <c r="AC1126" s="342"/>
    </row>
    <row r="1127" spans="1:29" ht="120">
      <c r="A1127" s="151" t="s">
        <v>5198</v>
      </c>
      <c r="B1127" s="151" t="s">
        <v>4249</v>
      </c>
      <c r="C1127" s="151" t="s">
        <v>5992</v>
      </c>
      <c r="D1127" s="151" t="s">
        <v>17</v>
      </c>
      <c r="E1127" s="151" t="s">
        <v>6007</v>
      </c>
      <c r="F1127" s="151" t="s">
        <v>2527</v>
      </c>
      <c r="G1127" s="151" t="s">
        <v>2173</v>
      </c>
      <c r="H1127" s="151" t="s">
        <v>1183</v>
      </c>
      <c r="I1127" s="151" t="s">
        <v>1184</v>
      </c>
      <c r="J1127" s="151" t="s">
        <v>802</v>
      </c>
      <c r="K1127" s="151" t="s">
        <v>6008</v>
      </c>
      <c r="L1127" s="151" t="s">
        <v>4245</v>
      </c>
      <c r="M1127" s="151" t="s">
        <v>361</v>
      </c>
      <c r="N1127" s="341" t="s">
        <v>6009</v>
      </c>
      <c r="O1127" s="151"/>
      <c r="P1127" s="151"/>
      <c r="Q1127" s="151"/>
      <c r="R1127" s="151" t="s">
        <v>2177</v>
      </c>
      <c r="S1127" s="151" t="s">
        <v>361</v>
      </c>
      <c r="T1127" s="151" t="s">
        <v>2200</v>
      </c>
      <c r="U1127" s="151" t="s">
        <v>3582</v>
      </c>
      <c r="V1127" s="151" t="s">
        <v>49</v>
      </c>
      <c r="W1127" s="151" t="s">
        <v>2180</v>
      </c>
      <c r="X1127" s="151" t="s">
        <v>431</v>
      </c>
      <c r="Y1127" s="151" t="s">
        <v>3582</v>
      </c>
      <c r="Z1127" s="151"/>
      <c r="AA1127" s="151"/>
      <c r="AB1127" s="151" t="s">
        <v>855</v>
      </c>
      <c r="AC1127" s="342"/>
    </row>
    <row r="1128" spans="1:29" ht="105">
      <c r="A1128" s="151" t="s">
        <v>5198</v>
      </c>
      <c r="B1128" s="151" t="s">
        <v>5416</v>
      </c>
      <c r="C1128" s="151" t="s">
        <v>5992</v>
      </c>
      <c r="D1128" s="151" t="s">
        <v>17</v>
      </c>
      <c r="E1128" s="151" t="s">
        <v>6010</v>
      </c>
      <c r="F1128" s="151" t="s">
        <v>2527</v>
      </c>
      <c r="G1128" s="151" t="s">
        <v>2173</v>
      </c>
      <c r="H1128" s="151" t="s">
        <v>1183</v>
      </c>
      <c r="I1128" s="151" t="s">
        <v>1184</v>
      </c>
      <c r="J1128" s="151" t="s">
        <v>802</v>
      </c>
      <c r="K1128" s="151" t="s">
        <v>6011</v>
      </c>
      <c r="L1128" s="151" t="s">
        <v>4245</v>
      </c>
      <c r="M1128" s="151" t="s">
        <v>361</v>
      </c>
      <c r="N1128" s="341" t="s">
        <v>6012</v>
      </c>
      <c r="O1128" s="151"/>
      <c r="P1128" s="151"/>
      <c r="Q1128" s="151"/>
      <c r="R1128" s="151" t="s">
        <v>2177</v>
      </c>
      <c r="S1128" s="151" t="s">
        <v>361</v>
      </c>
      <c r="T1128" s="151" t="s">
        <v>2200</v>
      </c>
      <c r="U1128" s="151" t="s">
        <v>5179</v>
      </c>
      <c r="V1128" s="151" t="s">
        <v>49</v>
      </c>
      <c r="W1128" s="151" t="s">
        <v>5179</v>
      </c>
      <c r="X1128" s="151" t="s">
        <v>431</v>
      </c>
      <c r="Y1128" s="151" t="s">
        <v>5179</v>
      </c>
      <c r="Z1128" s="151"/>
      <c r="AA1128" s="151"/>
      <c r="AB1128" s="151" t="s">
        <v>855</v>
      </c>
      <c r="AC1128" s="342"/>
    </row>
    <row r="1129" spans="1:29" ht="105">
      <c r="A1129" s="151" t="s">
        <v>5198</v>
      </c>
      <c r="B1129" s="151" t="s">
        <v>159</v>
      </c>
      <c r="C1129" s="151" t="s">
        <v>5992</v>
      </c>
      <c r="D1129" s="151" t="s">
        <v>17</v>
      </c>
      <c r="E1129" s="151" t="s">
        <v>6013</v>
      </c>
      <c r="F1129" s="151" t="s">
        <v>2527</v>
      </c>
      <c r="G1129" s="151" t="s">
        <v>2173</v>
      </c>
      <c r="H1129" s="151" t="s">
        <v>1183</v>
      </c>
      <c r="I1129" s="151" t="s">
        <v>1184</v>
      </c>
      <c r="J1129" s="151" t="s">
        <v>802</v>
      </c>
      <c r="K1129" s="151" t="s">
        <v>4292</v>
      </c>
      <c r="L1129" s="151" t="s">
        <v>4245</v>
      </c>
      <c r="M1129" s="151" t="s">
        <v>361</v>
      </c>
      <c r="N1129" s="341" t="s">
        <v>6014</v>
      </c>
      <c r="O1129" s="151"/>
      <c r="P1129" s="151"/>
      <c r="Q1129" s="151"/>
      <c r="R1129" s="151" t="s">
        <v>2177</v>
      </c>
      <c r="S1129" s="151" t="s">
        <v>361</v>
      </c>
      <c r="T1129" s="151" t="s">
        <v>2200</v>
      </c>
      <c r="U1129" s="151" t="s">
        <v>3582</v>
      </c>
      <c r="V1129" s="151" t="s">
        <v>49</v>
      </c>
      <c r="W1129" s="151" t="s">
        <v>2373</v>
      </c>
      <c r="X1129" s="151" t="s">
        <v>431</v>
      </c>
      <c r="Y1129" s="151" t="s">
        <v>3582</v>
      </c>
      <c r="Z1129" s="151"/>
      <c r="AA1129" s="151"/>
      <c r="AB1129" s="151" t="s">
        <v>855</v>
      </c>
      <c r="AC1129" s="342"/>
    </row>
    <row r="1130" spans="1:29" ht="105">
      <c r="A1130" s="151" t="s">
        <v>5198</v>
      </c>
      <c r="B1130" s="151" t="s">
        <v>6015</v>
      </c>
      <c r="C1130" s="151" t="s">
        <v>5992</v>
      </c>
      <c r="D1130" s="151" t="s">
        <v>17</v>
      </c>
      <c r="E1130" s="151" t="s">
        <v>6016</v>
      </c>
      <c r="F1130" s="151" t="s">
        <v>2527</v>
      </c>
      <c r="G1130" s="151" t="s">
        <v>2173</v>
      </c>
      <c r="H1130" s="151" t="s">
        <v>1183</v>
      </c>
      <c r="I1130" s="151" t="s">
        <v>1184</v>
      </c>
      <c r="J1130" s="151" t="s">
        <v>802</v>
      </c>
      <c r="K1130" s="151" t="s">
        <v>6017</v>
      </c>
      <c r="L1130" s="151" t="s">
        <v>4245</v>
      </c>
      <c r="M1130" s="151" t="s">
        <v>361</v>
      </c>
      <c r="N1130" s="341" t="s">
        <v>6018</v>
      </c>
      <c r="O1130" s="151"/>
      <c r="P1130" s="151"/>
      <c r="Q1130" s="151"/>
      <c r="R1130" s="151" t="s">
        <v>2177</v>
      </c>
      <c r="S1130" s="151" t="s">
        <v>361</v>
      </c>
      <c r="T1130" s="151" t="s">
        <v>2200</v>
      </c>
      <c r="U1130" s="151" t="s">
        <v>3582</v>
      </c>
      <c r="V1130" s="151" t="s">
        <v>49</v>
      </c>
      <c r="W1130" s="151" t="s">
        <v>2594</v>
      </c>
      <c r="X1130" s="151" t="s">
        <v>431</v>
      </c>
      <c r="Y1130" s="151" t="s">
        <v>3582</v>
      </c>
      <c r="Z1130" s="151"/>
      <c r="AA1130" s="151"/>
      <c r="AB1130" s="151" t="s">
        <v>855</v>
      </c>
      <c r="AC1130" s="342"/>
    </row>
    <row r="1131" spans="1:29" ht="105">
      <c r="A1131" s="151" t="s">
        <v>5198</v>
      </c>
      <c r="B1131" s="151" t="s">
        <v>4296</v>
      </c>
      <c r="C1131" s="151" t="s">
        <v>5992</v>
      </c>
      <c r="D1131" s="151" t="s">
        <v>17</v>
      </c>
      <c r="E1131" s="151" t="s">
        <v>6019</v>
      </c>
      <c r="F1131" s="151" t="s">
        <v>2527</v>
      </c>
      <c r="G1131" s="151" t="s">
        <v>2173</v>
      </c>
      <c r="H1131" s="151" t="s">
        <v>1183</v>
      </c>
      <c r="I1131" s="151" t="s">
        <v>1184</v>
      </c>
      <c r="J1131" s="151" t="s">
        <v>802</v>
      </c>
      <c r="K1131" s="151" t="s">
        <v>6020</v>
      </c>
      <c r="L1131" s="151" t="s">
        <v>4245</v>
      </c>
      <c r="M1131" s="151" t="s">
        <v>361</v>
      </c>
      <c r="N1131" s="341" t="s">
        <v>6021</v>
      </c>
      <c r="O1131" s="151"/>
      <c r="P1131" s="151"/>
      <c r="Q1131" s="151"/>
      <c r="R1131" s="151" t="s">
        <v>2177</v>
      </c>
      <c r="S1131" s="151" t="s">
        <v>361</v>
      </c>
      <c r="T1131" s="151" t="s">
        <v>2200</v>
      </c>
      <c r="U1131" s="151" t="s">
        <v>3582</v>
      </c>
      <c r="V1131" s="151" t="s">
        <v>49</v>
      </c>
      <c r="W1131" s="151" t="s">
        <v>2774</v>
      </c>
      <c r="X1131" s="151" t="s">
        <v>431</v>
      </c>
      <c r="Y1131" s="151" t="s">
        <v>3582</v>
      </c>
      <c r="Z1131" s="151"/>
      <c r="AA1131" s="151"/>
      <c r="AB1131" s="151" t="s">
        <v>855</v>
      </c>
      <c r="AC1131" s="342"/>
    </row>
    <row r="1132" spans="1:29" ht="120">
      <c r="A1132" s="151" t="s">
        <v>5198</v>
      </c>
      <c r="B1132" s="151" t="s">
        <v>4257</v>
      </c>
      <c r="C1132" s="151" t="s">
        <v>5992</v>
      </c>
      <c r="D1132" s="151" t="s">
        <v>17</v>
      </c>
      <c r="E1132" s="151" t="s">
        <v>6022</v>
      </c>
      <c r="F1132" s="151" t="s">
        <v>2527</v>
      </c>
      <c r="G1132" s="151" t="s">
        <v>2173</v>
      </c>
      <c r="H1132" s="151" t="s">
        <v>1183</v>
      </c>
      <c r="I1132" s="151" t="s">
        <v>1184</v>
      </c>
      <c r="J1132" s="151" t="s">
        <v>802</v>
      </c>
      <c r="K1132" s="151" t="s">
        <v>4258</v>
      </c>
      <c r="L1132" s="151" t="s">
        <v>4245</v>
      </c>
      <c r="M1132" s="151" t="s">
        <v>361</v>
      </c>
      <c r="N1132" s="341" t="s">
        <v>6023</v>
      </c>
      <c r="O1132" s="151"/>
      <c r="P1132" s="151"/>
      <c r="Q1132" s="151"/>
      <c r="R1132" s="151" t="s">
        <v>2177</v>
      </c>
      <c r="S1132" s="151" t="s">
        <v>361</v>
      </c>
      <c r="T1132" s="151" t="s">
        <v>2200</v>
      </c>
      <c r="U1132" s="151" t="s">
        <v>3582</v>
      </c>
      <c r="V1132" s="151" t="s">
        <v>49</v>
      </c>
      <c r="W1132" s="151" t="s">
        <v>2373</v>
      </c>
      <c r="X1132" s="151" t="s">
        <v>431</v>
      </c>
      <c r="Y1132" s="151" t="s">
        <v>3582</v>
      </c>
      <c r="Z1132" s="151"/>
      <c r="AA1132" s="151"/>
      <c r="AB1132" s="151" t="s">
        <v>855</v>
      </c>
      <c r="AC1132" s="342"/>
    </row>
    <row r="1133" spans="1:29" ht="120">
      <c r="A1133" s="151" t="s">
        <v>5198</v>
      </c>
      <c r="B1133" s="151" t="s">
        <v>4246</v>
      </c>
      <c r="C1133" s="151" t="s">
        <v>5992</v>
      </c>
      <c r="D1133" s="151" t="s">
        <v>17</v>
      </c>
      <c r="E1133" s="151" t="s">
        <v>6024</v>
      </c>
      <c r="F1133" s="151" t="s">
        <v>2527</v>
      </c>
      <c r="G1133" s="151" t="s">
        <v>2173</v>
      </c>
      <c r="H1133" s="151" t="s">
        <v>1183</v>
      </c>
      <c r="I1133" s="151" t="s">
        <v>1184</v>
      </c>
      <c r="J1133" s="151" t="s">
        <v>802</v>
      </c>
      <c r="K1133" s="151" t="s">
        <v>4248</v>
      </c>
      <c r="L1133" s="151" t="s">
        <v>4245</v>
      </c>
      <c r="M1133" s="151" t="s">
        <v>361</v>
      </c>
      <c r="N1133" s="341" t="s">
        <v>6025</v>
      </c>
      <c r="O1133" s="151"/>
      <c r="P1133" s="151"/>
      <c r="Q1133" s="151"/>
      <c r="R1133" s="151" t="s">
        <v>2177</v>
      </c>
      <c r="S1133" s="151" t="s">
        <v>361</v>
      </c>
      <c r="T1133" s="151" t="s">
        <v>2200</v>
      </c>
      <c r="U1133" s="151" t="s">
        <v>3582</v>
      </c>
      <c r="V1133" s="151" t="s">
        <v>49</v>
      </c>
      <c r="W1133" s="151" t="s">
        <v>2250</v>
      </c>
      <c r="X1133" s="151" t="s">
        <v>431</v>
      </c>
      <c r="Y1133" s="151" t="s">
        <v>3582</v>
      </c>
      <c r="Z1133" s="151"/>
      <c r="AA1133" s="151"/>
      <c r="AB1133" s="151" t="s">
        <v>855</v>
      </c>
      <c r="AC1133" s="342"/>
    </row>
    <row r="1134" spans="1:29" ht="105">
      <c r="A1134" s="151" t="s">
        <v>5198</v>
      </c>
      <c r="B1134" s="151" t="s">
        <v>4283</v>
      </c>
      <c r="C1134" s="151" t="s">
        <v>5992</v>
      </c>
      <c r="D1134" s="151" t="s">
        <v>17</v>
      </c>
      <c r="E1134" s="151" t="s">
        <v>6026</v>
      </c>
      <c r="F1134" s="151" t="s">
        <v>2527</v>
      </c>
      <c r="G1134" s="151" t="s">
        <v>2173</v>
      </c>
      <c r="H1134" s="151" t="s">
        <v>1183</v>
      </c>
      <c r="I1134" s="151" t="s">
        <v>1184</v>
      </c>
      <c r="J1134" s="151" t="s">
        <v>802</v>
      </c>
      <c r="K1134" s="151" t="s">
        <v>6020</v>
      </c>
      <c r="L1134" s="151" t="s">
        <v>4245</v>
      </c>
      <c r="M1134" s="151" t="s">
        <v>361</v>
      </c>
      <c r="N1134" s="341" t="s">
        <v>6027</v>
      </c>
      <c r="O1134" s="151"/>
      <c r="P1134" s="151"/>
      <c r="Q1134" s="151"/>
      <c r="R1134" s="151" t="s">
        <v>2177</v>
      </c>
      <c r="S1134" s="151" t="s">
        <v>361</v>
      </c>
      <c r="T1134" s="151" t="s">
        <v>2213</v>
      </c>
      <c r="U1134" s="151" t="s">
        <v>3582</v>
      </c>
      <c r="V1134" s="151">
        <v>30</v>
      </c>
      <c r="W1134" s="151" t="s">
        <v>2774</v>
      </c>
      <c r="X1134" s="151" t="s">
        <v>2445</v>
      </c>
      <c r="Y1134" s="151" t="s">
        <v>3582</v>
      </c>
      <c r="Z1134" s="151"/>
      <c r="AA1134" s="151"/>
      <c r="AB1134" s="151">
        <v>0</v>
      </c>
      <c r="AC1134" s="342"/>
    </row>
    <row r="1135" spans="1:29" ht="105">
      <c r="A1135" s="151" t="s">
        <v>5198</v>
      </c>
      <c r="B1135" s="151" t="s">
        <v>4287</v>
      </c>
      <c r="C1135" s="151" t="s">
        <v>5992</v>
      </c>
      <c r="D1135" s="151" t="s">
        <v>17</v>
      </c>
      <c r="E1135" s="151" t="s">
        <v>6028</v>
      </c>
      <c r="F1135" s="151" t="s">
        <v>2527</v>
      </c>
      <c r="G1135" s="151" t="s">
        <v>2173</v>
      </c>
      <c r="H1135" s="151" t="s">
        <v>1183</v>
      </c>
      <c r="I1135" s="151" t="s">
        <v>1184</v>
      </c>
      <c r="J1135" s="151" t="s">
        <v>802</v>
      </c>
      <c r="K1135" s="151" t="s">
        <v>4289</v>
      </c>
      <c r="L1135" s="151" t="s">
        <v>4245</v>
      </c>
      <c r="M1135" s="151" t="s">
        <v>361</v>
      </c>
      <c r="N1135" s="341" t="s">
        <v>6029</v>
      </c>
      <c r="O1135" s="151"/>
      <c r="P1135" s="151"/>
      <c r="Q1135" s="151"/>
      <c r="R1135" s="151" t="s">
        <v>2177</v>
      </c>
      <c r="S1135" s="151" t="s">
        <v>361</v>
      </c>
      <c r="T1135" s="151" t="s">
        <v>2213</v>
      </c>
      <c r="U1135" s="151" t="s">
        <v>3582</v>
      </c>
      <c r="V1135" s="151">
        <v>50</v>
      </c>
      <c r="W1135" s="151" t="s">
        <v>2180</v>
      </c>
      <c r="X1135" s="151" t="s">
        <v>2445</v>
      </c>
      <c r="Y1135" s="151" t="s">
        <v>3582</v>
      </c>
      <c r="Z1135" s="151"/>
      <c r="AA1135" s="151"/>
      <c r="AB1135" s="151" t="s">
        <v>855</v>
      </c>
      <c r="AC1135" s="342"/>
    </row>
    <row r="1136" spans="1:29" ht="120">
      <c r="A1136" s="151" t="s">
        <v>5198</v>
      </c>
      <c r="B1136" s="151" t="s">
        <v>6030</v>
      </c>
      <c r="C1136" s="151" t="s">
        <v>6031</v>
      </c>
      <c r="D1136" s="151" t="s">
        <v>17</v>
      </c>
      <c r="E1136" s="151" t="s">
        <v>6032</v>
      </c>
      <c r="F1136" s="151" t="s">
        <v>2527</v>
      </c>
      <c r="G1136" s="151" t="s">
        <v>2173</v>
      </c>
      <c r="H1136" s="151" t="s">
        <v>1183</v>
      </c>
      <c r="I1136" s="151" t="s">
        <v>1184</v>
      </c>
      <c r="J1136" s="151" t="s">
        <v>6033</v>
      </c>
      <c r="K1136" s="151" t="s">
        <v>6034</v>
      </c>
      <c r="L1136" s="151" t="s">
        <v>6035</v>
      </c>
      <c r="M1136" s="151" t="s">
        <v>361</v>
      </c>
      <c r="N1136" s="341" t="s">
        <v>6036</v>
      </c>
      <c r="O1136" s="151">
        <v>633829</v>
      </c>
      <c r="P1136" s="151"/>
      <c r="Q1136" s="151"/>
      <c r="R1136" s="151" t="s">
        <v>2177</v>
      </c>
      <c r="S1136" s="151" t="s">
        <v>361</v>
      </c>
      <c r="T1136" s="151" t="s">
        <v>2213</v>
      </c>
      <c r="U1136" s="151" t="s">
        <v>2207</v>
      </c>
      <c r="V1136" s="151">
        <v>10</v>
      </c>
      <c r="W1136" s="151" t="s">
        <v>2207</v>
      </c>
      <c r="X1136" s="151" t="s">
        <v>2445</v>
      </c>
      <c r="Y1136" s="151" t="s">
        <v>2207</v>
      </c>
      <c r="Z1136" s="151"/>
      <c r="AA1136" s="151"/>
      <c r="AB1136" s="151" t="s">
        <v>855</v>
      </c>
      <c r="AC1136" s="342"/>
    </row>
    <row r="1137" spans="1:29" ht="135">
      <c r="A1137" s="151" t="s">
        <v>5198</v>
      </c>
      <c r="B1137" s="151" t="s">
        <v>2350</v>
      </c>
      <c r="C1137" s="151" t="s">
        <v>6031</v>
      </c>
      <c r="D1137" s="151" t="s">
        <v>17</v>
      </c>
      <c r="E1137" s="151" t="s">
        <v>6037</v>
      </c>
      <c r="F1137" s="151" t="s">
        <v>2527</v>
      </c>
      <c r="G1137" s="151" t="s">
        <v>2173</v>
      </c>
      <c r="H1137" s="151" t="s">
        <v>1183</v>
      </c>
      <c r="I1137" s="151" t="s">
        <v>1184</v>
      </c>
      <c r="J1137" s="151" t="s">
        <v>6033</v>
      </c>
      <c r="K1137" s="151" t="s">
        <v>5592</v>
      </c>
      <c r="L1137" s="151" t="s">
        <v>6035</v>
      </c>
      <c r="M1137" s="151" t="s">
        <v>361</v>
      </c>
      <c r="N1137" s="341" t="s">
        <v>6038</v>
      </c>
      <c r="O1137" s="151">
        <v>633829</v>
      </c>
      <c r="P1137" s="151"/>
      <c r="Q1137" s="151"/>
      <c r="R1137" s="151" t="s">
        <v>2177</v>
      </c>
      <c r="S1137" s="151" t="s">
        <v>361</v>
      </c>
      <c r="T1137" s="151" t="s">
        <v>2213</v>
      </c>
      <c r="U1137" s="151" t="s">
        <v>2207</v>
      </c>
      <c r="V1137" s="151">
        <v>10</v>
      </c>
      <c r="W1137" s="151" t="s">
        <v>2207</v>
      </c>
      <c r="X1137" s="151" t="s">
        <v>2445</v>
      </c>
      <c r="Y1137" s="151" t="s">
        <v>2207</v>
      </c>
      <c r="Z1137" s="151"/>
      <c r="AA1137" s="151"/>
      <c r="AB1137" s="151" t="s">
        <v>855</v>
      </c>
      <c r="AC1137" s="342"/>
    </row>
    <row r="1138" spans="1:29" ht="105">
      <c r="A1138" s="151" t="s">
        <v>5198</v>
      </c>
      <c r="B1138" s="151" t="s">
        <v>6039</v>
      </c>
      <c r="C1138" s="151" t="s">
        <v>6031</v>
      </c>
      <c r="D1138" s="151" t="s">
        <v>17</v>
      </c>
      <c r="E1138" s="151" t="s">
        <v>6040</v>
      </c>
      <c r="F1138" s="151" t="s">
        <v>2527</v>
      </c>
      <c r="G1138" s="151" t="s">
        <v>2173</v>
      </c>
      <c r="H1138" s="151" t="s">
        <v>1183</v>
      </c>
      <c r="I1138" s="151" t="s">
        <v>1184</v>
      </c>
      <c r="J1138" s="151" t="s">
        <v>6033</v>
      </c>
      <c r="K1138" s="151" t="s">
        <v>6041</v>
      </c>
      <c r="L1138" s="151" t="s">
        <v>6035</v>
      </c>
      <c r="M1138" s="151" t="s">
        <v>361</v>
      </c>
      <c r="N1138" s="341" t="s">
        <v>6042</v>
      </c>
      <c r="O1138" s="151">
        <v>633829</v>
      </c>
      <c r="P1138" s="151"/>
      <c r="Q1138" s="151"/>
      <c r="R1138" s="151" t="s">
        <v>2177</v>
      </c>
      <c r="S1138" s="151" t="s">
        <v>361</v>
      </c>
      <c r="T1138" s="151" t="s">
        <v>2213</v>
      </c>
      <c r="U1138" s="151" t="s">
        <v>3582</v>
      </c>
      <c r="V1138" s="151">
        <v>5</v>
      </c>
      <c r="W1138" s="151" t="s">
        <v>4380</v>
      </c>
      <c r="X1138" s="151" t="s">
        <v>2445</v>
      </c>
      <c r="Y1138" s="151" t="s">
        <v>3582</v>
      </c>
      <c r="Z1138" s="151"/>
      <c r="AA1138" s="151"/>
      <c r="AB1138" s="151" t="s">
        <v>855</v>
      </c>
      <c r="AC1138" s="342"/>
    </row>
    <row r="1139" spans="1:29" ht="105">
      <c r="A1139" s="151" t="s">
        <v>5198</v>
      </c>
      <c r="B1139" s="151" t="s">
        <v>4501</v>
      </c>
      <c r="C1139" s="151" t="s">
        <v>6031</v>
      </c>
      <c r="D1139" s="151" t="s">
        <v>17</v>
      </c>
      <c r="E1139" s="151" t="s">
        <v>6043</v>
      </c>
      <c r="F1139" s="151" t="s">
        <v>2527</v>
      </c>
      <c r="G1139" s="151" t="s">
        <v>2173</v>
      </c>
      <c r="H1139" s="151" t="s">
        <v>1183</v>
      </c>
      <c r="I1139" s="151" t="s">
        <v>1184</v>
      </c>
      <c r="J1139" s="151" t="s">
        <v>6033</v>
      </c>
      <c r="K1139" s="151" t="s">
        <v>4503</v>
      </c>
      <c r="L1139" s="151" t="s">
        <v>6035</v>
      </c>
      <c r="M1139" s="151" t="s">
        <v>361</v>
      </c>
      <c r="N1139" s="341" t="s">
        <v>6044</v>
      </c>
      <c r="O1139" s="151">
        <v>633829</v>
      </c>
      <c r="P1139" s="151"/>
      <c r="Q1139" s="151"/>
      <c r="R1139" s="151" t="s">
        <v>2177</v>
      </c>
      <c r="S1139" s="151" t="s">
        <v>361</v>
      </c>
      <c r="T1139" s="151" t="s">
        <v>2213</v>
      </c>
      <c r="U1139" s="151" t="s">
        <v>2507</v>
      </c>
      <c r="V1139" s="151">
        <v>17</v>
      </c>
      <c r="W1139" s="151" t="s">
        <v>2507</v>
      </c>
      <c r="X1139" s="151" t="s">
        <v>2445</v>
      </c>
      <c r="Y1139" s="151" t="s">
        <v>2507</v>
      </c>
      <c r="Z1139" s="151"/>
      <c r="AA1139" s="151"/>
      <c r="AB1139" s="151" t="s">
        <v>855</v>
      </c>
      <c r="AC1139" s="342"/>
    </row>
    <row r="1140" spans="1:29" ht="105">
      <c r="A1140" s="151" t="s">
        <v>5198</v>
      </c>
      <c r="B1140" s="151" t="s">
        <v>5279</v>
      </c>
      <c r="C1140" s="151" t="s">
        <v>6031</v>
      </c>
      <c r="D1140" s="151" t="s">
        <v>17</v>
      </c>
      <c r="E1140" s="151" t="s">
        <v>6045</v>
      </c>
      <c r="F1140" s="151" t="s">
        <v>2527</v>
      </c>
      <c r="G1140" s="151" t="s">
        <v>2173</v>
      </c>
      <c r="H1140" s="151" t="s">
        <v>1183</v>
      </c>
      <c r="I1140" s="151" t="s">
        <v>1184</v>
      </c>
      <c r="J1140" s="151" t="s">
        <v>6033</v>
      </c>
      <c r="K1140" s="151" t="s">
        <v>6046</v>
      </c>
      <c r="L1140" s="151" t="s">
        <v>6035</v>
      </c>
      <c r="M1140" s="151" t="s">
        <v>361</v>
      </c>
      <c r="N1140" s="341" t="s">
        <v>6047</v>
      </c>
      <c r="O1140" s="151">
        <v>633829</v>
      </c>
      <c r="P1140" s="151"/>
      <c r="Q1140" s="151"/>
      <c r="R1140" s="151" t="s">
        <v>2177</v>
      </c>
      <c r="S1140" s="151" t="s">
        <v>361</v>
      </c>
      <c r="T1140" s="151" t="s">
        <v>2213</v>
      </c>
      <c r="U1140" s="151" t="s">
        <v>3608</v>
      </c>
      <c r="V1140" s="151">
        <v>2</v>
      </c>
      <c r="W1140" s="151">
        <v>1</v>
      </c>
      <c r="X1140" s="151" t="s">
        <v>2445</v>
      </c>
      <c r="Y1140" s="151" t="s">
        <v>3608</v>
      </c>
      <c r="Z1140" s="151"/>
      <c r="AA1140" s="151"/>
      <c r="AB1140" s="151" t="s">
        <v>855</v>
      </c>
      <c r="AC1140" s="342"/>
    </row>
    <row r="1141" spans="1:29" ht="120">
      <c r="A1141" s="151" t="s">
        <v>5198</v>
      </c>
      <c r="B1141" s="151" t="s">
        <v>6048</v>
      </c>
      <c r="C1141" s="151" t="s">
        <v>6031</v>
      </c>
      <c r="D1141" s="151" t="s">
        <v>17</v>
      </c>
      <c r="E1141" s="151" t="s">
        <v>6049</v>
      </c>
      <c r="F1141" s="151" t="s">
        <v>2527</v>
      </c>
      <c r="G1141" s="151" t="s">
        <v>2173</v>
      </c>
      <c r="H1141" s="151" t="s">
        <v>1183</v>
      </c>
      <c r="I1141" s="151" t="s">
        <v>1184</v>
      </c>
      <c r="J1141" s="151" t="s">
        <v>6033</v>
      </c>
      <c r="K1141" s="151" t="s">
        <v>6050</v>
      </c>
      <c r="L1141" s="151" t="s">
        <v>6035</v>
      </c>
      <c r="M1141" s="151" t="s">
        <v>361</v>
      </c>
      <c r="N1141" s="341" t="s">
        <v>6051</v>
      </c>
      <c r="O1141" s="151">
        <v>633829</v>
      </c>
      <c r="P1141" s="151"/>
      <c r="Q1141" s="151"/>
      <c r="R1141" s="151" t="s">
        <v>2177</v>
      </c>
      <c r="S1141" s="151" t="s">
        <v>361</v>
      </c>
      <c r="T1141" s="151" t="s">
        <v>2213</v>
      </c>
      <c r="U1141" s="151" t="s">
        <v>2885</v>
      </c>
      <c r="V1141" s="151">
        <v>9</v>
      </c>
      <c r="W1141" s="151" t="s">
        <v>2885</v>
      </c>
      <c r="X1141" s="151" t="s">
        <v>2445</v>
      </c>
      <c r="Y1141" s="151" t="s">
        <v>2885</v>
      </c>
      <c r="Z1141" s="151"/>
      <c r="AA1141" s="151"/>
      <c r="AB1141" s="151" t="s">
        <v>855</v>
      </c>
      <c r="AC1141" s="342"/>
    </row>
    <row r="1142" spans="1:29" ht="135">
      <c r="A1142" s="151" t="s">
        <v>5198</v>
      </c>
      <c r="B1142" s="151" t="s">
        <v>6052</v>
      </c>
      <c r="C1142" s="151" t="s">
        <v>6031</v>
      </c>
      <c r="D1142" s="151" t="s">
        <v>17</v>
      </c>
      <c r="E1142" s="151" t="s">
        <v>6053</v>
      </c>
      <c r="F1142" s="151" t="s">
        <v>2527</v>
      </c>
      <c r="G1142" s="151" t="s">
        <v>2173</v>
      </c>
      <c r="H1142" s="151" t="s">
        <v>1183</v>
      </c>
      <c r="I1142" s="151" t="s">
        <v>1184</v>
      </c>
      <c r="J1142" s="151" t="s">
        <v>6033</v>
      </c>
      <c r="K1142" s="151" t="s">
        <v>6054</v>
      </c>
      <c r="L1142" s="151" t="s">
        <v>6035</v>
      </c>
      <c r="M1142" s="151" t="s">
        <v>361</v>
      </c>
      <c r="N1142" s="341" t="s">
        <v>6055</v>
      </c>
      <c r="O1142" s="151">
        <v>633829</v>
      </c>
      <c r="P1142" s="151"/>
      <c r="Q1142" s="151"/>
      <c r="R1142" s="151" t="s">
        <v>2177</v>
      </c>
      <c r="S1142" s="151" t="s">
        <v>361</v>
      </c>
      <c r="T1142" s="151" t="s">
        <v>2213</v>
      </c>
      <c r="U1142" s="151" t="s">
        <v>2885</v>
      </c>
      <c r="V1142" s="151">
        <v>9</v>
      </c>
      <c r="W1142" s="151" t="s">
        <v>2885</v>
      </c>
      <c r="X1142" s="151" t="s">
        <v>2445</v>
      </c>
      <c r="Y1142" s="151" t="s">
        <v>2885</v>
      </c>
      <c r="Z1142" s="151"/>
      <c r="AA1142" s="151"/>
      <c r="AB1142" s="151" t="s">
        <v>855</v>
      </c>
      <c r="AC1142" s="342"/>
    </row>
    <row r="1143" spans="1:29" ht="120">
      <c r="A1143" s="151" t="s">
        <v>5198</v>
      </c>
      <c r="B1143" s="151" t="s">
        <v>6056</v>
      </c>
      <c r="C1143" s="151" t="s">
        <v>6031</v>
      </c>
      <c r="D1143" s="151" t="s">
        <v>17</v>
      </c>
      <c r="E1143" s="151" t="s">
        <v>6057</v>
      </c>
      <c r="F1143" s="151" t="s">
        <v>2527</v>
      </c>
      <c r="G1143" s="151" t="s">
        <v>2173</v>
      </c>
      <c r="H1143" s="151" t="s">
        <v>1183</v>
      </c>
      <c r="I1143" s="151" t="s">
        <v>1184</v>
      </c>
      <c r="J1143" s="151" t="s">
        <v>6033</v>
      </c>
      <c r="K1143" s="151" t="s">
        <v>6058</v>
      </c>
      <c r="L1143" s="151" t="s">
        <v>6035</v>
      </c>
      <c r="M1143" s="151" t="s">
        <v>361</v>
      </c>
      <c r="N1143" s="341" t="s">
        <v>6059</v>
      </c>
      <c r="O1143" s="151">
        <v>633829</v>
      </c>
      <c r="P1143" s="151"/>
      <c r="Q1143" s="151"/>
      <c r="R1143" s="151" t="s">
        <v>2177</v>
      </c>
      <c r="S1143" s="151" t="s">
        <v>361</v>
      </c>
      <c r="T1143" s="151" t="s">
        <v>2213</v>
      </c>
      <c r="U1143" s="151" t="s">
        <v>2885</v>
      </c>
      <c r="V1143" s="151">
        <v>9</v>
      </c>
      <c r="W1143" s="151" t="s">
        <v>2885</v>
      </c>
      <c r="X1143" s="151" t="s">
        <v>2445</v>
      </c>
      <c r="Y1143" s="151" t="s">
        <v>2885</v>
      </c>
      <c r="Z1143" s="151"/>
      <c r="AA1143" s="151"/>
      <c r="AB1143" s="151" t="s">
        <v>855</v>
      </c>
      <c r="AC1143" s="342"/>
    </row>
    <row r="1144" spans="1:29" ht="180">
      <c r="A1144" s="151" t="s">
        <v>5198</v>
      </c>
      <c r="B1144" s="151" t="s">
        <v>159</v>
      </c>
      <c r="C1144" s="151" t="s">
        <v>6031</v>
      </c>
      <c r="D1144" s="151" t="s">
        <v>17</v>
      </c>
      <c r="E1144" s="151" t="s">
        <v>6060</v>
      </c>
      <c r="F1144" s="151" t="s">
        <v>2527</v>
      </c>
      <c r="G1144" s="151" t="s">
        <v>2173</v>
      </c>
      <c r="H1144" s="151" t="s">
        <v>1183</v>
      </c>
      <c r="I1144" s="151" t="s">
        <v>1184</v>
      </c>
      <c r="J1144" s="151" t="s">
        <v>6061</v>
      </c>
      <c r="K1144" s="161" t="s">
        <v>6062</v>
      </c>
      <c r="L1144" s="151" t="s">
        <v>6063</v>
      </c>
      <c r="M1144" s="151" t="s">
        <v>361</v>
      </c>
      <c r="N1144" s="341" t="s">
        <v>6064</v>
      </c>
      <c r="O1144" s="151">
        <v>3351599</v>
      </c>
      <c r="P1144" s="151" t="s">
        <v>6065</v>
      </c>
      <c r="Q1144" s="151"/>
      <c r="R1144" s="151" t="s">
        <v>2177</v>
      </c>
      <c r="S1144" s="151" t="s">
        <v>361</v>
      </c>
      <c r="T1144" s="151" t="s">
        <v>2213</v>
      </c>
      <c r="U1144" s="151" t="s">
        <v>3608</v>
      </c>
      <c r="V1144" s="151">
        <v>6</v>
      </c>
      <c r="W1144" s="151">
        <v>1</v>
      </c>
      <c r="X1144" s="151" t="s">
        <v>2445</v>
      </c>
      <c r="Y1144" s="151" t="s">
        <v>3608</v>
      </c>
      <c r="Z1144" s="151"/>
      <c r="AA1144" s="151"/>
      <c r="AB1144" s="151" t="s">
        <v>855</v>
      </c>
      <c r="AC1144" s="342"/>
    </row>
    <row r="1145" spans="1:29" ht="105">
      <c r="A1145" s="151" t="s">
        <v>5198</v>
      </c>
      <c r="B1145" s="151" t="s">
        <v>6066</v>
      </c>
      <c r="C1145" s="151" t="s">
        <v>6031</v>
      </c>
      <c r="D1145" s="151" t="s">
        <v>17</v>
      </c>
      <c r="E1145" s="151" t="s">
        <v>6067</v>
      </c>
      <c r="F1145" s="151" t="s">
        <v>2527</v>
      </c>
      <c r="G1145" s="151" t="s">
        <v>2173</v>
      </c>
      <c r="H1145" s="151" t="s">
        <v>1183</v>
      </c>
      <c r="I1145" s="151" t="s">
        <v>1184</v>
      </c>
      <c r="J1145" s="151" t="s">
        <v>6033</v>
      </c>
      <c r="K1145" s="151" t="s">
        <v>4079</v>
      </c>
      <c r="L1145" s="151" t="s">
        <v>6035</v>
      </c>
      <c r="M1145" s="151" t="s">
        <v>361</v>
      </c>
      <c r="N1145" s="341" t="s">
        <v>6068</v>
      </c>
      <c r="O1145" s="151">
        <v>633829</v>
      </c>
      <c r="P1145" s="151"/>
      <c r="Q1145" s="151"/>
      <c r="R1145" s="151" t="s">
        <v>2177</v>
      </c>
      <c r="S1145" s="151" t="s">
        <v>361</v>
      </c>
      <c r="T1145" s="151" t="s">
        <v>2213</v>
      </c>
      <c r="U1145" s="151" t="s">
        <v>3608</v>
      </c>
      <c r="V1145" s="151"/>
      <c r="W1145" s="151">
        <v>1</v>
      </c>
      <c r="X1145" s="151" t="s">
        <v>2445</v>
      </c>
      <c r="Y1145" s="151" t="s">
        <v>3608</v>
      </c>
      <c r="Z1145" s="151"/>
      <c r="AA1145" s="151"/>
      <c r="AB1145" s="151" t="s">
        <v>855</v>
      </c>
      <c r="AC1145" s="342"/>
    </row>
    <row r="1146" spans="1:29" ht="105">
      <c r="A1146" s="151" t="s">
        <v>5198</v>
      </c>
      <c r="B1146" s="151" t="s">
        <v>6030</v>
      </c>
      <c r="C1146" s="151" t="s">
        <v>6069</v>
      </c>
      <c r="D1146" s="151" t="s">
        <v>17</v>
      </c>
      <c r="E1146" s="151" t="s">
        <v>6032</v>
      </c>
      <c r="F1146" s="151" t="s">
        <v>2527</v>
      </c>
      <c r="G1146" s="151" t="s">
        <v>2173</v>
      </c>
      <c r="H1146" s="151" t="s">
        <v>1183</v>
      </c>
      <c r="I1146" s="151" t="s">
        <v>1184</v>
      </c>
      <c r="J1146" s="151" t="s">
        <v>6033</v>
      </c>
      <c r="K1146" s="151" t="s">
        <v>6034</v>
      </c>
      <c r="L1146" s="151" t="s">
        <v>6035</v>
      </c>
      <c r="M1146" s="151" t="s">
        <v>361</v>
      </c>
      <c r="N1146" s="341" t="s">
        <v>6070</v>
      </c>
      <c r="O1146" s="151">
        <v>633229</v>
      </c>
      <c r="P1146" s="151"/>
      <c r="Q1146" s="151"/>
      <c r="R1146" s="151" t="s">
        <v>2177</v>
      </c>
      <c r="S1146" s="151" t="s">
        <v>361</v>
      </c>
      <c r="T1146" s="151" t="s">
        <v>2213</v>
      </c>
      <c r="U1146" s="151" t="s">
        <v>2207</v>
      </c>
      <c r="V1146" s="151">
        <v>10</v>
      </c>
      <c r="W1146" s="151" t="s">
        <v>2207</v>
      </c>
      <c r="X1146" s="151" t="s">
        <v>2445</v>
      </c>
      <c r="Y1146" s="151" t="s">
        <v>2207</v>
      </c>
      <c r="Z1146" s="151"/>
      <c r="AA1146" s="151"/>
      <c r="AB1146" s="151" t="s">
        <v>855</v>
      </c>
      <c r="AC1146" s="342"/>
    </row>
    <row r="1147" spans="1:29" ht="105">
      <c r="A1147" s="151" t="s">
        <v>5198</v>
      </c>
      <c r="B1147" s="151" t="s">
        <v>4501</v>
      </c>
      <c r="C1147" s="151" t="s">
        <v>6069</v>
      </c>
      <c r="D1147" s="151" t="s">
        <v>17</v>
      </c>
      <c r="E1147" s="151" t="s">
        <v>6043</v>
      </c>
      <c r="F1147" s="151" t="s">
        <v>2527</v>
      </c>
      <c r="G1147" s="151" t="s">
        <v>2173</v>
      </c>
      <c r="H1147" s="151" t="s">
        <v>1183</v>
      </c>
      <c r="I1147" s="151" t="s">
        <v>1184</v>
      </c>
      <c r="J1147" s="151" t="s">
        <v>6033</v>
      </c>
      <c r="K1147" s="151" t="s">
        <v>4503</v>
      </c>
      <c r="L1147" s="151" t="s">
        <v>6035</v>
      </c>
      <c r="M1147" s="151" t="s">
        <v>361</v>
      </c>
      <c r="N1147" s="341" t="s">
        <v>6044</v>
      </c>
      <c r="O1147" s="151">
        <v>633229</v>
      </c>
      <c r="P1147" s="151"/>
      <c r="Q1147" s="151"/>
      <c r="R1147" s="151" t="s">
        <v>2177</v>
      </c>
      <c r="S1147" s="151" t="s">
        <v>361</v>
      </c>
      <c r="T1147" s="151" t="s">
        <v>2213</v>
      </c>
      <c r="U1147" s="151" t="s">
        <v>2507</v>
      </c>
      <c r="V1147" s="151">
        <v>17</v>
      </c>
      <c r="W1147" s="151" t="s">
        <v>2507</v>
      </c>
      <c r="X1147" s="151" t="s">
        <v>2445</v>
      </c>
      <c r="Y1147" s="151" t="s">
        <v>2507</v>
      </c>
      <c r="Z1147" s="151"/>
      <c r="AA1147" s="151"/>
      <c r="AB1147" s="151" t="s">
        <v>855</v>
      </c>
      <c r="AC1147" s="342"/>
    </row>
    <row r="1148" spans="1:29" ht="120">
      <c r="A1148" s="151" t="s">
        <v>5198</v>
      </c>
      <c r="B1148" s="151" t="s">
        <v>6071</v>
      </c>
      <c r="C1148" s="151" t="s">
        <v>6069</v>
      </c>
      <c r="D1148" s="151" t="s">
        <v>17</v>
      </c>
      <c r="E1148" s="151" t="s">
        <v>6072</v>
      </c>
      <c r="F1148" s="151" t="s">
        <v>2527</v>
      </c>
      <c r="G1148" s="151" t="s">
        <v>2173</v>
      </c>
      <c r="H1148" s="151" t="s">
        <v>1183</v>
      </c>
      <c r="I1148" s="151" t="s">
        <v>1184</v>
      </c>
      <c r="J1148" s="151" t="s">
        <v>6033</v>
      </c>
      <c r="K1148" s="151" t="s">
        <v>6046</v>
      </c>
      <c r="L1148" s="151" t="s">
        <v>6035</v>
      </c>
      <c r="M1148" s="151" t="s">
        <v>361</v>
      </c>
      <c r="N1148" s="341" t="s">
        <v>6073</v>
      </c>
      <c r="O1148" s="151">
        <v>633229</v>
      </c>
      <c r="P1148" s="151"/>
      <c r="Q1148" s="151" t="s">
        <v>5862</v>
      </c>
      <c r="R1148" s="151" t="s">
        <v>2177</v>
      </c>
      <c r="S1148" s="431" t="s">
        <v>6074</v>
      </c>
      <c r="T1148" s="151" t="s">
        <v>2213</v>
      </c>
      <c r="U1148" s="151" t="s">
        <v>3608</v>
      </c>
      <c r="V1148" s="151">
        <v>2</v>
      </c>
      <c r="W1148" s="151">
        <v>1</v>
      </c>
      <c r="X1148" s="151" t="s">
        <v>2445</v>
      </c>
      <c r="Y1148" s="151" t="s">
        <v>3608</v>
      </c>
      <c r="Z1148" s="151"/>
      <c r="AA1148" s="151"/>
      <c r="AB1148" s="151" t="s">
        <v>855</v>
      </c>
      <c r="AC1148" s="342"/>
    </row>
    <row r="1149" spans="1:29" ht="105">
      <c r="A1149" s="151" t="s">
        <v>5198</v>
      </c>
      <c r="B1149" s="151" t="s">
        <v>6075</v>
      </c>
      <c r="C1149" s="151" t="s">
        <v>6069</v>
      </c>
      <c r="D1149" s="151" t="s">
        <v>17</v>
      </c>
      <c r="E1149" s="151" t="s">
        <v>6076</v>
      </c>
      <c r="F1149" s="151" t="s">
        <v>2527</v>
      </c>
      <c r="G1149" s="151" t="s">
        <v>2173</v>
      </c>
      <c r="H1149" s="151" t="s">
        <v>1183</v>
      </c>
      <c r="I1149" s="151" t="s">
        <v>1184</v>
      </c>
      <c r="J1149" s="151" t="s">
        <v>6033</v>
      </c>
      <c r="K1149" s="151" t="s">
        <v>6077</v>
      </c>
      <c r="L1149" s="151" t="s">
        <v>6035</v>
      </c>
      <c r="M1149" s="151" t="s">
        <v>361</v>
      </c>
      <c r="N1149" s="341" t="s">
        <v>6078</v>
      </c>
      <c r="O1149" s="151">
        <v>633229</v>
      </c>
      <c r="P1149" s="151"/>
      <c r="Q1149" s="151"/>
      <c r="R1149" s="151" t="s">
        <v>2177</v>
      </c>
      <c r="S1149" s="151" t="s">
        <v>361</v>
      </c>
      <c r="T1149" s="151" t="s">
        <v>2213</v>
      </c>
      <c r="U1149" s="151" t="s">
        <v>3608</v>
      </c>
      <c r="V1149" s="151"/>
      <c r="W1149" s="151">
        <v>1</v>
      </c>
      <c r="X1149" s="151" t="s">
        <v>2445</v>
      </c>
      <c r="Y1149" s="151" t="s">
        <v>3608</v>
      </c>
      <c r="Z1149" s="151"/>
      <c r="AA1149" s="151"/>
      <c r="AB1149" s="151" t="s">
        <v>855</v>
      </c>
      <c r="AC1149" s="342"/>
    </row>
    <row r="1150" spans="1:29" ht="105">
      <c r="A1150" s="151" t="s">
        <v>5198</v>
      </c>
      <c r="B1150" s="151" t="s">
        <v>6079</v>
      </c>
      <c r="C1150" s="151" t="s">
        <v>6069</v>
      </c>
      <c r="D1150" s="151" t="s">
        <v>17</v>
      </c>
      <c r="E1150" s="151" t="s">
        <v>6080</v>
      </c>
      <c r="F1150" s="151" t="s">
        <v>2527</v>
      </c>
      <c r="G1150" s="151" t="s">
        <v>2173</v>
      </c>
      <c r="H1150" s="151" t="s">
        <v>1183</v>
      </c>
      <c r="I1150" s="151" t="s">
        <v>1184</v>
      </c>
      <c r="J1150" s="151" t="s">
        <v>6033</v>
      </c>
      <c r="K1150" s="151" t="s">
        <v>6081</v>
      </c>
      <c r="L1150" s="151" t="s">
        <v>6035</v>
      </c>
      <c r="M1150" s="151" t="s">
        <v>361</v>
      </c>
      <c r="N1150" s="341" t="s">
        <v>6082</v>
      </c>
      <c r="O1150" s="151">
        <v>633229</v>
      </c>
      <c r="P1150" s="151"/>
      <c r="Q1150" s="151"/>
      <c r="R1150" s="151" t="s">
        <v>2177</v>
      </c>
      <c r="S1150" s="151" t="s">
        <v>361</v>
      </c>
      <c r="T1150" s="151" t="s">
        <v>2213</v>
      </c>
      <c r="U1150" s="151" t="s">
        <v>2207</v>
      </c>
      <c r="V1150" s="151">
        <v>10</v>
      </c>
      <c r="W1150" s="151" t="s">
        <v>2207</v>
      </c>
      <c r="X1150" s="151" t="s">
        <v>2445</v>
      </c>
      <c r="Y1150" s="151" t="s">
        <v>2207</v>
      </c>
      <c r="Z1150" s="151"/>
      <c r="AA1150" s="151"/>
      <c r="AB1150" s="151" t="s">
        <v>855</v>
      </c>
      <c r="AC1150" s="342"/>
    </row>
    <row r="1151" spans="1:29" ht="105">
      <c r="A1151" s="151" t="s">
        <v>5198</v>
      </c>
      <c r="B1151" s="151" t="s">
        <v>2350</v>
      </c>
      <c r="C1151" s="151" t="s">
        <v>6069</v>
      </c>
      <c r="D1151" s="151" t="s">
        <v>17</v>
      </c>
      <c r="E1151" s="151" t="s">
        <v>6037</v>
      </c>
      <c r="F1151" s="151" t="s">
        <v>2527</v>
      </c>
      <c r="G1151" s="151" t="s">
        <v>2173</v>
      </c>
      <c r="H1151" s="151" t="s">
        <v>1183</v>
      </c>
      <c r="I1151" s="151" t="s">
        <v>1184</v>
      </c>
      <c r="J1151" s="151" t="s">
        <v>6033</v>
      </c>
      <c r="K1151" s="151" t="s">
        <v>5592</v>
      </c>
      <c r="L1151" s="151" t="s">
        <v>6035</v>
      </c>
      <c r="M1151" s="151" t="s">
        <v>361</v>
      </c>
      <c r="N1151" s="341" t="s">
        <v>6083</v>
      </c>
      <c r="O1151" s="151">
        <v>633229</v>
      </c>
      <c r="P1151" s="151"/>
      <c r="Q1151" s="151"/>
      <c r="R1151" s="151" t="s">
        <v>2177</v>
      </c>
      <c r="S1151" s="151" t="s">
        <v>361</v>
      </c>
      <c r="T1151" s="151" t="s">
        <v>2213</v>
      </c>
      <c r="U1151" s="151" t="s">
        <v>2207</v>
      </c>
      <c r="V1151" s="151">
        <v>10</v>
      </c>
      <c r="W1151" s="151" t="s">
        <v>2207</v>
      </c>
      <c r="X1151" s="151" t="s">
        <v>2445</v>
      </c>
      <c r="Y1151" s="151" t="s">
        <v>2207</v>
      </c>
      <c r="Z1151" s="151"/>
      <c r="AA1151" s="151"/>
      <c r="AB1151" s="151" t="s">
        <v>855</v>
      </c>
      <c r="AC1151" s="342"/>
    </row>
    <row r="1152" spans="1:29" ht="150">
      <c r="A1152" s="151" t="s">
        <v>5198</v>
      </c>
      <c r="B1152" s="151" t="s">
        <v>6084</v>
      </c>
      <c r="C1152" s="151" t="s">
        <v>6069</v>
      </c>
      <c r="D1152" s="151" t="s">
        <v>17</v>
      </c>
      <c r="E1152" s="151" t="s">
        <v>6085</v>
      </c>
      <c r="F1152" s="151" t="s">
        <v>2527</v>
      </c>
      <c r="G1152" s="151" t="s">
        <v>2173</v>
      </c>
      <c r="H1152" s="151" t="s">
        <v>1183</v>
      </c>
      <c r="I1152" s="151" t="s">
        <v>1184</v>
      </c>
      <c r="J1152" s="151" t="s">
        <v>6033</v>
      </c>
      <c r="K1152" s="151" t="s">
        <v>6086</v>
      </c>
      <c r="L1152" s="151" t="s">
        <v>6035</v>
      </c>
      <c r="M1152" s="151" t="s">
        <v>361</v>
      </c>
      <c r="N1152" s="12" t="s">
        <v>6087</v>
      </c>
      <c r="O1152" s="151">
        <v>633229</v>
      </c>
      <c r="P1152" s="434" t="s">
        <v>6088</v>
      </c>
      <c r="Q1152" s="151"/>
      <c r="R1152" s="151" t="s">
        <v>2177</v>
      </c>
      <c r="S1152" s="151" t="s">
        <v>361</v>
      </c>
      <c r="T1152" s="151" t="s">
        <v>2213</v>
      </c>
      <c r="U1152" s="151" t="s">
        <v>5228</v>
      </c>
      <c r="V1152" s="151">
        <v>3</v>
      </c>
      <c r="W1152" s="151" t="s">
        <v>5228</v>
      </c>
      <c r="X1152" s="151" t="s">
        <v>2445</v>
      </c>
      <c r="Y1152" s="151" t="s">
        <v>5228</v>
      </c>
      <c r="Z1152" s="151"/>
      <c r="AA1152" s="151"/>
      <c r="AB1152" s="151" t="s">
        <v>855</v>
      </c>
      <c r="AC1152" s="342"/>
    </row>
    <row r="1153" spans="1:29" ht="120">
      <c r="A1153" s="151" t="s">
        <v>5198</v>
      </c>
      <c r="B1153" s="151" t="s">
        <v>6089</v>
      </c>
      <c r="C1153" s="151" t="s">
        <v>6069</v>
      </c>
      <c r="D1153" s="151" t="s">
        <v>17</v>
      </c>
      <c r="E1153" s="151" t="s">
        <v>6090</v>
      </c>
      <c r="F1153" s="151" t="s">
        <v>2527</v>
      </c>
      <c r="G1153" s="151" t="s">
        <v>2173</v>
      </c>
      <c r="H1153" s="151" t="s">
        <v>1183</v>
      </c>
      <c r="I1153" s="151" t="s">
        <v>1184</v>
      </c>
      <c r="J1153" s="151" t="s">
        <v>6033</v>
      </c>
      <c r="K1153" s="151" t="s">
        <v>6091</v>
      </c>
      <c r="L1153" s="151" t="s">
        <v>6035</v>
      </c>
      <c r="M1153" s="151" t="s">
        <v>361</v>
      </c>
      <c r="N1153" s="341" t="s">
        <v>6092</v>
      </c>
      <c r="O1153" s="151">
        <v>633229</v>
      </c>
      <c r="P1153" s="151"/>
      <c r="Q1153" s="151"/>
      <c r="R1153" s="151" t="s">
        <v>2177</v>
      </c>
      <c r="S1153" s="151" t="s">
        <v>361</v>
      </c>
      <c r="T1153" s="151" t="s">
        <v>2213</v>
      </c>
      <c r="U1153" s="151" t="s">
        <v>2207</v>
      </c>
      <c r="V1153" s="151">
        <v>10</v>
      </c>
      <c r="W1153" s="151" t="s">
        <v>2207</v>
      </c>
      <c r="X1153" s="151" t="s">
        <v>2445</v>
      </c>
      <c r="Y1153" s="151" t="s">
        <v>2207</v>
      </c>
      <c r="Z1153" s="151"/>
      <c r="AA1153" s="151"/>
      <c r="AB1153" s="151" t="s">
        <v>855</v>
      </c>
      <c r="AC1153" s="342"/>
    </row>
    <row r="1154" spans="1:29" ht="105">
      <c r="A1154" s="151" t="s">
        <v>5198</v>
      </c>
      <c r="B1154" s="151" t="s">
        <v>5784</v>
      </c>
      <c r="C1154" s="151" t="s">
        <v>6069</v>
      </c>
      <c r="D1154" s="151" t="s">
        <v>17</v>
      </c>
      <c r="E1154" s="151" t="s">
        <v>6093</v>
      </c>
      <c r="F1154" s="151" t="s">
        <v>2527</v>
      </c>
      <c r="G1154" s="151" t="s">
        <v>2173</v>
      </c>
      <c r="H1154" s="151" t="s">
        <v>1183</v>
      </c>
      <c r="I1154" s="151" t="s">
        <v>1184</v>
      </c>
      <c r="J1154" s="151" t="s">
        <v>6033</v>
      </c>
      <c r="K1154" s="151" t="s">
        <v>6094</v>
      </c>
      <c r="L1154" s="151" t="s">
        <v>6035</v>
      </c>
      <c r="M1154" s="151" t="s">
        <v>361</v>
      </c>
      <c r="N1154" s="341" t="s">
        <v>6095</v>
      </c>
      <c r="O1154" s="151">
        <v>633229</v>
      </c>
      <c r="P1154" s="151"/>
      <c r="Q1154" s="151"/>
      <c r="R1154" s="151" t="s">
        <v>2177</v>
      </c>
      <c r="S1154" s="151" t="s">
        <v>361</v>
      </c>
      <c r="T1154" s="151" t="s">
        <v>2213</v>
      </c>
      <c r="U1154" s="151" t="s">
        <v>2207</v>
      </c>
      <c r="V1154" s="151">
        <v>10</v>
      </c>
      <c r="W1154" s="151" t="s">
        <v>2207</v>
      </c>
      <c r="X1154" s="151" t="s">
        <v>2445</v>
      </c>
      <c r="Y1154" s="151" t="s">
        <v>2207</v>
      </c>
      <c r="Z1154" s="151"/>
      <c r="AA1154" s="151"/>
      <c r="AB1154" s="151" t="s">
        <v>855</v>
      </c>
      <c r="AC1154" s="342"/>
    </row>
    <row r="1155" spans="1:29" ht="105">
      <c r="A1155" s="151" t="s">
        <v>5198</v>
      </c>
      <c r="B1155" s="151" t="s">
        <v>6096</v>
      </c>
      <c r="C1155" s="151" t="s">
        <v>6069</v>
      </c>
      <c r="D1155" s="151" t="s">
        <v>17</v>
      </c>
      <c r="E1155" s="151" t="s">
        <v>6097</v>
      </c>
      <c r="F1155" s="151" t="s">
        <v>2527</v>
      </c>
      <c r="G1155" s="151" t="s">
        <v>2173</v>
      </c>
      <c r="H1155" s="151" t="s">
        <v>1183</v>
      </c>
      <c r="I1155" s="151" t="s">
        <v>1184</v>
      </c>
      <c r="J1155" s="151" t="s">
        <v>6033</v>
      </c>
      <c r="K1155" s="151" t="s">
        <v>6098</v>
      </c>
      <c r="L1155" s="151" t="s">
        <v>6035</v>
      </c>
      <c r="M1155" s="151" t="s">
        <v>361</v>
      </c>
      <c r="N1155" s="341" t="s">
        <v>6099</v>
      </c>
      <c r="O1155" s="151">
        <v>633229</v>
      </c>
      <c r="P1155" s="151"/>
      <c r="Q1155" s="151"/>
      <c r="R1155" s="151" t="s">
        <v>2177</v>
      </c>
      <c r="S1155" s="151" t="s">
        <v>361</v>
      </c>
      <c r="T1155" s="151" t="s">
        <v>2213</v>
      </c>
      <c r="U1155" s="151" t="s">
        <v>2207</v>
      </c>
      <c r="V1155" s="151">
        <v>10</v>
      </c>
      <c r="W1155" s="151" t="s">
        <v>2207</v>
      </c>
      <c r="X1155" s="151" t="s">
        <v>2445</v>
      </c>
      <c r="Y1155" s="151" t="s">
        <v>2207</v>
      </c>
      <c r="Z1155" s="151"/>
      <c r="AA1155" s="151"/>
      <c r="AB1155" s="151" t="s">
        <v>855</v>
      </c>
      <c r="AC1155" s="342"/>
    </row>
    <row r="1156" spans="1:29" ht="105">
      <c r="A1156" s="151" t="s">
        <v>5198</v>
      </c>
      <c r="B1156" s="151" t="s">
        <v>6100</v>
      </c>
      <c r="C1156" s="151" t="s">
        <v>6069</v>
      </c>
      <c r="D1156" s="151" t="s">
        <v>17</v>
      </c>
      <c r="E1156" s="151" t="s">
        <v>6101</v>
      </c>
      <c r="F1156" s="151" t="s">
        <v>2527</v>
      </c>
      <c r="G1156" s="151" t="s">
        <v>2173</v>
      </c>
      <c r="H1156" s="151" t="s">
        <v>1183</v>
      </c>
      <c r="I1156" s="151" t="s">
        <v>1184</v>
      </c>
      <c r="J1156" s="151" t="s">
        <v>6033</v>
      </c>
      <c r="K1156" s="151" t="s">
        <v>6102</v>
      </c>
      <c r="L1156" s="151" t="s">
        <v>6035</v>
      </c>
      <c r="M1156" s="151" t="s">
        <v>361</v>
      </c>
      <c r="N1156" s="341" t="s">
        <v>6103</v>
      </c>
      <c r="O1156" s="151">
        <v>633229</v>
      </c>
      <c r="P1156" s="151"/>
      <c r="Q1156" s="151"/>
      <c r="R1156" s="151" t="s">
        <v>2177</v>
      </c>
      <c r="S1156" s="151" t="s">
        <v>361</v>
      </c>
      <c r="T1156" s="151" t="s">
        <v>2213</v>
      </c>
      <c r="U1156" s="151" t="s">
        <v>3582</v>
      </c>
      <c r="V1156" s="151">
        <v>5</v>
      </c>
      <c r="W1156" s="151" t="s">
        <v>4380</v>
      </c>
      <c r="X1156" s="151" t="s">
        <v>2445</v>
      </c>
      <c r="Y1156" s="151" t="s">
        <v>3582</v>
      </c>
      <c r="Z1156" s="151"/>
      <c r="AA1156" s="151"/>
      <c r="AB1156" s="151" t="s">
        <v>855</v>
      </c>
      <c r="AC1156" s="342"/>
    </row>
    <row r="1157" spans="1:29" ht="120">
      <c r="A1157" s="151" t="s">
        <v>5198</v>
      </c>
      <c r="B1157" s="151" t="s">
        <v>6104</v>
      </c>
      <c r="C1157" s="151" t="s">
        <v>6069</v>
      </c>
      <c r="D1157" s="151" t="s">
        <v>17</v>
      </c>
      <c r="E1157" s="151" t="s">
        <v>6105</v>
      </c>
      <c r="F1157" s="151" t="s">
        <v>2527</v>
      </c>
      <c r="G1157" s="151" t="s">
        <v>2173</v>
      </c>
      <c r="H1157" s="151" t="s">
        <v>1183</v>
      </c>
      <c r="I1157" s="151" t="s">
        <v>1184</v>
      </c>
      <c r="J1157" s="151" t="s">
        <v>6033</v>
      </c>
      <c r="K1157" s="151" t="s">
        <v>6106</v>
      </c>
      <c r="L1157" s="151" t="s">
        <v>6035</v>
      </c>
      <c r="M1157" s="151" t="s">
        <v>361</v>
      </c>
      <c r="N1157" s="341" t="s">
        <v>6107</v>
      </c>
      <c r="O1157" s="151">
        <v>633229</v>
      </c>
      <c r="P1157" s="151"/>
      <c r="Q1157" s="151"/>
      <c r="R1157" s="151" t="s">
        <v>2177</v>
      </c>
      <c r="S1157" s="151" t="s">
        <v>361</v>
      </c>
      <c r="T1157" s="151" t="s">
        <v>2213</v>
      </c>
      <c r="U1157" s="151" t="s">
        <v>3582</v>
      </c>
      <c r="V1157" s="151">
        <v>5</v>
      </c>
      <c r="W1157" s="151" t="s">
        <v>4380</v>
      </c>
      <c r="X1157" s="151" t="s">
        <v>2445</v>
      </c>
      <c r="Y1157" s="151" t="s">
        <v>3582</v>
      </c>
      <c r="Z1157" s="151"/>
      <c r="AA1157" s="151"/>
      <c r="AB1157" s="151" t="s">
        <v>855</v>
      </c>
      <c r="AC1157" s="342"/>
    </row>
    <row r="1158" spans="1:29" ht="120">
      <c r="A1158" s="151" t="s">
        <v>5198</v>
      </c>
      <c r="B1158" s="151" t="s">
        <v>6108</v>
      </c>
      <c r="C1158" s="151" t="s">
        <v>6069</v>
      </c>
      <c r="D1158" s="151" t="s">
        <v>17</v>
      </c>
      <c r="E1158" s="151" t="s">
        <v>6109</v>
      </c>
      <c r="F1158" s="151" t="s">
        <v>2527</v>
      </c>
      <c r="G1158" s="151" t="s">
        <v>2173</v>
      </c>
      <c r="H1158" s="151" t="s">
        <v>1183</v>
      </c>
      <c r="I1158" s="151" t="s">
        <v>1184</v>
      </c>
      <c r="J1158" s="151" t="s">
        <v>6033</v>
      </c>
      <c r="K1158" s="151" t="s">
        <v>6110</v>
      </c>
      <c r="L1158" s="151" t="s">
        <v>6035</v>
      </c>
      <c r="M1158" s="151" t="s">
        <v>361</v>
      </c>
      <c r="N1158" s="341" t="s">
        <v>6111</v>
      </c>
      <c r="O1158" s="151">
        <v>633229</v>
      </c>
      <c r="P1158" s="151"/>
      <c r="Q1158" s="151"/>
      <c r="R1158" s="151" t="s">
        <v>2177</v>
      </c>
      <c r="S1158" s="151" t="s">
        <v>361</v>
      </c>
      <c r="T1158" s="151" t="s">
        <v>2213</v>
      </c>
      <c r="U1158" s="151" t="s">
        <v>3582</v>
      </c>
      <c r="V1158" s="151">
        <v>25</v>
      </c>
      <c r="W1158" s="151" t="s">
        <v>6112</v>
      </c>
      <c r="X1158" s="151" t="s">
        <v>2445</v>
      </c>
      <c r="Y1158" s="151" t="s">
        <v>3582</v>
      </c>
      <c r="Z1158" s="151"/>
      <c r="AA1158" s="151"/>
      <c r="AB1158" s="151" t="s">
        <v>855</v>
      </c>
      <c r="AC1158" s="342"/>
    </row>
    <row r="1159" spans="1:29" ht="105">
      <c r="A1159" s="151" t="s">
        <v>5198</v>
      </c>
      <c r="B1159" s="151" t="s">
        <v>159</v>
      </c>
      <c r="C1159" s="151" t="s">
        <v>6069</v>
      </c>
      <c r="D1159" s="151" t="s">
        <v>17</v>
      </c>
      <c r="E1159" s="151" t="s">
        <v>6060</v>
      </c>
      <c r="F1159" s="151" t="s">
        <v>2527</v>
      </c>
      <c r="G1159" s="151" t="s">
        <v>2173</v>
      </c>
      <c r="H1159" s="151" t="s">
        <v>1183</v>
      </c>
      <c r="I1159" s="151" t="s">
        <v>1184</v>
      </c>
      <c r="J1159" s="151" t="s">
        <v>6033</v>
      </c>
      <c r="K1159" s="151" t="s">
        <v>2307</v>
      </c>
      <c r="L1159" s="151" t="s">
        <v>6035</v>
      </c>
      <c r="M1159" s="151" t="s">
        <v>361</v>
      </c>
      <c r="N1159" s="341" t="s">
        <v>6113</v>
      </c>
      <c r="O1159" s="151">
        <v>633229</v>
      </c>
      <c r="P1159" s="151"/>
      <c r="Q1159" s="151"/>
      <c r="R1159" s="151" t="s">
        <v>2177</v>
      </c>
      <c r="S1159" s="151" t="s">
        <v>361</v>
      </c>
      <c r="T1159" s="151" t="s">
        <v>2213</v>
      </c>
      <c r="U1159" s="151" t="s">
        <v>3608</v>
      </c>
      <c r="V1159" s="151">
        <v>6</v>
      </c>
      <c r="W1159" s="151">
        <v>1</v>
      </c>
      <c r="X1159" s="151" t="s">
        <v>2445</v>
      </c>
      <c r="Y1159" s="151" t="s">
        <v>3608</v>
      </c>
      <c r="Z1159" s="151"/>
      <c r="AA1159" s="151"/>
      <c r="AB1159" s="151" t="s">
        <v>855</v>
      </c>
      <c r="AC1159" s="342"/>
    </row>
    <row r="1160" spans="1:29" ht="120">
      <c r="A1160" s="151" t="s">
        <v>5198</v>
      </c>
      <c r="B1160" s="151" t="s">
        <v>6048</v>
      </c>
      <c r="C1160" s="151" t="s">
        <v>6069</v>
      </c>
      <c r="D1160" s="151" t="s">
        <v>17</v>
      </c>
      <c r="E1160" s="151" t="s">
        <v>6049</v>
      </c>
      <c r="F1160" s="151" t="s">
        <v>2527</v>
      </c>
      <c r="G1160" s="151" t="s">
        <v>2173</v>
      </c>
      <c r="H1160" s="151" t="s">
        <v>1183</v>
      </c>
      <c r="I1160" s="151" t="s">
        <v>1184</v>
      </c>
      <c r="J1160" s="151" t="s">
        <v>6033</v>
      </c>
      <c r="K1160" s="151" t="s">
        <v>6050</v>
      </c>
      <c r="L1160" s="151" t="s">
        <v>6035</v>
      </c>
      <c r="M1160" s="151" t="s">
        <v>361</v>
      </c>
      <c r="N1160" s="341" t="s">
        <v>6114</v>
      </c>
      <c r="O1160" s="151">
        <v>633229</v>
      </c>
      <c r="P1160" s="151"/>
      <c r="Q1160" s="151"/>
      <c r="R1160" s="151" t="s">
        <v>2177</v>
      </c>
      <c r="S1160" s="151" t="s">
        <v>361</v>
      </c>
      <c r="T1160" s="151" t="s">
        <v>2213</v>
      </c>
      <c r="U1160" s="151" t="s">
        <v>2885</v>
      </c>
      <c r="V1160" s="151">
        <v>9</v>
      </c>
      <c r="W1160" s="151" t="s">
        <v>2885</v>
      </c>
      <c r="X1160" s="151" t="s">
        <v>2445</v>
      </c>
      <c r="Y1160" s="151" t="s">
        <v>2885</v>
      </c>
      <c r="Z1160" s="151"/>
      <c r="AA1160" s="151"/>
      <c r="AB1160" s="151" t="s">
        <v>855</v>
      </c>
      <c r="AC1160" s="342"/>
    </row>
    <row r="1161" spans="1:29" ht="120">
      <c r="A1161" s="151" t="s">
        <v>5198</v>
      </c>
      <c r="B1161" s="151" t="s">
        <v>6052</v>
      </c>
      <c r="C1161" s="151" t="s">
        <v>6069</v>
      </c>
      <c r="D1161" s="151" t="s">
        <v>17</v>
      </c>
      <c r="E1161" s="151" t="s">
        <v>6053</v>
      </c>
      <c r="F1161" s="151" t="s">
        <v>2527</v>
      </c>
      <c r="G1161" s="151" t="s">
        <v>2173</v>
      </c>
      <c r="H1161" s="151" t="s">
        <v>1183</v>
      </c>
      <c r="I1161" s="151" t="s">
        <v>1184</v>
      </c>
      <c r="J1161" s="151" t="s">
        <v>6033</v>
      </c>
      <c r="K1161" s="151" t="s">
        <v>6054</v>
      </c>
      <c r="L1161" s="151" t="s">
        <v>6035</v>
      </c>
      <c r="M1161" s="151" t="s">
        <v>361</v>
      </c>
      <c r="N1161" s="341" t="s">
        <v>6115</v>
      </c>
      <c r="O1161" s="151">
        <v>633229</v>
      </c>
      <c r="P1161" s="151"/>
      <c r="Q1161" s="151"/>
      <c r="R1161" s="151" t="s">
        <v>2177</v>
      </c>
      <c r="S1161" s="151" t="s">
        <v>361</v>
      </c>
      <c r="T1161" s="151" t="s">
        <v>2213</v>
      </c>
      <c r="U1161" s="151" t="s">
        <v>2885</v>
      </c>
      <c r="V1161" s="151">
        <v>9</v>
      </c>
      <c r="W1161" s="151" t="s">
        <v>2885</v>
      </c>
      <c r="X1161" s="151" t="s">
        <v>2445</v>
      </c>
      <c r="Y1161" s="151" t="s">
        <v>2885</v>
      </c>
      <c r="Z1161" s="151"/>
      <c r="AA1161" s="151"/>
      <c r="AB1161" s="151" t="s">
        <v>855</v>
      </c>
      <c r="AC1161" s="342"/>
    </row>
    <row r="1162" spans="1:29" ht="135">
      <c r="A1162" s="151" t="s">
        <v>5198</v>
      </c>
      <c r="B1162" s="151" t="s">
        <v>6056</v>
      </c>
      <c r="C1162" s="151" t="s">
        <v>6069</v>
      </c>
      <c r="D1162" s="151" t="s">
        <v>17</v>
      </c>
      <c r="E1162" s="151" t="s">
        <v>6057</v>
      </c>
      <c r="F1162" s="151" t="s">
        <v>2527</v>
      </c>
      <c r="G1162" s="151" t="s">
        <v>2173</v>
      </c>
      <c r="H1162" s="151" t="s">
        <v>1183</v>
      </c>
      <c r="I1162" s="151" t="s">
        <v>1184</v>
      </c>
      <c r="J1162" s="151" t="s">
        <v>6033</v>
      </c>
      <c r="K1162" s="151" t="s">
        <v>6058</v>
      </c>
      <c r="L1162" s="151" t="s">
        <v>6035</v>
      </c>
      <c r="M1162" s="151" t="s">
        <v>361</v>
      </c>
      <c r="N1162" s="341" t="s">
        <v>6116</v>
      </c>
      <c r="O1162" s="151">
        <v>633229</v>
      </c>
      <c r="P1162" s="151"/>
      <c r="Q1162" s="151"/>
      <c r="R1162" s="151" t="s">
        <v>2177</v>
      </c>
      <c r="S1162" s="151" t="s">
        <v>361</v>
      </c>
      <c r="T1162" s="151" t="s">
        <v>2213</v>
      </c>
      <c r="U1162" s="151" t="s">
        <v>2885</v>
      </c>
      <c r="V1162" s="151">
        <v>9</v>
      </c>
      <c r="W1162" s="151" t="s">
        <v>2885</v>
      </c>
      <c r="X1162" s="151" t="s">
        <v>2445</v>
      </c>
      <c r="Y1162" s="151" t="s">
        <v>2885</v>
      </c>
      <c r="Z1162" s="151"/>
      <c r="AA1162" s="151"/>
      <c r="AB1162" s="151" t="s">
        <v>855</v>
      </c>
      <c r="AC1162" s="342"/>
    </row>
    <row r="1163" spans="1:29" ht="135">
      <c r="A1163" s="151" t="s">
        <v>5198</v>
      </c>
      <c r="B1163" s="151" t="s">
        <v>6117</v>
      </c>
      <c r="C1163" s="151" t="s">
        <v>6069</v>
      </c>
      <c r="D1163" s="151" t="s">
        <v>17</v>
      </c>
      <c r="E1163" s="151" t="s">
        <v>6118</v>
      </c>
      <c r="F1163" s="151" t="s">
        <v>2527</v>
      </c>
      <c r="G1163" s="151" t="s">
        <v>2173</v>
      </c>
      <c r="H1163" s="151" t="s">
        <v>1183</v>
      </c>
      <c r="I1163" s="151" t="s">
        <v>1184</v>
      </c>
      <c r="J1163" s="151" t="s">
        <v>6033</v>
      </c>
      <c r="K1163" s="151" t="s">
        <v>6119</v>
      </c>
      <c r="L1163" s="151" t="s">
        <v>6035</v>
      </c>
      <c r="M1163" s="151" t="s">
        <v>361</v>
      </c>
      <c r="N1163" s="341" t="s">
        <v>6120</v>
      </c>
      <c r="O1163" s="151">
        <v>633229</v>
      </c>
      <c r="P1163" s="151"/>
      <c r="Q1163" s="151"/>
      <c r="R1163" s="151" t="s">
        <v>2177</v>
      </c>
      <c r="S1163" s="151" t="s">
        <v>361</v>
      </c>
      <c r="T1163" s="151" t="s">
        <v>2213</v>
      </c>
      <c r="U1163" s="151" t="s">
        <v>3582</v>
      </c>
      <c r="V1163" s="151">
        <v>240</v>
      </c>
      <c r="W1163" s="151" t="s">
        <v>6121</v>
      </c>
      <c r="X1163" s="151" t="s">
        <v>2445</v>
      </c>
      <c r="Y1163" s="151" t="s">
        <v>3582</v>
      </c>
      <c r="Z1163" s="151"/>
      <c r="AA1163" s="151"/>
      <c r="AB1163" s="151" t="s">
        <v>855</v>
      </c>
      <c r="AC1163" s="342"/>
    </row>
    <row r="1164" spans="1:29" ht="105">
      <c r="A1164" s="151" t="s">
        <v>5198</v>
      </c>
      <c r="B1164" s="151" t="s">
        <v>16</v>
      </c>
      <c r="C1164" s="151" t="s">
        <v>6069</v>
      </c>
      <c r="D1164" s="151" t="s">
        <v>17</v>
      </c>
      <c r="E1164" s="151" t="s">
        <v>6122</v>
      </c>
      <c r="F1164" s="151" t="s">
        <v>2527</v>
      </c>
      <c r="G1164" s="151" t="s">
        <v>2173</v>
      </c>
      <c r="H1164" s="151" t="s">
        <v>1183</v>
      </c>
      <c r="I1164" s="151" t="s">
        <v>1184</v>
      </c>
      <c r="J1164" s="151" t="s">
        <v>6033</v>
      </c>
      <c r="K1164" s="151" t="s">
        <v>4718</v>
      </c>
      <c r="L1164" s="151" t="s">
        <v>6035</v>
      </c>
      <c r="M1164" s="151" t="s">
        <v>361</v>
      </c>
      <c r="N1164" s="341" t="s">
        <v>6123</v>
      </c>
      <c r="O1164" s="151">
        <v>633229</v>
      </c>
      <c r="P1164" s="151"/>
      <c r="Q1164" s="151"/>
      <c r="R1164" s="151" t="s">
        <v>2177</v>
      </c>
      <c r="S1164" s="151" t="s">
        <v>361</v>
      </c>
      <c r="T1164" s="151" t="s">
        <v>2213</v>
      </c>
      <c r="U1164" s="151" t="s">
        <v>3582</v>
      </c>
      <c r="V1164" s="151">
        <v>240</v>
      </c>
      <c r="W1164" s="151" t="s">
        <v>6121</v>
      </c>
      <c r="X1164" s="151" t="s">
        <v>2445</v>
      </c>
      <c r="Y1164" s="151" t="s">
        <v>3582</v>
      </c>
      <c r="Z1164" s="151"/>
      <c r="AA1164" s="151"/>
      <c r="AB1164" s="151" t="s">
        <v>855</v>
      </c>
      <c r="AC1164" s="342"/>
    </row>
    <row r="1165" spans="1:29" ht="120">
      <c r="A1165" s="151" t="s">
        <v>5198</v>
      </c>
      <c r="B1165" s="151" t="s">
        <v>6124</v>
      </c>
      <c r="C1165" s="151" t="s">
        <v>6069</v>
      </c>
      <c r="D1165" s="151" t="s">
        <v>17</v>
      </c>
      <c r="E1165" s="151" t="s">
        <v>6125</v>
      </c>
      <c r="F1165" s="151" t="s">
        <v>2527</v>
      </c>
      <c r="G1165" s="151" t="s">
        <v>2173</v>
      </c>
      <c r="H1165" s="151" t="s">
        <v>1183</v>
      </c>
      <c r="I1165" s="151" t="s">
        <v>1184</v>
      </c>
      <c r="J1165" s="151" t="s">
        <v>6033</v>
      </c>
      <c r="K1165" s="151" t="s">
        <v>3693</v>
      </c>
      <c r="L1165" s="151" t="s">
        <v>6035</v>
      </c>
      <c r="M1165" s="151" t="s">
        <v>361</v>
      </c>
      <c r="N1165" s="341" t="s">
        <v>6126</v>
      </c>
      <c r="O1165" s="151">
        <v>633229</v>
      </c>
      <c r="P1165" s="151"/>
      <c r="Q1165" s="151"/>
      <c r="R1165" s="151" t="s">
        <v>2177</v>
      </c>
      <c r="S1165" s="151" t="s">
        <v>361</v>
      </c>
      <c r="T1165" s="151" t="s">
        <v>2213</v>
      </c>
      <c r="U1165" s="151" t="s">
        <v>6127</v>
      </c>
      <c r="V1165" s="151">
        <v>8</v>
      </c>
      <c r="W1165" s="151" t="s">
        <v>2885</v>
      </c>
      <c r="X1165" s="151" t="s">
        <v>2445</v>
      </c>
      <c r="Y1165" s="151" t="s">
        <v>2885</v>
      </c>
      <c r="Z1165" s="151"/>
      <c r="AA1165" s="151"/>
      <c r="AB1165" s="151" t="s">
        <v>855</v>
      </c>
      <c r="AC1165" s="342"/>
    </row>
    <row r="1166" spans="1:29" ht="120">
      <c r="A1166" s="151" t="s">
        <v>5198</v>
      </c>
      <c r="B1166" s="151" t="s">
        <v>6128</v>
      </c>
      <c r="C1166" s="151" t="s">
        <v>6069</v>
      </c>
      <c r="D1166" s="151" t="s">
        <v>17</v>
      </c>
      <c r="E1166" s="151" t="s">
        <v>6129</v>
      </c>
      <c r="F1166" s="151" t="s">
        <v>2527</v>
      </c>
      <c r="G1166" s="151" t="s">
        <v>2173</v>
      </c>
      <c r="H1166" s="151" t="s">
        <v>1183</v>
      </c>
      <c r="I1166" s="151" t="s">
        <v>1184</v>
      </c>
      <c r="J1166" s="151" t="s">
        <v>6033</v>
      </c>
      <c r="K1166" s="151" t="s">
        <v>6130</v>
      </c>
      <c r="L1166" s="151" t="s">
        <v>6035</v>
      </c>
      <c r="M1166" s="151" t="s">
        <v>361</v>
      </c>
      <c r="N1166" s="341" t="s">
        <v>6131</v>
      </c>
      <c r="O1166" s="151">
        <v>633229</v>
      </c>
      <c r="P1166" s="151"/>
      <c r="Q1166" s="151"/>
      <c r="R1166" s="151" t="s">
        <v>2177</v>
      </c>
      <c r="S1166" s="151" t="s">
        <v>361</v>
      </c>
      <c r="T1166" s="151" t="s">
        <v>2213</v>
      </c>
      <c r="U1166" s="151" t="s">
        <v>2885</v>
      </c>
      <c r="V1166" s="151">
        <v>8</v>
      </c>
      <c r="W1166" s="151" t="s">
        <v>2885</v>
      </c>
      <c r="X1166" s="151" t="s">
        <v>2445</v>
      </c>
      <c r="Y1166" s="151" t="s">
        <v>2885</v>
      </c>
      <c r="Z1166" s="151"/>
      <c r="AA1166" s="151"/>
      <c r="AB1166" s="151" t="s">
        <v>855</v>
      </c>
      <c r="AC1166" s="342"/>
    </row>
    <row r="1167" spans="1:29" ht="120">
      <c r="A1167" s="151" t="s">
        <v>5198</v>
      </c>
      <c r="B1167" s="151" t="s">
        <v>6132</v>
      </c>
      <c r="C1167" s="151" t="s">
        <v>6069</v>
      </c>
      <c r="D1167" s="151" t="s">
        <v>17</v>
      </c>
      <c r="E1167" s="151" t="s">
        <v>6133</v>
      </c>
      <c r="F1167" s="151" t="s">
        <v>2527</v>
      </c>
      <c r="G1167" s="151" t="s">
        <v>2173</v>
      </c>
      <c r="H1167" s="151" t="s">
        <v>1183</v>
      </c>
      <c r="I1167" s="151" t="s">
        <v>1184</v>
      </c>
      <c r="J1167" s="151" t="s">
        <v>809</v>
      </c>
      <c r="K1167" s="151" t="s">
        <v>3682</v>
      </c>
      <c r="L1167" s="151" t="s">
        <v>3675</v>
      </c>
      <c r="M1167" s="151" t="s">
        <v>361</v>
      </c>
      <c r="N1167" s="341" t="s">
        <v>6134</v>
      </c>
      <c r="O1167" s="151">
        <v>1052245</v>
      </c>
      <c r="P1167" s="151"/>
      <c r="Q1167" s="151"/>
      <c r="R1167" s="151" t="s">
        <v>2177</v>
      </c>
      <c r="S1167" s="151" t="s">
        <v>361</v>
      </c>
      <c r="T1167" s="151" t="s">
        <v>2213</v>
      </c>
      <c r="U1167" s="151" t="s">
        <v>2885</v>
      </c>
      <c r="V1167" s="151">
        <v>8</v>
      </c>
      <c r="W1167" s="151" t="s">
        <v>2885</v>
      </c>
      <c r="X1167" s="151" t="s">
        <v>2445</v>
      </c>
      <c r="Y1167" s="151" t="s">
        <v>2885</v>
      </c>
      <c r="Z1167" s="151"/>
      <c r="AA1167" s="151"/>
      <c r="AB1167" s="151" t="s">
        <v>855</v>
      </c>
      <c r="AC1167" s="342"/>
    </row>
    <row r="1168" spans="1:29" ht="75">
      <c r="A1168" s="151" t="s">
        <v>6135</v>
      </c>
      <c r="B1168" s="151" t="s">
        <v>5265</v>
      </c>
      <c r="C1168" s="151" t="s">
        <v>341</v>
      </c>
      <c r="D1168" s="151" t="s">
        <v>17</v>
      </c>
      <c r="E1168" s="151" t="s">
        <v>6136</v>
      </c>
      <c r="F1168" s="151" t="s">
        <v>2527</v>
      </c>
      <c r="G1168" s="151" t="s">
        <v>2173</v>
      </c>
      <c r="H1168" s="151" t="s">
        <v>1183</v>
      </c>
      <c r="I1168" s="151" t="s">
        <v>1184</v>
      </c>
      <c r="J1168" s="151" t="s">
        <v>6137</v>
      </c>
      <c r="K1168" s="151" t="s">
        <v>6138</v>
      </c>
      <c r="L1168" s="151" t="s">
        <v>361</v>
      </c>
      <c r="M1168" s="151" t="s">
        <v>361</v>
      </c>
      <c r="N1168" s="341" t="s">
        <v>6139</v>
      </c>
      <c r="O1168" s="151">
        <v>2212881</v>
      </c>
      <c r="Q1168" s="151"/>
      <c r="R1168" s="151" t="s">
        <v>2177</v>
      </c>
      <c r="S1168" s="151" t="s">
        <v>361</v>
      </c>
      <c r="T1168" s="151"/>
      <c r="U1168" s="151"/>
      <c r="V1168" s="151"/>
      <c r="W1168" s="151"/>
      <c r="X1168" s="151"/>
      <c r="Y1168" s="151"/>
      <c r="Z1168" s="151"/>
      <c r="AA1168" s="151"/>
      <c r="AB1168" s="151"/>
      <c r="AC1168" s="342"/>
    </row>
    <row r="1169" spans="1:29" ht="120">
      <c r="A1169" s="151" t="s">
        <v>6135</v>
      </c>
      <c r="B1169" s="151" t="s">
        <v>3616</v>
      </c>
      <c r="C1169" s="151" t="s">
        <v>341</v>
      </c>
      <c r="D1169" s="151" t="s">
        <v>17</v>
      </c>
      <c r="E1169" s="151" t="s">
        <v>6140</v>
      </c>
      <c r="F1169" s="151" t="s">
        <v>2527</v>
      </c>
      <c r="G1169" s="151" t="s">
        <v>2173</v>
      </c>
      <c r="H1169" s="151" t="s">
        <v>1183</v>
      </c>
      <c r="I1169" s="151" t="s">
        <v>1184</v>
      </c>
      <c r="J1169" s="151" t="s">
        <v>6137</v>
      </c>
      <c r="K1169" s="151" t="s">
        <v>6141</v>
      </c>
      <c r="L1169" s="151" t="s">
        <v>6142</v>
      </c>
      <c r="M1169" s="151" t="s">
        <v>361</v>
      </c>
      <c r="N1169" s="341" t="s">
        <v>5233</v>
      </c>
      <c r="O1169" s="151">
        <v>2212881</v>
      </c>
      <c r="P1169" s="151" t="s">
        <v>6143</v>
      </c>
      <c r="Q1169" s="151"/>
      <c r="R1169" s="151" t="s">
        <v>2177</v>
      </c>
      <c r="S1169" s="151" t="s">
        <v>361</v>
      </c>
      <c r="T1169" s="151"/>
      <c r="U1169" s="151"/>
      <c r="V1169" s="151"/>
      <c r="W1169" s="151"/>
      <c r="X1169" s="151"/>
      <c r="Y1169" s="151"/>
      <c r="Z1169" s="151"/>
      <c r="AA1169" s="151"/>
      <c r="AB1169" s="151"/>
      <c r="AC1169" s="342"/>
    </row>
    <row r="1170" spans="1:29">
      <c r="A1170" s="151" t="s">
        <v>6135</v>
      </c>
      <c r="B1170" s="449" t="s">
        <v>6144</v>
      </c>
      <c r="C1170" s="151" t="s">
        <v>341</v>
      </c>
      <c r="D1170" s="151" t="s">
        <v>17</v>
      </c>
      <c r="E1170" s="151" t="s">
        <v>6145</v>
      </c>
      <c r="F1170" s="151" t="s">
        <v>2527</v>
      </c>
      <c r="G1170" s="151" t="s">
        <v>3575</v>
      </c>
      <c r="H1170" s="151" t="s">
        <v>361</v>
      </c>
      <c r="I1170" s="151" t="s">
        <v>1184</v>
      </c>
      <c r="J1170" s="151" t="s">
        <v>361</v>
      </c>
      <c r="K1170" s="151" t="s">
        <v>361</v>
      </c>
      <c r="L1170" s="151" t="s">
        <v>361</v>
      </c>
      <c r="M1170" s="151" t="s">
        <v>361</v>
      </c>
      <c r="N1170" s="151"/>
      <c r="O1170" s="151"/>
      <c r="P1170" s="151"/>
      <c r="Q1170" s="151"/>
      <c r="R1170" s="151" t="s">
        <v>3576</v>
      </c>
      <c r="S1170" s="151" t="s">
        <v>3577</v>
      </c>
      <c r="T1170" s="151"/>
      <c r="U1170" s="151"/>
      <c r="V1170" s="151"/>
      <c r="W1170" s="151"/>
      <c r="X1170" s="151"/>
      <c r="Y1170" s="151"/>
      <c r="Z1170" s="151"/>
      <c r="AA1170" s="151"/>
      <c r="AB1170" s="151"/>
      <c r="AC1170" s="342"/>
    </row>
    <row r="1171" spans="1:29" ht="75">
      <c r="A1171" s="151" t="s">
        <v>6135</v>
      </c>
      <c r="B1171" s="449" t="s">
        <v>2669</v>
      </c>
      <c r="C1171" s="151" t="s">
        <v>341</v>
      </c>
      <c r="D1171" s="151" t="s">
        <v>17</v>
      </c>
      <c r="E1171" s="151" t="s">
        <v>6146</v>
      </c>
      <c r="F1171" s="151" t="s">
        <v>2527</v>
      </c>
      <c r="G1171" s="151" t="s">
        <v>2173</v>
      </c>
      <c r="H1171" s="151" t="s">
        <v>1183</v>
      </c>
      <c r="I1171" s="151" t="s">
        <v>1184</v>
      </c>
      <c r="J1171" s="151" t="s">
        <v>806</v>
      </c>
      <c r="K1171" s="151" t="s">
        <v>6147</v>
      </c>
      <c r="L1171" s="151" t="s">
        <v>361</v>
      </c>
      <c r="M1171" s="151" t="s">
        <v>361</v>
      </c>
      <c r="N1171" s="341" t="s">
        <v>6148</v>
      </c>
      <c r="O1171" s="151">
        <v>2212881</v>
      </c>
      <c r="P1171" s="151"/>
      <c r="Q1171" s="151"/>
      <c r="R1171" s="151" t="s">
        <v>2177</v>
      </c>
      <c r="S1171" s="151" t="s">
        <v>361</v>
      </c>
      <c r="T1171" s="151"/>
      <c r="U1171" s="151"/>
      <c r="V1171" s="151"/>
      <c r="W1171" s="151"/>
      <c r="X1171" s="151"/>
      <c r="Y1171" s="151"/>
      <c r="Z1171" s="151"/>
      <c r="AA1171" s="151"/>
      <c r="AB1171" s="151"/>
      <c r="AC1171" s="342"/>
    </row>
    <row r="1172" spans="1:29" ht="75">
      <c r="A1172" s="151" t="s">
        <v>6135</v>
      </c>
      <c r="B1172" s="449" t="s">
        <v>5416</v>
      </c>
      <c r="C1172" s="151" t="s">
        <v>341</v>
      </c>
      <c r="D1172" s="151" t="s">
        <v>17</v>
      </c>
      <c r="E1172" s="151" t="s">
        <v>6149</v>
      </c>
      <c r="F1172" s="151" t="s">
        <v>2527</v>
      </c>
      <c r="G1172" s="151" t="s">
        <v>2173</v>
      </c>
      <c r="H1172" s="151" t="s">
        <v>1183</v>
      </c>
      <c r="I1172" s="151" t="s">
        <v>1184</v>
      </c>
      <c r="J1172" s="151" t="s">
        <v>806</v>
      </c>
      <c r="K1172" s="151" t="s">
        <v>3659</v>
      </c>
      <c r="L1172" s="151" t="s">
        <v>361</v>
      </c>
      <c r="M1172" s="151" t="s">
        <v>361</v>
      </c>
      <c r="N1172" s="341" t="s">
        <v>6150</v>
      </c>
      <c r="O1172" s="151">
        <v>2212881</v>
      </c>
      <c r="P1172" s="151"/>
      <c r="Q1172" s="151"/>
      <c r="R1172" s="151" t="s">
        <v>2177</v>
      </c>
      <c r="S1172" s="151" t="s">
        <v>361</v>
      </c>
      <c r="T1172" s="151"/>
      <c r="U1172" s="151"/>
      <c r="V1172" s="151"/>
      <c r="W1172" s="151"/>
      <c r="X1172" s="151"/>
      <c r="Y1172" s="151"/>
      <c r="Z1172" s="151"/>
      <c r="AA1172" s="151"/>
      <c r="AB1172" s="151"/>
      <c r="AC1172" s="342"/>
    </row>
    <row r="1173" spans="1:29">
      <c r="A1173" s="151" t="s">
        <v>6151</v>
      </c>
      <c r="B1173" s="151" t="s">
        <v>4313</v>
      </c>
      <c r="C1173" s="151" t="s">
        <v>6152</v>
      </c>
      <c r="D1173" s="151" t="s">
        <v>6153</v>
      </c>
      <c r="E1173" s="151" t="s">
        <v>6154</v>
      </c>
      <c r="F1173" s="151" t="s">
        <v>551</v>
      </c>
      <c r="G1173" s="151" t="s">
        <v>2173</v>
      </c>
      <c r="H1173" s="151" t="s">
        <v>1274</v>
      </c>
      <c r="I1173" s="151" t="s">
        <v>1184</v>
      </c>
      <c r="J1173" s="151" t="s">
        <v>638</v>
      </c>
      <c r="K1173" s="151" t="s">
        <v>6155</v>
      </c>
      <c r="L1173" s="151" t="s">
        <v>6156</v>
      </c>
      <c r="M1173" s="151" t="s">
        <v>361</v>
      </c>
      <c r="N1173" s="151"/>
      <c r="O1173" s="151"/>
      <c r="P1173" s="151"/>
      <c r="Q1173" s="151"/>
      <c r="R1173" s="151" t="s">
        <v>2177</v>
      </c>
      <c r="S1173" s="151" t="s">
        <v>361</v>
      </c>
      <c r="T1173" s="151" t="s">
        <v>49</v>
      </c>
      <c r="U1173" s="151" t="s">
        <v>2179</v>
      </c>
      <c r="V1173" s="151" t="s">
        <v>49</v>
      </c>
      <c r="W1173" s="151" t="s">
        <v>2326</v>
      </c>
      <c r="X1173" s="151" t="s">
        <v>431</v>
      </c>
      <c r="Y1173" s="151" t="s">
        <v>2179</v>
      </c>
      <c r="Z1173" s="151"/>
      <c r="AA1173" s="151"/>
      <c r="AB1173" s="151" t="s">
        <v>855</v>
      </c>
      <c r="AC1173" s="342"/>
    </row>
    <row r="1174" spans="1:29">
      <c r="A1174" s="151" t="s">
        <v>6151</v>
      </c>
      <c r="B1174" s="151" t="s">
        <v>6157</v>
      </c>
      <c r="C1174" s="151" t="s">
        <v>6152</v>
      </c>
      <c r="D1174" s="151" t="s">
        <v>6153</v>
      </c>
      <c r="E1174" s="151" t="s">
        <v>6158</v>
      </c>
      <c r="F1174" s="151" t="s">
        <v>551</v>
      </c>
      <c r="G1174" s="151" t="s">
        <v>2173</v>
      </c>
      <c r="H1174" s="151" t="s">
        <v>1274</v>
      </c>
      <c r="I1174" s="151" t="s">
        <v>1184</v>
      </c>
      <c r="J1174" s="151" t="s">
        <v>638</v>
      </c>
      <c r="K1174" s="151" t="s">
        <v>6159</v>
      </c>
      <c r="L1174" s="151" t="s">
        <v>6156</v>
      </c>
      <c r="M1174" s="151" t="s">
        <v>361</v>
      </c>
      <c r="N1174" s="151"/>
      <c r="O1174" s="151"/>
      <c r="P1174" s="151"/>
      <c r="Q1174" s="151"/>
      <c r="R1174" s="151" t="s">
        <v>2177</v>
      </c>
      <c r="S1174" s="151" t="s">
        <v>361</v>
      </c>
      <c r="T1174" s="151" t="s">
        <v>49</v>
      </c>
      <c r="U1174" s="151" t="s">
        <v>2179</v>
      </c>
      <c r="V1174" s="151" t="s">
        <v>49</v>
      </c>
      <c r="W1174" s="151" t="s">
        <v>2640</v>
      </c>
      <c r="X1174" s="151" t="s">
        <v>431</v>
      </c>
      <c r="Y1174" s="151" t="s">
        <v>2179</v>
      </c>
      <c r="Z1174" s="151"/>
      <c r="AA1174" s="151"/>
      <c r="AB1174" s="151" t="s">
        <v>855</v>
      </c>
      <c r="AC1174" s="342"/>
    </row>
    <row r="1175" spans="1:29">
      <c r="A1175" s="151" t="s">
        <v>6151</v>
      </c>
      <c r="B1175" s="151" t="s">
        <v>6160</v>
      </c>
      <c r="C1175" s="151" t="s">
        <v>6152</v>
      </c>
      <c r="D1175" s="151" t="s">
        <v>6161</v>
      </c>
      <c r="E1175" s="151" t="s">
        <v>6162</v>
      </c>
      <c r="F1175" s="151" t="s">
        <v>551</v>
      </c>
      <c r="G1175" s="151" t="s">
        <v>2173</v>
      </c>
      <c r="H1175" s="151" t="s">
        <v>1274</v>
      </c>
      <c r="I1175" s="151" t="s">
        <v>1184</v>
      </c>
      <c r="J1175" s="151" t="s">
        <v>655</v>
      </c>
      <c r="K1175" s="151" t="s">
        <v>2362</v>
      </c>
      <c r="L1175" s="151" t="s">
        <v>2898</v>
      </c>
      <c r="M1175" s="151" t="s">
        <v>2899</v>
      </c>
      <c r="N1175" s="151"/>
      <c r="O1175" s="151"/>
      <c r="P1175" s="151"/>
      <c r="Q1175" s="151"/>
      <c r="R1175" s="151" t="s">
        <v>2177</v>
      </c>
      <c r="S1175" s="151" t="s">
        <v>361</v>
      </c>
      <c r="T1175" s="151" t="s">
        <v>49</v>
      </c>
      <c r="U1175" s="151" t="s">
        <v>2179</v>
      </c>
      <c r="V1175" s="151" t="s">
        <v>49</v>
      </c>
      <c r="W1175" s="151" t="s">
        <v>2363</v>
      </c>
      <c r="X1175" s="151" t="s">
        <v>49</v>
      </c>
      <c r="Y1175" s="151" t="s">
        <v>2179</v>
      </c>
      <c r="Z1175" s="151"/>
      <c r="AA1175" s="151"/>
      <c r="AB1175" s="151" t="s">
        <v>855</v>
      </c>
      <c r="AC1175" s="342"/>
    </row>
    <row r="1176" spans="1:29">
      <c r="A1176" s="151" t="s">
        <v>6151</v>
      </c>
      <c r="B1176" s="151" t="s">
        <v>6163</v>
      </c>
      <c r="C1176" s="151" t="s">
        <v>6152</v>
      </c>
      <c r="D1176" s="151" t="s">
        <v>6161</v>
      </c>
      <c r="E1176" s="151" t="s">
        <v>6164</v>
      </c>
      <c r="F1176" s="151" t="s">
        <v>551</v>
      </c>
      <c r="G1176" s="151" t="s">
        <v>2173</v>
      </c>
      <c r="H1176" s="151" t="s">
        <v>1274</v>
      </c>
      <c r="I1176" s="151" t="s">
        <v>1184</v>
      </c>
      <c r="J1176" s="151" t="s">
        <v>638</v>
      </c>
      <c r="K1176" s="151" t="s">
        <v>6165</v>
      </c>
      <c r="L1176" s="151" t="s">
        <v>6166</v>
      </c>
      <c r="M1176" s="151" t="s">
        <v>4942</v>
      </c>
      <c r="N1176" s="151"/>
      <c r="O1176" s="151"/>
      <c r="P1176" s="151"/>
      <c r="Q1176" s="151"/>
      <c r="R1176" s="151" t="s">
        <v>2177</v>
      </c>
      <c r="S1176" s="151" t="s">
        <v>361</v>
      </c>
      <c r="T1176" s="151" t="s">
        <v>49</v>
      </c>
      <c r="U1176" s="151" t="s">
        <v>2646</v>
      </c>
      <c r="V1176" s="151" t="s">
        <v>49</v>
      </c>
      <c r="W1176" s="151" t="s">
        <v>2646</v>
      </c>
      <c r="X1176" s="151" t="s">
        <v>431</v>
      </c>
      <c r="Y1176" s="151" t="s">
        <v>2646</v>
      </c>
      <c r="Z1176" s="151"/>
      <c r="AA1176" s="151"/>
      <c r="AB1176" s="151" t="s">
        <v>855</v>
      </c>
      <c r="AC1176" s="342"/>
    </row>
    <row r="1177" spans="1:29">
      <c r="A1177" s="151" t="s">
        <v>6151</v>
      </c>
      <c r="B1177" s="151" t="s">
        <v>159</v>
      </c>
      <c r="C1177" s="151" t="s">
        <v>6152</v>
      </c>
      <c r="D1177" s="151" t="s">
        <v>6153</v>
      </c>
      <c r="E1177" s="151" t="s">
        <v>6167</v>
      </c>
      <c r="F1177" s="151" t="s">
        <v>551</v>
      </c>
      <c r="G1177" s="151" t="s">
        <v>2173</v>
      </c>
      <c r="H1177" s="151" t="s">
        <v>1274</v>
      </c>
      <c r="I1177" s="151" t="s">
        <v>1184</v>
      </c>
      <c r="J1177" s="151" t="s">
        <v>638</v>
      </c>
      <c r="K1177" s="151" t="s">
        <v>159</v>
      </c>
      <c r="L1177" s="151" t="s">
        <v>6166</v>
      </c>
      <c r="M1177" s="151" t="s">
        <v>4942</v>
      </c>
      <c r="N1177" s="151"/>
      <c r="O1177" s="151"/>
      <c r="P1177" s="151"/>
      <c r="Q1177" s="151"/>
      <c r="R1177" s="151" t="s">
        <v>2177</v>
      </c>
      <c r="S1177" s="151" t="s">
        <v>361</v>
      </c>
      <c r="T1177" s="151" t="s">
        <v>49</v>
      </c>
      <c r="U1177" s="151" t="s">
        <v>2179</v>
      </c>
      <c r="V1177" s="151" t="s">
        <v>49</v>
      </c>
      <c r="W1177" s="151" t="s">
        <v>2228</v>
      </c>
      <c r="X1177" s="151" t="s">
        <v>431</v>
      </c>
      <c r="Y1177" s="151" t="s">
        <v>2179</v>
      </c>
      <c r="Z1177" s="151"/>
      <c r="AA1177" s="151"/>
      <c r="AB1177" s="151" t="s">
        <v>855</v>
      </c>
      <c r="AC1177" s="342"/>
    </row>
    <row r="1178" spans="1:29">
      <c r="A1178" s="151" t="s">
        <v>6151</v>
      </c>
      <c r="B1178" s="151" t="s">
        <v>4186</v>
      </c>
      <c r="C1178" s="151" t="s">
        <v>6152</v>
      </c>
      <c r="D1178" s="151" t="s">
        <v>6153</v>
      </c>
      <c r="E1178" s="151" t="s">
        <v>6168</v>
      </c>
      <c r="F1178" s="151" t="s">
        <v>551</v>
      </c>
      <c r="G1178" s="151" t="s">
        <v>2173</v>
      </c>
      <c r="H1178" s="151" t="s">
        <v>1274</v>
      </c>
      <c r="I1178" s="151" t="s">
        <v>1184</v>
      </c>
      <c r="J1178" s="151" t="s">
        <v>638</v>
      </c>
      <c r="K1178" s="151" t="s">
        <v>6169</v>
      </c>
      <c r="L1178" s="151" t="s">
        <v>6166</v>
      </c>
      <c r="M1178" s="151" t="s">
        <v>4942</v>
      </c>
      <c r="N1178" s="151"/>
      <c r="O1178" s="151"/>
      <c r="P1178" s="151"/>
      <c r="Q1178" s="151"/>
      <c r="R1178" s="151" t="s">
        <v>2177</v>
      </c>
      <c r="S1178" s="151" t="s">
        <v>361</v>
      </c>
      <c r="T1178" s="151" t="s">
        <v>49</v>
      </c>
      <c r="U1178" s="151" t="s">
        <v>2646</v>
      </c>
      <c r="V1178" s="151" t="s">
        <v>49</v>
      </c>
      <c r="W1178" s="151" t="s">
        <v>2646</v>
      </c>
      <c r="X1178" s="151" t="s">
        <v>431</v>
      </c>
      <c r="Y1178" s="151" t="s">
        <v>2646</v>
      </c>
      <c r="Z1178" s="151"/>
      <c r="AA1178" s="151"/>
      <c r="AB1178" s="151" t="s">
        <v>855</v>
      </c>
      <c r="AC1178" s="342"/>
    </row>
    <row r="1179" spans="1:29">
      <c r="A1179" s="151" t="s">
        <v>6151</v>
      </c>
      <c r="B1179" s="151" t="s">
        <v>6170</v>
      </c>
      <c r="C1179" s="151" t="s">
        <v>6152</v>
      </c>
      <c r="D1179" s="151" t="s">
        <v>6153</v>
      </c>
      <c r="E1179" s="151" t="s">
        <v>6171</v>
      </c>
      <c r="F1179" s="151" t="s">
        <v>551</v>
      </c>
      <c r="G1179" s="151" t="s">
        <v>2173</v>
      </c>
      <c r="H1179" s="151" t="s">
        <v>1274</v>
      </c>
      <c r="I1179" s="151" t="s">
        <v>1184</v>
      </c>
      <c r="J1179" s="151" t="s">
        <v>638</v>
      </c>
      <c r="K1179" s="151" t="s">
        <v>6172</v>
      </c>
      <c r="L1179" s="151" t="s">
        <v>6166</v>
      </c>
      <c r="M1179" s="151" t="s">
        <v>4942</v>
      </c>
      <c r="N1179" s="151"/>
      <c r="O1179" s="151"/>
      <c r="P1179" s="151"/>
      <c r="Q1179" s="151"/>
      <c r="R1179" s="151" t="s">
        <v>2177</v>
      </c>
      <c r="S1179" s="151" t="s">
        <v>361</v>
      </c>
      <c r="T1179" s="151" t="s">
        <v>49</v>
      </c>
      <c r="U1179" s="151" t="s">
        <v>2400</v>
      </c>
      <c r="V1179" s="151" t="s">
        <v>49</v>
      </c>
      <c r="W1179" s="151" t="s">
        <v>2400</v>
      </c>
      <c r="X1179" s="151" t="s">
        <v>2400</v>
      </c>
      <c r="Y1179" s="151" t="s">
        <v>2400</v>
      </c>
      <c r="Z1179" s="151"/>
      <c r="AA1179" s="151"/>
      <c r="AB1179" s="151" t="s">
        <v>855</v>
      </c>
      <c r="AC1179" s="342"/>
    </row>
    <row r="1180" spans="1:29">
      <c r="A1180" s="151" t="s">
        <v>6151</v>
      </c>
      <c r="B1180" s="151" t="s">
        <v>3578</v>
      </c>
      <c r="C1180" s="151" t="s">
        <v>6152</v>
      </c>
      <c r="D1180" s="151" t="s">
        <v>6161</v>
      </c>
      <c r="E1180" s="151" t="s">
        <v>6173</v>
      </c>
      <c r="F1180" s="151" t="s">
        <v>551</v>
      </c>
      <c r="G1180" s="151" t="s">
        <v>2173</v>
      </c>
      <c r="H1180" s="151" t="s">
        <v>1274</v>
      </c>
      <c r="I1180" s="151" t="s">
        <v>1184</v>
      </c>
      <c r="J1180" s="151" t="s">
        <v>638</v>
      </c>
      <c r="K1180" s="151" t="s">
        <v>6174</v>
      </c>
      <c r="L1180" s="151" t="s">
        <v>6166</v>
      </c>
      <c r="M1180" s="151" t="s">
        <v>4942</v>
      </c>
      <c r="N1180" s="151"/>
      <c r="O1180" s="151"/>
      <c r="P1180" s="151"/>
      <c r="Q1180" s="151"/>
      <c r="R1180" s="151" t="s">
        <v>2177</v>
      </c>
      <c r="S1180" s="151" t="s">
        <v>361</v>
      </c>
      <c r="T1180" s="151" t="s">
        <v>49</v>
      </c>
      <c r="U1180" s="151" t="s">
        <v>2179</v>
      </c>
      <c r="V1180" s="151" t="s">
        <v>49</v>
      </c>
      <c r="W1180" s="151" t="s">
        <v>2228</v>
      </c>
      <c r="X1180" s="151" t="s">
        <v>431</v>
      </c>
      <c r="Y1180" s="151" t="s">
        <v>2179</v>
      </c>
      <c r="Z1180" s="151"/>
      <c r="AA1180" s="151"/>
      <c r="AB1180" s="151" t="s">
        <v>855</v>
      </c>
      <c r="AC1180" s="342"/>
    </row>
    <row r="1181" spans="1:29">
      <c r="A1181" s="151" t="s">
        <v>6151</v>
      </c>
      <c r="B1181" s="151" t="s">
        <v>6175</v>
      </c>
      <c r="C1181" s="151" t="s">
        <v>6152</v>
      </c>
      <c r="D1181" s="151" t="s">
        <v>6153</v>
      </c>
      <c r="E1181" s="151" t="s">
        <v>6176</v>
      </c>
      <c r="F1181" s="151" t="s">
        <v>551</v>
      </c>
      <c r="G1181" s="151" t="s">
        <v>2173</v>
      </c>
      <c r="H1181" s="151" t="s">
        <v>1274</v>
      </c>
      <c r="I1181" s="151" t="s">
        <v>1184</v>
      </c>
      <c r="J1181" s="151" t="s">
        <v>811</v>
      </c>
      <c r="K1181" s="151" t="s">
        <v>6177</v>
      </c>
      <c r="L1181" s="151" t="s">
        <v>6178</v>
      </c>
      <c r="M1181" s="151" t="s">
        <v>361</v>
      </c>
      <c r="N1181" s="151"/>
      <c r="O1181" s="151"/>
      <c r="P1181" s="151"/>
      <c r="Q1181" s="151"/>
      <c r="R1181" s="151" t="s">
        <v>2177</v>
      </c>
      <c r="S1181" s="151" t="s">
        <v>361</v>
      </c>
      <c r="T1181" s="151" t="s">
        <v>435</v>
      </c>
      <c r="U1181" s="151" t="s">
        <v>6179</v>
      </c>
      <c r="V1181" s="151" t="s">
        <v>49</v>
      </c>
      <c r="W1181" s="151" t="s">
        <v>6179</v>
      </c>
      <c r="X1181" s="151" t="s">
        <v>431</v>
      </c>
      <c r="Y1181" s="151" t="s">
        <v>6179</v>
      </c>
      <c r="Z1181" s="151"/>
      <c r="AA1181" s="151"/>
      <c r="AB1181" s="151" t="s">
        <v>855</v>
      </c>
      <c r="AC1181" s="342"/>
    </row>
    <row r="1182" spans="1:29">
      <c r="A1182" s="151" t="s">
        <v>6151</v>
      </c>
      <c r="B1182" s="151" t="s">
        <v>6180</v>
      </c>
      <c r="C1182" s="151" t="s">
        <v>6152</v>
      </c>
      <c r="D1182" s="151" t="s">
        <v>6161</v>
      </c>
      <c r="E1182" s="151" t="s">
        <v>6181</v>
      </c>
      <c r="F1182" s="151" t="s">
        <v>551</v>
      </c>
      <c r="G1182" s="151" t="s">
        <v>2173</v>
      </c>
      <c r="H1182" s="151" t="s">
        <v>1274</v>
      </c>
      <c r="I1182" s="151" t="s">
        <v>1184</v>
      </c>
      <c r="J1182" s="151" t="s">
        <v>638</v>
      </c>
      <c r="K1182" s="151" t="s">
        <v>6182</v>
      </c>
      <c r="L1182" s="151" t="s">
        <v>6156</v>
      </c>
      <c r="M1182" s="151" t="s">
        <v>361</v>
      </c>
      <c r="N1182" s="151"/>
      <c r="O1182" s="151"/>
      <c r="P1182" s="151"/>
      <c r="Q1182" s="151"/>
      <c r="R1182" s="151" t="s">
        <v>2177</v>
      </c>
      <c r="S1182" s="151" t="s">
        <v>361</v>
      </c>
      <c r="T1182" s="151" t="s">
        <v>435</v>
      </c>
      <c r="U1182" s="151" t="s">
        <v>6179</v>
      </c>
      <c r="V1182" s="151" t="s">
        <v>49</v>
      </c>
      <c r="W1182" s="151" t="s">
        <v>6179</v>
      </c>
      <c r="X1182" s="151" t="s">
        <v>431</v>
      </c>
      <c r="Y1182" s="151" t="s">
        <v>6179</v>
      </c>
      <c r="Z1182" s="151"/>
      <c r="AA1182" s="151"/>
      <c r="AB1182" s="151" t="s">
        <v>855</v>
      </c>
      <c r="AC1182" s="342"/>
    </row>
    <row r="1183" spans="1:29">
      <c r="A1183" s="151" t="s">
        <v>3572</v>
      </c>
      <c r="B1183" s="151" t="s">
        <v>2400</v>
      </c>
      <c r="C1183" s="151" t="s">
        <v>3589</v>
      </c>
      <c r="D1183" s="151" t="s">
        <v>17</v>
      </c>
      <c r="E1183" s="151" t="s">
        <v>6183</v>
      </c>
      <c r="F1183" s="151" t="s">
        <v>3591</v>
      </c>
      <c r="G1183" s="151" t="s">
        <v>3575</v>
      </c>
      <c r="H1183" s="151" t="s">
        <v>361</v>
      </c>
      <c r="I1183" s="151" t="s">
        <v>1184</v>
      </c>
      <c r="J1183" s="151" t="s">
        <v>361</v>
      </c>
      <c r="K1183" s="151" t="s">
        <v>361</v>
      </c>
      <c r="L1183" s="151" t="s">
        <v>361</v>
      </c>
      <c r="M1183" s="151" t="s">
        <v>361</v>
      </c>
      <c r="N1183" s="151"/>
      <c r="O1183" s="151"/>
      <c r="P1183" s="151"/>
      <c r="Q1183" s="151"/>
      <c r="R1183" s="151" t="s">
        <v>3576</v>
      </c>
      <c r="S1183" s="151" t="s">
        <v>3577</v>
      </c>
      <c r="T1183" s="151"/>
      <c r="U1183" s="151"/>
      <c r="V1183" s="151"/>
      <c r="W1183" s="151"/>
      <c r="X1183" s="151"/>
      <c r="Y1183" s="151"/>
      <c r="Z1183" s="151"/>
      <c r="AA1183" s="151"/>
      <c r="AB1183" s="151"/>
      <c r="AC1183" s="342"/>
    </row>
    <row r="1184" spans="1:29">
      <c r="A1184" s="151" t="s">
        <v>3572</v>
      </c>
      <c r="B1184" s="151" t="s">
        <v>6184</v>
      </c>
      <c r="C1184" s="151" t="s">
        <v>3589</v>
      </c>
      <c r="D1184" s="151" t="s">
        <v>17</v>
      </c>
      <c r="E1184" s="151" t="s">
        <v>6185</v>
      </c>
      <c r="F1184" s="151" t="s">
        <v>551</v>
      </c>
      <c r="G1184" s="151" t="s">
        <v>3575</v>
      </c>
      <c r="H1184" s="151" t="s">
        <v>361</v>
      </c>
      <c r="I1184" s="151" t="s">
        <v>1184</v>
      </c>
      <c r="J1184" s="151" t="s">
        <v>361</v>
      </c>
      <c r="K1184" s="151" t="s">
        <v>361</v>
      </c>
      <c r="L1184" s="151" t="s">
        <v>361</v>
      </c>
      <c r="M1184" s="151" t="s">
        <v>361</v>
      </c>
      <c r="N1184" s="151"/>
      <c r="O1184" s="151"/>
      <c r="P1184" s="151"/>
      <c r="Q1184" s="151"/>
      <c r="R1184" s="151" t="s">
        <v>3576</v>
      </c>
      <c r="S1184" s="151" t="s">
        <v>3577</v>
      </c>
      <c r="T1184" s="151"/>
      <c r="U1184" s="151"/>
      <c r="V1184" s="151"/>
      <c r="W1184" s="151"/>
      <c r="X1184" s="151"/>
      <c r="Y1184" s="151"/>
      <c r="Z1184" s="151"/>
      <c r="AA1184" s="151"/>
      <c r="AB1184" s="151"/>
      <c r="AC1184" s="342"/>
    </row>
    <row r="1185" spans="1:29">
      <c r="A1185" s="151" t="s">
        <v>3572</v>
      </c>
      <c r="B1185" s="151" t="s">
        <v>6186</v>
      </c>
      <c r="C1185" s="151" t="s">
        <v>3589</v>
      </c>
      <c r="D1185" s="151" t="s">
        <v>17</v>
      </c>
      <c r="E1185" s="151" t="s">
        <v>6187</v>
      </c>
      <c r="F1185" s="151" t="s">
        <v>3591</v>
      </c>
      <c r="G1185" s="151" t="s">
        <v>3575</v>
      </c>
      <c r="H1185" s="151" t="s">
        <v>361</v>
      </c>
      <c r="I1185" s="151" t="s">
        <v>1184</v>
      </c>
      <c r="J1185" s="151" t="s">
        <v>361</v>
      </c>
      <c r="K1185" s="151" t="s">
        <v>361</v>
      </c>
      <c r="L1185" s="151" t="s">
        <v>361</v>
      </c>
      <c r="M1185" s="151" t="s">
        <v>361</v>
      </c>
      <c r="N1185" s="151"/>
      <c r="O1185" s="151"/>
      <c r="P1185" s="151"/>
      <c r="Q1185" s="151"/>
      <c r="R1185" s="151" t="s">
        <v>3576</v>
      </c>
      <c r="S1185" s="151" t="s">
        <v>3577</v>
      </c>
      <c r="T1185" s="151"/>
      <c r="U1185" s="151"/>
      <c r="V1185" s="151"/>
      <c r="W1185" s="151"/>
      <c r="X1185" s="151"/>
      <c r="Y1185" s="151"/>
      <c r="Z1185" s="151"/>
      <c r="AA1185" s="151"/>
      <c r="AB1185" s="151"/>
      <c r="AC1185" s="342"/>
    </row>
    <row r="1186" spans="1:29" ht="120">
      <c r="A1186" s="151" t="s">
        <v>3593</v>
      </c>
      <c r="B1186" s="151" t="s">
        <v>3797</v>
      </c>
      <c r="C1186" s="151" t="s">
        <v>3756</v>
      </c>
      <c r="D1186" s="151" t="s">
        <v>17</v>
      </c>
      <c r="E1186" s="151" t="s">
        <v>6188</v>
      </c>
      <c r="F1186" s="151" t="s">
        <v>2527</v>
      </c>
      <c r="G1186" s="151" t="s">
        <v>2173</v>
      </c>
      <c r="H1186" s="151" t="s">
        <v>1183</v>
      </c>
      <c r="I1186" s="151" t="s">
        <v>1184</v>
      </c>
      <c r="J1186" s="151" t="s">
        <v>803</v>
      </c>
      <c r="K1186" s="151" t="s">
        <v>3749</v>
      </c>
      <c r="L1186" s="151" t="s">
        <v>3648</v>
      </c>
      <c r="M1186" s="151" t="s">
        <v>361</v>
      </c>
      <c r="N1186" s="341" t="s">
        <v>6189</v>
      </c>
      <c r="O1186" s="151">
        <v>2212898</v>
      </c>
      <c r="P1186" s="151"/>
      <c r="Q1186" s="151"/>
      <c r="R1186" s="151" t="s">
        <v>2177</v>
      </c>
      <c r="S1186" s="151" t="s">
        <v>361</v>
      </c>
      <c r="T1186" s="151" t="s">
        <v>3760</v>
      </c>
      <c r="U1186" s="151" t="s">
        <v>3644</v>
      </c>
      <c r="V1186" s="151">
        <v>22</v>
      </c>
      <c r="W1186" s="151" t="s">
        <v>3644</v>
      </c>
      <c r="X1186" s="151" t="s">
        <v>2445</v>
      </c>
      <c r="Y1186" s="151" t="s">
        <v>3644</v>
      </c>
      <c r="Z1186" s="151"/>
      <c r="AA1186" s="151"/>
      <c r="AB1186" s="151"/>
      <c r="AC1186" s="342"/>
    </row>
    <row r="1187" spans="1:29" ht="120">
      <c r="A1187" s="151" t="s">
        <v>3593</v>
      </c>
      <c r="B1187" s="151" t="s">
        <v>3797</v>
      </c>
      <c r="C1187" s="151" t="s">
        <v>3756</v>
      </c>
      <c r="D1187" s="151" t="s">
        <v>17</v>
      </c>
      <c r="E1187" s="151" t="s">
        <v>6190</v>
      </c>
      <c r="F1187" s="151" t="s">
        <v>2527</v>
      </c>
      <c r="G1187" s="151" t="s">
        <v>2173</v>
      </c>
      <c r="H1187" s="151" t="s">
        <v>1183</v>
      </c>
      <c r="I1187" s="151" t="s">
        <v>1184</v>
      </c>
      <c r="J1187" s="151" t="s">
        <v>803</v>
      </c>
      <c r="K1187" s="151" t="s">
        <v>3741</v>
      </c>
      <c r="L1187" s="151" t="s">
        <v>3648</v>
      </c>
      <c r="M1187" s="151" t="s">
        <v>361</v>
      </c>
      <c r="N1187" s="341" t="s">
        <v>6191</v>
      </c>
      <c r="O1187" s="151">
        <v>2212898</v>
      </c>
      <c r="P1187" s="151"/>
      <c r="Q1187" s="151"/>
      <c r="R1187" s="151" t="s">
        <v>2177</v>
      </c>
      <c r="S1187" s="151" t="s">
        <v>361</v>
      </c>
      <c r="T1187" s="151" t="s">
        <v>3760</v>
      </c>
      <c r="U1187" s="151" t="s">
        <v>3644</v>
      </c>
      <c r="V1187" s="151">
        <v>22</v>
      </c>
      <c r="W1187" s="151" t="s">
        <v>3644</v>
      </c>
      <c r="X1187" s="151" t="s">
        <v>2445</v>
      </c>
      <c r="Y1187" s="151" t="s">
        <v>3644</v>
      </c>
      <c r="Z1187" s="151"/>
      <c r="AA1187" s="151"/>
      <c r="AB1187" s="151"/>
      <c r="AC1187" s="342"/>
    </row>
    <row r="1188" spans="1:29" ht="120">
      <c r="A1188" s="151" t="s">
        <v>3593</v>
      </c>
      <c r="B1188" s="151" t="s">
        <v>3802</v>
      </c>
      <c r="C1188" s="151" t="s">
        <v>3756</v>
      </c>
      <c r="D1188" s="151" t="s">
        <v>17</v>
      </c>
      <c r="E1188" s="151" t="s">
        <v>6192</v>
      </c>
      <c r="F1188" s="151" t="s">
        <v>2527</v>
      </c>
      <c r="G1188" s="151" t="s">
        <v>2173</v>
      </c>
      <c r="H1188" s="151" t="s">
        <v>1183</v>
      </c>
      <c r="I1188" s="151" t="s">
        <v>1184</v>
      </c>
      <c r="J1188" s="151" t="s">
        <v>803</v>
      </c>
      <c r="K1188" s="151" t="s">
        <v>6193</v>
      </c>
      <c r="L1188" s="151" t="s">
        <v>3648</v>
      </c>
      <c r="M1188" s="151" t="s">
        <v>361</v>
      </c>
      <c r="N1188" s="341" t="s">
        <v>6194</v>
      </c>
      <c r="O1188" s="151">
        <v>2212898</v>
      </c>
      <c r="P1188" s="151"/>
      <c r="Q1188" s="151"/>
      <c r="R1188" s="151" t="s">
        <v>2177</v>
      </c>
      <c r="S1188" s="151" t="s">
        <v>361</v>
      </c>
      <c r="T1188" s="151" t="s">
        <v>3760</v>
      </c>
      <c r="U1188" s="151" t="s">
        <v>3644</v>
      </c>
      <c r="V1188" s="151">
        <v>22</v>
      </c>
      <c r="W1188" s="151" t="s">
        <v>3644</v>
      </c>
      <c r="X1188" s="151" t="s">
        <v>2445</v>
      </c>
      <c r="Y1188" s="151" t="s">
        <v>3644</v>
      </c>
      <c r="Z1188" s="151"/>
      <c r="AA1188" s="151"/>
      <c r="AB1188" s="151"/>
      <c r="AC1188" s="342"/>
    </row>
    <row r="1189" spans="1:29" ht="120">
      <c r="A1189" s="151" t="s">
        <v>3593</v>
      </c>
      <c r="B1189" s="151" t="s">
        <v>3802</v>
      </c>
      <c r="C1189" s="151" t="s">
        <v>3756</v>
      </c>
      <c r="D1189" s="151" t="s">
        <v>17</v>
      </c>
      <c r="E1189" s="151" t="s">
        <v>6195</v>
      </c>
      <c r="F1189" s="151" t="s">
        <v>2527</v>
      </c>
      <c r="G1189" s="151" t="s">
        <v>2173</v>
      </c>
      <c r="H1189" s="151" t="s">
        <v>1183</v>
      </c>
      <c r="I1189" s="151" t="s">
        <v>1184</v>
      </c>
      <c r="J1189" s="151" t="s">
        <v>803</v>
      </c>
      <c r="K1189" s="151" t="s">
        <v>6196</v>
      </c>
      <c r="L1189" s="151" t="s">
        <v>3648</v>
      </c>
      <c r="M1189" s="151" t="s">
        <v>361</v>
      </c>
      <c r="N1189" s="341" t="s">
        <v>6197</v>
      </c>
      <c r="O1189" s="151">
        <v>2212898</v>
      </c>
      <c r="P1189" s="151"/>
      <c r="Q1189" s="151"/>
      <c r="R1189" s="151" t="s">
        <v>2177</v>
      </c>
      <c r="S1189" s="151" t="s">
        <v>361</v>
      </c>
      <c r="T1189" s="151" t="s">
        <v>3760</v>
      </c>
      <c r="U1189" s="151" t="s">
        <v>3644</v>
      </c>
      <c r="V1189" s="151">
        <v>22</v>
      </c>
      <c r="W1189" s="151" t="s">
        <v>3644</v>
      </c>
      <c r="X1189" s="151" t="s">
        <v>2445</v>
      </c>
      <c r="Y1189" s="151" t="s">
        <v>3644</v>
      </c>
      <c r="Z1189" s="151"/>
      <c r="AA1189" s="151"/>
      <c r="AB1189" s="151"/>
      <c r="AC1189" s="342"/>
    </row>
    <row r="1190" spans="1:29" ht="120">
      <c r="A1190" s="151" t="s">
        <v>3593</v>
      </c>
      <c r="B1190" s="151" t="s">
        <v>3806</v>
      </c>
      <c r="C1190" s="151" t="s">
        <v>3756</v>
      </c>
      <c r="D1190" s="151" t="s">
        <v>17</v>
      </c>
      <c r="E1190" s="151" t="s">
        <v>6198</v>
      </c>
      <c r="F1190" s="151" t="s">
        <v>2527</v>
      </c>
      <c r="G1190" s="151" t="s">
        <v>2173</v>
      </c>
      <c r="H1190" s="151" t="s">
        <v>1183</v>
      </c>
      <c r="I1190" s="151" t="s">
        <v>1184</v>
      </c>
      <c r="J1190" s="151" t="s">
        <v>803</v>
      </c>
      <c r="K1190" s="151" t="s">
        <v>3811</v>
      </c>
      <c r="L1190" s="151" t="s">
        <v>3648</v>
      </c>
      <c r="M1190" s="151" t="s">
        <v>361</v>
      </c>
      <c r="N1190" s="341" t="s">
        <v>6199</v>
      </c>
      <c r="O1190" s="151">
        <v>2212898</v>
      </c>
      <c r="P1190" s="151"/>
      <c r="Q1190" s="151"/>
      <c r="R1190" s="151" t="s">
        <v>2177</v>
      </c>
      <c r="S1190" s="151" t="s">
        <v>361</v>
      </c>
      <c r="T1190" s="151" t="s">
        <v>3760</v>
      </c>
      <c r="U1190" s="151" t="s">
        <v>3644</v>
      </c>
      <c r="V1190" s="151">
        <v>22</v>
      </c>
      <c r="W1190" s="151" t="s">
        <v>3644</v>
      </c>
      <c r="X1190" s="151" t="s">
        <v>2445</v>
      </c>
      <c r="Y1190" s="151" t="s">
        <v>3644</v>
      </c>
      <c r="Z1190" s="151"/>
      <c r="AA1190" s="151"/>
      <c r="AB1190" s="151"/>
      <c r="AC1190" s="342"/>
    </row>
    <row r="1191" spans="1:29" ht="120">
      <c r="A1191" s="151" t="s">
        <v>3593</v>
      </c>
      <c r="B1191" s="151" t="s">
        <v>3806</v>
      </c>
      <c r="C1191" s="151" t="s">
        <v>3756</v>
      </c>
      <c r="D1191" s="151" t="s">
        <v>17</v>
      </c>
      <c r="E1191" s="151" t="s">
        <v>6200</v>
      </c>
      <c r="F1191" s="151" t="s">
        <v>2527</v>
      </c>
      <c r="G1191" s="151" t="s">
        <v>2173</v>
      </c>
      <c r="H1191" s="151" t="s">
        <v>1183</v>
      </c>
      <c r="I1191" s="151" t="s">
        <v>1184</v>
      </c>
      <c r="J1191" s="151" t="s">
        <v>803</v>
      </c>
      <c r="K1191" s="151" t="s">
        <v>3758</v>
      </c>
      <c r="L1191" s="151" t="s">
        <v>3648</v>
      </c>
      <c r="M1191" s="151" t="s">
        <v>361</v>
      </c>
      <c r="N1191" s="341" t="s">
        <v>6201</v>
      </c>
      <c r="O1191" s="151">
        <v>2212898</v>
      </c>
      <c r="P1191" s="151"/>
      <c r="Q1191" s="151"/>
      <c r="R1191" s="151" t="s">
        <v>2177</v>
      </c>
      <c r="S1191" s="151" t="s">
        <v>361</v>
      </c>
      <c r="T1191" s="151" t="s">
        <v>3760</v>
      </c>
      <c r="U1191" s="151" t="s">
        <v>3644</v>
      </c>
      <c r="V1191" s="151">
        <v>22</v>
      </c>
      <c r="W1191" s="151" t="s">
        <v>3644</v>
      </c>
      <c r="X1191" s="151" t="s">
        <v>2445</v>
      </c>
      <c r="Y1191" s="151" t="s">
        <v>3644</v>
      </c>
      <c r="Z1191" s="151"/>
      <c r="AA1191" s="151"/>
      <c r="AB1191" s="151"/>
      <c r="AC1191" s="342"/>
    </row>
    <row r="1192" spans="1:29" ht="120">
      <c r="A1192" s="151" t="s">
        <v>3593</v>
      </c>
      <c r="B1192" s="151" t="s">
        <v>3797</v>
      </c>
      <c r="C1192" s="151" t="s">
        <v>3756</v>
      </c>
      <c r="D1192" s="151" t="s">
        <v>17</v>
      </c>
      <c r="E1192" s="151" t="s">
        <v>6202</v>
      </c>
      <c r="F1192" s="151" t="s">
        <v>2527</v>
      </c>
      <c r="G1192" s="151" t="s">
        <v>2173</v>
      </c>
      <c r="H1192" s="151" t="s">
        <v>1183</v>
      </c>
      <c r="I1192" s="151" t="s">
        <v>1184</v>
      </c>
      <c r="J1192" s="151" t="s">
        <v>803</v>
      </c>
      <c r="K1192" s="151" t="s">
        <v>6203</v>
      </c>
      <c r="L1192" s="151" t="s">
        <v>3648</v>
      </c>
      <c r="M1192" s="151" t="s">
        <v>361</v>
      </c>
      <c r="N1192" s="341" t="s">
        <v>6204</v>
      </c>
      <c r="O1192" s="151">
        <v>2212898</v>
      </c>
      <c r="P1192" s="151"/>
      <c r="Q1192" s="151"/>
      <c r="R1192" s="151" t="s">
        <v>2177</v>
      </c>
      <c r="S1192" s="151" t="s">
        <v>361</v>
      </c>
      <c r="T1192" s="151" t="s">
        <v>3760</v>
      </c>
      <c r="U1192" s="151" t="s">
        <v>3644</v>
      </c>
      <c r="V1192" s="151">
        <v>22</v>
      </c>
      <c r="W1192" s="151" t="s">
        <v>3644</v>
      </c>
      <c r="X1192" s="151" t="s">
        <v>2445</v>
      </c>
      <c r="Y1192" s="151" t="s">
        <v>3644</v>
      </c>
      <c r="Z1192" s="151"/>
      <c r="AA1192" s="151"/>
      <c r="AB1192" s="151"/>
      <c r="AC1192" s="342"/>
    </row>
    <row r="1193" spans="1:29" ht="120">
      <c r="A1193" s="151" t="s">
        <v>3593</v>
      </c>
      <c r="B1193" s="151" t="s">
        <v>3802</v>
      </c>
      <c r="C1193" s="151" t="s">
        <v>3756</v>
      </c>
      <c r="D1193" s="151" t="s">
        <v>17</v>
      </c>
      <c r="E1193" s="151" t="s">
        <v>6205</v>
      </c>
      <c r="F1193" s="151" t="s">
        <v>2527</v>
      </c>
      <c r="G1193" s="151" t="s">
        <v>2173</v>
      </c>
      <c r="H1193" s="151" t="s">
        <v>1183</v>
      </c>
      <c r="I1193" s="151" t="s">
        <v>1184</v>
      </c>
      <c r="J1193" s="151" t="s">
        <v>803</v>
      </c>
      <c r="K1193" s="151" t="s">
        <v>6206</v>
      </c>
      <c r="L1193" s="151" t="s">
        <v>3648</v>
      </c>
      <c r="M1193" s="151" t="s">
        <v>361</v>
      </c>
      <c r="N1193" s="341" t="s">
        <v>6207</v>
      </c>
      <c r="O1193" s="151">
        <v>2212898</v>
      </c>
      <c r="P1193" s="151"/>
      <c r="Q1193" s="151"/>
      <c r="R1193" s="151" t="s">
        <v>2177</v>
      </c>
      <c r="S1193" s="151" t="s">
        <v>361</v>
      </c>
      <c r="T1193" s="151" t="s">
        <v>3760</v>
      </c>
      <c r="U1193" s="151" t="s">
        <v>3644</v>
      </c>
      <c r="V1193" s="151">
        <v>22</v>
      </c>
      <c r="W1193" s="151" t="s">
        <v>3644</v>
      </c>
      <c r="X1193" s="151" t="s">
        <v>2445</v>
      </c>
      <c r="Y1193" s="151" t="s">
        <v>3644</v>
      </c>
      <c r="Z1193" s="151"/>
      <c r="AA1193" s="151"/>
      <c r="AB1193" s="151"/>
      <c r="AC1193" s="342"/>
    </row>
    <row r="1194" spans="1:29" ht="120">
      <c r="A1194" s="151" t="s">
        <v>3593</v>
      </c>
      <c r="B1194" s="151" t="s">
        <v>3806</v>
      </c>
      <c r="C1194" s="151" t="s">
        <v>3756</v>
      </c>
      <c r="D1194" s="151" t="s">
        <v>17</v>
      </c>
      <c r="E1194" s="151" t="s">
        <v>6208</v>
      </c>
      <c r="F1194" s="151" t="s">
        <v>2527</v>
      </c>
      <c r="G1194" s="151" t="s">
        <v>2173</v>
      </c>
      <c r="H1194" s="151" t="s">
        <v>1183</v>
      </c>
      <c r="I1194" s="151" t="s">
        <v>1184</v>
      </c>
      <c r="J1194" s="151" t="s">
        <v>803</v>
      </c>
      <c r="K1194" s="151" t="s">
        <v>6209</v>
      </c>
      <c r="L1194" s="151" t="s">
        <v>3648</v>
      </c>
      <c r="M1194" s="151" t="s">
        <v>361</v>
      </c>
      <c r="N1194" s="341" t="s">
        <v>6210</v>
      </c>
      <c r="O1194" s="151">
        <v>2212898</v>
      </c>
      <c r="P1194" s="151"/>
      <c r="Q1194" s="151"/>
      <c r="R1194" s="151" t="s">
        <v>2177</v>
      </c>
      <c r="S1194" s="151" t="s">
        <v>361</v>
      </c>
      <c r="T1194" s="151" t="s">
        <v>3760</v>
      </c>
      <c r="U1194" s="151" t="s">
        <v>3644</v>
      </c>
      <c r="V1194" s="151">
        <v>22</v>
      </c>
      <c r="W1194" s="151" t="s">
        <v>3644</v>
      </c>
      <c r="X1194" s="151" t="s">
        <v>2445</v>
      </c>
      <c r="Y1194" s="151" t="s">
        <v>3644</v>
      </c>
      <c r="Z1194" s="151"/>
      <c r="AA1194" s="151"/>
      <c r="AB1194" s="151"/>
      <c r="AC1194" s="342"/>
    </row>
    <row r="1195" spans="1:29" ht="120">
      <c r="A1195" s="151" t="s">
        <v>3593</v>
      </c>
      <c r="B1195" s="151" t="s">
        <v>3797</v>
      </c>
      <c r="C1195" s="151" t="s">
        <v>3756</v>
      </c>
      <c r="D1195" s="151" t="s">
        <v>17</v>
      </c>
      <c r="E1195" s="151" t="s">
        <v>6211</v>
      </c>
      <c r="F1195" s="151" t="s">
        <v>2527</v>
      </c>
      <c r="G1195" s="151" t="s">
        <v>2173</v>
      </c>
      <c r="H1195" s="151" t="s">
        <v>1183</v>
      </c>
      <c r="I1195" s="151" t="s">
        <v>1184</v>
      </c>
      <c r="J1195" s="151" t="s">
        <v>803</v>
      </c>
      <c r="K1195" s="151" t="s">
        <v>6212</v>
      </c>
      <c r="L1195" s="151" t="s">
        <v>3648</v>
      </c>
      <c r="M1195" s="151" t="s">
        <v>361</v>
      </c>
      <c r="N1195" s="341" t="s">
        <v>6213</v>
      </c>
      <c r="O1195" s="151">
        <v>2212898</v>
      </c>
      <c r="P1195" s="151"/>
      <c r="Q1195" s="151"/>
      <c r="R1195" s="151" t="s">
        <v>2177</v>
      </c>
      <c r="S1195" s="151" t="s">
        <v>361</v>
      </c>
      <c r="T1195" s="151" t="s">
        <v>3760</v>
      </c>
      <c r="U1195" s="151" t="s">
        <v>3644</v>
      </c>
      <c r="V1195" s="151">
        <v>22</v>
      </c>
      <c r="W1195" s="151" t="s">
        <v>3644</v>
      </c>
      <c r="X1195" s="151" t="s">
        <v>2445</v>
      </c>
      <c r="Y1195" s="151" t="s">
        <v>3644</v>
      </c>
      <c r="Z1195" s="151"/>
      <c r="AA1195" s="151"/>
      <c r="AB1195" s="151"/>
      <c r="AC1195" s="342"/>
    </row>
    <row r="1196" spans="1:29" ht="120">
      <c r="A1196" s="151" t="s">
        <v>3593</v>
      </c>
      <c r="B1196" s="151" t="s">
        <v>3802</v>
      </c>
      <c r="C1196" s="151" t="s">
        <v>3756</v>
      </c>
      <c r="D1196" s="151" t="s">
        <v>17</v>
      </c>
      <c r="E1196" s="151" t="s">
        <v>6214</v>
      </c>
      <c r="F1196" s="151" t="s">
        <v>2527</v>
      </c>
      <c r="G1196" s="151" t="s">
        <v>2173</v>
      </c>
      <c r="H1196" s="151" t="s">
        <v>1183</v>
      </c>
      <c r="I1196" s="151" t="s">
        <v>1184</v>
      </c>
      <c r="J1196" s="151" t="s">
        <v>803</v>
      </c>
      <c r="K1196" s="151" t="s">
        <v>6215</v>
      </c>
      <c r="L1196" s="151" t="s">
        <v>3648</v>
      </c>
      <c r="M1196" s="151" t="s">
        <v>361</v>
      </c>
      <c r="N1196" s="341" t="s">
        <v>6216</v>
      </c>
      <c r="O1196" s="151">
        <v>2212898</v>
      </c>
      <c r="P1196" s="151"/>
      <c r="Q1196" s="151"/>
      <c r="R1196" s="151" t="s">
        <v>2177</v>
      </c>
      <c r="S1196" s="151" t="s">
        <v>361</v>
      </c>
      <c r="T1196" s="151" t="s">
        <v>3760</v>
      </c>
      <c r="U1196" s="151" t="s">
        <v>3644</v>
      </c>
      <c r="V1196" s="151">
        <v>22</v>
      </c>
      <c r="W1196" s="151" t="s">
        <v>3644</v>
      </c>
      <c r="X1196" s="151" t="s">
        <v>2445</v>
      </c>
      <c r="Y1196" s="151" t="s">
        <v>3644</v>
      </c>
      <c r="Z1196" s="151"/>
      <c r="AA1196" s="151"/>
      <c r="AB1196" s="151"/>
      <c r="AC1196" s="342"/>
    </row>
    <row r="1197" spans="1:29" ht="135">
      <c r="A1197" s="151" t="s">
        <v>3593</v>
      </c>
      <c r="B1197" s="151" t="s">
        <v>3806</v>
      </c>
      <c r="C1197" s="151" t="s">
        <v>3756</v>
      </c>
      <c r="D1197" s="151" t="s">
        <v>17</v>
      </c>
      <c r="E1197" s="151" t="s">
        <v>6217</v>
      </c>
      <c r="F1197" s="151" t="s">
        <v>2527</v>
      </c>
      <c r="G1197" s="151" t="s">
        <v>2173</v>
      </c>
      <c r="H1197" s="151" t="s">
        <v>1183</v>
      </c>
      <c r="I1197" s="151" t="s">
        <v>1184</v>
      </c>
      <c r="J1197" s="151" t="s">
        <v>803</v>
      </c>
      <c r="K1197" s="151" t="s">
        <v>6218</v>
      </c>
      <c r="L1197" s="151" t="s">
        <v>3648</v>
      </c>
      <c r="M1197" s="151" t="s">
        <v>361</v>
      </c>
      <c r="N1197" s="341" t="s">
        <v>6219</v>
      </c>
      <c r="O1197" s="151">
        <v>2212898</v>
      </c>
      <c r="P1197" s="151"/>
      <c r="Q1197" s="151"/>
      <c r="R1197" s="151" t="s">
        <v>2177</v>
      </c>
      <c r="S1197" s="151" t="s">
        <v>361</v>
      </c>
      <c r="T1197" s="151" t="s">
        <v>3760</v>
      </c>
      <c r="U1197" s="151" t="s">
        <v>3644</v>
      </c>
      <c r="V1197" s="151">
        <v>22</v>
      </c>
      <c r="W1197" s="151" t="s">
        <v>3644</v>
      </c>
      <c r="X1197" s="151" t="s">
        <v>2445</v>
      </c>
      <c r="Y1197" s="151" t="s">
        <v>3644</v>
      </c>
      <c r="Z1197" s="151"/>
      <c r="AA1197" s="151"/>
      <c r="AB1197" s="151"/>
      <c r="AC1197" s="342"/>
    </row>
    <row r="1198" spans="1:29" ht="120">
      <c r="A1198" s="151" t="s">
        <v>3593</v>
      </c>
      <c r="B1198" s="151" t="s">
        <v>3797</v>
      </c>
      <c r="C1198" s="151" t="s">
        <v>3756</v>
      </c>
      <c r="D1198" s="151" t="s">
        <v>17</v>
      </c>
      <c r="E1198" s="151" t="s">
        <v>6220</v>
      </c>
      <c r="F1198" s="151" t="s">
        <v>2527</v>
      </c>
      <c r="G1198" s="151" t="s">
        <v>2173</v>
      </c>
      <c r="H1198" s="151" t="s">
        <v>1183</v>
      </c>
      <c r="I1198" s="151" t="s">
        <v>1184</v>
      </c>
      <c r="J1198" s="151" t="s">
        <v>803</v>
      </c>
      <c r="K1198" s="151" t="s">
        <v>6221</v>
      </c>
      <c r="L1198" s="151" t="s">
        <v>3648</v>
      </c>
      <c r="M1198" s="151" t="s">
        <v>361</v>
      </c>
      <c r="N1198" s="341" t="s">
        <v>6222</v>
      </c>
      <c r="O1198" s="151">
        <v>2212898</v>
      </c>
      <c r="P1198" s="151"/>
      <c r="Q1198" s="151"/>
      <c r="R1198" s="151" t="s">
        <v>2177</v>
      </c>
      <c r="S1198" s="151" t="s">
        <v>361</v>
      </c>
      <c r="T1198" s="151" t="s">
        <v>3760</v>
      </c>
      <c r="U1198" s="151" t="s">
        <v>3644</v>
      </c>
      <c r="V1198" s="151">
        <v>22</v>
      </c>
      <c r="W1198" s="151" t="s">
        <v>3644</v>
      </c>
      <c r="X1198" s="151" t="s">
        <v>2445</v>
      </c>
      <c r="Y1198" s="151" t="s">
        <v>3644</v>
      </c>
      <c r="Z1198" s="151"/>
      <c r="AA1198" s="151"/>
      <c r="AB1198" s="151"/>
      <c r="AC1198" s="342"/>
    </row>
    <row r="1199" spans="1:29" ht="120">
      <c r="A1199" s="151" t="s">
        <v>3593</v>
      </c>
      <c r="B1199" s="151" t="s">
        <v>3802</v>
      </c>
      <c r="C1199" s="151" t="s">
        <v>3756</v>
      </c>
      <c r="D1199" s="151" t="s">
        <v>17</v>
      </c>
      <c r="E1199" s="151" t="s">
        <v>6223</v>
      </c>
      <c r="F1199" s="151" t="s">
        <v>2527</v>
      </c>
      <c r="G1199" s="151" t="s">
        <v>2173</v>
      </c>
      <c r="H1199" s="151" t="s">
        <v>1183</v>
      </c>
      <c r="I1199" s="151" t="s">
        <v>1184</v>
      </c>
      <c r="J1199" s="151" t="s">
        <v>803</v>
      </c>
      <c r="K1199" s="151" t="s">
        <v>6224</v>
      </c>
      <c r="L1199" s="151" t="s">
        <v>3648</v>
      </c>
      <c r="M1199" s="151" t="s">
        <v>361</v>
      </c>
      <c r="N1199" s="341" t="s">
        <v>6225</v>
      </c>
      <c r="O1199" s="151">
        <v>2212898</v>
      </c>
      <c r="P1199" s="151"/>
      <c r="Q1199" s="151"/>
      <c r="R1199" s="151" t="s">
        <v>2177</v>
      </c>
      <c r="S1199" s="151" t="s">
        <v>361</v>
      </c>
      <c r="T1199" s="151" t="s">
        <v>3760</v>
      </c>
      <c r="U1199" s="151" t="s">
        <v>3644</v>
      </c>
      <c r="V1199" s="151">
        <v>22</v>
      </c>
      <c r="W1199" s="151" t="s">
        <v>3644</v>
      </c>
      <c r="X1199" s="151" t="s">
        <v>2445</v>
      </c>
      <c r="Y1199" s="151" t="s">
        <v>3644</v>
      </c>
      <c r="Z1199" s="151"/>
      <c r="AA1199" s="151"/>
      <c r="AB1199" s="151"/>
      <c r="AC1199" s="342"/>
    </row>
    <row r="1200" spans="1:29" ht="120">
      <c r="A1200" s="151" t="s">
        <v>3593</v>
      </c>
      <c r="B1200" s="151" t="s">
        <v>3806</v>
      </c>
      <c r="C1200" s="151" t="s">
        <v>3756</v>
      </c>
      <c r="D1200" s="151" t="s">
        <v>17</v>
      </c>
      <c r="E1200" s="151" t="s">
        <v>6226</v>
      </c>
      <c r="F1200" s="151" t="s">
        <v>2527</v>
      </c>
      <c r="G1200" s="151" t="s">
        <v>2173</v>
      </c>
      <c r="H1200" s="151" t="s">
        <v>1183</v>
      </c>
      <c r="I1200" s="151" t="s">
        <v>1184</v>
      </c>
      <c r="J1200" s="151" t="s">
        <v>803</v>
      </c>
      <c r="K1200" s="151" t="s">
        <v>6227</v>
      </c>
      <c r="L1200" s="151" t="s">
        <v>3648</v>
      </c>
      <c r="M1200" s="151" t="s">
        <v>361</v>
      </c>
      <c r="N1200" s="341" t="s">
        <v>6228</v>
      </c>
      <c r="O1200" s="151">
        <v>2212898</v>
      </c>
      <c r="P1200" s="151"/>
      <c r="Q1200" s="151"/>
      <c r="R1200" s="151" t="s">
        <v>2177</v>
      </c>
      <c r="S1200" s="151" t="s">
        <v>361</v>
      </c>
      <c r="T1200" s="151" t="s">
        <v>3760</v>
      </c>
      <c r="U1200" s="151" t="s">
        <v>3644</v>
      </c>
      <c r="V1200" s="151">
        <v>22</v>
      </c>
      <c r="W1200" s="151" t="s">
        <v>3644</v>
      </c>
      <c r="X1200" s="151" t="s">
        <v>2445</v>
      </c>
      <c r="Y1200" s="151" t="s">
        <v>3644</v>
      </c>
      <c r="Z1200" s="151"/>
      <c r="AA1200" s="151"/>
      <c r="AB1200" s="151"/>
      <c r="AC1200" s="342"/>
    </row>
    <row r="1201" spans="1:29" ht="120">
      <c r="A1201" s="151" t="s">
        <v>3593</v>
      </c>
      <c r="B1201" s="151" t="s">
        <v>3797</v>
      </c>
      <c r="C1201" s="151" t="s">
        <v>3756</v>
      </c>
      <c r="D1201" s="151" t="s">
        <v>17</v>
      </c>
      <c r="E1201" s="151" t="s">
        <v>6229</v>
      </c>
      <c r="F1201" s="151" t="s">
        <v>2527</v>
      </c>
      <c r="G1201" s="151" t="s">
        <v>2173</v>
      </c>
      <c r="H1201" s="151" t="s">
        <v>1183</v>
      </c>
      <c r="I1201" s="151" t="s">
        <v>1184</v>
      </c>
      <c r="J1201" s="151" t="s">
        <v>803</v>
      </c>
      <c r="K1201" s="151" t="s">
        <v>6230</v>
      </c>
      <c r="L1201" s="151" t="s">
        <v>3648</v>
      </c>
      <c r="M1201" s="151" t="s">
        <v>361</v>
      </c>
      <c r="N1201" s="341" t="s">
        <v>6231</v>
      </c>
      <c r="O1201" s="151">
        <v>2212898</v>
      </c>
      <c r="P1201" s="151"/>
      <c r="Q1201" s="151"/>
      <c r="R1201" s="151" t="s">
        <v>2177</v>
      </c>
      <c r="S1201" s="151" t="s">
        <v>361</v>
      </c>
      <c r="T1201" s="151" t="s">
        <v>3760</v>
      </c>
      <c r="U1201" s="151" t="s">
        <v>3644</v>
      </c>
      <c r="V1201" s="151">
        <v>22</v>
      </c>
      <c r="W1201" s="151" t="s">
        <v>3644</v>
      </c>
      <c r="X1201" s="151" t="s">
        <v>2445</v>
      </c>
      <c r="Y1201" s="151" t="s">
        <v>3644</v>
      </c>
      <c r="Z1201" s="151"/>
      <c r="AA1201" s="151"/>
      <c r="AB1201" s="151"/>
      <c r="AC1201" s="342"/>
    </row>
    <row r="1202" spans="1:29" ht="135">
      <c r="A1202" s="151" t="s">
        <v>3593</v>
      </c>
      <c r="B1202" s="151" t="s">
        <v>3802</v>
      </c>
      <c r="C1202" s="151" t="s">
        <v>3756</v>
      </c>
      <c r="D1202" s="151" t="s">
        <v>17</v>
      </c>
      <c r="E1202" s="151" t="s">
        <v>6232</v>
      </c>
      <c r="F1202" s="151" t="s">
        <v>2527</v>
      </c>
      <c r="G1202" s="151" t="s">
        <v>2173</v>
      </c>
      <c r="H1202" s="151" t="s">
        <v>1183</v>
      </c>
      <c r="I1202" s="151" t="s">
        <v>1184</v>
      </c>
      <c r="J1202" s="151" t="s">
        <v>803</v>
      </c>
      <c r="K1202" s="151" t="s">
        <v>6233</v>
      </c>
      <c r="L1202" s="151" t="s">
        <v>3648</v>
      </c>
      <c r="M1202" s="151" t="s">
        <v>361</v>
      </c>
      <c r="N1202" s="341" t="s">
        <v>6234</v>
      </c>
      <c r="O1202" s="151">
        <v>2212898</v>
      </c>
      <c r="P1202" s="151"/>
      <c r="Q1202" s="151"/>
      <c r="R1202" s="151" t="s">
        <v>2177</v>
      </c>
      <c r="S1202" s="151" t="s">
        <v>361</v>
      </c>
      <c r="T1202" s="151" t="s">
        <v>3760</v>
      </c>
      <c r="U1202" s="151" t="s">
        <v>3644</v>
      </c>
      <c r="V1202" s="151">
        <v>22</v>
      </c>
      <c r="W1202" s="151" t="s">
        <v>3644</v>
      </c>
      <c r="X1202" s="151" t="s">
        <v>2445</v>
      </c>
      <c r="Y1202" s="151" t="s">
        <v>3644</v>
      </c>
      <c r="Z1202" s="151"/>
      <c r="AA1202" s="151"/>
      <c r="AB1202" s="151"/>
      <c r="AC1202" s="342"/>
    </row>
    <row r="1203" spans="1:29" ht="120">
      <c r="A1203" s="151" t="s">
        <v>3593</v>
      </c>
      <c r="B1203" s="151" t="s">
        <v>3806</v>
      </c>
      <c r="C1203" s="151" t="s">
        <v>3756</v>
      </c>
      <c r="D1203" s="151" t="s">
        <v>17</v>
      </c>
      <c r="E1203" s="151" t="s">
        <v>6235</v>
      </c>
      <c r="F1203" s="151" t="s">
        <v>2527</v>
      </c>
      <c r="G1203" s="151" t="s">
        <v>2173</v>
      </c>
      <c r="H1203" s="151" t="s">
        <v>1183</v>
      </c>
      <c r="I1203" s="151" t="s">
        <v>1184</v>
      </c>
      <c r="J1203" s="151" t="s">
        <v>803</v>
      </c>
      <c r="K1203" s="151" t="s">
        <v>6236</v>
      </c>
      <c r="L1203" s="151" t="s">
        <v>3648</v>
      </c>
      <c r="M1203" s="151" t="s">
        <v>361</v>
      </c>
      <c r="N1203" s="341" t="s">
        <v>6237</v>
      </c>
      <c r="O1203" s="151">
        <v>2212898</v>
      </c>
      <c r="P1203" s="151"/>
      <c r="Q1203" s="151"/>
      <c r="R1203" s="151" t="s">
        <v>2177</v>
      </c>
      <c r="S1203" s="151" t="s">
        <v>361</v>
      </c>
      <c r="T1203" s="151" t="s">
        <v>3760</v>
      </c>
      <c r="U1203" s="151" t="s">
        <v>3644</v>
      </c>
      <c r="V1203" s="151">
        <v>22</v>
      </c>
      <c r="W1203" s="151" t="s">
        <v>3644</v>
      </c>
      <c r="X1203" s="151" t="s">
        <v>2445</v>
      </c>
      <c r="Y1203" s="151" t="s">
        <v>3644</v>
      </c>
      <c r="Z1203" s="151"/>
      <c r="AA1203" s="151"/>
      <c r="AB1203" s="151"/>
      <c r="AC1203" s="342"/>
    </row>
    <row r="1204" spans="1:29">
      <c r="F1204"/>
      <c r="G1204"/>
      <c r="H1204"/>
      <c r="I1204"/>
      <c r="J1204"/>
      <c r="K1204"/>
      <c r="L1204"/>
      <c r="M1204"/>
      <c r="N1204"/>
      <c r="O1204"/>
      <c r="P1204"/>
      <c r="Q1204"/>
      <c r="R1204"/>
      <c r="S1204"/>
      <c r="T1204"/>
      <c r="U1204"/>
      <c r="V1204"/>
      <c r="W1204"/>
      <c r="X1204"/>
      <c r="Y1204"/>
      <c r="Z1204"/>
      <c r="AA1204"/>
      <c r="AB1204"/>
    </row>
    <row r="1205" spans="1:29">
      <c r="F1205"/>
      <c r="G1205"/>
      <c r="H1205"/>
      <c r="I1205"/>
      <c r="J1205"/>
      <c r="L1205"/>
      <c r="M1205"/>
      <c r="N1205"/>
      <c r="O1205"/>
      <c r="P1205"/>
      <c r="Q1205"/>
      <c r="R1205"/>
      <c r="S1205"/>
      <c r="T1205"/>
      <c r="U1205"/>
      <c r="V1205"/>
      <c r="W1205"/>
      <c r="X1205"/>
      <c r="Y1205"/>
      <c r="Z1205"/>
      <c r="AA1205"/>
      <c r="AB1205"/>
    </row>
    <row r="1206" spans="1:29">
      <c r="F1206"/>
      <c r="G1206"/>
      <c r="H1206"/>
      <c r="I1206"/>
      <c r="J1206"/>
      <c r="K1206"/>
      <c r="L1206"/>
      <c r="M1206"/>
      <c r="N1206"/>
      <c r="O1206"/>
      <c r="P1206"/>
      <c r="Q1206"/>
      <c r="R1206"/>
      <c r="S1206"/>
      <c r="T1206"/>
      <c r="U1206"/>
      <c r="V1206"/>
      <c r="W1206"/>
      <c r="X1206"/>
      <c r="Y1206"/>
      <c r="Z1206"/>
      <c r="AA1206"/>
      <c r="AB1206"/>
    </row>
    <row r="1207" spans="1:29">
      <c r="F1207"/>
      <c r="G1207"/>
      <c r="H1207"/>
      <c r="I1207"/>
      <c r="J1207" s="430"/>
      <c r="K1207"/>
      <c r="L1207"/>
      <c r="M1207"/>
      <c r="N1207"/>
      <c r="O1207"/>
      <c r="P1207"/>
      <c r="Q1207"/>
      <c r="R1207"/>
      <c r="S1207"/>
      <c r="T1207"/>
      <c r="U1207"/>
      <c r="V1207"/>
      <c r="W1207"/>
      <c r="X1207"/>
      <c r="Y1207"/>
      <c r="Z1207"/>
      <c r="AA1207"/>
      <c r="AB1207"/>
    </row>
    <row r="1208" spans="1:29">
      <c r="F1208" s="374"/>
      <c r="G1208" s="374"/>
      <c r="H1208" s="374"/>
      <c r="I1208" s="374"/>
      <c r="J1208" s="374"/>
      <c r="K1208" s="374"/>
      <c r="L1208" s="374"/>
      <c r="M1208" s="374"/>
      <c r="N1208" s="374"/>
      <c r="O1208" s="374"/>
      <c r="P1208" s="374"/>
      <c r="Q1208" s="374"/>
      <c r="R1208" s="409"/>
      <c r="S1208" s="374"/>
      <c r="T1208"/>
      <c r="U1208"/>
      <c r="V1208"/>
      <c r="W1208"/>
      <c r="X1208"/>
      <c r="Y1208"/>
      <c r="Z1208"/>
      <c r="AA1208"/>
      <c r="AB1208"/>
    </row>
    <row r="1209" spans="1:29">
      <c r="F1209" s="374"/>
      <c r="G1209" s="374"/>
      <c r="H1209" s="374"/>
      <c r="I1209" s="374"/>
      <c r="J1209" s="374"/>
      <c r="K1209" s="374"/>
      <c r="L1209" s="374"/>
      <c r="M1209" s="374"/>
      <c r="N1209" s="374"/>
      <c r="O1209" s="374"/>
      <c r="P1209" s="374"/>
      <c r="Q1209" s="374"/>
      <c r="R1209" s="409"/>
      <c r="S1209" s="374"/>
      <c r="T1209"/>
      <c r="U1209"/>
      <c r="V1209"/>
      <c r="W1209"/>
      <c r="X1209"/>
      <c r="Y1209"/>
      <c r="Z1209"/>
      <c r="AA1209"/>
      <c r="AB1209"/>
    </row>
    <row r="1210" spans="1:29">
      <c r="F1210" s="374"/>
      <c r="G1210" s="374"/>
      <c r="H1210" s="374"/>
      <c r="I1210" s="374"/>
      <c r="J1210" s="374"/>
      <c r="K1210" s="374"/>
      <c r="L1210" s="374"/>
      <c r="M1210" s="374"/>
      <c r="N1210" s="374"/>
      <c r="O1210" s="374"/>
      <c r="P1210" s="374"/>
      <c r="Q1210" s="374"/>
      <c r="R1210" s="409"/>
      <c r="S1210" s="374"/>
      <c r="T1210"/>
      <c r="U1210"/>
      <c r="V1210"/>
      <c r="W1210"/>
      <c r="X1210"/>
      <c r="Y1210"/>
      <c r="Z1210"/>
      <c r="AA1210"/>
      <c r="AB1210"/>
    </row>
    <row r="1211" spans="1:29">
      <c r="F1211" s="374"/>
      <c r="G1211" s="374"/>
      <c r="H1211" s="374"/>
      <c r="I1211" s="374"/>
      <c r="J1211" s="374"/>
      <c r="K1211" s="374"/>
      <c r="L1211" s="374"/>
      <c r="M1211" s="374"/>
      <c r="N1211" s="374"/>
      <c r="O1211" s="374"/>
      <c r="P1211" s="374"/>
      <c r="Q1211" s="374"/>
      <c r="R1211" s="409"/>
      <c r="S1211" s="374"/>
      <c r="T1211"/>
      <c r="U1211"/>
      <c r="V1211"/>
      <c r="W1211"/>
      <c r="X1211"/>
      <c r="Y1211"/>
      <c r="Z1211"/>
      <c r="AA1211"/>
      <c r="AB1211"/>
    </row>
    <row r="1212" spans="1:29">
      <c r="F1212" s="374"/>
      <c r="G1212" s="374"/>
      <c r="H1212" s="374"/>
      <c r="I1212" s="374"/>
      <c r="J1212" s="374"/>
      <c r="K1212" s="374"/>
      <c r="L1212" s="374"/>
      <c r="M1212" s="374"/>
      <c r="N1212" s="374"/>
      <c r="O1212" s="374"/>
      <c r="P1212" s="374"/>
      <c r="Q1212" s="374"/>
      <c r="R1212" s="409"/>
      <c r="S1212" s="374"/>
      <c r="T1212"/>
      <c r="U1212"/>
      <c r="V1212"/>
      <c r="W1212"/>
      <c r="X1212"/>
      <c r="Y1212"/>
      <c r="Z1212"/>
      <c r="AA1212"/>
      <c r="AB1212"/>
    </row>
    <row r="1213" spans="1:29">
      <c r="F1213" s="374"/>
      <c r="G1213" s="374"/>
      <c r="H1213" s="374"/>
      <c r="I1213" s="374"/>
      <c r="J1213" s="374"/>
      <c r="K1213" s="374"/>
      <c r="L1213" s="374"/>
      <c r="M1213" s="374"/>
      <c r="N1213" s="374"/>
      <c r="O1213" s="374"/>
      <c r="P1213" s="374"/>
      <c r="Q1213" s="374"/>
      <c r="R1213" s="409"/>
      <c r="S1213" s="374"/>
      <c r="T1213"/>
      <c r="U1213"/>
      <c r="V1213"/>
      <c r="W1213"/>
      <c r="X1213"/>
      <c r="Y1213"/>
      <c r="Z1213"/>
      <c r="AA1213"/>
      <c r="AB1213"/>
    </row>
    <row r="1214" spans="1:29">
      <c r="F1214" s="374"/>
      <c r="G1214" s="374"/>
      <c r="H1214" s="374"/>
      <c r="I1214" s="374"/>
      <c r="J1214" s="374"/>
      <c r="K1214" s="374"/>
      <c r="L1214" s="374"/>
      <c r="M1214" s="374"/>
      <c r="N1214" s="374"/>
      <c r="O1214" s="374"/>
      <c r="P1214" s="374"/>
      <c r="Q1214" s="374"/>
      <c r="R1214" s="409"/>
      <c r="S1214" s="374"/>
      <c r="T1214"/>
      <c r="U1214"/>
      <c r="V1214"/>
      <c r="W1214"/>
      <c r="X1214"/>
      <c r="Y1214"/>
      <c r="Z1214"/>
      <c r="AA1214"/>
      <c r="AB1214"/>
    </row>
    <row r="1215" spans="1:29">
      <c r="F1215" s="374"/>
      <c r="G1215" s="374"/>
      <c r="H1215" s="374"/>
      <c r="I1215" s="374"/>
      <c r="J1215" s="374"/>
      <c r="K1215" s="374"/>
      <c r="M1215" s="374"/>
      <c r="N1215" s="374"/>
      <c r="O1215" s="374"/>
      <c r="P1215" s="374"/>
      <c r="Q1215" s="374"/>
      <c r="R1215" s="409"/>
      <c r="S1215" s="374"/>
      <c r="T1215"/>
      <c r="U1215"/>
      <c r="V1215"/>
      <c r="W1215"/>
      <c r="X1215"/>
      <c r="Y1215"/>
      <c r="Z1215"/>
      <c r="AA1215"/>
      <c r="AB1215"/>
    </row>
    <row r="1216" spans="1:29">
      <c r="F1216" s="374"/>
      <c r="G1216" s="374"/>
      <c r="H1216" s="374"/>
      <c r="I1216" s="374"/>
      <c r="J1216" s="374"/>
      <c r="K1216" s="374"/>
      <c r="L1216" s="374"/>
      <c r="M1216" s="374"/>
      <c r="N1216" s="374"/>
      <c r="O1216" s="374"/>
      <c r="P1216" s="374"/>
      <c r="Q1216" s="374"/>
      <c r="R1216" s="409"/>
      <c r="S1216" s="374"/>
      <c r="T1216"/>
      <c r="U1216"/>
      <c r="V1216"/>
      <c r="W1216"/>
      <c r="X1216"/>
      <c r="Y1216"/>
      <c r="Z1216"/>
      <c r="AA1216"/>
      <c r="AB1216"/>
    </row>
    <row r="1217" spans="6:28">
      <c r="F1217" s="374"/>
      <c r="G1217" s="374"/>
      <c r="H1217" s="374"/>
      <c r="I1217" s="374"/>
      <c r="J1217" s="374"/>
      <c r="K1217" s="374"/>
      <c r="L1217" s="374"/>
      <c r="M1217" s="374"/>
      <c r="N1217" s="374"/>
      <c r="O1217" s="374"/>
      <c r="P1217" s="374"/>
      <c r="Q1217" s="374"/>
      <c r="R1217" s="409"/>
      <c r="S1217" s="374"/>
      <c r="T1217"/>
      <c r="U1217"/>
      <c r="V1217"/>
      <c r="W1217"/>
      <c r="X1217"/>
      <c r="Y1217"/>
      <c r="Z1217"/>
      <c r="AA1217"/>
      <c r="AB1217"/>
    </row>
    <row r="1218" spans="6:28">
      <c r="F1218" s="374"/>
      <c r="G1218" s="374"/>
      <c r="H1218" s="374"/>
      <c r="I1218" s="374"/>
      <c r="J1218" s="374"/>
      <c r="K1218" s="374"/>
      <c r="L1218" s="374"/>
      <c r="M1218" s="374"/>
      <c r="N1218" s="374"/>
      <c r="O1218" s="374"/>
      <c r="P1218" s="374"/>
      <c r="Q1218" s="374"/>
      <c r="R1218" s="409"/>
      <c r="S1218" s="374"/>
      <c r="T1218" s="374"/>
      <c r="U1218" s="374"/>
      <c r="V1218" s="374"/>
      <c r="W1218" s="342"/>
    </row>
    <row r="1219" spans="6:28">
      <c r="F1219" s="374"/>
      <c r="G1219" s="374"/>
      <c r="H1219" s="374"/>
      <c r="I1219" s="374"/>
      <c r="J1219" s="374"/>
      <c r="K1219" s="374"/>
      <c r="L1219" s="374"/>
      <c r="M1219" s="374"/>
      <c r="N1219" s="374"/>
      <c r="O1219" s="374"/>
      <c r="P1219" s="374"/>
      <c r="Q1219" s="374"/>
      <c r="R1219" s="409"/>
      <c r="S1219" s="374"/>
      <c r="T1219" s="374"/>
      <c r="U1219" s="374"/>
      <c r="V1219" s="374"/>
      <c r="W1219" s="342"/>
    </row>
    <row r="1220" spans="6:28">
      <c r="F1220" s="374"/>
      <c r="G1220" s="374"/>
      <c r="H1220" s="374"/>
      <c r="I1220" s="374"/>
      <c r="J1220" s="374"/>
      <c r="K1220" s="374"/>
      <c r="L1220" s="374"/>
      <c r="M1220" s="374"/>
      <c r="N1220" s="374"/>
      <c r="O1220" s="374"/>
      <c r="P1220" s="374"/>
      <c r="Q1220" s="374"/>
      <c r="R1220" s="409"/>
      <c r="S1220" s="374"/>
      <c r="T1220" s="374"/>
      <c r="U1220" s="374"/>
      <c r="V1220" s="374"/>
      <c r="W1220" s="342"/>
    </row>
    <row r="1221" spans="6:28">
      <c r="F1221" s="374"/>
      <c r="G1221" s="374"/>
      <c r="H1221" s="374"/>
      <c r="I1221" s="374"/>
      <c r="J1221" s="374"/>
      <c r="K1221" s="374"/>
      <c r="L1221" s="374"/>
      <c r="M1221" s="374"/>
      <c r="N1221" s="374"/>
      <c r="O1221" s="374"/>
      <c r="P1221" s="374"/>
      <c r="Q1221" s="374"/>
      <c r="R1221" s="409"/>
      <c r="S1221" s="374"/>
      <c r="T1221" s="374"/>
      <c r="U1221" s="374"/>
      <c r="V1221" s="374"/>
      <c r="W1221" s="342"/>
    </row>
    <row r="1222" spans="6:28">
      <c r="F1222" s="374"/>
      <c r="G1222" s="374"/>
      <c r="H1222" s="374"/>
      <c r="I1222" s="374"/>
      <c r="J1222" s="374"/>
      <c r="K1222" s="374"/>
      <c r="L1222" s="374"/>
      <c r="M1222" s="374"/>
      <c r="N1222" s="374"/>
      <c r="O1222" s="374"/>
      <c r="P1222" s="374"/>
      <c r="Q1222" s="374"/>
      <c r="R1222" s="409"/>
      <c r="S1222" s="374"/>
      <c r="T1222" s="374"/>
      <c r="U1222" s="374"/>
      <c r="V1222" s="374"/>
      <c r="W1222" s="342"/>
    </row>
    <row r="1223" spans="6:28">
      <c r="F1223" s="374"/>
      <c r="G1223" s="374"/>
      <c r="H1223" s="374"/>
      <c r="I1223" s="374"/>
      <c r="J1223" s="374"/>
      <c r="K1223" s="374"/>
      <c r="L1223" s="374"/>
      <c r="M1223" s="374"/>
      <c r="N1223" s="374"/>
      <c r="O1223" s="374"/>
      <c r="P1223" s="374"/>
      <c r="Q1223" s="374"/>
      <c r="R1223" s="409"/>
      <c r="S1223" s="374"/>
      <c r="T1223" s="374"/>
      <c r="U1223" s="374"/>
      <c r="V1223" s="374"/>
      <c r="W1223" s="342"/>
    </row>
    <row r="1224" spans="6:28">
      <c r="F1224" s="374"/>
      <c r="G1224" s="374"/>
      <c r="H1224" s="374"/>
      <c r="I1224" s="374"/>
      <c r="J1224" s="374"/>
      <c r="K1224" s="374"/>
      <c r="L1224" s="374"/>
      <c r="M1224" s="374"/>
      <c r="N1224" s="374"/>
      <c r="O1224" s="374"/>
      <c r="P1224" s="374"/>
      <c r="Q1224" s="374"/>
      <c r="R1224" s="409"/>
      <c r="S1224" s="374"/>
      <c r="T1224" s="374"/>
      <c r="U1224" s="374"/>
      <c r="V1224" s="374"/>
      <c r="W1224" s="342"/>
    </row>
    <row r="1225" spans="6:28">
      <c r="F1225" s="374"/>
      <c r="G1225" s="374"/>
      <c r="H1225" s="374"/>
      <c r="I1225" s="374"/>
      <c r="J1225" s="374"/>
      <c r="K1225" s="374"/>
      <c r="L1225" s="374"/>
      <c r="M1225" s="374"/>
      <c r="N1225" s="374"/>
      <c r="O1225" s="374"/>
      <c r="P1225" s="374"/>
      <c r="Q1225" s="374"/>
      <c r="R1225" s="409"/>
      <c r="S1225" s="374"/>
      <c r="T1225" s="374"/>
      <c r="U1225" s="374"/>
      <c r="V1225" s="374"/>
      <c r="W1225" s="342"/>
    </row>
    <row r="1226" spans="6:28">
      <c r="F1226" s="374"/>
      <c r="G1226" s="374"/>
      <c r="H1226" s="374"/>
      <c r="I1226" s="374"/>
      <c r="J1226" s="374"/>
      <c r="K1226" s="374"/>
      <c r="L1226" s="374"/>
      <c r="M1226" s="374"/>
      <c r="N1226" s="374"/>
      <c r="O1226" s="374"/>
      <c r="P1226" s="374"/>
      <c r="Q1226" s="374"/>
      <c r="R1226" s="409"/>
      <c r="S1226" s="374"/>
      <c r="T1226" s="374"/>
      <c r="U1226" s="374"/>
      <c r="V1226" s="374"/>
      <c r="W1226" s="342"/>
    </row>
    <row r="1227" spans="6:28">
      <c r="F1227" s="374"/>
      <c r="G1227" s="374"/>
      <c r="H1227" s="374"/>
      <c r="I1227" s="374"/>
      <c r="J1227" s="374"/>
      <c r="K1227" s="374"/>
      <c r="L1227" s="374"/>
      <c r="M1227" s="374"/>
      <c r="N1227" s="374"/>
      <c r="O1227" s="374"/>
      <c r="P1227" s="374"/>
      <c r="Q1227" s="374"/>
      <c r="R1227" s="409"/>
      <c r="S1227" s="374"/>
      <c r="T1227" s="374"/>
      <c r="U1227" s="374"/>
      <c r="V1227" s="374"/>
      <c r="W1227" s="342"/>
    </row>
    <row r="1228" spans="6:28">
      <c r="F1228" s="374"/>
      <c r="G1228" s="374"/>
      <c r="H1228" s="374"/>
      <c r="I1228" s="374"/>
      <c r="J1228" s="374"/>
      <c r="K1228" s="374"/>
      <c r="L1228" s="374"/>
      <c r="M1228" s="374"/>
      <c r="N1228" s="374"/>
      <c r="O1228" s="374"/>
      <c r="P1228" s="374"/>
      <c r="Q1228" s="374"/>
      <c r="R1228" s="409"/>
      <c r="S1228" s="374"/>
      <c r="T1228" s="374"/>
      <c r="U1228" s="374"/>
      <c r="V1228" s="374"/>
      <c r="W1228" s="342"/>
    </row>
    <row r="1229" spans="6:28">
      <c r="F1229" s="374"/>
      <c r="G1229" s="374"/>
      <c r="H1229" s="374"/>
      <c r="I1229" s="374"/>
      <c r="J1229" s="374"/>
      <c r="K1229" s="374"/>
      <c r="L1229" s="374"/>
      <c r="M1229" s="374"/>
      <c r="N1229" s="374"/>
      <c r="O1229" s="374"/>
      <c r="P1229" s="374"/>
      <c r="Q1229" s="374"/>
      <c r="R1229" s="409"/>
      <c r="S1229" s="374"/>
      <c r="T1229" s="374"/>
      <c r="U1229" s="374"/>
      <c r="V1229" s="374"/>
      <c r="W1229" s="342"/>
    </row>
    <row r="1230" spans="6:28">
      <c r="F1230" s="374"/>
      <c r="G1230" s="374"/>
      <c r="H1230" s="374"/>
      <c r="I1230" s="374"/>
      <c r="J1230" s="374"/>
      <c r="K1230" s="374"/>
      <c r="L1230" s="374"/>
      <c r="M1230" s="374"/>
      <c r="N1230" s="374"/>
      <c r="O1230" s="374"/>
      <c r="P1230" s="374"/>
      <c r="Q1230" s="374"/>
      <c r="R1230" s="409"/>
      <c r="S1230" s="374"/>
      <c r="T1230" s="374"/>
      <c r="U1230" s="374"/>
      <c r="V1230" s="374"/>
      <c r="W1230" s="342"/>
    </row>
    <row r="1231" spans="6:28">
      <c r="F1231" s="374"/>
      <c r="G1231" s="374"/>
      <c r="H1231" s="374"/>
      <c r="I1231" s="374"/>
      <c r="J1231" s="374"/>
      <c r="K1231" s="374"/>
      <c r="L1231" s="374"/>
      <c r="M1231" s="374"/>
      <c r="N1231" s="374"/>
      <c r="O1231" s="374"/>
      <c r="P1231" s="374"/>
      <c r="Q1231" s="374"/>
      <c r="R1231" s="409"/>
      <c r="S1231" s="374"/>
      <c r="T1231" s="374"/>
      <c r="U1231" s="374"/>
      <c r="V1231" s="374"/>
      <c r="W1231" s="342"/>
    </row>
    <row r="1232" spans="6:28">
      <c r="F1232" s="374"/>
      <c r="G1232" s="374"/>
      <c r="H1232" s="374"/>
      <c r="I1232" s="374"/>
      <c r="J1232" s="374"/>
      <c r="K1232" s="374"/>
      <c r="L1232" s="374"/>
      <c r="M1232" s="374"/>
      <c r="N1232" s="374"/>
      <c r="O1232" s="374"/>
      <c r="P1232" s="374"/>
      <c r="Q1232" s="374"/>
      <c r="R1232" s="409"/>
      <c r="S1232" s="374"/>
      <c r="T1232" s="374"/>
      <c r="U1232" s="374"/>
      <c r="V1232" s="374"/>
      <c r="W1232" s="342"/>
    </row>
    <row r="1233" spans="6:23">
      <c r="F1233" s="374"/>
      <c r="G1233" s="374"/>
      <c r="H1233" s="374"/>
      <c r="I1233" s="374"/>
      <c r="J1233" s="374"/>
      <c r="K1233" s="374"/>
      <c r="L1233" s="374"/>
      <c r="M1233" s="374"/>
      <c r="N1233" s="374"/>
      <c r="O1233" s="374"/>
      <c r="P1233" s="374"/>
      <c r="Q1233" s="374"/>
      <c r="R1233" s="409"/>
      <c r="S1233" s="374"/>
      <c r="T1233" s="374"/>
      <c r="U1233" s="374"/>
      <c r="V1233" s="374"/>
      <c r="W1233" s="342"/>
    </row>
    <row r="1234" spans="6:23">
      <c r="F1234" s="374"/>
      <c r="G1234" s="374"/>
      <c r="H1234" s="374"/>
      <c r="I1234" s="374"/>
      <c r="J1234" s="374"/>
      <c r="K1234" s="374"/>
      <c r="L1234" s="374"/>
      <c r="M1234" s="374"/>
      <c r="N1234" s="374"/>
      <c r="O1234" s="374"/>
      <c r="P1234" s="374"/>
      <c r="Q1234" s="374"/>
      <c r="R1234" s="409"/>
      <c r="S1234" s="374"/>
      <c r="T1234" s="374"/>
      <c r="U1234" s="374"/>
      <c r="V1234" s="374"/>
      <c r="W1234" s="342"/>
    </row>
    <row r="1235" spans="6:23">
      <c r="F1235" s="374"/>
      <c r="G1235" s="374"/>
      <c r="H1235" s="374"/>
      <c r="I1235" s="374"/>
      <c r="J1235" s="374"/>
      <c r="K1235" s="374"/>
      <c r="L1235" s="374"/>
      <c r="M1235" s="374"/>
      <c r="N1235" s="374"/>
      <c r="O1235" s="374"/>
      <c r="P1235" s="374"/>
      <c r="Q1235" s="374"/>
      <c r="R1235" s="409"/>
      <c r="S1235" s="374"/>
      <c r="T1235" s="374"/>
      <c r="U1235" s="374"/>
      <c r="V1235" s="374"/>
      <c r="W1235" s="342"/>
    </row>
    <row r="1236" spans="6:23">
      <c r="F1236" s="374"/>
      <c r="G1236" s="374"/>
      <c r="H1236" s="374"/>
      <c r="I1236" s="374"/>
      <c r="J1236" s="374"/>
      <c r="K1236" s="374"/>
      <c r="L1236" s="374"/>
      <c r="M1236" s="374"/>
      <c r="N1236" s="374"/>
      <c r="O1236" s="374"/>
      <c r="P1236" s="374"/>
      <c r="Q1236" s="374"/>
      <c r="R1236" s="409"/>
      <c r="S1236" s="374"/>
      <c r="T1236" s="374"/>
      <c r="U1236" s="374"/>
      <c r="V1236" s="374"/>
      <c r="W1236" s="342"/>
    </row>
    <row r="1237" spans="6:23">
      <c r="F1237" s="374"/>
      <c r="G1237" s="374"/>
      <c r="H1237" s="374"/>
      <c r="I1237" s="374"/>
      <c r="J1237" s="374"/>
      <c r="K1237" s="374"/>
      <c r="L1237" s="374"/>
      <c r="M1237" s="374"/>
      <c r="N1237" s="374"/>
      <c r="O1237" s="374"/>
      <c r="P1237" s="374"/>
      <c r="Q1237" s="374"/>
      <c r="R1237" s="409"/>
      <c r="S1237" s="374"/>
      <c r="T1237" s="374"/>
      <c r="U1237" s="374"/>
      <c r="V1237" s="374"/>
      <c r="W1237" s="342"/>
    </row>
    <row r="1238" spans="6:23">
      <c r="F1238" s="374"/>
      <c r="G1238" s="374"/>
      <c r="H1238" s="374"/>
      <c r="I1238" s="374"/>
      <c r="J1238" s="374"/>
      <c r="K1238" s="374"/>
      <c r="L1238" s="374"/>
      <c r="M1238" s="374"/>
      <c r="N1238" s="374"/>
      <c r="O1238" s="374"/>
      <c r="P1238" s="374"/>
      <c r="Q1238" s="374"/>
      <c r="R1238" s="409"/>
      <c r="S1238" s="374"/>
      <c r="T1238" s="374"/>
      <c r="U1238" s="374"/>
      <c r="V1238" s="374"/>
      <c r="W1238" s="342"/>
    </row>
    <row r="1239" spans="6:23">
      <c r="F1239" s="374"/>
      <c r="G1239" s="374"/>
      <c r="H1239" s="374"/>
      <c r="I1239" s="374"/>
      <c r="J1239" s="374"/>
      <c r="K1239" s="374"/>
      <c r="L1239" s="374"/>
      <c r="M1239" s="374"/>
      <c r="N1239" s="374"/>
      <c r="O1239" s="374"/>
      <c r="P1239" s="374"/>
      <c r="Q1239" s="374"/>
      <c r="R1239" s="409"/>
      <c r="S1239" s="374"/>
      <c r="T1239" s="374"/>
      <c r="U1239" s="374"/>
      <c r="V1239" s="374"/>
      <c r="W1239" s="342"/>
    </row>
    <row r="1240" spans="6:23">
      <c r="F1240" s="374"/>
      <c r="G1240" s="374"/>
      <c r="H1240" s="374"/>
      <c r="I1240" s="374"/>
      <c r="J1240" s="374"/>
      <c r="K1240" s="374"/>
      <c r="L1240" s="374"/>
      <c r="M1240" s="374"/>
      <c r="N1240" s="374"/>
      <c r="O1240" s="374"/>
      <c r="P1240" s="374"/>
      <c r="Q1240" s="374"/>
      <c r="R1240" s="409"/>
      <c r="S1240" s="374"/>
      <c r="T1240" s="374"/>
      <c r="U1240" s="374"/>
      <c r="V1240" s="374"/>
      <c r="W1240" s="342"/>
    </row>
    <row r="1241" spans="6:23">
      <c r="F1241" s="374"/>
      <c r="G1241" s="374"/>
      <c r="H1241" s="374"/>
      <c r="I1241" s="374"/>
      <c r="J1241" s="374"/>
      <c r="K1241" s="374"/>
      <c r="L1241" s="374"/>
      <c r="M1241" s="374"/>
      <c r="N1241" s="374"/>
      <c r="O1241" s="374"/>
      <c r="P1241" s="374"/>
      <c r="Q1241" s="374"/>
      <c r="R1241" s="409"/>
      <c r="S1241" s="374"/>
      <c r="T1241" s="374"/>
      <c r="U1241" s="374"/>
      <c r="V1241" s="374"/>
      <c r="W1241" s="342"/>
    </row>
    <row r="1242" spans="6:23">
      <c r="F1242" s="374"/>
      <c r="G1242" s="374"/>
      <c r="H1242" s="374"/>
      <c r="I1242" s="374"/>
      <c r="J1242" s="374"/>
      <c r="K1242" s="374"/>
      <c r="L1242" s="374"/>
      <c r="M1242" s="374"/>
      <c r="N1242" s="374"/>
      <c r="O1242" s="374"/>
      <c r="P1242" s="374"/>
      <c r="Q1242" s="374"/>
      <c r="R1242" s="409"/>
      <c r="S1242" s="374"/>
      <c r="T1242" s="374"/>
      <c r="U1242" s="374"/>
      <c r="V1242" s="374"/>
      <c r="W1242" s="342"/>
    </row>
    <row r="1243" spans="6:23">
      <c r="F1243" s="374"/>
      <c r="G1243" s="374"/>
      <c r="H1243" s="374"/>
      <c r="I1243" s="374"/>
      <c r="J1243" s="374"/>
      <c r="K1243" s="374"/>
      <c r="L1243" s="374"/>
      <c r="M1243" s="374"/>
      <c r="N1243" s="374"/>
      <c r="O1243" s="374"/>
      <c r="P1243" s="374"/>
      <c r="Q1243" s="374"/>
      <c r="R1243" s="409"/>
      <c r="S1243" s="374"/>
      <c r="T1243" s="374"/>
      <c r="U1243" s="374"/>
      <c r="V1243" s="374"/>
      <c r="W1243" s="342"/>
    </row>
    <row r="1244" spans="6:23">
      <c r="F1244" s="374"/>
      <c r="G1244" s="374"/>
      <c r="H1244" s="374"/>
      <c r="I1244" s="374"/>
      <c r="J1244" s="374"/>
      <c r="K1244" s="374"/>
      <c r="L1244" s="374"/>
      <c r="M1244" s="374"/>
      <c r="N1244" s="374"/>
      <c r="O1244" s="374"/>
      <c r="P1244" s="374"/>
      <c r="Q1244" s="374"/>
      <c r="R1244" s="409"/>
      <c r="S1244" s="374"/>
      <c r="T1244" s="374"/>
      <c r="U1244" s="374"/>
      <c r="V1244" s="374"/>
      <c r="W1244" s="342"/>
    </row>
    <row r="1245" spans="6:23">
      <c r="F1245" s="374"/>
      <c r="G1245" s="374"/>
      <c r="H1245" s="374"/>
      <c r="I1245" s="374"/>
      <c r="J1245" s="374"/>
      <c r="K1245" s="374"/>
      <c r="L1245" s="374"/>
      <c r="M1245" s="374"/>
      <c r="N1245" s="374"/>
      <c r="O1245" s="374"/>
      <c r="P1245" s="374"/>
      <c r="Q1245" s="374"/>
      <c r="R1245" s="409"/>
      <c r="S1245" s="374"/>
      <c r="T1245" s="374"/>
      <c r="U1245" s="374"/>
      <c r="V1245" s="374"/>
      <c r="W1245" s="342"/>
    </row>
    <row r="1246" spans="6:23">
      <c r="F1246" s="374"/>
      <c r="G1246" s="374"/>
      <c r="H1246" s="374"/>
      <c r="I1246" s="374"/>
      <c r="J1246" s="374"/>
      <c r="K1246" s="374"/>
      <c r="L1246" s="374"/>
      <c r="M1246" s="374"/>
      <c r="N1246" s="374"/>
      <c r="O1246" s="374"/>
      <c r="P1246" s="374"/>
      <c r="Q1246" s="374"/>
      <c r="R1246" s="409"/>
      <c r="S1246" s="374"/>
      <c r="T1246" s="374"/>
      <c r="U1246" s="374"/>
      <c r="V1246" s="374"/>
      <c r="W1246" s="342"/>
    </row>
    <row r="1247" spans="6:23">
      <c r="F1247" s="374"/>
      <c r="G1247" s="374"/>
      <c r="H1247" s="374"/>
      <c r="I1247" s="374"/>
      <c r="J1247" s="374"/>
      <c r="K1247" s="374"/>
      <c r="L1247" s="374"/>
      <c r="M1247" s="374"/>
      <c r="N1247" s="374"/>
      <c r="O1247" s="374"/>
      <c r="P1247" s="374"/>
      <c r="Q1247" s="374"/>
      <c r="R1247" s="409"/>
      <c r="S1247" s="374"/>
      <c r="T1247" s="374"/>
      <c r="U1247" s="374"/>
      <c r="V1247" s="374"/>
      <c r="W1247" s="342"/>
    </row>
    <row r="1248" spans="6:23">
      <c r="F1248" s="374"/>
      <c r="G1248" s="374"/>
      <c r="H1248" s="374"/>
      <c r="I1248" s="374"/>
      <c r="J1248" s="374"/>
      <c r="K1248" s="374"/>
      <c r="L1248" s="374"/>
      <c r="M1248" s="374"/>
      <c r="N1248" s="374"/>
      <c r="O1248" s="374"/>
      <c r="P1248" s="374"/>
      <c r="Q1248" s="374"/>
      <c r="R1248" s="409"/>
      <c r="S1248" s="374"/>
      <c r="T1248" s="374"/>
      <c r="U1248" s="374"/>
      <c r="V1248" s="374"/>
      <c r="W1248" s="342"/>
    </row>
    <row r="1249" spans="6:23">
      <c r="F1249" s="374"/>
      <c r="G1249" s="374"/>
      <c r="H1249" s="374"/>
      <c r="I1249" s="374"/>
      <c r="J1249" s="374"/>
      <c r="K1249" s="374"/>
      <c r="L1249" s="374"/>
      <c r="M1249" s="374"/>
      <c r="N1249" s="374"/>
      <c r="O1249" s="374"/>
      <c r="P1249" s="374"/>
      <c r="Q1249" s="374"/>
      <c r="R1249" s="409"/>
      <c r="S1249" s="374"/>
      <c r="T1249" s="374"/>
      <c r="U1249" s="374"/>
      <c r="V1249" s="374"/>
      <c r="W1249" s="342"/>
    </row>
    <row r="1250" spans="6:23">
      <c r="F1250" s="374"/>
      <c r="G1250" s="374"/>
      <c r="H1250" s="374"/>
      <c r="I1250" s="374"/>
      <c r="J1250" s="374"/>
      <c r="K1250" s="374"/>
      <c r="L1250" s="374"/>
      <c r="M1250" s="374"/>
      <c r="N1250" s="374"/>
      <c r="O1250" s="374"/>
      <c r="P1250" s="374"/>
      <c r="Q1250" s="374"/>
      <c r="R1250" s="409"/>
      <c r="S1250" s="374"/>
      <c r="T1250" s="374"/>
      <c r="U1250" s="374"/>
      <c r="V1250" s="374"/>
      <c r="W1250" s="342"/>
    </row>
    <row r="1251" spans="6:23">
      <c r="F1251" s="374"/>
      <c r="G1251" s="374"/>
      <c r="H1251" s="374"/>
      <c r="I1251" s="374"/>
      <c r="J1251" s="374"/>
      <c r="K1251" s="374"/>
      <c r="L1251" s="374"/>
      <c r="M1251" s="374"/>
      <c r="N1251" s="374"/>
      <c r="O1251" s="374"/>
      <c r="P1251" s="374"/>
      <c r="Q1251" s="374"/>
      <c r="R1251" s="409"/>
      <c r="S1251" s="374"/>
      <c r="T1251" s="374"/>
      <c r="U1251" s="374"/>
      <c r="V1251" s="374"/>
      <c r="W1251" s="342"/>
    </row>
    <row r="1252" spans="6:23">
      <c r="F1252" s="374"/>
      <c r="G1252" s="374"/>
      <c r="H1252" s="374"/>
      <c r="I1252" s="374"/>
      <c r="J1252" s="374"/>
      <c r="K1252" s="374"/>
      <c r="L1252" s="374"/>
      <c r="M1252" s="374"/>
      <c r="N1252" s="374"/>
      <c r="O1252" s="374"/>
      <c r="P1252" s="374"/>
      <c r="Q1252" s="374"/>
      <c r="R1252" s="409"/>
      <c r="S1252" s="374"/>
      <c r="T1252" s="374"/>
      <c r="U1252" s="374"/>
      <c r="V1252" s="374"/>
      <c r="W1252" s="342"/>
    </row>
    <row r="1253" spans="6:23">
      <c r="F1253" s="374"/>
      <c r="G1253" s="374"/>
      <c r="H1253" s="374"/>
      <c r="I1253" s="374"/>
      <c r="J1253" s="374"/>
      <c r="K1253" s="374"/>
      <c r="L1253" s="374"/>
      <c r="M1253" s="374"/>
      <c r="N1253" s="374"/>
      <c r="O1253" s="374"/>
      <c r="P1253" s="374"/>
      <c r="Q1253" s="374"/>
      <c r="R1253" s="409"/>
      <c r="S1253" s="374"/>
      <c r="T1253" s="374"/>
      <c r="U1253" s="374"/>
      <c r="V1253" s="374"/>
      <c r="W1253" s="342"/>
    </row>
    <row r="1254" spans="6:23">
      <c r="F1254" s="374"/>
      <c r="G1254" s="374"/>
      <c r="H1254" s="374"/>
      <c r="I1254" s="374"/>
      <c r="J1254" s="374"/>
      <c r="K1254" s="374"/>
      <c r="L1254" s="374"/>
      <c r="M1254" s="374"/>
      <c r="N1254" s="374"/>
      <c r="O1254" s="374"/>
      <c r="P1254" s="374"/>
      <c r="Q1254" s="374"/>
      <c r="R1254" s="409"/>
      <c r="S1254" s="374"/>
      <c r="T1254" s="374"/>
      <c r="U1254" s="374"/>
      <c r="V1254" s="374"/>
      <c r="W1254" s="342"/>
    </row>
    <row r="1255" spans="6:23">
      <c r="F1255" s="374"/>
      <c r="G1255" s="374"/>
      <c r="H1255" s="374"/>
      <c r="I1255" s="374"/>
      <c r="J1255" s="374"/>
      <c r="K1255" s="374"/>
      <c r="L1255" s="374"/>
      <c r="M1255" s="374"/>
      <c r="N1255" s="374"/>
      <c r="O1255" s="374"/>
      <c r="P1255" s="374"/>
      <c r="Q1255" s="374"/>
      <c r="R1255" s="409"/>
      <c r="S1255" s="374"/>
      <c r="T1255" s="374"/>
      <c r="U1255" s="374"/>
      <c r="V1255" s="374"/>
      <c r="W1255" s="342"/>
    </row>
    <row r="1256" spans="6:23">
      <c r="F1256" s="374"/>
      <c r="G1256" s="374"/>
      <c r="H1256" s="374"/>
      <c r="I1256" s="374"/>
      <c r="J1256" s="374"/>
      <c r="K1256" s="374"/>
      <c r="L1256" s="374"/>
      <c r="M1256" s="374"/>
      <c r="N1256" s="374"/>
      <c r="O1256" s="374"/>
      <c r="P1256" s="374"/>
      <c r="Q1256" s="374"/>
      <c r="R1256" s="409"/>
      <c r="S1256" s="374"/>
      <c r="T1256" s="374"/>
      <c r="U1256" s="374"/>
      <c r="V1256" s="374"/>
      <c r="W1256" s="342"/>
    </row>
    <row r="1257" spans="6:23">
      <c r="F1257" s="374"/>
      <c r="G1257" s="374"/>
      <c r="H1257" s="374"/>
      <c r="I1257" s="374"/>
      <c r="J1257" s="374"/>
      <c r="K1257" s="374"/>
      <c r="L1257" s="374"/>
      <c r="M1257" s="374"/>
      <c r="N1257" s="374"/>
      <c r="O1257" s="374"/>
      <c r="P1257" s="374"/>
      <c r="Q1257" s="374"/>
      <c r="R1257" s="409"/>
      <c r="S1257" s="374"/>
      <c r="T1257" s="374"/>
      <c r="U1257" s="374"/>
      <c r="V1257" s="374"/>
      <c r="W1257" s="342"/>
    </row>
    <row r="1258" spans="6:23">
      <c r="F1258" s="374"/>
      <c r="G1258" s="374"/>
      <c r="H1258" s="374"/>
      <c r="I1258" s="374"/>
      <c r="J1258" s="374"/>
      <c r="K1258" s="374"/>
      <c r="L1258" s="374"/>
      <c r="M1258" s="374"/>
      <c r="N1258" s="374"/>
      <c r="O1258" s="374"/>
      <c r="P1258" s="374"/>
      <c r="Q1258" s="374"/>
      <c r="R1258" s="409"/>
      <c r="S1258" s="374"/>
      <c r="T1258" s="374"/>
      <c r="U1258" s="374"/>
      <c r="V1258" s="374"/>
      <c r="W1258" s="342"/>
    </row>
    <row r="1259" spans="6:23">
      <c r="F1259" s="374"/>
      <c r="G1259" s="374"/>
      <c r="H1259" s="374"/>
      <c r="I1259" s="374"/>
      <c r="J1259" s="374"/>
      <c r="K1259" s="374"/>
      <c r="L1259" s="374"/>
      <c r="M1259" s="374"/>
      <c r="N1259" s="374"/>
      <c r="O1259" s="374"/>
      <c r="P1259" s="374"/>
      <c r="Q1259" s="374"/>
      <c r="R1259" s="409"/>
      <c r="S1259" s="374"/>
      <c r="T1259" s="374"/>
      <c r="U1259" s="374"/>
      <c r="V1259" s="374"/>
      <c r="W1259" s="342"/>
    </row>
    <row r="1260" spans="6:23">
      <c r="F1260" s="374"/>
      <c r="G1260" s="374"/>
      <c r="H1260" s="374"/>
      <c r="I1260" s="374"/>
      <c r="J1260" s="374"/>
      <c r="K1260" s="374"/>
      <c r="L1260" s="374"/>
      <c r="M1260" s="374"/>
      <c r="N1260" s="374"/>
      <c r="O1260" s="374"/>
      <c r="P1260" s="374"/>
      <c r="Q1260" s="374"/>
      <c r="R1260" s="409"/>
      <c r="S1260" s="374"/>
      <c r="T1260" s="374"/>
      <c r="U1260" s="374"/>
      <c r="V1260" s="374"/>
      <c r="W1260" s="342"/>
    </row>
    <row r="1261" spans="6:23">
      <c r="F1261" s="374"/>
      <c r="G1261" s="374"/>
      <c r="H1261" s="374"/>
      <c r="I1261" s="374"/>
      <c r="J1261" s="374"/>
      <c r="K1261" s="374"/>
      <c r="L1261" s="374"/>
      <c r="M1261" s="374"/>
      <c r="N1261" s="374"/>
      <c r="O1261" s="374"/>
      <c r="P1261" s="374"/>
      <c r="Q1261" s="374"/>
      <c r="R1261" s="409"/>
      <c r="S1261" s="374"/>
      <c r="T1261" s="374"/>
      <c r="U1261" s="374"/>
      <c r="V1261" s="374"/>
      <c r="W1261" s="342"/>
    </row>
    <row r="1262" spans="6:23">
      <c r="F1262" s="374"/>
      <c r="G1262" s="374"/>
      <c r="H1262" s="374"/>
      <c r="I1262" s="374"/>
      <c r="J1262" s="374"/>
      <c r="K1262" s="374"/>
      <c r="L1262" s="374"/>
      <c r="M1262" s="374"/>
      <c r="N1262" s="374"/>
      <c r="O1262" s="374"/>
      <c r="P1262" s="374"/>
      <c r="Q1262" s="374"/>
      <c r="R1262" s="409"/>
      <c r="S1262" s="374"/>
      <c r="T1262" s="374"/>
      <c r="U1262" s="374"/>
      <c r="V1262" s="374"/>
      <c r="W1262" s="342"/>
    </row>
    <row r="1263" spans="6:23">
      <c r="F1263" s="374"/>
      <c r="G1263" s="374"/>
      <c r="H1263" s="374"/>
      <c r="I1263" s="374"/>
      <c r="J1263" s="374"/>
      <c r="K1263" s="374"/>
      <c r="L1263" s="374"/>
      <c r="M1263" s="374"/>
      <c r="N1263" s="374"/>
      <c r="O1263" s="374"/>
      <c r="P1263" s="374"/>
      <c r="Q1263" s="374"/>
      <c r="R1263" s="409"/>
      <c r="S1263" s="374"/>
      <c r="T1263" s="374"/>
      <c r="U1263" s="374"/>
      <c r="V1263" s="374"/>
      <c r="W1263" s="342"/>
    </row>
    <row r="1264" spans="6:23">
      <c r="F1264" s="374"/>
      <c r="G1264" s="374"/>
      <c r="H1264" s="374"/>
      <c r="I1264" s="374"/>
      <c r="J1264" s="374"/>
      <c r="K1264" s="374"/>
      <c r="L1264" s="374"/>
      <c r="M1264" s="374"/>
      <c r="N1264" s="374"/>
      <c r="O1264" s="374"/>
      <c r="P1264" s="374"/>
      <c r="Q1264" s="374"/>
      <c r="R1264" s="409"/>
      <c r="S1264" s="374"/>
      <c r="T1264" s="374"/>
      <c r="U1264" s="374"/>
      <c r="V1264" s="374"/>
      <c r="W1264" s="342"/>
    </row>
    <row r="1265" spans="6:23">
      <c r="F1265" s="374"/>
      <c r="G1265" s="374"/>
      <c r="H1265" s="374"/>
      <c r="I1265" s="374"/>
      <c r="J1265" s="374"/>
      <c r="K1265" s="374"/>
      <c r="L1265" s="374"/>
      <c r="M1265" s="374"/>
      <c r="N1265" s="374"/>
      <c r="O1265" s="374"/>
      <c r="P1265" s="374"/>
      <c r="Q1265" s="374"/>
      <c r="R1265" s="409"/>
      <c r="S1265" s="374"/>
      <c r="T1265" s="374"/>
      <c r="U1265" s="374"/>
      <c r="V1265" s="374"/>
      <c r="W1265" s="342"/>
    </row>
    <row r="1266" spans="6:23">
      <c r="F1266" s="374"/>
      <c r="G1266" s="374"/>
      <c r="H1266" s="374"/>
      <c r="I1266" s="374"/>
      <c r="J1266" s="374"/>
      <c r="K1266" s="374"/>
      <c r="L1266" s="374"/>
      <c r="M1266" s="374"/>
      <c r="N1266" s="374"/>
      <c r="O1266" s="374"/>
      <c r="P1266" s="374"/>
      <c r="Q1266" s="374"/>
      <c r="R1266" s="409"/>
      <c r="S1266" s="374"/>
      <c r="T1266" s="374"/>
      <c r="U1266" s="374"/>
      <c r="V1266" s="374"/>
      <c r="W1266" s="342"/>
    </row>
    <row r="1267" spans="6:23">
      <c r="F1267" s="374"/>
      <c r="G1267" s="374"/>
      <c r="H1267" s="374"/>
      <c r="I1267" s="374"/>
      <c r="J1267" s="374"/>
      <c r="K1267" s="374"/>
      <c r="L1267" s="374"/>
      <c r="M1267" s="374"/>
      <c r="N1267" s="374"/>
      <c r="O1267" s="374"/>
      <c r="P1267" s="374"/>
      <c r="Q1267" s="374"/>
      <c r="R1267" s="409"/>
      <c r="S1267" s="374"/>
      <c r="T1267" s="374"/>
      <c r="U1267" s="374"/>
      <c r="V1267" s="374"/>
      <c r="W1267" s="342"/>
    </row>
    <row r="1268" spans="6:23">
      <c r="F1268" s="374"/>
      <c r="G1268" s="374"/>
      <c r="H1268" s="374"/>
      <c r="I1268" s="374"/>
      <c r="J1268" s="374"/>
      <c r="K1268" s="374"/>
      <c r="L1268" s="374"/>
      <c r="M1268" s="374"/>
      <c r="N1268" s="374"/>
      <c r="O1268" s="374"/>
      <c r="P1268" s="374"/>
      <c r="Q1268" s="374"/>
      <c r="R1268" s="409"/>
      <c r="S1268" s="374"/>
      <c r="T1268" s="374"/>
      <c r="U1268" s="374"/>
      <c r="V1268" s="374"/>
      <c r="W1268" s="342"/>
    </row>
    <row r="1269" spans="6:23">
      <c r="F1269" s="374"/>
      <c r="G1269" s="374"/>
      <c r="H1269" s="374"/>
      <c r="I1269" s="374"/>
      <c r="J1269" s="374"/>
      <c r="K1269" s="374"/>
      <c r="L1269" s="374"/>
      <c r="M1269" s="374"/>
      <c r="N1269" s="374"/>
      <c r="O1269" s="374"/>
      <c r="P1269" s="374"/>
      <c r="Q1269" s="374"/>
      <c r="R1269" s="409"/>
      <c r="S1269" s="374"/>
      <c r="T1269" s="374"/>
      <c r="U1269" s="374"/>
      <c r="V1269" s="374"/>
      <c r="W1269" s="342"/>
    </row>
    <row r="1270" spans="6:23">
      <c r="F1270" s="374"/>
      <c r="G1270" s="374"/>
      <c r="H1270" s="374"/>
      <c r="I1270" s="374"/>
      <c r="J1270" s="374"/>
      <c r="K1270" s="374"/>
      <c r="L1270" s="374"/>
      <c r="M1270" s="374"/>
      <c r="N1270" s="374"/>
      <c r="O1270" s="374"/>
      <c r="P1270" s="374"/>
      <c r="Q1270" s="374"/>
      <c r="R1270" s="409"/>
      <c r="S1270" s="374"/>
      <c r="T1270" s="374"/>
      <c r="U1270" s="374"/>
      <c r="V1270" s="374"/>
      <c r="W1270" s="342"/>
    </row>
    <row r="1271" spans="6:23">
      <c r="F1271" s="340"/>
      <c r="G1271" s="340"/>
      <c r="H1271" s="340"/>
      <c r="I1271" s="340"/>
      <c r="J1271" s="340"/>
      <c r="K1271" s="340"/>
      <c r="L1271" s="340"/>
      <c r="M1271" s="340"/>
      <c r="N1271" s="340"/>
      <c r="O1271" s="340"/>
      <c r="P1271" s="340"/>
      <c r="Q1271" s="340"/>
      <c r="S1271" s="340"/>
      <c r="T1271" s="340"/>
      <c r="U1271" s="340"/>
      <c r="V1271" s="340"/>
    </row>
  </sheetData>
  <autoFilter ref="A1:AC1203" xr:uid="{77B3F32B-39A3-4745-94FE-F3CD533EEC0C}"/>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E7F64-289B-46DF-989B-ADEA3C2096AD}">
  <sheetPr>
    <tabColor rgb="FFFFFF00"/>
  </sheetPr>
  <dimension ref="B1:AA161"/>
  <sheetViews>
    <sheetView topLeftCell="J13" workbookViewId="0">
      <selection activeCell="M26" sqref="M26"/>
    </sheetView>
  </sheetViews>
  <sheetFormatPr defaultColWidth="9.140625" defaultRowHeight="15"/>
  <cols>
    <col min="2" max="2" width="14" style="8" bestFit="1" customWidth="1"/>
    <col min="3" max="3" width="40.85546875" style="8" bestFit="1" customWidth="1"/>
    <col min="4" max="4" width="50.5703125" style="8" bestFit="1" customWidth="1"/>
    <col min="5" max="5" width="12.42578125" style="8" bestFit="1" customWidth="1"/>
    <col min="6" max="6" width="101.140625" style="8" customWidth="1"/>
    <col min="7" max="7" width="18.5703125" style="8" customWidth="1"/>
    <col min="8" max="8" width="36.5703125" style="8" customWidth="1"/>
    <col min="9" max="9" width="10.5703125" style="8" customWidth="1"/>
    <col min="10" max="10" width="8.85546875" style="8" bestFit="1" customWidth="1"/>
    <col min="11" max="11" width="13.42578125" style="8" bestFit="1" customWidth="1"/>
    <col min="12" max="12" width="38.42578125" style="8" bestFit="1" customWidth="1"/>
    <col min="13" max="13" width="29" style="8" bestFit="1" customWidth="1"/>
    <col min="14" max="16" width="21.5703125" style="8" customWidth="1"/>
    <col min="17" max="17" width="45" style="8" bestFit="1" customWidth="1"/>
    <col min="18" max="18" width="39.5703125" style="8" customWidth="1"/>
    <col min="19" max="19" width="12.42578125" style="8" customWidth="1"/>
    <col min="20" max="20" width="10.140625" style="8" bestFit="1" customWidth="1"/>
    <col min="24" max="24" width="25.5703125" style="8" bestFit="1" customWidth="1"/>
    <col min="25" max="25" width="12.140625" style="8" customWidth="1"/>
    <col min="26" max="26" width="12" style="8" customWidth="1"/>
    <col min="27" max="27" width="23.5703125" style="8" customWidth="1"/>
  </cols>
  <sheetData>
    <row r="1" spans="2:27">
      <c r="B1" s="339" t="s">
        <v>2157</v>
      </c>
      <c r="C1" s="339" t="s">
        <v>336</v>
      </c>
      <c r="D1" s="339" t="s">
        <v>337</v>
      </c>
      <c r="E1" s="339" t="s">
        <v>338</v>
      </c>
      <c r="F1" s="339" t="s">
        <v>339</v>
      </c>
      <c r="G1" s="402" t="s">
        <v>2158</v>
      </c>
      <c r="H1" s="402" t="s">
        <v>2159</v>
      </c>
      <c r="I1" s="402" t="s">
        <v>2160</v>
      </c>
      <c r="J1" s="402" t="s">
        <v>425</v>
      </c>
      <c r="K1" s="402" t="s">
        <v>426</v>
      </c>
      <c r="L1" s="402" t="s">
        <v>427</v>
      </c>
      <c r="M1" s="402" t="s">
        <v>2161</v>
      </c>
      <c r="N1" s="402" t="s">
        <v>6238</v>
      </c>
      <c r="O1" s="402" t="s">
        <v>2163</v>
      </c>
      <c r="P1" s="402" t="s">
        <v>2164</v>
      </c>
      <c r="Q1" s="402" t="s">
        <v>6239</v>
      </c>
      <c r="R1" s="402" t="s">
        <v>16</v>
      </c>
      <c r="S1" s="402" t="s">
        <v>416</v>
      </c>
      <c r="T1" s="402" t="s">
        <v>417</v>
      </c>
      <c r="U1" s="402" t="s">
        <v>418</v>
      </c>
      <c r="V1" s="402" t="s">
        <v>419</v>
      </c>
      <c r="W1" s="402" t="s">
        <v>420</v>
      </c>
      <c r="X1" s="402" t="s">
        <v>421</v>
      </c>
      <c r="Y1" s="402" t="s">
        <v>422</v>
      </c>
      <c r="Z1" s="402" t="s">
        <v>423</v>
      </c>
      <c r="AA1" s="402" t="s">
        <v>424</v>
      </c>
    </row>
    <row r="2" spans="2:27">
      <c r="B2" s="151" t="s">
        <v>6240</v>
      </c>
      <c r="C2" s="151" t="s">
        <v>6241</v>
      </c>
      <c r="D2" s="151" t="s">
        <v>341</v>
      </c>
      <c r="E2" s="151" t="s">
        <v>36</v>
      </c>
      <c r="F2" s="151" t="s">
        <v>6242</v>
      </c>
      <c r="G2" s="151" t="s">
        <v>240</v>
      </c>
      <c r="H2" s="151" t="s">
        <v>2173</v>
      </c>
      <c r="I2" s="151" t="s">
        <v>1183</v>
      </c>
      <c r="J2" s="151" t="s">
        <v>6243</v>
      </c>
      <c r="K2" s="151" t="s">
        <v>528</v>
      </c>
      <c r="L2" s="151" t="s">
        <v>1555</v>
      </c>
      <c r="M2" s="151" t="s">
        <v>6244</v>
      </c>
      <c r="N2" s="151" t="s">
        <v>361</v>
      </c>
      <c r="O2" s="151"/>
      <c r="P2" s="151"/>
      <c r="Q2" s="151" t="s">
        <v>2177</v>
      </c>
      <c r="R2" s="151" t="s">
        <v>361</v>
      </c>
      <c r="S2" s="151" t="s">
        <v>431</v>
      </c>
      <c r="T2" s="151" t="s">
        <v>3582</v>
      </c>
      <c r="U2" s="151">
        <v>16</v>
      </c>
      <c r="V2" s="151">
        <v>16</v>
      </c>
      <c r="W2" s="151" t="s">
        <v>431</v>
      </c>
      <c r="X2" s="151" t="s">
        <v>6245</v>
      </c>
      <c r="Y2" s="151" t="s">
        <v>6246</v>
      </c>
      <c r="Z2" s="151" t="s">
        <v>361</v>
      </c>
      <c r="AA2" s="151" t="s">
        <v>6247</v>
      </c>
    </row>
    <row r="3" spans="2:27" ht="210">
      <c r="B3" s="151" t="s">
        <v>6240</v>
      </c>
      <c r="C3" s="151" t="s">
        <v>6248</v>
      </c>
      <c r="D3" s="151" t="s">
        <v>341</v>
      </c>
      <c r="E3" s="151" t="s">
        <v>36</v>
      </c>
      <c r="F3" s="151" t="s">
        <v>6249</v>
      </c>
      <c r="G3" s="151" t="s">
        <v>2527</v>
      </c>
      <c r="H3" s="151" t="s">
        <v>2173</v>
      </c>
      <c r="I3" s="151" t="s">
        <v>1183</v>
      </c>
      <c r="J3" s="151" t="s">
        <v>6243</v>
      </c>
      <c r="K3" s="151" t="s">
        <v>528</v>
      </c>
      <c r="L3" s="151" t="s">
        <v>6250</v>
      </c>
      <c r="M3" s="151" t="s">
        <v>6244</v>
      </c>
      <c r="N3" s="151" t="s">
        <v>361</v>
      </c>
      <c r="O3" s="341" t="s">
        <v>6251</v>
      </c>
      <c r="P3" s="151" t="s">
        <v>6252</v>
      </c>
      <c r="Q3" s="151" t="s">
        <v>2177</v>
      </c>
      <c r="R3" s="151" t="s">
        <v>361</v>
      </c>
      <c r="S3" s="151" t="s">
        <v>431</v>
      </c>
      <c r="T3" s="151" t="s">
        <v>3582</v>
      </c>
      <c r="U3" s="151" t="s">
        <v>361</v>
      </c>
      <c r="V3" s="151">
        <v>100</v>
      </c>
      <c r="W3" s="151" t="s">
        <v>431</v>
      </c>
      <c r="X3" s="151" t="s">
        <v>6253</v>
      </c>
      <c r="Y3" s="151" t="s">
        <v>4597</v>
      </c>
      <c r="Z3" s="151" t="s">
        <v>361</v>
      </c>
      <c r="AA3" s="151" t="s">
        <v>6247</v>
      </c>
    </row>
    <row r="4" spans="2:27">
      <c r="B4" s="151" t="s">
        <v>6240</v>
      </c>
      <c r="C4" s="151" t="s">
        <v>6254</v>
      </c>
      <c r="D4" s="151" t="s">
        <v>341</v>
      </c>
      <c r="E4" s="151" t="s">
        <v>36</v>
      </c>
      <c r="F4" s="151" t="s">
        <v>6255</v>
      </c>
      <c r="G4" s="151" t="s">
        <v>2196</v>
      </c>
      <c r="H4" s="151" t="s">
        <v>2173</v>
      </c>
      <c r="I4" s="151" t="s">
        <v>1183</v>
      </c>
      <c r="J4" s="151" t="s">
        <v>6243</v>
      </c>
      <c r="K4" s="151" t="s">
        <v>528</v>
      </c>
      <c r="L4" s="151" t="s">
        <v>6256</v>
      </c>
      <c r="M4" s="151" t="s">
        <v>6244</v>
      </c>
      <c r="N4" s="151" t="s">
        <v>361</v>
      </c>
      <c r="O4" s="151"/>
      <c r="P4" s="151"/>
      <c r="Q4" s="151" t="s">
        <v>2177</v>
      </c>
      <c r="R4" s="151" t="s">
        <v>361</v>
      </c>
      <c r="S4" s="151" t="s">
        <v>431</v>
      </c>
      <c r="T4" s="151" t="s">
        <v>3582</v>
      </c>
      <c r="U4" s="151" t="s">
        <v>361</v>
      </c>
      <c r="V4" s="151">
        <v>100</v>
      </c>
      <c r="W4" s="151" t="s">
        <v>431</v>
      </c>
      <c r="X4" s="151" t="s">
        <v>6253</v>
      </c>
      <c r="Y4" s="151" t="s">
        <v>4597</v>
      </c>
      <c r="Z4" s="151" t="s">
        <v>361</v>
      </c>
      <c r="AA4" s="151" t="s">
        <v>6247</v>
      </c>
    </row>
    <row r="5" spans="2:27">
      <c r="B5" s="151" t="s">
        <v>6240</v>
      </c>
      <c r="C5" s="151" t="s">
        <v>6257</v>
      </c>
      <c r="D5" s="151" t="s">
        <v>341</v>
      </c>
      <c r="E5" s="151" t="s">
        <v>36</v>
      </c>
      <c r="F5" s="151" t="s">
        <v>6258</v>
      </c>
      <c r="G5" s="151" t="s">
        <v>2196</v>
      </c>
      <c r="H5" s="151" t="s">
        <v>2173</v>
      </c>
      <c r="I5" s="151" t="s">
        <v>1183</v>
      </c>
      <c r="J5" s="151" t="s">
        <v>6243</v>
      </c>
      <c r="K5" s="151" t="s">
        <v>528</v>
      </c>
      <c r="L5" s="151" t="s">
        <v>6259</v>
      </c>
      <c r="M5" s="151" t="s">
        <v>6244</v>
      </c>
      <c r="N5" s="151" t="s">
        <v>361</v>
      </c>
      <c r="O5" s="151"/>
      <c r="P5" s="151"/>
      <c r="Q5" s="151" t="s">
        <v>2177</v>
      </c>
      <c r="R5" s="151" t="s">
        <v>361</v>
      </c>
      <c r="S5" s="151" t="s">
        <v>431</v>
      </c>
      <c r="T5" s="151" t="s">
        <v>3582</v>
      </c>
      <c r="U5" s="151" t="s">
        <v>361</v>
      </c>
      <c r="V5" s="151">
        <v>36</v>
      </c>
      <c r="W5" s="151" t="s">
        <v>431</v>
      </c>
      <c r="X5" s="151" t="s">
        <v>6260</v>
      </c>
      <c r="Y5" s="151" t="s">
        <v>361</v>
      </c>
      <c r="Z5" s="151" t="s">
        <v>361</v>
      </c>
      <c r="AA5" s="151" t="s">
        <v>6247</v>
      </c>
    </row>
    <row r="6" spans="2:27" ht="210">
      <c r="B6" s="151" t="s">
        <v>6240</v>
      </c>
      <c r="C6" s="151" t="s">
        <v>6261</v>
      </c>
      <c r="D6" s="151" t="s">
        <v>341</v>
      </c>
      <c r="E6" s="151" t="s">
        <v>36</v>
      </c>
      <c r="F6" s="151" t="s">
        <v>6262</v>
      </c>
      <c r="G6" s="151" t="s">
        <v>2527</v>
      </c>
      <c r="H6" s="151" t="s">
        <v>2173</v>
      </c>
      <c r="I6" s="151" t="s">
        <v>1183</v>
      </c>
      <c r="J6" s="151" t="s">
        <v>6243</v>
      </c>
      <c r="K6" s="151" t="s">
        <v>528</v>
      </c>
      <c r="L6" s="151" t="s">
        <v>6263</v>
      </c>
      <c r="M6" s="151" t="s">
        <v>6244</v>
      </c>
      <c r="N6" s="151" t="s">
        <v>361</v>
      </c>
      <c r="O6" s="341" t="s">
        <v>6264</v>
      </c>
      <c r="P6" s="151" t="s">
        <v>6252</v>
      </c>
      <c r="Q6" s="151" t="s">
        <v>2177</v>
      </c>
      <c r="R6" s="151" t="s">
        <v>361</v>
      </c>
      <c r="S6" s="151" t="s">
        <v>6265</v>
      </c>
      <c r="T6" s="151" t="s">
        <v>6265</v>
      </c>
      <c r="U6" s="151" t="s">
        <v>361</v>
      </c>
      <c r="V6" s="151">
        <v>38</v>
      </c>
      <c r="W6" s="151" t="s">
        <v>6265</v>
      </c>
      <c r="X6" s="151" t="s">
        <v>2573</v>
      </c>
      <c r="Y6" s="151" t="s">
        <v>361</v>
      </c>
      <c r="Z6" s="151" t="s">
        <v>361</v>
      </c>
      <c r="AA6" s="151" t="s">
        <v>6247</v>
      </c>
    </row>
    <row r="7" spans="2:27" ht="225">
      <c r="B7" s="151" t="s">
        <v>6240</v>
      </c>
      <c r="C7" s="151" t="s">
        <v>2608</v>
      </c>
      <c r="D7" s="151" t="s">
        <v>341</v>
      </c>
      <c r="E7" s="151" t="s">
        <v>36</v>
      </c>
      <c r="F7" s="151" t="s">
        <v>6266</v>
      </c>
      <c r="G7" s="151" t="s">
        <v>2527</v>
      </c>
      <c r="H7" s="151" t="s">
        <v>2173</v>
      </c>
      <c r="I7" s="151" t="s">
        <v>1183</v>
      </c>
      <c r="J7" s="151" t="s">
        <v>6243</v>
      </c>
      <c r="K7" s="151" t="s">
        <v>528</v>
      </c>
      <c r="L7" s="151" t="s">
        <v>6267</v>
      </c>
      <c r="M7" s="151" t="s">
        <v>6244</v>
      </c>
      <c r="N7" s="151" t="s">
        <v>361</v>
      </c>
      <c r="O7" s="341" t="s">
        <v>6268</v>
      </c>
      <c r="P7" s="151" t="s">
        <v>6252</v>
      </c>
      <c r="Q7" s="151" t="s">
        <v>2177</v>
      </c>
      <c r="R7" s="151" t="s">
        <v>361</v>
      </c>
      <c r="S7" s="151" t="s">
        <v>4695</v>
      </c>
      <c r="T7" s="151" t="s">
        <v>4695</v>
      </c>
      <c r="U7" s="151" t="s">
        <v>361</v>
      </c>
      <c r="V7" s="151" t="s">
        <v>361</v>
      </c>
      <c r="W7" s="151" t="s">
        <v>4695</v>
      </c>
      <c r="X7" s="151" t="s">
        <v>4695</v>
      </c>
      <c r="Y7" s="151" t="s">
        <v>361</v>
      </c>
      <c r="Z7" s="151" t="s">
        <v>361</v>
      </c>
      <c r="AA7" s="151" t="s">
        <v>6247</v>
      </c>
    </row>
    <row r="8" spans="2:27" ht="210">
      <c r="B8" s="151" t="s">
        <v>6240</v>
      </c>
      <c r="C8" s="151" t="s">
        <v>3640</v>
      </c>
      <c r="D8" s="151" t="s">
        <v>341</v>
      </c>
      <c r="E8" s="151" t="s">
        <v>36</v>
      </c>
      <c r="F8" s="151" t="s">
        <v>6269</v>
      </c>
      <c r="G8" s="151" t="s">
        <v>2527</v>
      </c>
      <c r="H8" s="151" t="s">
        <v>2173</v>
      </c>
      <c r="I8" s="151" t="s">
        <v>1183</v>
      </c>
      <c r="J8" s="151" t="s">
        <v>6243</v>
      </c>
      <c r="K8" s="151" t="s">
        <v>528</v>
      </c>
      <c r="L8" s="151" t="s">
        <v>6270</v>
      </c>
      <c r="M8" s="151" t="s">
        <v>6244</v>
      </c>
      <c r="N8" s="431"/>
      <c r="O8" s="341" t="s">
        <v>6271</v>
      </c>
      <c r="P8" s="151" t="s">
        <v>6252</v>
      </c>
      <c r="Q8" s="151" t="s">
        <v>2177</v>
      </c>
      <c r="R8" s="151" t="s">
        <v>6272</v>
      </c>
      <c r="S8" s="151" t="s">
        <v>431</v>
      </c>
      <c r="T8" s="151" t="s">
        <v>3582</v>
      </c>
      <c r="U8" s="151" t="s">
        <v>361</v>
      </c>
      <c r="V8" s="151">
        <v>5</v>
      </c>
      <c r="W8" s="151" t="s">
        <v>431</v>
      </c>
      <c r="X8" s="151" t="s">
        <v>6273</v>
      </c>
      <c r="Y8" s="151" t="s">
        <v>361</v>
      </c>
      <c r="Z8" s="151" t="s">
        <v>361</v>
      </c>
      <c r="AA8" s="151" t="s">
        <v>6247</v>
      </c>
    </row>
    <row r="9" spans="2:27">
      <c r="B9" s="151" t="s">
        <v>6240</v>
      </c>
      <c r="C9" s="151" t="s">
        <v>6274</v>
      </c>
      <c r="D9" s="151" t="s">
        <v>341</v>
      </c>
      <c r="E9" s="151" t="s">
        <v>36</v>
      </c>
      <c r="F9" s="151" t="s">
        <v>6275</v>
      </c>
      <c r="G9" s="151" t="s">
        <v>2196</v>
      </c>
      <c r="H9" s="151" t="s">
        <v>2173</v>
      </c>
      <c r="I9" s="151" t="s">
        <v>1183</v>
      </c>
      <c r="J9" s="151" t="s">
        <v>6243</v>
      </c>
      <c r="K9" s="151" t="s">
        <v>528</v>
      </c>
      <c r="L9" s="151" t="s">
        <v>6276</v>
      </c>
      <c r="M9" s="151" t="s">
        <v>6244</v>
      </c>
      <c r="N9" s="151" t="s">
        <v>361</v>
      </c>
      <c r="O9" s="151"/>
      <c r="P9" s="151"/>
      <c r="Q9" s="151" t="s">
        <v>2177</v>
      </c>
      <c r="R9" s="151" t="s">
        <v>361</v>
      </c>
      <c r="S9" s="151" t="s">
        <v>431</v>
      </c>
      <c r="T9" s="151" t="s">
        <v>3582</v>
      </c>
      <c r="U9" s="151" t="s">
        <v>361</v>
      </c>
      <c r="V9" s="151">
        <v>3</v>
      </c>
      <c r="W9" s="151" t="s">
        <v>431</v>
      </c>
      <c r="X9" s="151" t="s">
        <v>6277</v>
      </c>
      <c r="Y9" s="151" t="s">
        <v>361</v>
      </c>
      <c r="Z9" s="151" t="s">
        <v>361</v>
      </c>
      <c r="AA9" s="151" t="s">
        <v>6247</v>
      </c>
    </row>
    <row r="10" spans="2:27">
      <c r="B10" s="151" t="s">
        <v>6240</v>
      </c>
      <c r="C10" s="151" t="s">
        <v>159</v>
      </c>
      <c r="D10" s="151" t="s">
        <v>341</v>
      </c>
      <c r="E10" s="151" t="s">
        <v>36</v>
      </c>
      <c r="F10" s="151" t="s">
        <v>6278</v>
      </c>
      <c r="G10" s="151" t="s">
        <v>2196</v>
      </c>
      <c r="H10" s="151" t="s">
        <v>2173</v>
      </c>
      <c r="I10" s="151" t="s">
        <v>1183</v>
      </c>
      <c r="J10" s="151" t="s">
        <v>6243</v>
      </c>
      <c r="K10" s="151" t="s">
        <v>528</v>
      </c>
      <c r="L10" s="151" t="s">
        <v>6279</v>
      </c>
      <c r="M10" s="151" t="s">
        <v>6244</v>
      </c>
      <c r="N10" s="151" t="s">
        <v>361</v>
      </c>
      <c r="O10" s="151"/>
      <c r="P10" s="151"/>
      <c r="Q10" s="151" t="s">
        <v>2177</v>
      </c>
      <c r="R10" s="151" t="s">
        <v>361</v>
      </c>
      <c r="S10" s="151" t="s">
        <v>431</v>
      </c>
      <c r="T10" s="151" t="s">
        <v>3582</v>
      </c>
      <c r="U10" s="151" t="s">
        <v>361</v>
      </c>
      <c r="V10" s="151">
        <v>1</v>
      </c>
      <c r="W10" s="151" t="s">
        <v>431</v>
      </c>
      <c r="X10" s="151" t="s">
        <v>6280</v>
      </c>
      <c r="Y10" s="151" t="s">
        <v>361</v>
      </c>
      <c r="Z10" s="151" t="s">
        <v>361</v>
      </c>
      <c r="AA10" s="151" t="s">
        <v>6247</v>
      </c>
    </row>
    <row r="11" spans="2:27">
      <c r="B11" s="151" t="s">
        <v>6240</v>
      </c>
      <c r="C11" s="151" t="s">
        <v>6281</v>
      </c>
      <c r="D11" s="151" t="s">
        <v>341</v>
      </c>
      <c r="E11" s="151" t="s">
        <v>36</v>
      </c>
      <c r="F11" s="151" t="s">
        <v>6282</v>
      </c>
      <c r="G11" s="151" t="s">
        <v>2196</v>
      </c>
      <c r="H11" s="151" t="s">
        <v>3656</v>
      </c>
      <c r="I11" s="151" t="s">
        <v>361</v>
      </c>
      <c r="J11" s="151" t="s">
        <v>361</v>
      </c>
      <c r="K11" s="151" t="s">
        <v>361</v>
      </c>
      <c r="L11" s="151" t="s">
        <v>361</v>
      </c>
      <c r="M11" s="151" t="s">
        <v>361</v>
      </c>
      <c r="N11" s="151" t="s">
        <v>361</v>
      </c>
      <c r="O11" s="151"/>
      <c r="P11" s="151"/>
      <c r="Q11" s="151" t="s">
        <v>3576</v>
      </c>
      <c r="R11" s="151" t="s">
        <v>6283</v>
      </c>
      <c r="S11" s="151" t="s">
        <v>6265</v>
      </c>
      <c r="T11" s="151" t="s">
        <v>361</v>
      </c>
      <c r="U11" s="151" t="s">
        <v>361</v>
      </c>
      <c r="V11" s="151" t="s">
        <v>361</v>
      </c>
      <c r="W11" s="151" t="s">
        <v>6265</v>
      </c>
      <c r="X11" s="151" t="s">
        <v>361</v>
      </c>
      <c r="Y11" s="151" t="s">
        <v>361</v>
      </c>
      <c r="Z11" s="151" t="s">
        <v>361</v>
      </c>
      <c r="AA11" s="151" t="s">
        <v>6284</v>
      </c>
    </row>
    <row r="12" spans="2:27">
      <c r="B12" s="151" t="s">
        <v>6240</v>
      </c>
      <c r="C12" s="151" t="s">
        <v>6285</v>
      </c>
      <c r="D12" s="151" t="s">
        <v>6286</v>
      </c>
      <c r="E12" s="151" t="s">
        <v>36</v>
      </c>
      <c r="F12" s="151" t="s">
        <v>6287</v>
      </c>
      <c r="G12" s="151" t="s">
        <v>2196</v>
      </c>
      <c r="H12" s="151" t="s">
        <v>6288</v>
      </c>
      <c r="I12" s="151" t="s">
        <v>361</v>
      </c>
      <c r="J12" s="151" t="s">
        <v>361</v>
      </c>
      <c r="K12" s="151" t="s">
        <v>361</v>
      </c>
      <c r="L12" s="151" t="s">
        <v>361</v>
      </c>
      <c r="M12" s="151" t="s">
        <v>361</v>
      </c>
      <c r="N12" s="151" t="s">
        <v>361</v>
      </c>
      <c r="O12" s="151"/>
      <c r="P12" s="151"/>
      <c r="Q12" s="151" t="s">
        <v>2550</v>
      </c>
      <c r="R12" s="151" t="s">
        <v>6289</v>
      </c>
      <c r="S12" s="151" t="s">
        <v>361</v>
      </c>
      <c r="T12" s="151" t="s">
        <v>361</v>
      </c>
      <c r="U12" s="151" t="s">
        <v>361</v>
      </c>
      <c r="V12" s="151" t="s">
        <v>361</v>
      </c>
      <c r="W12" s="151" t="s">
        <v>361</v>
      </c>
      <c r="X12" s="151" t="s">
        <v>361</v>
      </c>
      <c r="Y12" s="151" t="s">
        <v>361</v>
      </c>
      <c r="Z12" s="151" t="s">
        <v>361</v>
      </c>
      <c r="AA12" s="151" t="s">
        <v>6290</v>
      </c>
    </row>
    <row r="13" spans="2:27" ht="330">
      <c r="B13" s="151" t="s">
        <v>6240</v>
      </c>
      <c r="C13" s="151" t="s">
        <v>2669</v>
      </c>
      <c r="D13" s="151" t="s">
        <v>6286</v>
      </c>
      <c r="E13" s="151" t="s">
        <v>36</v>
      </c>
      <c r="F13" s="151" t="s">
        <v>6291</v>
      </c>
      <c r="G13" s="151" t="s">
        <v>2527</v>
      </c>
      <c r="H13" s="151" t="s">
        <v>2173</v>
      </c>
      <c r="I13" s="151" t="s">
        <v>1183</v>
      </c>
      <c r="J13" s="151" t="s">
        <v>6243</v>
      </c>
      <c r="K13" s="151" t="s">
        <v>6292</v>
      </c>
      <c r="L13" s="151" t="s">
        <v>6293</v>
      </c>
      <c r="M13" s="341" t="s">
        <v>6294</v>
      </c>
      <c r="N13" s="151" t="s">
        <v>361</v>
      </c>
      <c r="O13" s="151" t="s">
        <v>6295</v>
      </c>
      <c r="P13" s="341" t="s">
        <v>6296</v>
      </c>
      <c r="Q13" s="151" t="s">
        <v>2177</v>
      </c>
      <c r="R13" s="151" t="s">
        <v>361</v>
      </c>
      <c r="S13" s="151" t="s">
        <v>431</v>
      </c>
      <c r="T13" s="151" t="s">
        <v>3582</v>
      </c>
      <c r="U13" s="151" t="s">
        <v>361</v>
      </c>
      <c r="V13" s="151">
        <v>3</v>
      </c>
      <c r="W13" s="151" t="s">
        <v>431</v>
      </c>
      <c r="X13" s="151" t="s">
        <v>6277</v>
      </c>
      <c r="Y13" s="151" t="s">
        <v>361</v>
      </c>
      <c r="Z13" s="151" t="s">
        <v>361</v>
      </c>
      <c r="AA13" s="151" t="s">
        <v>6247</v>
      </c>
    </row>
    <row r="14" spans="2:27" ht="409.5">
      <c r="B14" s="151" t="s">
        <v>6240</v>
      </c>
      <c r="C14" s="151" t="s">
        <v>6297</v>
      </c>
      <c r="D14" s="151" t="s">
        <v>6286</v>
      </c>
      <c r="E14" s="151" t="s">
        <v>36</v>
      </c>
      <c r="F14" s="151" t="s">
        <v>6298</v>
      </c>
      <c r="G14" s="151" t="s">
        <v>2527</v>
      </c>
      <c r="H14" s="151" t="s">
        <v>2173</v>
      </c>
      <c r="I14" s="151" t="s">
        <v>1183</v>
      </c>
      <c r="J14" s="151" t="s">
        <v>6243</v>
      </c>
      <c r="K14" s="151" t="s">
        <v>6292</v>
      </c>
      <c r="L14" s="341" t="s">
        <v>6299</v>
      </c>
      <c r="M14" s="151" t="s">
        <v>6300</v>
      </c>
      <c r="N14" s="151" t="s">
        <v>361</v>
      </c>
      <c r="O14" s="465" t="s">
        <v>6301</v>
      </c>
      <c r="P14" s="341">
        <v>1</v>
      </c>
      <c r="Q14" s="151" t="s">
        <v>2550</v>
      </c>
      <c r="R14" s="341" t="s">
        <v>6302</v>
      </c>
      <c r="S14" s="151" t="s">
        <v>6265</v>
      </c>
      <c r="T14" s="151" t="s">
        <v>6265</v>
      </c>
      <c r="U14" s="151" t="s">
        <v>361</v>
      </c>
      <c r="V14" s="151">
        <v>20</v>
      </c>
      <c r="W14" s="151" t="s">
        <v>6265</v>
      </c>
      <c r="X14" s="151" t="s">
        <v>2507</v>
      </c>
      <c r="Y14" s="151" t="s">
        <v>361</v>
      </c>
      <c r="Z14" s="151" t="s">
        <v>361</v>
      </c>
      <c r="AA14" s="151" t="s">
        <v>6247</v>
      </c>
    </row>
    <row r="15" spans="2:27">
      <c r="B15" s="151" t="s">
        <v>6240</v>
      </c>
      <c r="C15" s="151" t="s">
        <v>5521</v>
      </c>
      <c r="D15" s="151" t="s">
        <v>6286</v>
      </c>
      <c r="E15" s="151" t="s">
        <v>36</v>
      </c>
      <c r="F15" s="151" t="s">
        <v>6303</v>
      </c>
      <c r="G15" s="151" t="s">
        <v>2527</v>
      </c>
      <c r="H15" s="151" t="s">
        <v>3656</v>
      </c>
      <c r="I15" s="151" t="s">
        <v>361</v>
      </c>
      <c r="J15" s="151" t="s">
        <v>361</v>
      </c>
      <c r="K15" s="151" t="s">
        <v>361</v>
      </c>
      <c r="L15" s="151" t="s">
        <v>361</v>
      </c>
      <c r="M15" s="151" t="s">
        <v>361</v>
      </c>
      <c r="N15" s="151" t="s">
        <v>361</v>
      </c>
      <c r="O15" s="151"/>
      <c r="P15" s="151"/>
      <c r="Q15" s="151" t="s">
        <v>3576</v>
      </c>
      <c r="R15" s="151" t="s">
        <v>6304</v>
      </c>
      <c r="S15" s="151" t="s">
        <v>6265</v>
      </c>
      <c r="T15" s="151" t="s">
        <v>361</v>
      </c>
      <c r="U15" s="151" t="s">
        <v>361</v>
      </c>
      <c r="V15" s="151" t="s">
        <v>361</v>
      </c>
      <c r="W15" s="151" t="s">
        <v>6265</v>
      </c>
      <c r="X15" s="151" t="s">
        <v>361</v>
      </c>
      <c r="Y15" s="151" t="s">
        <v>361</v>
      </c>
      <c r="Z15" s="151" t="s">
        <v>361</v>
      </c>
      <c r="AA15" s="151" t="s">
        <v>6290</v>
      </c>
    </row>
    <row r="16" spans="2:27" ht="195">
      <c r="B16" s="151" t="s">
        <v>6240</v>
      </c>
      <c r="C16" s="151" t="s">
        <v>6305</v>
      </c>
      <c r="D16" s="151" t="s">
        <v>6306</v>
      </c>
      <c r="E16" s="151" t="s">
        <v>36</v>
      </c>
      <c r="F16" s="151" t="s">
        <v>6307</v>
      </c>
      <c r="G16" s="151" t="s">
        <v>2527</v>
      </c>
      <c r="H16" s="151" t="s">
        <v>2173</v>
      </c>
      <c r="I16" s="151" t="s">
        <v>1183</v>
      </c>
      <c r="J16" s="151" t="s">
        <v>361</v>
      </c>
      <c r="K16" s="151" t="s">
        <v>528</v>
      </c>
      <c r="L16" s="151" t="s">
        <v>6256</v>
      </c>
      <c r="M16" s="151" t="s">
        <v>6244</v>
      </c>
      <c r="N16" s="151" t="s">
        <v>361</v>
      </c>
      <c r="O16" s="341" t="s">
        <v>6308</v>
      </c>
      <c r="P16" s="151" t="s">
        <v>6309</v>
      </c>
      <c r="Q16" s="151" t="s">
        <v>2177</v>
      </c>
      <c r="R16" s="151" t="s">
        <v>361</v>
      </c>
      <c r="S16" s="151" t="s">
        <v>431</v>
      </c>
      <c r="T16" s="151" t="s">
        <v>3582</v>
      </c>
      <c r="U16" s="151" t="s">
        <v>361</v>
      </c>
      <c r="V16" s="151">
        <v>100</v>
      </c>
      <c r="W16" s="151" t="s">
        <v>431</v>
      </c>
      <c r="X16" s="151" t="s">
        <v>6253</v>
      </c>
      <c r="Y16" s="151" t="s">
        <v>361</v>
      </c>
      <c r="Z16" s="151" t="s">
        <v>361</v>
      </c>
      <c r="AA16" s="151" t="s">
        <v>6247</v>
      </c>
    </row>
    <row r="17" spans="2:27">
      <c r="B17" s="151" t="s">
        <v>6240</v>
      </c>
      <c r="C17" s="151" t="s">
        <v>6310</v>
      </c>
      <c r="D17" s="151" t="s">
        <v>6306</v>
      </c>
      <c r="E17" s="151" t="s">
        <v>36</v>
      </c>
      <c r="F17" s="151" t="s">
        <v>6311</v>
      </c>
      <c r="G17" s="151" t="s">
        <v>2527</v>
      </c>
      <c r="H17" s="151" t="s">
        <v>2173</v>
      </c>
      <c r="I17" s="151" t="s">
        <v>1183</v>
      </c>
      <c r="J17" s="151" t="s">
        <v>361</v>
      </c>
      <c r="K17" s="151" t="s">
        <v>6312</v>
      </c>
      <c r="L17" s="151" t="s">
        <v>6256</v>
      </c>
      <c r="M17" s="151" t="s">
        <v>361</v>
      </c>
      <c r="N17" s="151" t="s">
        <v>361</v>
      </c>
      <c r="O17" s="374" t="s">
        <v>3800</v>
      </c>
      <c r="P17" s="151"/>
      <c r="Q17" s="151" t="s">
        <v>2177</v>
      </c>
      <c r="R17" s="151" t="s">
        <v>6313</v>
      </c>
      <c r="S17" s="151" t="s">
        <v>431</v>
      </c>
      <c r="T17" s="151" t="s">
        <v>3582</v>
      </c>
      <c r="U17" s="151" t="s">
        <v>361</v>
      </c>
      <c r="V17" s="151">
        <v>100</v>
      </c>
      <c r="W17" s="151" t="s">
        <v>431</v>
      </c>
      <c r="X17" s="151" t="s">
        <v>6253</v>
      </c>
      <c r="Y17" s="151" t="s">
        <v>361</v>
      </c>
      <c r="Z17" s="151" t="s">
        <v>361</v>
      </c>
      <c r="AA17" s="151" t="s">
        <v>6247</v>
      </c>
    </row>
    <row r="18" spans="2:27" ht="195">
      <c r="B18" s="151" t="s">
        <v>6240</v>
      </c>
      <c r="C18" s="151" t="s">
        <v>6314</v>
      </c>
      <c r="D18" s="151" t="s">
        <v>6306</v>
      </c>
      <c r="E18" s="151" t="s">
        <v>36</v>
      </c>
      <c r="F18" s="151" t="s">
        <v>6315</v>
      </c>
      <c r="G18" s="151" t="s">
        <v>2527</v>
      </c>
      <c r="H18" s="151" t="s">
        <v>2173</v>
      </c>
      <c r="I18" s="151" t="s">
        <v>1183</v>
      </c>
      <c r="J18" s="151" t="s">
        <v>361</v>
      </c>
      <c r="K18" s="151" t="s">
        <v>528</v>
      </c>
      <c r="L18" s="151" t="s">
        <v>6316</v>
      </c>
      <c r="M18" s="151" t="s">
        <v>6244</v>
      </c>
      <c r="N18" s="151" t="s">
        <v>361</v>
      </c>
      <c r="O18" s="341" t="s">
        <v>6317</v>
      </c>
      <c r="P18" s="151" t="s">
        <v>6309</v>
      </c>
      <c r="Q18" s="151" t="s">
        <v>2177</v>
      </c>
      <c r="R18" s="151" t="s">
        <v>6318</v>
      </c>
      <c r="S18" s="151" t="s">
        <v>431</v>
      </c>
      <c r="T18" s="151" t="s">
        <v>3582</v>
      </c>
      <c r="U18" s="151" t="s">
        <v>361</v>
      </c>
      <c r="V18" s="151">
        <v>5</v>
      </c>
      <c r="W18" s="151" t="s">
        <v>431</v>
      </c>
      <c r="X18" s="151" t="s">
        <v>6273</v>
      </c>
      <c r="Y18" s="151" t="s">
        <v>361</v>
      </c>
      <c r="Z18" s="151" t="s">
        <v>361</v>
      </c>
      <c r="AA18" s="151" t="s">
        <v>6247</v>
      </c>
    </row>
    <row r="19" spans="2:27" ht="255">
      <c r="B19" s="151" t="s">
        <v>6240</v>
      </c>
      <c r="C19" s="151" t="s">
        <v>6319</v>
      </c>
      <c r="D19" s="151" t="s">
        <v>6306</v>
      </c>
      <c r="E19" s="151" t="s">
        <v>36</v>
      </c>
      <c r="F19" s="151" t="s">
        <v>6320</v>
      </c>
      <c r="G19" s="151" t="s">
        <v>2527</v>
      </c>
      <c r="H19" s="151" t="s">
        <v>2173</v>
      </c>
      <c r="I19" s="151" t="s">
        <v>1183</v>
      </c>
      <c r="J19" s="151" t="s">
        <v>361</v>
      </c>
      <c r="K19" s="151" t="s">
        <v>6312</v>
      </c>
      <c r="L19" s="151" t="s">
        <v>6321</v>
      </c>
      <c r="M19" s="465" t="s">
        <v>6322</v>
      </c>
      <c r="N19" s="151" t="s">
        <v>361</v>
      </c>
      <c r="O19" s="341" t="s">
        <v>6323</v>
      </c>
      <c r="P19" s="151">
        <v>0</v>
      </c>
      <c r="Q19" s="151" t="s">
        <v>2177</v>
      </c>
      <c r="R19" s="151" t="s">
        <v>6313</v>
      </c>
      <c r="S19" s="151" t="s">
        <v>431</v>
      </c>
      <c r="T19" s="151" t="s">
        <v>3582</v>
      </c>
      <c r="U19" s="151" t="s">
        <v>361</v>
      </c>
      <c r="V19" s="151">
        <v>120</v>
      </c>
      <c r="W19" s="151" t="s">
        <v>431</v>
      </c>
      <c r="X19" s="151" t="s">
        <v>6324</v>
      </c>
      <c r="Y19" s="151" t="s">
        <v>361</v>
      </c>
      <c r="Z19" s="151" t="s">
        <v>361</v>
      </c>
      <c r="AA19" s="151" t="s">
        <v>6247</v>
      </c>
    </row>
    <row r="20" spans="2:27" ht="180">
      <c r="B20" s="151" t="s">
        <v>6240</v>
      </c>
      <c r="C20" s="151" t="s">
        <v>6325</v>
      </c>
      <c r="D20" s="151" t="s">
        <v>6306</v>
      </c>
      <c r="E20" s="151" t="s">
        <v>36</v>
      </c>
      <c r="F20" s="151" t="s">
        <v>6326</v>
      </c>
      <c r="G20" s="151" t="s">
        <v>2527</v>
      </c>
      <c r="H20" s="151" t="s">
        <v>2173</v>
      </c>
      <c r="I20" s="151" t="s">
        <v>1183</v>
      </c>
      <c r="J20" s="151" t="s">
        <v>361</v>
      </c>
      <c r="K20" s="151" t="s">
        <v>6327</v>
      </c>
      <c r="L20" s="151" t="s">
        <v>6328</v>
      </c>
      <c r="M20" s="433" t="s">
        <v>6329</v>
      </c>
      <c r="N20" s="151" t="s">
        <v>361</v>
      </c>
      <c r="O20" s="341" t="s">
        <v>6330</v>
      </c>
      <c r="P20" s="151" t="s">
        <v>6331</v>
      </c>
      <c r="Q20" s="151" t="s">
        <v>2177</v>
      </c>
      <c r="R20" s="151" t="s">
        <v>361</v>
      </c>
      <c r="S20" s="151" t="s">
        <v>431</v>
      </c>
      <c r="T20" s="151" t="s">
        <v>3582</v>
      </c>
      <c r="U20" s="151" t="s">
        <v>361</v>
      </c>
      <c r="V20" s="151">
        <v>3</v>
      </c>
      <c r="W20" s="151" t="s">
        <v>431</v>
      </c>
      <c r="X20" s="151" t="s">
        <v>6277</v>
      </c>
      <c r="Y20" s="151" t="s">
        <v>361</v>
      </c>
      <c r="Z20" s="151" t="s">
        <v>361</v>
      </c>
      <c r="AA20" s="151" t="s">
        <v>6247</v>
      </c>
    </row>
    <row r="21" spans="2:27" ht="180">
      <c r="B21" s="151" t="s">
        <v>6240</v>
      </c>
      <c r="C21" s="151" t="s">
        <v>6332</v>
      </c>
      <c r="D21" s="151" t="s">
        <v>6306</v>
      </c>
      <c r="E21" s="151" t="s">
        <v>36</v>
      </c>
      <c r="F21" s="151" t="s">
        <v>6333</v>
      </c>
      <c r="G21" s="151" t="s">
        <v>2527</v>
      </c>
      <c r="H21" s="151" t="s">
        <v>2173</v>
      </c>
      <c r="I21" s="151" t="s">
        <v>1183</v>
      </c>
      <c r="J21" s="151" t="s">
        <v>361</v>
      </c>
      <c r="K21" s="151" t="s">
        <v>6327</v>
      </c>
      <c r="L21" s="151" t="s">
        <v>6334</v>
      </c>
      <c r="M21" s="486" t="s">
        <v>6329</v>
      </c>
      <c r="N21" s="151" t="s">
        <v>361</v>
      </c>
      <c r="O21" s="341" t="s">
        <v>6335</v>
      </c>
      <c r="P21" s="151" t="s">
        <v>6331</v>
      </c>
      <c r="Q21" s="151" t="s">
        <v>2177</v>
      </c>
      <c r="R21" s="151" t="s">
        <v>361</v>
      </c>
      <c r="S21" s="151" t="s">
        <v>431</v>
      </c>
      <c r="T21" s="151" t="s">
        <v>3582</v>
      </c>
      <c r="U21" s="151" t="s">
        <v>361</v>
      </c>
      <c r="V21" s="151">
        <v>4</v>
      </c>
      <c r="W21" s="151" t="s">
        <v>431</v>
      </c>
      <c r="X21" s="151" t="s">
        <v>6336</v>
      </c>
      <c r="Y21" s="151" t="s">
        <v>361</v>
      </c>
      <c r="Z21" s="151" t="s">
        <v>361</v>
      </c>
      <c r="AA21" s="151" t="s">
        <v>6247</v>
      </c>
    </row>
    <row r="22" spans="2:27" ht="180">
      <c r="B22" s="151" t="s">
        <v>6240</v>
      </c>
      <c r="C22" s="151" t="s">
        <v>6337</v>
      </c>
      <c r="D22" s="151" t="s">
        <v>6306</v>
      </c>
      <c r="E22" s="151" t="s">
        <v>36</v>
      </c>
      <c r="F22" s="151" t="s">
        <v>6338</v>
      </c>
      <c r="G22" s="151" t="s">
        <v>2527</v>
      </c>
      <c r="H22" s="151" t="s">
        <v>2173</v>
      </c>
      <c r="I22" s="151" t="s">
        <v>1183</v>
      </c>
      <c r="J22" s="151" t="s">
        <v>361</v>
      </c>
      <c r="K22" s="151" t="s">
        <v>6327</v>
      </c>
      <c r="L22" s="151" t="s">
        <v>6339</v>
      </c>
      <c r="M22" s="486" t="s">
        <v>6329</v>
      </c>
      <c r="N22" s="151" t="s">
        <v>361</v>
      </c>
      <c r="O22" s="341" t="s">
        <v>6340</v>
      </c>
      <c r="P22" s="151" t="s">
        <v>6331</v>
      </c>
      <c r="Q22" s="151" t="s">
        <v>2177</v>
      </c>
      <c r="R22" s="151" t="s">
        <v>361</v>
      </c>
      <c r="S22" s="151" t="s">
        <v>431</v>
      </c>
      <c r="T22" s="151" t="s">
        <v>3582</v>
      </c>
      <c r="U22" s="151" t="s">
        <v>361</v>
      </c>
      <c r="V22" s="151">
        <v>20</v>
      </c>
      <c r="W22" s="151" t="s">
        <v>431</v>
      </c>
      <c r="X22" s="151" t="s">
        <v>6341</v>
      </c>
      <c r="Y22" s="151" t="s">
        <v>361</v>
      </c>
      <c r="Z22" s="151" t="s">
        <v>361</v>
      </c>
      <c r="AA22" s="151" t="s">
        <v>6247</v>
      </c>
    </row>
    <row r="23" spans="2:27">
      <c r="B23" s="151" t="s">
        <v>6240</v>
      </c>
      <c r="C23" s="151" t="s">
        <v>6342</v>
      </c>
      <c r="D23" s="151" t="s">
        <v>6306</v>
      </c>
      <c r="E23" s="151" t="s">
        <v>36</v>
      </c>
      <c r="F23" s="151" t="s">
        <v>6343</v>
      </c>
      <c r="G23" s="151" t="s">
        <v>2527</v>
      </c>
      <c r="H23" s="151" t="s">
        <v>2173</v>
      </c>
      <c r="I23" s="151" t="s">
        <v>1183</v>
      </c>
      <c r="J23" s="151" t="s">
        <v>361</v>
      </c>
      <c r="K23" s="151" t="s">
        <v>4304</v>
      </c>
      <c r="L23" s="151" t="s">
        <v>6344</v>
      </c>
      <c r="M23" s="151" t="s">
        <v>361</v>
      </c>
      <c r="N23" s="151" t="s">
        <v>361</v>
      </c>
      <c r="O23" s="374" t="s">
        <v>3800</v>
      </c>
      <c r="P23" s="151"/>
      <c r="Q23" s="151" t="s">
        <v>2177</v>
      </c>
      <c r="R23" s="151" t="s">
        <v>361</v>
      </c>
      <c r="S23" s="151" t="s">
        <v>4695</v>
      </c>
      <c r="T23" s="151" t="s">
        <v>4695</v>
      </c>
      <c r="U23" s="151" t="s">
        <v>361</v>
      </c>
      <c r="V23" s="151" t="s">
        <v>361</v>
      </c>
      <c r="W23" s="151" t="s">
        <v>4695</v>
      </c>
      <c r="X23" s="151" t="s">
        <v>4695</v>
      </c>
      <c r="Y23" s="151" t="s">
        <v>361</v>
      </c>
      <c r="Z23" s="151" t="s">
        <v>361</v>
      </c>
      <c r="AA23" s="151" t="s">
        <v>6247</v>
      </c>
    </row>
    <row r="24" spans="2:27" ht="210">
      <c r="B24" s="151" t="s">
        <v>6240</v>
      </c>
      <c r="C24" s="151" t="s">
        <v>6345</v>
      </c>
      <c r="D24" s="151" t="s">
        <v>6306</v>
      </c>
      <c r="E24" s="151" t="s">
        <v>36</v>
      </c>
      <c r="F24" s="151" t="s">
        <v>6346</v>
      </c>
      <c r="G24" s="151" t="s">
        <v>2527</v>
      </c>
      <c r="H24" s="151" t="s">
        <v>2173</v>
      </c>
      <c r="I24" s="151" t="s">
        <v>1183</v>
      </c>
      <c r="J24" s="151" t="s">
        <v>361</v>
      </c>
      <c r="K24" s="151" t="s">
        <v>6347</v>
      </c>
      <c r="L24" s="151" t="s">
        <v>6348</v>
      </c>
      <c r="M24" s="433" t="s">
        <v>6329</v>
      </c>
      <c r="N24" s="151" t="s">
        <v>361</v>
      </c>
      <c r="O24" s="341" t="s">
        <v>6349</v>
      </c>
      <c r="P24" s="151" t="s">
        <v>6331</v>
      </c>
      <c r="Q24" s="151" t="s">
        <v>2177</v>
      </c>
      <c r="R24" s="151" t="s">
        <v>361</v>
      </c>
      <c r="S24" s="151" t="s">
        <v>6265</v>
      </c>
      <c r="T24" s="151" t="s">
        <v>6265</v>
      </c>
      <c r="U24" s="151" t="s">
        <v>361</v>
      </c>
      <c r="V24" s="151">
        <v>38</v>
      </c>
      <c r="W24" s="151" t="s">
        <v>6265</v>
      </c>
      <c r="X24" s="151" t="s">
        <v>6350</v>
      </c>
      <c r="Y24" s="151" t="s">
        <v>361</v>
      </c>
      <c r="Z24" s="151" t="s">
        <v>361</v>
      </c>
      <c r="AA24" s="151" t="s">
        <v>6247</v>
      </c>
    </row>
    <row r="25" spans="2:27" ht="210">
      <c r="B25" s="151" t="s">
        <v>6240</v>
      </c>
      <c r="C25" s="151" t="s">
        <v>6351</v>
      </c>
      <c r="D25" s="151" t="s">
        <v>6306</v>
      </c>
      <c r="E25" s="151" t="s">
        <v>36</v>
      </c>
      <c r="F25" s="151" t="s">
        <v>6352</v>
      </c>
      <c r="G25" s="151" t="s">
        <v>2527</v>
      </c>
      <c r="H25" s="151" t="s">
        <v>2173</v>
      </c>
      <c r="I25" s="151" t="s">
        <v>1183</v>
      </c>
      <c r="J25" s="151" t="s">
        <v>361</v>
      </c>
      <c r="K25" s="151" t="s">
        <v>6327</v>
      </c>
      <c r="L25" s="151"/>
      <c r="M25" s="486" t="s">
        <v>6329</v>
      </c>
      <c r="N25" s="151" t="s">
        <v>361</v>
      </c>
      <c r="O25" s="341" t="s">
        <v>6353</v>
      </c>
      <c r="P25" s="151" t="s">
        <v>6331</v>
      </c>
      <c r="Q25" s="151" t="s">
        <v>2177</v>
      </c>
      <c r="R25" s="151" t="s">
        <v>361</v>
      </c>
      <c r="S25" s="151" t="s">
        <v>6265</v>
      </c>
      <c r="T25" s="151" t="s">
        <v>6265</v>
      </c>
      <c r="U25" s="151" t="s">
        <v>361</v>
      </c>
      <c r="V25" s="151">
        <v>22</v>
      </c>
      <c r="W25" s="151" t="s">
        <v>6265</v>
      </c>
      <c r="X25" s="151" t="s">
        <v>3644</v>
      </c>
      <c r="Y25" s="151" t="s">
        <v>361</v>
      </c>
      <c r="Z25" s="151" t="s">
        <v>361</v>
      </c>
      <c r="AA25" s="151" t="s">
        <v>6247</v>
      </c>
    </row>
    <row r="26" spans="2:27" ht="90">
      <c r="B26" s="151" t="s">
        <v>6240</v>
      </c>
      <c r="C26" s="151" t="s">
        <v>6354</v>
      </c>
      <c r="D26" s="151" t="s">
        <v>6306</v>
      </c>
      <c r="E26" s="151" t="s">
        <v>36</v>
      </c>
      <c r="F26" s="151" t="s">
        <v>6355</v>
      </c>
      <c r="G26" s="151" t="s">
        <v>2527</v>
      </c>
      <c r="H26" s="151" t="s">
        <v>2173</v>
      </c>
      <c r="I26" s="151" t="s">
        <v>1183</v>
      </c>
      <c r="J26" s="151" t="s">
        <v>361</v>
      </c>
      <c r="K26" s="151" t="s">
        <v>6356</v>
      </c>
      <c r="L26" s="151" t="s">
        <v>6357</v>
      </c>
      <c r="M26" s="465" t="s">
        <v>6358</v>
      </c>
      <c r="N26" s="151" t="s">
        <v>361</v>
      </c>
      <c r="O26" s="341"/>
      <c r="P26" s="151"/>
      <c r="Q26" s="151" t="s">
        <v>2177</v>
      </c>
      <c r="R26" s="151" t="s">
        <v>361</v>
      </c>
      <c r="S26" s="151" t="s">
        <v>6265</v>
      </c>
      <c r="T26" s="151" t="s">
        <v>6265</v>
      </c>
      <c r="U26" s="151" t="s">
        <v>361</v>
      </c>
      <c r="V26" s="151">
        <v>22</v>
      </c>
      <c r="W26" s="151" t="s">
        <v>6265</v>
      </c>
      <c r="X26" s="151" t="s">
        <v>3644</v>
      </c>
      <c r="Y26" s="151" t="s">
        <v>361</v>
      </c>
      <c r="Z26" s="151" t="s">
        <v>361</v>
      </c>
      <c r="AA26" s="151" t="s">
        <v>6247</v>
      </c>
    </row>
    <row r="27" spans="2:27" ht="90">
      <c r="B27" s="151" t="s">
        <v>6240</v>
      </c>
      <c r="C27" s="151" t="s">
        <v>6359</v>
      </c>
      <c r="D27" s="151" t="s">
        <v>6306</v>
      </c>
      <c r="E27" s="151" t="s">
        <v>36</v>
      </c>
      <c r="F27" s="151" t="s">
        <v>6360</v>
      </c>
      <c r="G27" s="151" t="s">
        <v>2527</v>
      </c>
      <c r="H27" s="341" t="s">
        <v>6361</v>
      </c>
      <c r="I27" s="151" t="s">
        <v>361</v>
      </c>
      <c r="J27" s="151" t="s">
        <v>361</v>
      </c>
      <c r="K27" s="151" t="s">
        <v>6362</v>
      </c>
      <c r="L27" s="464" t="s">
        <v>6363</v>
      </c>
      <c r="M27" s="465" t="s">
        <v>6364</v>
      </c>
      <c r="O27" s="374"/>
      <c r="P27" s="374"/>
      <c r="Q27" s="151" t="s">
        <v>3576</v>
      </c>
      <c r="R27" s="151" t="s">
        <v>6365</v>
      </c>
      <c r="S27" s="151" t="s">
        <v>6265</v>
      </c>
      <c r="T27" s="151" t="s">
        <v>361</v>
      </c>
      <c r="U27" s="151" t="s">
        <v>361</v>
      </c>
      <c r="V27" s="151" t="s">
        <v>361</v>
      </c>
      <c r="W27" s="151" t="s">
        <v>6265</v>
      </c>
      <c r="X27" s="151" t="s">
        <v>361</v>
      </c>
      <c r="Y27" s="151" t="s">
        <v>361</v>
      </c>
      <c r="Z27" s="151" t="s">
        <v>361</v>
      </c>
      <c r="AA27" s="151" t="s">
        <v>6284</v>
      </c>
    </row>
    <row r="28" spans="2:27">
      <c r="B28" s="151" t="s">
        <v>6240</v>
      </c>
      <c r="C28" s="151" t="s">
        <v>6366</v>
      </c>
      <c r="D28" s="151" t="s">
        <v>6306</v>
      </c>
      <c r="E28" s="151" t="s">
        <v>36</v>
      </c>
      <c r="F28" s="151" t="s">
        <v>6367</v>
      </c>
      <c r="G28" s="151" t="s">
        <v>2527</v>
      </c>
      <c r="H28" s="431" t="s">
        <v>2173</v>
      </c>
      <c r="I28" s="151"/>
      <c r="J28" s="151" t="s">
        <v>361</v>
      </c>
      <c r="K28" s="151" t="s">
        <v>6368</v>
      </c>
      <c r="L28" s="465" t="s">
        <v>6369</v>
      </c>
      <c r="M28" s="465"/>
      <c r="O28" s="374" t="s">
        <v>3800</v>
      </c>
      <c r="P28" s="374"/>
      <c r="Q28" s="151" t="s">
        <v>3576</v>
      </c>
      <c r="R28" s="151" t="s">
        <v>6370</v>
      </c>
      <c r="S28" s="151" t="s">
        <v>6265</v>
      </c>
      <c r="T28" s="151" t="s">
        <v>361</v>
      </c>
      <c r="U28" s="151" t="s">
        <v>361</v>
      </c>
      <c r="V28" s="151" t="s">
        <v>361</v>
      </c>
      <c r="W28" s="151" t="s">
        <v>6265</v>
      </c>
      <c r="X28" s="151" t="s">
        <v>361</v>
      </c>
      <c r="Y28" s="151" t="s">
        <v>361</v>
      </c>
      <c r="Z28" s="151" t="s">
        <v>361</v>
      </c>
      <c r="AA28" s="151" t="s">
        <v>6290</v>
      </c>
    </row>
    <row r="29" spans="2:27" ht="180">
      <c r="B29" s="151" t="s">
        <v>6240</v>
      </c>
      <c r="C29" s="151" t="s">
        <v>6274</v>
      </c>
      <c r="D29" s="151" t="s">
        <v>6306</v>
      </c>
      <c r="E29" s="151" t="s">
        <v>36</v>
      </c>
      <c r="F29" s="151" t="s">
        <v>6371</v>
      </c>
      <c r="G29" s="151" t="s">
        <v>2527</v>
      </c>
      <c r="H29" s="151" t="s">
        <v>2173</v>
      </c>
      <c r="I29" s="151" t="s">
        <v>1183</v>
      </c>
      <c r="J29" s="151" t="s">
        <v>361</v>
      </c>
      <c r="K29" s="151" t="s">
        <v>528</v>
      </c>
      <c r="L29" s="151" t="s">
        <v>6276</v>
      </c>
      <c r="M29" s="151" t="s">
        <v>6244</v>
      </c>
      <c r="N29" s="151" t="s">
        <v>361</v>
      </c>
      <c r="O29" s="341" t="s">
        <v>6372</v>
      </c>
      <c r="P29" s="151" t="s">
        <v>6309</v>
      </c>
      <c r="Q29" s="151" t="s">
        <v>2177</v>
      </c>
      <c r="R29" s="151" t="s">
        <v>361</v>
      </c>
      <c r="S29" s="151" t="s">
        <v>431</v>
      </c>
      <c r="T29" s="151" t="s">
        <v>3582</v>
      </c>
      <c r="U29" s="151" t="s">
        <v>361</v>
      </c>
      <c r="V29" s="151">
        <v>3</v>
      </c>
      <c r="W29" s="151" t="s">
        <v>431</v>
      </c>
      <c r="X29" s="151" t="s">
        <v>6277</v>
      </c>
      <c r="Y29" s="151" t="s">
        <v>361</v>
      </c>
      <c r="Z29" s="151" t="s">
        <v>361</v>
      </c>
      <c r="AA29" s="151" t="s">
        <v>6247</v>
      </c>
    </row>
    <row r="30" spans="2:27">
      <c r="B30" s="151" t="s">
        <v>6240</v>
      </c>
      <c r="C30" s="151" t="s">
        <v>6373</v>
      </c>
      <c r="D30" s="151" t="s">
        <v>6306</v>
      </c>
      <c r="E30" s="151" t="s">
        <v>36</v>
      </c>
      <c r="F30" s="151" t="s">
        <v>6374</v>
      </c>
      <c r="G30" s="151" t="s">
        <v>2527</v>
      </c>
      <c r="H30" s="151" t="s">
        <v>3656</v>
      </c>
      <c r="I30" s="151" t="s">
        <v>361</v>
      </c>
      <c r="J30" s="151" t="s">
        <v>361</v>
      </c>
      <c r="K30" s="151" t="s">
        <v>361</v>
      </c>
      <c r="L30" s="151" t="s">
        <v>361</v>
      </c>
      <c r="M30" s="151" t="s">
        <v>361</v>
      </c>
      <c r="N30" s="151" t="s">
        <v>361</v>
      </c>
      <c r="O30" s="151"/>
      <c r="P30" s="151"/>
      <c r="Q30" s="151" t="s">
        <v>3576</v>
      </c>
      <c r="R30" s="151" t="s">
        <v>6375</v>
      </c>
      <c r="S30" s="151" t="s">
        <v>6265</v>
      </c>
      <c r="T30" s="151" t="s">
        <v>361</v>
      </c>
      <c r="U30" s="151" t="s">
        <v>361</v>
      </c>
      <c r="V30" s="151" t="s">
        <v>361</v>
      </c>
      <c r="W30" s="151" t="s">
        <v>6265</v>
      </c>
      <c r="X30" s="151" t="s">
        <v>361</v>
      </c>
      <c r="Y30" s="151" t="s">
        <v>361</v>
      </c>
      <c r="Z30" s="151" t="s">
        <v>361</v>
      </c>
      <c r="AA30" s="151" t="s">
        <v>6284</v>
      </c>
    </row>
    <row r="31" spans="2:27">
      <c r="B31" s="151" t="s">
        <v>6240</v>
      </c>
      <c r="C31" s="151" t="s">
        <v>6376</v>
      </c>
      <c r="D31" s="151" t="s">
        <v>6306</v>
      </c>
      <c r="E31" s="151" t="s">
        <v>36</v>
      </c>
      <c r="F31" s="151" t="s">
        <v>6377</v>
      </c>
      <c r="G31" s="151" t="s">
        <v>2527</v>
      </c>
      <c r="H31" s="151" t="s">
        <v>3656</v>
      </c>
      <c r="I31" s="151" t="s">
        <v>361</v>
      </c>
      <c r="J31" s="151" t="s">
        <v>361</v>
      </c>
      <c r="K31" s="151" t="s">
        <v>361</v>
      </c>
      <c r="L31" s="151" t="s">
        <v>361</v>
      </c>
      <c r="M31" s="151" t="s">
        <v>361</v>
      </c>
      <c r="N31" s="151" t="s">
        <v>361</v>
      </c>
      <c r="O31" s="151"/>
      <c r="P31" s="151"/>
      <c r="Q31" s="151" t="s">
        <v>3576</v>
      </c>
      <c r="R31" s="151" t="s">
        <v>6375</v>
      </c>
      <c r="S31" s="151" t="s">
        <v>6265</v>
      </c>
      <c r="T31" s="151" t="s">
        <v>361</v>
      </c>
      <c r="U31" s="151" t="s">
        <v>361</v>
      </c>
      <c r="V31" s="151" t="s">
        <v>361</v>
      </c>
      <c r="W31" s="151" t="s">
        <v>6265</v>
      </c>
      <c r="X31" s="151" t="s">
        <v>361</v>
      </c>
      <c r="Y31" s="151" t="s">
        <v>361</v>
      </c>
      <c r="Z31" s="151" t="s">
        <v>361</v>
      </c>
      <c r="AA31" s="151" t="s">
        <v>6284</v>
      </c>
    </row>
    <row r="32" spans="2:27">
      <c r="B32" s="151" t="s">
        <v>6240</v>
      </c>
      <c r="C32" s="151" t="s">
        <v>6378</v>
      </c>
      <c r="D32" s="151" t="s">
        <v>6306</v>
      </c>
      <c r="E32" s="151" t="s">
        <v>36</v>
      </c>
      <c r="F32" s="151" t="s">
        <v>6379</v>
      </c>
      <c r="G32" s="151" t="s">
        <v>2527</v>
      </c>
      <c r="H32" s="151" t="s">
        <v>3656</v>
      </c>
      <c r="I32" s="151" t="s">
        <v>361</v>
      </c>
      <c r="J32" s="151" t="s">
        <v>361</v>
      </c>
      <c r="K32" s="151" t="s">
        <v>361</v>
      </c>
      <c r="L32" s="151" t="s">
        <v>361</v>
      </c>
      <c r="M32" s="151" t="s">
        <v>361</v>
      </c>
      <c r="N32" s="151" t="s">
        <v>361</v>
      </c>
      <c r="O32" s="151"/>
      <c r="P32" s="151"/>
      <c r="Q32" s="151" t="s">
        <v>3576</v>
      </c>
      <c r="R32" s="151" t="s">
        <v>6375</v>
      </c>
      <c r="S32" s="151" t="s">
        <v>6265</v>
      </c>
      <c r="T32" s="151" t="s">
        <v>361</v>
      </c>
      <c r="U32" s="151" t="s">
        <v>361</v>
      </c>
      <c r="V32" s="151" t="s">
        <v>361</v>
      </c>
      <c r="W32" s="151" t="s">
        <v>6265</v>
      </c>
      <c r="X32" s="151" t="s">
        <v>361</v>
      </c>
      <c r="Y32" s="151" t="s">
        <v>361</v>
      </c>
      <c r="Z32" s="151" t="s">
        <v>361</v>
      </c>
      <c r="AA32" s="151" t="s">
        <v>6284</v>
      </c>
    </row>
    <row r="33" spans="2:27" ht="285">
      <c r="B33" s="151" t="s">
        <v>6240</v>
      </c>
      <c r="C33" s="151" t="s">
        <v>6380</v>
      </c>
      <c r="D33" s="151" t="s">
        <v>6306</v>
      </c>
      <c r="E33" s="151" t="s">
        <v>36</v>
      </c>
      <c r="F33" s="151" t="s">
        <v>6381</v>
      </c>
      <c r="G33" s="151" t="s">
        <v>2527</v>
      </c>
      <c r="H33" s="151" t="s">
        <v>2173</v>
      </c>
      <c r="I33" s="151" t="s">
        <v>1183</v>
      </c>
      <c r="J33" s="151" t="s">
        <v>361</v>
      </c>
      <c r="K33" s="151" t="s">
        <v>6356</v>
      </c>
      <c r="L33" s="151" t="s">
        <v>6382</v>
      </c>
      <c r="M33" s="465" t="s">
        <v>6383</v>
      </c>
      <c r="N33" s="151" t="s">
        <v>361</v>
      </c>
      <c r="O33" s="341" t="s">
        <v>6384</v>
      </c>
      <c r="P33" s="151" t="s">
        <v>6331</v>
      </c>
      <c r="Q33" s="151" t="s">
        <v>2177</v>
      </c>
      <c r="R33" s="151" t="s">
        <v>361</v>
      </c>
      <c r="S33" s="151" t="s">
        <v>4695</v>
      </c>
      <c r="T33" s="151" t="s">
        <v>4695</v>
      </c>
      <c r="U33" s="151" t="s">
        <v>361</v>
      </c>
      <c r="V33" s="151" t="s">
        <v>361</v>
      </c>
      <c r="W33" s="151" t="s">
        <v>4695</v>
      </c>
      <c r="X33" s="151" t="s">
        <v>4695</v>
      </c>
      <c r="Y33" s="151" t="s">
        <v>361</v>
      </c>
      <c r="Z33" s="151" t="s">
        <v>361</v>
      </c>
      <c r="AA33" s="151" t="s">
        <v>6247</v>
      </c>
    </row>
    <row r="34" spans="2:27">
      <c r="B34" s="151" t="s">
        <v>6240</v>
      </c>
      <c r="C34" s="151" t="s">
        <v>343</v>
      </c>
      <c r="D34" s="151" t="s">
        <v>6385</v>
      </c>
      <c r="E34" s="151" t="s">
        <v>36</v>
      </c>
      <c r="F34" s="151" t="s">
        <v>6386</v>
      </c>
      <c r="G34" s="151" t="s">
        <v>2527</v>
      </c>
      <c r="H34" s="151" t="s">
        <v>2173</v>
      </c>
      <c r="I34" s="151" t="s">
        <v>1183</v>
      </c>
      <c r="J34" s="151" t="s">
        <v>361</v>
      </c>
      <c r="K34" s="151" t="s">
        <v>6387</v>
      </c>
      <c r="L34" s="151" t="s">
        <v>6388</v>
      </c>
      <c r="M34" s="151" t="s">
        <v>361</v>
      </c>
      <c r="N34" s="151" t="s">
        <v>361</v>
      </c>
      <c r="O34" s="374" t="s">
        <v>3800</v>
      </c>
      <c r="P34" s="151"/>
      <c r="Q34" s="151" t="s">
        <v>2177</v>
      </c>
      <c r="R34" s="151" t="s">
        <v>361</v>
      </c>
      <c r="S34" s="151" t="s">
        <v>431</v>
      </c>
      <c r="T34" s="151" t="s">
        <v>3582</v>
      </c>
      <c r="U34" s="151" t="s">
        <v>361</v>
      </c>
      <c r="V34" s="151">
        <v>100</v>
      </c>
      <c r="W34" s="151" t="s">
        <v>431</v>
      </c>
      <c r="X34" s="151" t="s">
        <v>6253</v>
      </c>
      <c r="Y34" s="151" t="s">
        <v>361</v>
      </c>
      <c r="Z34" s="151" t="s">
        <v>361</v>
      </c>
      <c r="AA34" s="151" t="s">
        <v>6247</v>
      </c>
    </row>
    <row r="35" spans="2:27">
      <c r="B35" s="151" t="s">
        <v>6240</v>
      </c>
      <c r="C35" s="151" t="s">
        <v>6389</v>
      </c>
      <c r="D35" s="151" t="s">
        <v>6385</v>
      </c>
      <c r="E35" s="151" t="s">
        <v>36</v>
      </c>
      <c r="F35" s="151" t="s">
        <v>6390</v>
      </c>
      <c r="G35" s="151" t="s">
        <v>2527</v>
      </c>
      <c r="H35" s="151" t="s">
        <v>2173</v>
      </c>
      <c r="I35" s="151" t="s">
        <v>1183</v>
      </c>
      <c r="J35" s="151" t="s">
        <v>361</v>
      </c>
      <c r="K35" s="151" t="s">
        <v>6387</v>
      </c>
      <c r="L35" s="151" t="s">
        <v>6391</v>
      </c>
      <c r="M35" s="151" t="s">
        <v>361</v>
      </c>
      <c r="N35" s="151" t="s">
        <v>361</v>
      </c>
      <c r="O35" s="374" t="s">
        <v>3800</v>
      </c>
      <c r="P35" s="151"/>
      <c r="Q35" s="151" t="s">
        <v>2177</v>
      </c>
      <c r="R35" s="151" t="s">
        <v>361</v>
      </c>
      <c r="S35" s="151" t="s">
        <v>431</v>
      </c>
      <c r="T35" s="151" t="s">
        <v>3582</v>
      </c>
      <c r="U35" s="151" t="s">
        <v>361</v>
      </c>
      <c r="V35" s="151">
        <v>3</v>
      </c>
      <c r="W35" s="151" t="s">
        <v>431</v>
      </c>
      <c r="X35" s="151" t="s">
        <v>6277</v>
      </c>
      <c r="Y35" s="151" t="s">
        <v>361</v>
      </c>
      <c r="Z35" s="151" t="s">
        <v>361</v>
      </c>
      <c r="AA35" s="151" t="s">
        <v>6247</v>
      </c>
    </row>
    <row r="36" spans="2:27">
      <c r="B36" s="151" t="s">
        <v>6240</v>
      </c>
      <c r="C36" s="151" t="s">
        <v>6392</v>
      </c>
      <c r="D36" s="151" t="s">
        <v>6385</v>
      </c>
      <c r="E36" s="151" t="s">
        <v>36</v>
      </c>
      <c r="F36" s="151" t="s">
        <v>6393</v>
      </c>
      <c r="G36" s="151" t="s">
        <v>2527</v>
      </c>
      <c r="H36" s="151" t="s">
        <v>2173</v>
      </c>
      <c r="I36" s="151" t="s">
        <v>1183</v>
      </c>
      <c r="J36" s="151" t="s">
        <v>361</v>
      </c>
      <c r="K36" s="151" t="s">
        <v>6394</v>
      </c>
      <c r="L36" s="151" t="s">
        <v>6395</v>
      </c>
      <c r="M36" s="151" t="s">
        <v>361</v>
      </c>
      <c r="N36" s="151" t="s">
        <v>361</v>
      </c>
      <c r="O36" s="374" t="s">
        <v>3800</v>
      </c>
      <c r="P36" s="151"/>
      <c r="Q36" s="151" t="s">
        <v>2177</v>
      </c>
      <c r="R36" s="151" t="s">
        <v>361</v>
      </c>
      <c r="S36" s="151" t="s">
        <v>431</v>
      </c>
      <c r="T36" s="151" t="s">
        <v>3582</v>
      </c>
      <c r="U36" s="151" t="s">
        <v>361</v>
      </c>
      <c r="V36" s="151">
        <v>20</v>
      </c>
      <c r="W36" s="151" t="s">
        <v>431</v>
      </c>
      <c r="X36" s="151" t="s">
        <v>6341</v>
      </c>
      <c r="Y36" s="151" t="s">
        <v>361</v>
      </c>
      <c r="Z36" s="151" t="s">
        <v>361</v>
      </c>
      <c r="AA36" s="151" t="s">
        <v>6247</v>
      </c>
    </row>
    <row r="37" spans="2:27">
      <c r="B37" s="151" t="s">
        <v>6240</v>
      </c>
      <c r="C37" s="151" t="s">
        <v>6396</v>
      </c>
      <c r="D37" s="151" t="s">
        <v>6385</v>
      </c>
      <c r="E37" s="151" t="s">
        <v>36</v>
      </c>
      <c r="F37" s="151" t="s">
        <v>6397</v>
      </c>
      <c r="G37" s="151" t="s">
        <v>2527</v>
      </c>
      <c r="H37" s="151" t="s">
        <v>2173</v>
      </c>
      <c r="I37" s="151" t="s">
        <v>1183</v>
      </c>
      <c r="J37" s="151" t="s">
        <v>361</v>
      </c>
      <c r="K37" s="151" t="s">
        <v>6394</v>
      </c>
      <c r="L37" s="151" t="s">
        <v>6398</v>
      </c>
      <c r="M37" s="151" t="s">
        <v>361</v>
      </c>
      <c r="N37" s="151" t="s">
        <v>361</v>
      </c>
      <c r="O37" s="374" t="s">
        <v>3800</v>
      </c>
      <c r="P37" s="151"/>
      <c r="Q37" s="151" t="s">
        <v>2177</v>
      </c>
      <c r="R37" s="151" t="s">
        <v>361</v>
      </c>
      <c r="S37" s="151" t="s">
        <v>6265</v>
      </c>
      <c r="T37" s="151" t="s">
        <v>6265</v>
      </c>
      <c r="U37" s="151" t="s">
        <v>361</v>
      </c>
      <c r="V37" s="151">
        <v>20</v>
      </c>
      <c r="W37" s="151" t="s">
        <v>6265</v>
      </c>
      <c r="X37" s="151" t="s">
        <v>2507</v>
      </c>
      <c r="Y37" s="151" t="s">
        <v>361</v>
      </c>
      <c r="Z37" s="151" t="s">
        <v>361</v>
      </c>
      <c r="AA37" s="151" t="s">
        <v>6247</v>
      </c>
    </row>
    <row r="38" spans="2:27">
      <c r="B38" s="151" t="s">
        <v>6240</v>
      </c>
      <c r="C38" s="151" t="s">
        <v>6399</v>
      </c>
      <c r="D38" s="151" t="s">
        <v>6385</v>
      </c>
      <c r="E38" s="151" t="s">
        <v>36</v>
      </c>
      <c r="F38" s="151" t="s">
        <v>6400</v>
      </c>
      <c r="G38" s="151" t="s">
        <v>2527</v>
      </c>
      <c r="H38" s="151" t="s">
        <v>6288</v>
      </c>
      <c r="I38" s="151" t="s">
        <v>361</v>
      </c>
      <c r="J38" s="151" t="s">
        <v>361</v>
      </c>
      <c r="K38" s="151" t="s">
        <v>361</v>
      </c>
      <c r="L38" s="151" t="s">
        <v>361</v>
      </c>
      <c r="M38" s="151" t="s">
        <v>361</v>
      </c>
      <c r="N38" s="151" t="s">
        <v>361</v>
      </c>
      <c r="O38" s="151"/>
      <c r="P38" s="151"/>
      <c r="Q38" s="151" t="s">
        <v>2550</v>
      </c>
      <c r="R38" s="151" t="s">
        <v>49</v>
      </c>
      <c r="S38" s="151" t="s">
        <v>361</v>
      </c>
      <c r="T38" s="151" t="s">
        <v>361</v>
      </c>
      <c r="U38" s="151" t="s">
        <v>361</v>
      </c>
      <c r="V38" s="151" t="s">
        <v>361</v>
      </c>
      <c r="W38" s="151" t="s">
        <v>361</v>
      </c>
      <c r="X38" s="151" t="s">
        <v>361</v>
      </c>
      <c r="Y38" s="151" t="s">
        <v>361</v>
      </c>
      <c r="Z38" s="151" t="s">
        <v>361</v>
      </c>
      <c r="AA38" s="151" t="s">
        <v>6284</v>
      </c>
    </row>
    <row r="39" spans="2:27">
      <c r="B39" s="151" t="s">
        <v>6240</v>
      </c>
      <c r="C39" s="151" t="s">
        <v>6401</v>
      </c>
      <c r="D39" s="151" t="s">
        <v>6385</v>
      </c>
      <c r="E39" s="151" t="s">
        <v>36</v>
      </c>
      <c r="F39" s="151" t="s">
        <v>6402</v>
      </c>
      <c r="G39" s="151" t="s">
        <v>2527</v>
      </c>
      <c r="H39" s="151" t="s">
        <v>2173</v>
      </c>
      <c r="I39" s="151" t="s">
        <v>1183</v>
      </c>
      <c r="J39" s="151" t="s">
        <v>361</v>
      </c>
      <c r="K39" s="151" t="s">
        <v>6403</v>
      </c>
      <c r="L39" s="151" t="s">
        <v>6404</v>
      </c>
      <c r="M39" s="151" t="s">
        <v>361</v>
      </c>
      <c r="N39" s="151" t="s">
        <v>361</v>
      </c>
      <c r="O39" s="374" t="s">
        <v>3800</v>
      </c>
      <c r="P39" s="151"/>
      <c r="Q39" s="151" t="s">
        <v>2177</v>
      </c>
      <c r="R39" s="151" t="s">
        <v>361</v>
      </c>
      <c r="S39" s="151" t="s">
        <v>6265</v>
      </c>
      <c r="T39" s="151" t="s">
        <v>361</v>
      </c>
      <c r="U39" s="151" t="s">
        <v>361</v>
      </c>
      <c r="V39" s="151" t="s">
        <v>361</v>
      </c>
      <c r="W39" s="151" t="s">
        <v>6265</v>
      </c>
      <c r="X39" s="151" t="s">
        <v>2507</v>
      </c>
      <c r="Y39" s="151" t="s">
        <v>361</v>
      </c>
      <c r="Z39" s="151" t="s">
        <v>361</v>
      </c>
      <c r="AA39" s="151" t="s">
        <v>6247</v>
      </c>
    </row>
    <row r="40" spans="2:27">
      <c r="B40" s="151" t="s">
        <v>6240</v>
      </c>
      <c r="C40" s="151" t="s">
        <v>6405</v>
      </c>
      <c r="D40" s="151" t="s">
        <v>6385</v>
      </c>
      <c r="E40" s="151" t="s">
        <v>36</v>
      </c>
      <c r="F40" s="151" t="s">
        <v>6406</v>
      </c>
      <c r="G40" s="151" t="s">
        <v>2527</v>
      </c>
      <c r="H40" s="151" t="s">
        <v>6288</v>
      </c>
      <c r="I40" s="151" t="s">
        <v>361</v>
      </c>
      <c r="J40" s="151" t="s">
        <v>361</v>
      </c>
      <c r="K40" s="151" t="s">
        <v>361</v>
      </c>
      <c r="L40" s="151" t="s">
        <v>361</v>
      </c>
      <c r="M40" s="151" t="s">
        <v>361</v>
      </c>
      <c r="N40" s="151" t="s">
        <v>361</v>
      </c>
      <c r="O40" s="151"/>
      <c r="P40" s="151"/>
      <c r="Q40" s="151" t="s">
        <v>2550</v>
      </c>
      <c r="R40" s="151" t="s">
        <v>49</v>
      </c>
      <c r="S40" s="151" t="s">
        <v>361</v>
      </c>
      <c r="T40" s="151" t="s">
        <v>361</v>
      </c>
      <c r="U40" s="151" t="s">
        <v>361</v>
      </c>
      <c r="V40" s="151" t="s">
        <v>361</v>
      </c>
      <c r="W40" s="151" t="s">
        <v>361</v>
      </c>
      <c r="X40" s="151" t="s">
        <v>361</v>
      </c>
      <c r="Y40" s="151" t="s">
        <v>361</v>
      </c>
      <c r="Z40" s="151" t="s">
        <v>361</v>
      </c>
      <c r="AA40" s="151" t="s">
        <v>6284</v>
      </c>
    </row>
    <row r="41" spans="2:27">
      <c r="B41" s="151" t="s">
        <v>6240</v>
      </c>
      <c r="C41" s="151" t="s">
        <v>6407</v>
      </c>
      <c r="D41" s="151" t="s">
        <v>6385</v>
      </c>
      <c r="E41" s="151" t="s">
        <v>36</v>
      </c>
      <c r="F41" s="151" t="s">
        <v>6408</v>
      </c>
      <c r="G41" s="151" t="s">
        <v>2527</v>
      </c>
      <c r="H41" s="151" t="s">
        <v>6288</v>
      </c>
      <c r="I41" s="151" t="s">
        <v>361</v>
      </c>
      <c r="J41" s="151" t="s">
        <v>361</v>
      </c>
      <c r="K41" s="151" t="s">
        <v>361</v>
      </c>
      <c r="L41" s="151" t="s">
        <v>361</v>
      </c>
      <c r="M41" s="151" t="s">
        <v>361</v>
      </c>
      <c r="N41" s="151" t="s">
        <v>361</v>
      </c>
      <c r="O41" s="151"/>
      <c r="P41" s="151"/>
      <c r="Q41" s="151" t="s">
        <v>2550</v>
      </c>
      <c r="R41" s="151" t="s">
        <v>49</v>
      </c>
      <c r="S41" s="151" t="s">
        <v>361</v>
      </c>
      <c r="T41" s="151" t="s">
        <v>361</v>
      </c>
      <c r="U41" s="151" t="s">
        <v>361</v>
      </c>
      <c r="V41" s="151" t="s">
        <v>361</v>
      </c>
      <c r="W41" s="151" t="s">
        <v>361</v>
      </c>
      <c r="X41" s="151" t="s">
        <v>361</v>
      </c>
      <c r="Y41" s="151" t="s">
        <v>361</v>
      </c>
      <c r="Z41" s="151" t="s">
        <v>361</v>
      </c>
      <c r="AA41" s="151" t="s">
        <v>6284</v>
      </c>
    </row>
    <row r="42" spans="2:27">
      <c r="B42" s="151" t="s">
        <v>6240</v>
      </c>
      <c r="C42" s="151" t="s">
        <v>6409</v>
      </c>
      <c r="D42" s="151" t="s">
        <v>6385</v>
      </c>
      <c r="E42" s="151" t="s">
        <v>36</v>
      </c>
      <c r="F42" s="151" t="s">
        <v>6410</v>
      </c>
      <c r="G42" s="151" t="s">
        <v>2527</v>
      </c>
      <c r="H42" s="151" t="s">
        <v>6288</v>
      </c>
      <c r="I42" s="151" t="s">
        <v>361</v>
      </c>
      <c r="J42" s="151" t="s">
        <v>361</v>
      </c>
      <c r="K42" s="151" t="s">
        <v>361</v>
      </c>
      <c r="L42" s="151" t="s">
        <v>361</v>
      </c>
      <c r="M42" s="151" t="s">
        <v>361</v>
      </c>
      <c r="N42" s="151" t="s">
        <v>361</v>
      </c>
      <c r="O42" s="151"/>
      <c r="P42" s="151"/>
      <c r="Q42" s="151" t="s">
        <v>2550</v>
      </c>
      <c r="R42" s="151" t="s">
        <v>49</v>
      </c>
      <c r="S42" s="151" t="s">
        <v>361</v>
      </c>
      <c r="T42" s="151" t="s">
        <v>361</v>
      </c>
      <c r="U42" s="151" t="s">
        <v>361</v>
      </c>
      <c r="V42" s="151" t="s">
        <v>361</v>
      </c>
      <c r="W42" s="151" t="s">
        <v>361</v>
      </c>
      <c r="X42" s="151" t="s">
        <v>361</v>
      </c>
      <c r="Y42" s="151" t="s">
        <v>361</v>
      </c>
      <c r="Z42" s="151" t="s">
        <v>361</v>
      </c>
      <c r="AA42" s="151" t="s">
        <v>6284</v>
      </c>
    </row>
    <row r="43" spans="2:27">
      <c r="B43" s="151" t="s">
        <v>6240</v>
      </c>
      <c r="C43" s="151" t="s">
        <v>6411</v>
      </c>
      <c r="D43" s="151" t="s">
        <v>6385</v>
      </c>
      <c r="E43" s="151" t="s">
        <v>36</v>
      </c>
      <c r="F43" s="151" t="s">
        <v>6412</v>
      </c>
      <c r="G43" s="151" t="s">
        <v>2527</v>
      </c>
      <c r="H43" s="151" t="s">
        <v>3656</v>
      </c>
      <c r="I43" s="151" t="s">
        <v>361</v>
      </c>
      <c r="J43" s="151" t="s">
        <v>361</v>
      </c>
      <c r="K43" s="151" t="s">
        <v>361</v>
      </c>
      <c r="L43" s="151" t="s">
        <v>361</v>
      </c>
      <c r="M43" s="151" t="s">
        <v>361</v>
      </c>
      <c r="N43" s="151" t="s">
        <v>361</v>
      </c>
      <c r="O43" s="151"/>
      <c r="P43" s="151"/>
      <c r="Q43" s="151" t="s">
        <v>3576</v>
      </c>
      <c r="R43" s="151" t="s">
        <v>6375</v>
      </c>
      <c r="S43" s="151" t="s">
        <v>6265</v>
      </c>
      <c r="T43" s="151" t="s">
        <v>361</v>
      </c>
      <c r="U43" s="151" t="s">
        <v>361</v>
      </c>
      <c r="V43" s="151" t="s">
        <v>361</v>
      </c>
      <c r="W43" s="151" t="s">
        <v>6265</v>
      </c>
      <c r="X43" s="151" t="s">
        <v>361</v>
      </c>
      <c r="Y43" s="151" t="s">
        <v>361</v>
      </c>
      <c r="Z43" s="151" t="s">
        <v>361</v>
      </c>
      <c r="AA43" s="151" t="s">
        <v>6290</v>
      </c>
    </row>
    <row r="44" spans="2:27">
      <c r="B44" s="151" t="s">
        <v>6240</v>
      </c>
      <c r="C44" s="151" t="s">
        <v>6413</v>
      </c>
      <c r="D44" s="151" t="s">
        <v>6385</v>
      </c>
      <c r="E44" s="151" t="s">
        <v>36</v>
      </c>
      <c r="F44" s="151" t="s">
        <v>6414</v>
      </c>
      <c r="G44" s="151" t="s">
        <v>2527</v>
      </c>
      <c r="H44" s="151" t="s">
        <v>2173</v>
      </c>
      <c r="I44" s="151" t="s">
        <v>1183</v>
      </c>
      <c r="J44" s="151" t="s">
        <v>361</v>
      </c>
      <c r="K44" s="151" t="s">
        <v>6415</v>
      </c>
      <c r="L44" s="151" t="s">
        <v>6416</v>
      </c>
      <c r="M44" s="151" t="s">
        <v>361</v>
      </c>
      <c r="N44" s="151" t="s">
        <v>361</v>
      </c>
      <c r="O44" s="374" t="s">
        <v>3800</v>
      </c>
      <c r="P44" s="151"/>
      <c r="Q44" s="151" t="s">
        <v>2177</v>
      </c>
      <c r="R44" s="151" t="s">
        <v>361</v>
      </c>
      <c r="S44" s="151" t="s">
        <v>4695</v>
      </c>
      <c r="T44" s="151" t="s">
        <v>4695</v>
      </c>
      <c r="U44" s="151" t="s">
        <v>361</v>
      </c>
      <c r="V44" s="151" t="s">
        <v>361</v>
      </c>
      <c r="W44" s="151" t="s">
        <v>2400</v>
      </c>
      <c r="X44" s="151" t="s">
        <v>4695</v>
      </c>
      <c r="Y44" s="151" t="s">
        <v>361</v>
      </c>
      <c r="Z44" s="151" t="s">
        <v>361</v>
      </c>
      <c r="AA44" s="151" t="s">
        <v>182</v>
      </c>
    </row>
    <row r="45" spans="2:27">
      <c r="B45" s="151" t="s">
        <v>6240</v>
      </c>
      <c r="C45" s="151" t="s">
        <v>6417</v>
      </c>
      <c r="D45" s="151" t="s">
        <v>6385</v>
      </c>
      <c r="E45" s="151" t="s">
        <v>36</v>
      </c>
      <c r="F45" s="151" t="s">
        <v>6418</v>
      </c>
      <c r="G45" s="151" t="s">
        <v>2527</v>
      </c>
      <c r="H45" s="151" t="s">
        <v>2173</v>
      </c>
      <c r="I45" s="151" t="s">
        <v>1183</v>
      </c>
      <c r="J45" s="151" t="s">
        <v>361</v>
      </c>
      <c r="K45" s="151" t="s">
        <v>528</v>
      </c>
      <c r="L45" s="151" t="s">
        <v>6276</v>
      </c>
      <c r="M45" s="151" t="s">
        <v>6244</v>
      </c>
      <c r="N45" s="151" t="s">
        <v>361</v>
      </c>
      <c r="O45" s="374" t="s">
        <v>3800</v>
      </c>
      <c r="P45" s="151"/>
      <c r="Q45" s="151" t="s">
        <v>2177</v>
      </c>
      <c r="R45" s="151" t="s">
        <v>361</v>
      </c>
      <c r="S45" s="151" t="s">
        <v>431</v>
      </c>
      <c r="T45" s="151" t="s">
        <v>3582</v>
      </c>
      <c r="U45" s="151" t="s">
        <v>361</v>
      </c>
      <c r="V45" s="151">
        <v>3</v>
      </c>
      <c r="W45" s="151" t="s">
        <v>431</v>
      </c>
      <c r="X45" s="151" t="s">
        <v>6277</v>
      </c>
      <c r="Y45" s="151" t="s">
        <v>361</v>
      </c>
      <c r="Z45" s="151" t="s">
        <v>361</v>
      </c>
      <c r="AA45" s="151" t="s">
        <v>6247</v>
      </c>
    </row>
    <row r="46" spans="2:27">
      <c r="B46" s="151" t="s">
        <v>6240</v>
      </c>
      <c r="C46" s="151" t="s">
        <v>6419</v>
      </c>
      <c r="D46" s="151" t="s">
        <v>6385</v>
      </c>
      <c r="E46" s="151" t="s">
        <v>36</v>
      </c>
      <c r="F46" s="151" t="s">
        <v>6420</v>
      </c>
      <c r="G46" s="151" t="s">
        <v>2527</v>
      </c>
      <c r="H46" s="151" t="s">
        <v>3656</v>
      </c>
      <c r="I46" s="151" t="s">
        <v>361</v>
      </c>
      <c r="J46" s="151" t="s">
        <v>361</v>
      </c>
      <c r="K46" s="151" t="s">
        <v>361</v>
      </c>
      <c r="L46" s="151" t="s">
        <v>361</v>
      </c>
      <c r="M46" s="151" t="s">
        <v>361</v>
      </c>
      <c r="N46" s="151" t="s">
        <v>361</v>
      </c>
      <c r="O46" s="151"/>
      <c r="P46" s="151"/>
      <c r="Q46" s="151" t="s">
        <v>3576</v>
      </c>
      <c r="R46" s="151" t="s">
        <v>6375</v>
      </c>
      <c r="S46" s="151" t="s">
        <v>6265</v>
      </c>
      <c r="T46" s="151" t="s">
        <v>361</v>
      </c>
      <c r="U46" s="151" t="s">
        <v>361</v>
      </c>
      <c r="V46" s="151" t="s">
        <v>361</v>
      </c>
      <c r="W46" s="151" t="s">
        <v>6265</v>
      </c>
      <c r="X46" s="151" t="s">
        <v>361</v>
      </c>
      <c r="Y46" s="151" t="s">
        <v>361</v>
      </c>
      <c r="Z46" s="151" t="s">
        <v>361</v>
      </c>
      <c r="AA46" s="151" t="s">
        <v>6284</v>
      </c>
    </row>
    <row r="47" spans="2:27">
      <c r="B47" s="151" t="s">
        <v>6240</v>
      </c>
      <c r="C47" s="151" t="s">
        <v>6421</v>
      </c>
      <c r="D47" s="151" t="s">
        <v>6385</v>
      </c>
      <c r="E47" s="151" t="s">
        <v>36</v>
      </c>
      <c r="F47" s="151" t="s">
        <v>6422</v>
      </c>
      <c r="G47" s="151" t="s">
        <v>2527</v>
      </c>
      <c r="H47" s="151" t="s">
        <v>6288</v>
      </c>
      <c r="I47" s="151" t="s">
        <v>361</v>
      </c>
      <c r="J47" s="151" t="s">
        <v>361</v>
      </c>
      <c r="K47" s="151" t="s">
        <v>361</v>
      </c>
      <c r="L47" s="151" t="s">
        <v>361</v>
      </c>
      <c r="M47" s="151" t="s">
        <v>361</v>
      </c>
      <c r="N47" s="151" t="s">
        <v>361</v>
      </c>
      <c r="O47" s="151"/>
      <c r="P47" s="151"/>
      <c r="Q47" s="151" t="s">
        <v>2550</v>
      </c>
      <c r="R47" s="151" t="s">
        <v>49</v>
      </c>
      <c r="S47" s="151" t="s">
        <v>361</v>
      </c>
      <c r="T47" s="151" t="s">
        <v>361</v>
      </c>
      <c r="U47" s="151" t="s">
        <v>361</v>
      </c>
      <c r="V47" s="151" t="s">
        <v>361</v>
      </c>
      <c r="W47" s="151" t="s">
        <v>361</v>
      </c>
      <c r="X47" s="151" t="s">
        <v>361</v>
      </c>
      <c r="Y47" s="151" t="s">
        <v>361</v>
      </c>
      <c r="Z47" s="151" t="s">
        <v>361</v>
      </c>
      <c r="AA47" s="151" t="s">
        <v>6284</v>
      </c>
    </row>
    <row r="48" spans="2:27">
      <c r="B48" s="151" t="s">
        <v>6240</v>
      </c>
      <c r="C48" s="151" t="s">
        <v>6423</v>
      </c>
      <c r="D48" s="151" t="s">
        <v>6385</v>
      </c>
      <c r="E48" s="151" t="s">
        <v>36</v>
      </c>
      <c r="F48" s="151" t="s">
        <v>6424</v>
      </c>
      <c r="G48" s="151" t="s">
        <v>2527</v>
      </c>
      <c r="H48" s="151" t="s">
        <v>6288</v>
      </c>
      <c r="I48" s="151" t="s">
        <v>361</v>
      </c>
      <c r="J48" s="151" t="s">
        <v>361</v>
      </c>
      <c r="K48" s="151" t="s">
        <v>361</v>
      </c>
      <c r="L48" s="151" t="s">
        <v>361</v>
      </c>
      <c r="M48" s="151" t="s">
        <v>361</v>
      </c>
      <c r="N48" s="151" t="s">
        <v>361</v>
      </c>
      <c r="O48" s="151"/>
      <c r="P48" s="151"/>
      <c r="Q48" s="151" t="s">
        <v>2550</v>
      </c>
      <c r="R48" s="151" t="s">
        <v>49</v>
      </c>
      <c r="S48" s="151" t="s">
        <v>361</v>
      </c>
      <c r="T48" s="151" t="s">
        <v>361</v>
      </c>
      <c r="U48" s="151" t="s">
        <v>361</v>
      </c>
      <c r="V48" s="151" t="s">
        <v>361</v>
      </c>
      <c r="W48" s="151" t="s">
        <v>361</v>
      </c>
      <c r="X48" s="151" t="s">
        <v>361</v>
      </c>
      <c r="Y48" s="151" t="s">
        <v>361</v>
      </c>
      <c r="Z48" s="151" t="s">
        <v>361</v>
      </c>
      <c r="AA48" s="151" t="s">
        <v>6284</v>
      </c>
    </row>
    <row r="49" spans="2:27">
      <c r="B49" s="151" t="s">
        <v>6240</v>
      </c>
      <c r="C49" s="151" t="s">
        <v>6425</v>
      </c>
      <c r="D49" s="151" t="s">
        <v>6385</v>
      </c>
      <c r="E49" s="151" t="s">
        <v>36</v>
      </c>
      <c r="F49" s="151" t="s">
        <v>6426</v>
      </c>
      <c r="G49" s="151" t="s">
        <v>2527</v>
      </c>
      <c r="H49" s="151" t="s">
        <v>6288</v>
      </c>
      <c r="I49" s="151" t="s">
        <v>361</v>
      </c>
      <c r="J49" s="151" t="s">
        <v>361</v>
      </c>
      <c r="K49" s="151" t="s">
        <v>361</v>
      </c>
      <c r="L49" s="151" t="s">
        <v>361</v>
      </c>
      <c r="M49" s="151" t="s">
        <v>361</v>
      </c>
      <c r="N49" s="151" t="s">
        <v>361</v>
      </c>
      <c r="O49" s="151"/>
      <c r="P49" s="151"/>
      <c r="Q49" s="151" t="s">
        <v>2550</v>
      </c>
      <c r="R49" s="151" t="s">
        <v>49</v>
      </c>
      <c r="S49" s="151" t="s">
        <v>361</v>
      </c>
      <c r="T49" s="151" t="s">
        <v>361</v>
      </c>
      <c r="U49" s="151" t="s">
        <v>361</v>
      </c>
      <c r="V49" s="151" t="s">
        <v>361</v>
      </c>
      <c r="W49" s="151" t="s">
        <v>361</v>
      </c>
      <c r="X49" s="151" t="s">
        <v>361</v>
      </c>
      <c r="Y49" s="151" t="s">
        <v>361</v>
      </c>
      <c r="Z49" s="151" t="s">
        <v>361</v>
      </c>
      <c r="AA49" s="151" t="s">
        <v>6284</v>
      </c>
    </row>
    <row r="50" spans="2:27">
      <c r="B50" s="151" t="s">
        <v>6240</v>
      </c>
      <c r="C50" s="151" t="s">
        <v>6427</v>
      </c>
      <c r="D50" s="151" t="s">
        <v>6385</v>
      </c>
      <c r="E50" s="151" t="s">
        <v>36</v>
      </c>
      <c r="F50" s="151" t="s">
        <v>6428</v>
      </c>
      <c r="G50" s="151" t="s">
        <v>2527</v>
      </c>
      <c r="H50" s="151" t="s">
        <v>6288</v>
      </c>
      <c r="I50" s="151" t="s">
        <v>361</v>
      </c>
      <c r="J50" s="151" t="s">
        <v>361</v>
      </c>
      <c r="K50" s="151" t="s">
        <v>361</v>
      </c>
      <c r="L50" s="151" t="s">
        <v>361</v>
      </c>
      <c r="M50" s="151" t="s">
        <v>361</v>
      </c>
      <c r="N50" s="151" t="s">
        <v>361</v>
      </c>
      <c r="O50" s="151"/>
      <c r="P50" s="151"/>
      <c r="Q50" s="151" t="s">
        <v>2550</v>
      </c>
      <c r="R50" s="151" t="s">
        <v>49</v>
      </c>
      <c r="S50" s="151" t="s">
        <v>361</v>
      </c>
      <c r="T50" s="151" t="s">
        <v>361</v>
      </c>
      <c r="U50" s="151" t="s">
        <v>361</v>
      </c>
      <c r="V50" s="151" t="s">
        <v>361</v>
      </c>
      <c r="W50" s="151" t="s">
        <v>361</v>
      </c>
      <c r="X50" s="151" t="s">
        <v>361</v>
      </c>
      <c r="Y50" s="151" t="s">
        <v>361</v>
      </c>
      <c r="Z50" s="151" t="s">
        <v>361</v>
      </c>
      <c r="AA50" s="151" t="s">
        <v>6284</v>
      </c>
    </row>
    <row r="51" spans="2:27">
      <c r="B51" s="151" t="s">
        <v>6240</v>
      </c>
      <c r="C51" s="151" t="s">
        <v>6429</v>
      </c>
      <c r="D51" s="151" t="s">
        <v>6385</v>
      </c>
      <c r="E51" s="151" t="s">
        <v>36</v>
      </c>
      <c r="F51" s="151" t="s">
        <v>6426</v>
      </c>
      <c r="G51" s="151" t="s">
        <v>2527</v>
      </c>
      <c r="H51" s="151" t="s">
        <v>6288</v>
      </c>
      <c r="I51" s="151" t="s">
        <v>361</v>
      </c>
      <c r="J51" s="151" t="s">
        <v>361</v>
      </c>
      <c r="K51" s="151" t="s">
        <v>361</v>
      </c>
      <c r="L51" s="151" t="s">
        <v>361</v>
      </c>
      <c r="M51" s="151" t="s">
        <v>361</v>
      </c>
      <c r="N51" s="151" t="s">
        <v>361</v>
      </c>
      <c r="O51" s="151"/>
      <c r="P51" s="151"/>
      <c r="Q51" s="151" t="s">
        <v>2550</v>
      </c>
      <c r="R51" s="151" t="s">
        <v>49</v>
      </c>
      <c r="S51" s="151" t="s">
        <v>361</v>
      </c>
      <c r="T51" s="151" t="s">
        <v>361</v>
      </c>
      <c r="U51" s="151" t="s">
        <v>361</v>
      </c>
      <c r="V51" s="151" t="s">
        <v>361</v>
      </c>
      <c r="W51" s="151" t="s">
        <v>361</v>
      </c>
      <c r="X51" s="151" t="s">
        <v>361</v>
      </c>
      <c r="Y51" s="151" t="s">
        <v>361</v>
      </c>
      <c r="Z51" s="151" t="s">
        <v>361</v>
      </c>
      <c r="AA51" s="151" t="s">
        <v>6284</v>
      </c>
    </row>
    <row r="52" spans="2:27" ht="285">
      <c r="B52" s="151" t="s">
        <v>6240</v>
      </c>
      <c r="C52" s="151" t="s">
        <v>6430</v>
      </c>
      <c r="D52" s="151" t="s">
        <v>6431</v>
      </c>
      <c r="E52" s="151" t="s">
        <v>36</v>
      </c>
      <c r="F52" s="151" t="s">
        <v>6432</v>
      </c>
      <c r="G52" s="151" t="s">
        <v>2527</v>
      </c>
      <c r="H52" s="151" t="s">
        <v>2173</v>
      </c>
      <c r="I52" s="151" t="s">
        <v>1183</v>
      </c>
      <c r="J52" s="151" t="s">
        <v>361</v>
      </c>
      <c r="K52" s="151" t="s">
        <v>6433</v>
      </c>
      <c r="L52" s="151" t="s">
        <v>6434</v>
      </c>
      <c r="M52" s="465" t="s">
        <v>6435</v>
      </c>
      <c r="N52" s="431" t="s">
        <v>6436</v>
      </c>
      <c r="O52" s="341" t="s">
        <v>6437</v>
      </c>
      <c r="P52" s="151">
        <v>0</v>
      </c>
      <c r="Q52" s="151" t="s">
        <v>2177</v>
      </c>
      <c r="R52" s="151" t="s">
        <v>6438</v>
      </c>
      <c r="S52" s="151" t="s">
        <v>431</v>
      </c>
      <c r="T52" s="151" t="s">
        <v>3582</v>
      </c>
      <c r="U52" s="151" t="s">
        <v>361</v>
      </c>
      <c r="V52" s="151">
        <v>30</v>
      </c>
      <c r="W52" s="151" t="s">
        <v>431</v>
      </c>
      <c r="X52" s="151" t="s">
        <v>6439</v>
      </c>
      <c r="Y52" s="151" t="s">
        <v>361</v>
      </c>
      <c r="Z52" s="151" t="s">
        <v>361</v>
      </c>
      <c r="AA52" s="151" t="s">
        <v>6247</v>
      </c>
    </row>
    <row r="53" spans="2:27" ht="330">
      <c r="B53" s="151" t="s">
        <v>6240</v>
      </c>
      <c r="C53" s="151" t="s">
        <v>6440</v>
      </c>
      <c r="D53" s="151" t="s">
        <v>6431</v>
      </c>
      <c r="E53" s="151" t="s">
        <v>36</v>
      </c>
      <c r="F53" s="151" t="s">
        <v>6441</v>
      </c>
      <c r="G53" s="151" t="s">
        <v>2527</v>
      </c>
      <c r="H53" s="151" t="s">
        <v>2173</v>
      </c>
      <c r="I53" s="151" t="s">
        <v>1183</v>
      </c>
      <c r="J53" s="151" t="s">
        <v>361</v>
      </c>
      <c r="K53" s="151" t="s">
        <v>6442</v>
      </c>
      <c r="L53" s="151" t="s">
        <v>6443</v>
      </c>
      <c r="M53" s="465" t="s">
        <v>6444</v>
      </c>
      <c r="N53" s="464"/>
      <c r="O53" s="341" t="s">
        <v>6445</v>
      </c>
      <c r="P53" s="151">
        <v>0</v>
      </c>
      <c r="Q53" s="151" t="s">
        <v>2177</v>
      </c>
      <c r="R53" s="151" t="s">
        <v>6446</v>
      </c>
      <c r="S53" s="151" t="s">
        <v>431</v>
      </c>
      <c r="T53" s="151" t="s">
        <v>3582</v>
      </c>
      <c r="U53" s="151" t="s">
        <v>361</v>
      </c>
      <c r="V53" s="151">
        <v>2</v>
      </c>
      <c r="W53" s="151" t="s">
        <v>431</v>
      </c>
      <c r="X53" s="151" t="s">
        <v>6447</v>
      </c>
      <c r="Y53" s="151" t="s">
        <v>361</v>
      </c>
      <c r="Z53" s="151" t="s">
        <v>361</v>
      </c>
      <c r="AA53" s="151" t="s">
        <v>6247</v>
      </c>
    </row>
    <row r="54" spans="2:27" ht="315">
      <c r="B54" s="151" t="s">
        <v>6240</v>
      </c>
      <c r="C54" s="151" t="s">
        <v>6448</v>
      </c>
      <c r="D54" s="151" t="s">
        <v>6431</v>
      </c>
      <c r="E54" s="151" t="s">
        <v>36</v>
      </c>
      <c r="F54" s="151" t="s">
        <v>6449</v>
      </c>
      <c r="G54" s="151" t="s">
        <v>2527</v>
      </c>
      <c r="H54" s="151" t="s">
        <v>2173</v>
      </c>
      <c r="I54" s="151" t="s">
        <v>1183</v>
      </c>
      <c r="J54" s="151" t="s">
        <v>361</v>
      </c>
      <c r="K54" s="151" t="s">
        <v>6442</v>
      </c>
      <c r="L54" s="151" t="s">
        <v>6450</v>
      </c>
      <c r="M54" s="465" t="s">
        <v>6444</v>
      </c>
      <c r="N54" s="464"/>
      <c r="O54" s="341" t="s">
        <v>6451</v>
      </c>
      <c r="P54" s="151">
        <v>0</v>
      </c>
      <c r="Q54" s="151" t="s">
        <v>2177</v>
      </c>
      <c r="R54" s="151" t="s">
        <v>6446</v>
      </c>
      <c r="S54" s="151" t="s">
        <v>431</v>
      </c>
      <c r="T54" s="151" t="s">
        <v>3582</v>
      </c>
      <c r="U54" s="151" t="s">
        <v>361</v>
      </c>
      <c r="V54" s="151">
        <v>250</v>
      </c>
      <c r="W54" s="151" t="s">
        <v>431</v>
      </c>
      <c r="X54" s="151" t="s">
        <v>6452</v>
      </c>
      <c r="Y54" s="151" t="s">
        <v>361</v>
      </c>
      <c r="Z54" s="151" t="s">
        <v>361</v>
      </c>
      <c r="AA54" s="151" t="s">
        <v>6247</v>
      </c>
    </row>
    <row r="55" spans="2:27" ht="315">
      <c r="B55" s="151" t="s">
        <v>6240</v>
      </c>
      <c r="C55" s="151" t="s">
        <v>6453</v>
      </c>
      <c r="D55" s="151" t="s">
        <v>6431</v>
      </c>
      <c r="E55" s="151" t="s">
        <v>36</v>
      </c>
      <c r="F55" s="151" t="s">
        <v>6454</v>
      </c>
      <c r="G55" s="151" t="s">
        <v>2527</v>
      </c>
      <c r="H55" s="151" t="s">
        <v>2173</v>
      </c>
      <c r="I55" s="151" t="s">
        <v>1183</v>
      </c>
      <c r="J55" s="151" t="s">
        <v>361</v>
      </c>
      <c r="K55" s="151" t="s">
        <v>6442</v>
      </c>
      <c r="L55" s="151" t="s">
        <v>6455</v>
      </c>
      <c r="M55" s="465" t="s">
        <v>6444</v>
      </c>
      <c r="N55" s="464"/>
      <c r="O55" s="341" t="s">
        <v>6456</v>
      </c>
      <c r="P55" s="151">
        <v>0</v>
      </c>
      <c r="Q55" s="151" t="s">
        <v>2177</v>
      </c>
      <c r="R55" s="151" t="s">
        <v>6446</v>
      </c>
      <c r="S55" s="151" t="s">
        <v>431</v>
      </c>
      <c r="T55" s="151" t="s">
        <v>3582</v>
      </c>
      <c r="U55" s="151" t="s">
        <v>361</v>
      </c>
      <c r="V55" s="151">
        <v>3</v>
      </c>
      <c r="W55" s="151" t="s">
        <v>431</v>
      </c>
      <c r="X55" s="151" t="s">
        <v>6277</v>
      </c>
      <c r="Y55" s="151" t="s">
        <v>361</v>
      </c>
      <c r="Z55" s="151" t="s">
        <v>361</v>
      </c>
      <c r="AA55" s="151" t="s">
        <v>6247</v>
      </c>
    </row>
    <row r="56" spans="2:27" ht="225">
      <c r="B56" s="151" t="s">
        <v>6240</v>
      </c>
      <c r="C56" s="151" t="s">
        <v>6457</v>
      </c>
      <c r="D56" s="151" t="s">
        <v>6431</v>
      </c>
      <c r="E56" s="151" t="s">
        <v>36</v>
      </c>
      <c r="F56" s="151" t="s">
        <v>6458</v>
      </c>
      <c r="G56" s="151" t="s">
        <v>2527</v>
      </c>
      <c r="H56" s="151" t="s">
        <v>2173</v>
      </c>
      <c r="I56" s="151" t="s">
        <v>1183</v>
      </c>
      <c r="J56" s="151" t="s">
        <v>361</v>
      </c>
      <c r="K56" s="151" t="s">
        <v>6459</v>
      </c>
      <c r="L56" s="151" t="s">
        <v>6460</v>
      </c>
      <c r="M56" s="465" t="s">
        <v>6461</v>
      </c>
      <c r="N56" s="464"/>
      <c r="O56" s="341" t="s">
        <v>6462</v>
      </c>
      <c r="P56" s="151">
        <v>0</v>
      </c>
      <c r="Q56" s="151" t="s">
        <v>2177</v>
      </c>
      <c r="R56" s="151" t="s">
        <v>6446</v>
      </c>
      <c r="S56" s="151" t="s">
        <v>6265</v>
      </c>
      <c r="T56" s="151" t="s">
        <v>6265</v>
      </c>
      <c r="U56" s="151" t="s">
        <v>361</v>
      </c>
      <c r="V56" s="151">
        <v>19</v>
      </c>
      <c r="W56" s="151" t="s">
        <v>6265</v>
      </c>
      <c r="X56" s="151" t="s">
        <v>6350</v>
      </c>
      <c r="Y56" s="151" t="s">
        <v>361</v>
      </c>
      <c r="Z56" s="151" t="s">
        <v>361</v>
      </c>
      <c r="AA56" s="151" t="s">
        <v>6247</v>
      </c>
    </row>
    <row r="57" spans="2:27" ht="210">
      <c r="B57" s="151" t="s">
        <v>6240</v>
      </c>
      <c r="C57" s="151" t="s">
        <v>6351</v>
      </c>
      <c r="D57" s="151" t="s">
        <v>6431</v>
      </c>
      <c r="E57" s="151" t="s">
        <v>36</v>
      </c>
      <c r="F57" s="151" t="s">
        <v>6463</v>
      </c>
      <c r="G57" s="151" t="s">
        <v>2527</v>
      </c>
      <c r="H57" s="151" t="s">
        <v>2173</v>
      </c>
      <c r="I57" s="151" t="s">
        <v>1183</v>
      </c>
      <c r="J57" s="151" t="s">
        <v>361</v>
      </c>
      <c r="K57" s="151" t="s">
        <v>6459</v>
      </c>
      <c r="L57" s="151" t="s">
        <v>6464</v>
      </c>
      <c r="M57" s="465" t="s">
        <v>6461</v>
      </c>
      <c r="N57" s="464"/>
      <c r="O57" s="341" t="s">
        <v>6465</v>
      </c>
      <c r="P57" s="151">
        <v>0</v>
      </c>
      <c r="Q57" s="151" t="s">
        <v>2177</v>
      </c>
      <c r="R57" s="151" t="s">
        <v>6446</v>
      </c>
      <c r="S57" s="151" t="s">
        <v>6265</v>
      </c>
      <c r="T57" s="151" t="s">
        <v>6265</v>
      </c>
      <c r="U57" s="151" t="s">
        <v>361</v>
      </c>
      <c r="V57" s="151">
        <v>25</v>
      </c>
      <c r="W57" s="151" t="s">
        <v>6265</v>
      </c>
      <c r="X57" s="151" t="s">
        <v>4540</v>
      </c>
      <c r="Y57" s="151" t="s">
        <v>361</v>
      </c>
      <c r="Z57" s="151" t="s">
        <v>361</v>
      </c>
      <c r="AA57" s="151" t="s">
        <v>6247</v>
      </c>
    </row>
    <row r="58" spans="2:27" ht="45">
      <c r="B58" s="151" t="s">
        <v>6240</v>
      </c>
      <c r="C58" s="151" t="s">
        <v>6405</v>
      </c>
      <c r="D58" s="151" t="s">
        <v>6431</v>
      </c>
      <c r="E58" s="151" t="s">
        <v>36</v>
      </c>
      <c r="F58" s="151" t="s">
        <v>6466</v>
      </c>
      <c r="G58" s="151" t="s">
        <v>2527</v>
      </c>
      <c r="H58" s="151" t="s">
        <v>2173</v>
      </c>
      <c r="I58" s="151" t="s">
        <v>1183</v>
      </c>
      <c r="J58" s="151" t="s">
        <v>361</v>
      </c>
      <c r="K58" s="151" t="s">
        <v>6459</v>
      </c>
      <c r="L58" s="151" t="s">
        <v>6467</v>
      </c>
      <c r="M58" s="465" t="s">
        <v>6461</v>
      </c>
      <c r="N58" s="464"/>
      <c r="O58" s="151" t="s">
        <v>3800</v>
      </c>
      <c r="P58" s="151">
        <v>0</v>
      </c>
      <c r="Q58" s="151" t="s">
        <v>2177</v>
      </c>
      <c r="R58" s="151" t="s">
        <v>6468</v>
      </c>
      <c r="S58" s="151" t="s">
        <v>6265</v>
      </c>
      <c r="T58" s="151" t="s">
        <v>6265</v>
      </c>
      <c r="U58" s="151" t="s">
        <v>361</v>
      </c>
      <c r="V58" s="151">
        <v>22</v>
      </c>
      <c r="W58" s="151" t="s">
        <v>6265</v>
      </c>
      <c r="X58" s="151" t="s">
        <v>3644</v>
      </c>
      <c r="Y58" s="151" t="s">
        <v>361</v>
      </c>
      <c r="Z58" s="151" t="s">
        <v>361</v>
      </c>
      <c r="AA58" s="151" t="s">
        <v>6247</v>
      </c>
    </row>
    <row r="59" spans="2:27" ht="315">
      <c r="B59" s="151" t="s">
        <v>6240</v>
      </c>
      <c r="C59" s="151" t="s">
        <v>6469</v>
      </c>
      <c r="D59" s="151" t="s">
        <v>6431</v>
      </c>
      <c r="E59" s="151" t="s">
        <v>36</v>
      </c>
      <c r="F59" s="151" t="s">
        <v>6470</v>
      </c>
      <c r="G59" s="151" t="s">
        <v>2527</v>
      </c>
      <c r="H59" s="151" t="s">
        <v>2173</v>
      </c>
      <c r="I59" s="151" t="s">
        <v>1183</v>
      </c>
      <c r="J59" s="151" t="s">
        <v>361</v>
      </c>
      <c r="K59" s="151" t="s">
        <v>6442</v>
      </c>
      <c r="L59" s="151" t="s">
        <v>6471</v>
      </c>
      <c r="M59" s="465" t="s">
        <v>6444</v>
      </c>
      <c r="N59" s="464"/>
      <c r="O59" s="341" t="s">
        <v>6472</v>
      </c>
      <c r="P59" s="151">
        <v>0</v>
      </c>
      <c r="Q59" s="151" t="s">
        <v>2177</v>
      </c>
      <c r="R59" s="151" t="s">
        <v>6473</v>
      </c>
      <c r="S59" s="151" t="s">
        <v>4695</v>
      </c>
      <c r="T59" s="151" t="s">
        <v>4695</v>
      </c>
      <c r="U59" s="151" t="s">
        <v>361</v>
      </c>
      <c r="V59" s="151" t="s">
        <v>361</v>
      </c>
      <c r="W59" s="151" t="s">
        <v>2400</v>
      </c>
      <c r="X59" s="151" t="s">
        <v>4695</v>
      </c>
      <c r="Y59" s="151" t="s">
        <v>361</v>
      </c>
      <c r="Z59" s="151" t="s">
        <v>361</v>
      </c>
      <c r="AA59" s="151" t="s">
        <v>6247</v>
      </c>
    </row>
    <row r="60" spans="2:27">
      <c r="B60" s="151" t="s">
        <v>6240</v>
      </c>
      <c r="C60" s="151" t="s">
        <v>6474</v>
      </c>
      <c r="D60" s="151" t="s">
        <v>6431</v>
      </c>
      <c r="E60" s="151" t="s">
        <v>36</v>
      </c>
      <c r="F60" s="151" t="s">
        <v>6475</v>
      </c>
      <c r="G60" s="151" t="s">
        <v>2527</v>
      </c>
      <c r="H60" s="151" t="s">
        <v>3656</v>
      </c>
      <c r="I60" s="151" t="s">
        <v>361</v>
      </c>
      <c r="J60" s="151" t="s">
        <v>361</v>
      </c>
      <c r="K60" s="151" t="s">
        <v>361</v>
      </c>
      <c r="L60" s="151" t="s">
        <v>361</v>
      </c>
      <c r="M60" s="151" t="s">
        <v>361</v>
      </c>
      <c r="N60" s="151" t="s">
        <v>361</v>
      </c>
      <c r="O60" s="151"/>
      <c r="P60" s="151"/>
      <c r="Q60" s="151" t="s">
        <v>3576</v>
      </c>
      <c r="R60" s="151" t="s">
        <v>6476</v>
      </c>
      <c r="S60" s="151" t="s">
        <v>6265</v>
      </c>
      <c r="T60" s="151" t="s">
        <v>361</v>
      </c>
      <c r="U60" s="151" t="s">
        <v>361</v>
      </c>
      <c r="V60" s="151" t="s">
        <v>361</v>
      </c>
      <c r="W60" s="151" t="s">
        <v>6265</v>
      </c>
      <c r="X60" s="151" t="s">
        <v>361</v>
      </c>
      <c r="Y60" s="151" t="s">
        <v>361</v>
      </c>
      <c r="Z60" s="151" t="s">
        <v>361</v>
      </c>
      <c r="AA60" s="151" t="s">
        <v>6290</v>
      </c>
    </row>
    <row r="61" spans="2:27">
      <c r="B61" s="151" t="s">
        <v>6240</v>
      </c>
      <c r="C61" s="151" t="s">
        <v>6477</v>
      </c>
      <c r="D61" s="151" t="s">
        <v>6431</v>
      </c>
      <c r="E61" s="151" t="s">
        <v>36</v>
      </c>
      <c r="F61" s="151" t="s">
        <v>6478</v>
      </c>
      <c r="G61" s="151" t="s">
        <v>2527</v>
      </c>
      <c r="H61" s="151" t="s">
        <v>3656</v>
      </c>
      <c r="I61" s="151" t="s">
        <v>361</v>
      </c>
      <c r="J61" s="151" t="s">
        <v>361</v>
      </c>
      <c r="K61" s="151" t="s">
        <v>361</v>
      </c>
      <c r="L61" s="151" t="s">
        <v>361</v>
      </c>
      <c r="M61" s="151" t="s">
        <v>361</v>
      </c>
      <c r="N61" s="151" t="s">
        <v>361</v>
      </c>
      <c r="O61" s="151"/>
      <c r="P61" s="151"/>
      <c r="Q61" s="151" t="s">
        <v>3576</v>
      </c>
      <c r="R61" s="151" t="s">
        <v>6479</v>
      </c>
      <c r="S61" s="151" t="s">
        <v>6265</v>
      </c>
      <c r="T61" s="151" t="s">
        <v>361</v>
      </c>
      <c r="U61" s="151" t="s">
        <v>361</v>
      </c>
      <c r="V61" s="151" t="s">
        <v>361</v>
      </c>
      <c r="W61" s="151" t="s">
        <v>6265</v>
      </c>
      <c r="X61" s="151" t="s">
        <v>361</v>
      </c>
      <c r="Y61" s="151" t="s">
        <v>361</v>
      </c>
      <c r="Z61" s="151" t="s">
        <v>361</v>
      </c>
      <c r="AA61" s="151" t="s">
        <v>6290</v>
      </c>
    </row>
    <row r="62" spans="2:27" ht="240">
      <c r="B62" s="151" t="s">
        <v>6240</v>
      </c>
      <c r="C62" s="151" t="s">
        <v>6417</v>
      </c>
      <c r="D62" s="151" t="s">
        <v>6431</v>
      </c>
      <c r="E62" s="151" t="s">
        <v>36</v>
      </c>
      <c r="F62" s="151" t="s">
        <v>6480</v>
      </c>
      <c r="G62" s="151" t="s">
        <v>2527</v>
      </c>
      <c r="H62" s="151" t="s">
        <v>2173</v>
      </c>
      <c r="I62" s="151" t="s">
        <v>1183</v>
      </c>
      <c r="J62" s="151" t="s">
        <v>361</v>
      </c>
      <c r="K62" s="151" t="s">
        <v>528</v>
      </c>
      <c r="L62" s="151" t="s">
        <v>6276</v>
      </c>
      <c r="M62" s="151" t="s">
        <v>6244</v>
      </c>
      <c r="N62" s="151" t="s">
        <v>361</v>
      </c>
      <c r="O62" s="341" t="s">
        <v>6481</v>
      </c>
      <c r="P62" s="151" t="s">
        <v>6482</v>
      </c>
      <c r="Q62" s="151" t="s">
        <v>2177</v>
      </c>
      <c r="R62" s="151" t="s">
        <v>361</v>
      </c>
      <c r="S62" s="151" t="s">
        <v>431</v>
      </c>
      <c r="T62" s="151" t="s">
        <v>3582</v>
      </c>
      <c r="U62" s="151" t="s">
        <v>361</v>
      </c>
      <c r="V62" s="151">
        <v>3</v>
      </c>
      <c r="W62" s="151" t="s">
        <v>431</v>
      </c>
      <c r="X62" s="151" t="s">
        <v>6277</v>
      </c>
      <c r="Y62" s="151" t="s">
        <v>361</v>
      </c>
      <c r="Z62" s="151" t="s">
        <v>361</v>
      </c>
      <c r="AA62" s="151" t="s">
        <v>6247</v>
      </c>
    </row>
    <row r="63" spans="2:27">
      <c r="B63" s="151" t="s">
        <v>6240</v>
      </c>
      <c r="C63" s="151" t="s">
        <v>6483</v>
      </c>
      <c r="D63" s="151" t="s">
        <v>6431</v>
      </c>
      <c r="E63" s="151" t="s">
        <v>36</v>
      </c>
      <c r="F63" s="151" t="s">
        <v>6484</v>
      </c>
      <c r="G63" s="151" t="s">
        <v>2527</v>
      </c>
      <c r="H63" s="151" t="s">
        <v>3656</v>
      </c>
      <c r="I63" s="151" t="s">
        <v>361</v>
      </c>
      <c r="J63" s="151" t="s">
        <v>361</v>
      </c>
      <c r="K63" s="151" t="s">
        <v>361</v>
      </c>
      <c r="L63" s="151" t="s">
        <v>361</v>
      </c>
      <c r="M63" s="151" t="s">
        <v>361</v>
      </c>
      <c r="N63" s="151" t="s">
        <v>361</v>
      </c>
      <c r="O63" s="151"/>
      <c r="P63" s="151"/>
      <c r="Q63" s="151" t="s">
        <v>3576</v>
      </c>
      <c r="R63" s="151" t="s">
        <v>6485</v>
      </c>
      <c r="S63" s="151" t="s">
        <v>6265</v>
      </c>
      <c r="T63" s="151" t="s">
        <v>361</v>
      </c>
      <c r="U63" s="151" t="s">
        <v>361</v>
      </c>
      <c r="V63" s="151" t="s">
        <v>361</v>
      </c>
      <c r="W63" s="151" t="s">
        <v>6265</v>
      </c>
      <c r="X63" s="151" t="s">
        <v>361</v>
      </c>
      <c r="Y63" s="151" t="s">
        <v>361</v>
      </c>
      <c r="Z63" s="151" t="s">
        <v>361</v>
      </c>
      <c r="AA63" s="151" t="s">
        <v>6290</v>
      </c>
    </row>
    <row r="64" spans="2:27">
      <c r="B64" s="151" t="s">
        <v>6240</v>
      </c>
      <c r="C64" s="151" t="s">
        <v>6486</v>
      </c>
      <c r="D64" s="151" t="s">
        <v>6431</v>
      </c>
      <c r="E64" s="151" t="s">
        <v>36</v>
      </c>
      <c r="F64" s="151" t="s">
        <v>6487</v>
      </c>
      <c r="G64" s="151" t="s">
        <v>2527</v>
      </c>
      <c r="H64" s="151" t="s">
        <v>3656</v>
      </c>
      <c r="I64" s="151" t="s">
        <v>361</v>
      </c>
      <c r="J64" s="151" t="s">
        <v>361</v>
      </c>
      <c r="K64" s="151" t="s">
        <v>361</v>
      </c>
      <c r="L64" s="151" t="s">
        <v>361</v>
      </c>
      <c r="M64" s="151" t="s">
        <v>361</v>
      </c>
      <c r="N64" s="151" t="s">
        <v>361</v>
      </c>
      <c r="O64" s="151"/>
      <c r="P64" s="151"/>
      <c r="Q64" s="151" t="s">
        <v>3576</v>
      </c>
      <c r="R64" s="151" t="s">
        <v>6488</v>
      </c>
      <c r="S64" s="151" t="s">
        <v>6265</v>
      </c>
      <c r="T64" s="151" t="s">
        <v>361</v>
      </c>
      <c r="U64" s="151" t="s">
        <v>361</v>
      </c>
      <c r="V64" s="151" t="s">
        <v>361</v>
      </c>
      <c r="W64" s="151" t="s">
        <v>6265</v>
      </c>
      <c r="X64" s="151" t="s">
        <v>361</v>
      </c>
      <c r="Y64" s="151" t="s">
        <v>361</v>
      </c>
      <c r="Z64" s="151" t="s">
        <v>361</v>
      </c>
      <c r="AA64" s="151" t="s">
        <v>6290</v>
      </c>
    </row>
    <row r="65" spans="2:27">
      <c r="B65" s="151" t="s">
        <v>6240</v>
      </c>
      <c r="C65" s="151" t="s">
        <v>6489</v>
      </c>
      <c r="D65" s="151" t="s">
        <v>6431</v>
      </c>
      <c r="E65" s="151" t="s">
        <v>36</v>
      </c>
      <c r="F65" s="151" t="s">
        <v>6490</v>
      </c>
      <c r="G65" s="151" t="s">
        <v>2527</v>
      </c>
      <c r="H65" s="151" t="s">
        <v>3656</v>
      </c>
      <c r="I65" s="151" t="s">
        <v>361</v>
      </c>
      <c r="J65" s="151" t="s">
        <v>361</v>
      </c>
      <c r="K65" s="151" t="s">
        <v>361</v>
      </c>
      <c r="L65" s="151" t="s">
        <v>361</v>
      </c>
      <c r="M65" s="151" t="s">
        <v>361</v>
      </c>
      <c r="N65" s="151" t="s">
        <v>361</v>
      </c>
      <c r="O65" s="151"/>
      <c r="P65" s="151"/>
      <c r="Q65" s="151" t="s">
        <v>3576</v>
      </c>
      <c r="R65" s="151" t="s">
        <v>6488</v>
      </c>
      <c r="S65" s="151" t="s">
        <v>6265</v>
      </c>
      <c r="T65" s="151" t="s">
        <v>361</v>
      </c>
      <c r="U65" s="151" t="s">
        <v>361</v>
      </c>
      <c r="V65" s="151" t="s">
        <v>361</v>
      </c>
      <c r="W65" s="151" t="s">
        <v>6265</v>
      </c>
      <c r="X65" s="151" t="s">
        <v>361</v>
      </c>
      <c r="Y65" s="151" t="s">
        <v>361</v>
      </c>
      <c r="Z65" s="151" t="s">
        <v>361</v>
      </c>
      <c r="AA65" s="151" t="s">
        <v>6290</v>
      </c>
    </row>
    <row r="66" spans="2:27">
      <c r="B66" s="151" t="s">
        <v>6240</v>
      </c>
      <c r="C66" s="151" t="s">
        <v>6491</v>
      </c>
      <c r="D66" s="151" t="s">
        <v>6431</v>
      </c>
      <c r="E66" s="151" t="s">
        <v>36</v>
      </c>
      <c r="F66" s="151" t="s">
        <v>6492</v>
      </c>
      <c r="G66" s="151" t="s">
        <v>2527</v>
      </c>
      <c r="H66" s="151" t="s">
        <v>3656</v>
      </c>
      <c r="I66" s="151" t="s">
        <v>361</v>
      </c>
      <c r="J66" s="151" t="s">
        <v>361</v>
      </c>
      <c r="K66" s="151" t="s">
        <v>361</v>
      </c>
      <c r="L66" s="151" t="s">
        <v>361</v>
      </c>
      <c r="M66" s="151" t="s">
        <v>361</v>
      </c>
      <c r="N66" s="151" t="s">
        <v>361</v>
      </c>
      <c r="O66" s="151"/>
      <c r="P66" s="151"/>
      <c r="Q66" s="151" t="s">
        <v>3576</v>
      </c>
      <c r="R66" s="151" t="s">
        <v>6488</v>
      </c>
      <c r="S66" s="151" t="s">
        <v>6265</v>
      </c>
      <c r="T66" s="151" t="s">
        <v>361</v>
      </c>
      <c r="U66" s="151" t="s">
        <v>361</v>
      </c>
      <c r="V66" s="151" t="s">
        <v>361</v>
      </c>
      <c r="W66" s="151" t="s">
        <v>6265</v>
      </c>
      <c r="X66" s="151" t="s">
        <v>361</v>
      </c>
      <c r="Y66" s="151" t="s">
        <v>361</v>
      </c>
      <c r="Z66" s="151" t="s">
        <v>361</v>
      </c>
      <c r="AA66" s="151" t="s">
        <v>6290</v>
      </c>
    </row>
    <row r="67" spans="2:27" ht="300">
      <c r="B67" s="151" t="s">
        <v>6240</v>
      </c>
      <c r="C67" s="151" t="s">
        <v>6493</v>
      </c>
      <c r="D67" s="151" t="s">
        <v>6494</v>
      </c>
      <c r="E67" s="151" t="s">
        <v>36</v>
      </c>
      <c r="F67" s="151" t="s">
        <v>6495</v>
      </c>
      <c r="G67" s="151" t="s">
        <v>2527</v>
      </c>
      <c r="H67" s="151" t="s">
        <v>2173</v>
      </c>
      <c r="I67" s="151" t="s">
        <v>1183</v>
      </c>
      <c r="J67" s="151" t="s">
        <v>361</v>
      </c>
      <c r="K67" s="523" t="s">
        <v>6496</v>
      </c>
      <c r="L67" s="524" t="s">
        <v>6497</v>
      </c>
      <c r="M67" s="465" t="s">
        <v>6498</v>
      </c>
      <c r="N67" s="151" t="s">
        <v>361</v>
      </c>
      <c r="O67" s="341" t="s">
        <v>6499</v>
      </c>
      <c r="P67" s="151" t="s">
        <v>6500</v>
      </c>
      <c r="Q67" s="151" t="s">
        <v>2177</v>
      </c>
      <c r="R67" s="151" t="s">
        <v>361</v>
      </c>
      <c r="S67" s="151" t="s">
        <v>431</v>
      </c>
      <c r="T67" s="151" t="s">
        <v>3582</v>
      </c>
      <c r="U67" s="151" t="s">
        <v>361</v>
      </c>
      <c r="V67" s="151">
        <v>250</v>
      </c>
      <c r="W67" s="151" t="s">
        <v>431</v>
      </c>
      <c r="X67" s="151" t="s">
        <v>6452</v>
      </c>
      <c r="Y67" s="151" t="s">
        <v>6501</v>
      </c>
      <c r="Z67" s="151" t="s">
        <v>361</v>
      </c>
      <c r="AA67" s="151" t="s">
        <v>6247</v>
      </c>
    </row>
    <row r="68" spans="2:27" ht="210">
      <c r="B68" s="151" t="s">
        <v>6240</v>
      </c>
      <c r="C68" s="151" t="s">
        <v>6502</v>
      </c>
      <c r="D68" s="151" t="s">
        <v>6494</v>
      </c>
      <c r="E68" s="151" t="s">
        <v>36</v>
      </c>
      <c r="F68" s="151" t="s">
        <v>6503</v>
      </c>
      <c r="G68" s="151" t="s">
        <v>2527</v>
      </c>
      <c r="H68" s="151" t="s">
        <v>2173</v>
      </c>
      <c r="I68" s="151" t="s">
        <v>1183</v>
      </c>
      <c r="J68" s="151" t="s">
        <v>361</v>
      </c>
      <c r="K68" s="432" t="s">
        <v>6504</v>
      </c>
      <c r="L68" s="525" t="s">
        <v>6505</v>
      </c>
      <c r="M68" s="465" t="s">
        <v>6506</v>
      </c>
      <c r="N68" s="151" t="s">
        <v>361</v>
      </c>
      <c r="O68" s="341" t="s">
        <v>6507</v>
      </c>
      <c r="P68" s="151" t="s">
        <v>6500</v>
      </c>
      <c r="Q68" s="151" t="s">
        <v>2177</v>
      </c>
      <c r="R68" s="151" t="s">
        <v>361</v>
      </c>
      <c r="S68" s="151" t="s">
        <v>431</v>
      </c>
      <c r="T68" s="151" t="s">
        <v>3582</v>
      </c>
      <c r="U68" s="151" t="s">
        <v>361</v>
      </c>
      <c r="V68" s="151">
        <v>250</v>
      </c>
      <c r="W68" s="151" t="s">
        <v>431</v>
      </c>
      <c r="X68" s="151" t="s">
        <v>6277</v>
      </c>
      <c r="Y68" s="151" t="s">
        <v>361</v>
      </c>
      <c r="Z68" s="151" t="s">
        <v>361</v>
      </c>
      <c r="AA68" s="151" t="s">
        <v>6247</v>
      </c>
    </row>
    <row r="69" spans="2:27" ht="255">
      <c r="B69" s="151" t="s">
        <v>6240</v>
      </c>
      <c r="C69" s="151" t="s">
        <v>6508</v>
      </c>
      <c r="D69" s="151" t="s">
        <v>6494</v>
      </c>
      <c r="E69" s="151" t="s">
        <v>36</v>
      </c>
      <c r="F69" s="151" t="s">
        <v>6509</v>
      </c>
      <c r="G69" s="151" t="s">
        <v>2527</v>
      </c>
      <c r="H69" s="151" t="s">
        <v>2173</v>
      </c>
      <c r="I69" s="151" t="s">
        <v>1183</v>
      </c>
      <c r="J69" s="151" t="s">
        <v>361</v>
      </c>
      <c r="K69" s="432" t="s">
        <v>6504</v>
      </c>
      <c r="L69" s="525" t="s">
        <v>6510</v>
      </c>
      <c r="M69" s="465" t="s">
        <v>6506</v>
      </c>
      <c r="N69" s="151" t="s">
        <v>361</v>
      </c>
      <c r="O69" s="341" t="s">
        <v>6511</v>
      </c>
      <c r="P69" s="151" t="s">
        <v>6500</v>
      </c>
      <c r="Q69" s="151" t="s">
        <v>2177</v>
      </c>
      <c r="R69" s="151" t="s">
        <v>361</v>
      </c>
      <c r="S69" s="151" t="s">
        <v>6265</v>
      </c>
      <c r="T69" s="151" t="s">
        <v>6265</v>
      </c>
      <c r="U69" s="151" t="s">
        <v>361</v>
      </c>
      <c r="V69" s="151">
        <v>15</v>
      </c>
      <c r="W69" s="151" t="s">
        <v>6265</v>
      </c>
      <c r="X69" s="151" t="s">
        <v>6512</v>
      </c>
      <c r="Y69" s="151" t="s">
        <v>361</v>
      </c>
      <c r="Z69" s="151" t="s">
        <v>361</v>
      </c>
      <c r="AA69" s="151" t="s">
        <v>6247</v>
      </c>
    </row>
    <row r="70" spans="2:27" ht="255">
      <c r="B70" s="151" t="s">
        <v>6240</v>
      </c>
      <c r="C70" s="151" t="s">
        <v>6513</v>
      </c>
      <c r="D70" s="151" t="s">
        <v>6494</v>
      </c>
      <c r="E70" s="151" t="s">
        <v>36</v>
      </c>
      <c r="F70" s="151" t="s">
        <v>6514</v>
      </c>
      <c r="G70" s="151" t="s">
        <v>2527</v>
      </c>
      <c r="H70" s="151" t="s">
        <v>2173</v>
      </c>
      <c r="I70" s="151" t="s">
        <v>1183</v>
      </c>
      <c r="J70" s="151" t="s">
        <v>361</v>
      </c>
      <c r="K70" s="432" t="s">
        <v>6504</v>
      </c>
      <c r="L70" s="525" t="s">
        <v>6515</v>
      </c>
      <c r="M70" s="465" t="s">
        <v>6506</v>
      </c>
      <c r="N70" s="151" t="s">
        <v>361</v>
      </c>
      <c r="O70" s="341" t="s">
        <v>6516</v>
      </c>
      <c r="P70" s="151" t="s">
        <v>6500</v>
      </c>
      <c r="Q70" s="151" t="s">
        <v>2177</v>
      </c>
      <c r="R70" s="151" t="s">
        <v>361</v>
      </c>
      <c r="S70" s="151" t="s">
        <v>6265</v>
      </c>
      <c r="T70" s="151" t="s">
        <v>6265</v>
      </c>
      <c r="U70" s="151" t="s">
        <v>361</v>
      </c>
      <c r="V70" s="151">
        <v>22</v>
      </c>
      <c r="W70" s="151" t="s">
        <v>6265</v>
      </c>
      <c r="X70" s="151" t="s">
        <v>3644</v>
      </c>
      <c r="Y70" s="151" t="s">
        <v>361</v>
      </c>
      <c r="Z70" s="151" t="s">
        <v>361</v>
      </c>
      <c r="AA70" s="151" t="s">
        <v>6247</v>
      </c>
    </row>
    <row r="71" spans="2:27">
      <c r="B71" s="151" t="s">
        <v>6240</v>
      </c>
      <c r="C71" s="151" t="s">
        <v>6517</v>
      </c>
      <c r="D71" s="151" t="s">
        <v>6494</v>
      </c>
      <c r="E71" s="151" t="s">
        <v>36</v>
      </c>
      <c r="F71" s="151" t="s">
        <v>6518</v>
      </c>
      <c r="G71" s="151" t="s">
        <v>2527</v>
      </c>
      <c r="H71" s="151" t="s">
        <v>3656</v>
      </c>
      <c r="I71" s="151" t="s">
        <v>361</v>
      </c>
      <c r="J71" s="151" t="s">
        <v>361</v>
      </c>
      <c r="K71" s="151" t="s">
        <v>361</v>
      </c>
      <c r="L71" s="151" t="s">
        <v>361</v>
      </c>
      <c r="M71" s="151" t="s">
        <v>361</v>
      </c>
      <c r="N71" s="151" t="s">
        <v>361</v>
      </c>
      <c r="O71" s="151"/>
      <c r="P71" s="151"/>
      <c r="Q71" s="151" t="s">
        <v>3576</v>
      </c>
      <c r="R71" s="151" t="s">
        <v>6375</v>
      </c>
      <c r="S71" s="151" t="s">
        <v>6265</v>
      </c>
      <c r="T71" s="151" t="s">
        <v>361</v>
      </c>
      <c r="U71" s="151" t="s">
        <v>361</v>
      </c>
      <c r="V71" s="151" t="s">
        <v>361</v>
      </c>
      <c r="W71" s="151" t="s">
        <v>6265</v>
      </c>
      <c r="X71" s="151" t="s">
        <v>361</v>
      </c>
      <c r="Y71" s="151" t="s">
        <v>361</v>
      </c>
      <c r="Z71" s="151" t="s">
        <v>361</v>
      </c>
      <c r="AA71" s="151" t="s">
        <v>6290</v>
      </c>
    </row>
    <row r="72" spans="2:27" ht="210">
      <c r="B72" s="151" t="s">
        <v>6240</v>
      </c>
      <c r="C72" s="151" t="s">
        <v>6351</v>
      </c>
      <c r="D72" s="151" t="s">
        <v>6494</v>
      </c>
      <c r="E72" s="151" t="s">
        <v>36</v>
      </c>
      <c r="F72" s="151" t="s">
        <v>6519</v>
      </c>
      <c r="G72" s="151" t="s">
        <v>2527</v>
      </c>
      <c r="H72" s="151" t="s">
        <v>2173</v>
      </c>
      <c r="I72" s="151" t="s">
        <v>1183</v>
      </c>
      <c r="J72" s="151" t="s">
        <v>361</v>
      </c>
      <c r="K72" s="431" t="s">
        <v>6504</v>
      </c>
      <c r="L72" s="526" t="s">
        <v>6520</v>
      </c>
      <c r="M72" s="465" t="s">
        <v>6506</v>
      </c>
      <c r="N72" s="151" t="s">
        <v>361</v>
      </c>
      <c r="O72" s="341" t="s">
        <v>6521</v>
      </c>
      <c r="P72" s="151" t="s">
        <v>6500</v>
      </c>
      <c r="Q72" s="151" t="s">
        <v>2177</v>
      </c>
      <c r="R72" s="151" t="s">
        <v>361</v>
      </c>
      <c r="S72" s="151" t="s">
        <v>6265</v>
      </c>
      <c r="T72" s="151" t="s">
        <v>6265</v>
      </c>
      <c r="U72" s="151" t="s">
        <v>361</v>
      </c>
      <c r="V72" s="151">
        <v>22</v>
      </c>
      <c r="W72" s="151" t="s">
        <v>6265</v>
      </c>
      <c r="X72" s="151" t="s">
        <v>3644</v>
      </c>
      <c r="Y72" s="151" t="s">
        <v>361</v>
      </c>
      <c r="Z72" s="151" t="s">
        <v>361</v>
      </c>
      <c r="AA72" s="151" t="s">
        <v>6247</v>
      </c>
    </row>
    <row r="73" spans="2:27" ht="240">
      <c r="B73" s="151" t="s">
        <v>6240</v>
      </c>
      <c r="C73" s="151" t="s">
        <v>6522</v>
      </c>
      <c r="D73" s="151" t="s">
        <v>6494</v>
      </c>
      <c r="E73" s="151" t="s">
        <v>36</v>
      </c>
      <c r="F73" s="151" t="s">
        <v>6523</v>
      </c>
      <c r="G73" s="151" t="s">
        <v>2527</v>
      </c>
      <c r="H73" s="151" t="s">
        <v>2173</v>
      </c>
      <c r="I73" s="151" t="s">
        <v>1183</v>
      </c>
      <c r="J73" s="151" t="s">
        <v>361</v>
      </c>
      <c r="K73" s="432" t="s">
        <v>6504</v>
      </c>
      <c r="L73" s="525" t="s">
        <v>6524</v>
      </c>
      <c r="M73" s="465" t="s">
        <v>6506</v>
      </c>
      <c r="N73" s="151" t="s">
        <v>361</v>
      </c>
      <c r="O73" s="341" t="s">
        <v>6525</v>
      </c>
      <c r="P73" s="151" t="s">
        <v>6500</v>
      </c>
      <c r="Q73" s="151" t="s">
        <v>2177</v>
      </c>
      <c r="R73" s="151" t="s">
        <v>361</v>
      </c>
      <c r="S73" s="151" t="s">
        <v>6265</v>
      </c>
      <c r="T73" s="151" t="s">
        <v>6265</v>
      </c>
      <c r="U73" s="151" t="s">
        <v>361</v>
      </c>
      <c r="V73" s="151">
        <v>9</v>
      </c>
      <c r="W73" s="151" t="s">
        <v>6265</v>
      </c>
      <c r="X73" s="151" t="s">
        <v>2885</v>
      </c>
      <c r="Y73" s="151" t="s">
        <v>361</v>
      </c>
      <c r="Z73" s="151" t="s">
        <v>361</v>
      </c>
      <c r="AA73" s="151" t="s">
        <v>6247</v>
      </c>
    </row>
    <row r="74" spans="2:27" ht="285">
      <c r="B74" s="151" t="s">
        <v>6240</v>
      </c>
      <c r="C74" s="151" t="s">
        <v>6405</v>
      </c>
      <c r="D74" s="151" t="s">
        <v>6494</v>
      </c>
      <c r="E74" s="151" t="s">
        <v>36</v>
      </c>
      <c r="F74" s="151" t="s">
        <v>6526</v>
      </c>
      <c r="G74" s="151" t="s">
        <v>2527</v>
      </c>
      <c r="H74" s="151" t="s">
        <v>2173</v>
      </c>
      <c r="I74" s="151" t="s">
        <v>1183</v>
      </c>
      <c r="J74" s="151" t="s">
        <v>361</v>
      </c>
      <c r="K74" s="432" t="s">
        <v>6527</v>
      </c>
      <c r="L74" s="525" t="s">
        <v>6528</v>
      </c>
      <c r="M74" s="465" t="s">
        <v>6529</v>
      </c>
      <c r="N74" s="151" t="s">
        <v>361</v>
      </c>
      <c r="O74" s="341" t="s">
        <v>6530</v>
      </c>
      <c r="P74" s="151" t="s">
        <v>6531</v>
      </c>
      <c r="Q74" s="151" t="s">
        <v>2177</v>
      </c>
      <c r="R74" s="151" t="s">
        <v>361</v>
      </c>
      <c r="S74" s="151" t="s">
        <v>6265</v>
      </c>
      <c r="T74" s="151" t="s">
        <v>6265</v>
      </c>
      <c r="U74" s="151" t="s">
        <v>361</v>
      </c>
      <c r="V74" s="151">
        <v>22</v>
      </c>
      <c r="W74" s="151" t="s">
        <v>6265</v>
      </c>
      <c r="X74" s="151" t="s">
        <v>3644</v>
      </c>
      <c r="Y74" s="151" t="s">
        <v>361</v>
      </c>
      <c r="Z74" s="151" t="s">
        <v>361</v>
      </c>
      <c r="AA74" s="151" t="s">
        <v>6247</v>
      </c>
    </row>
    <row r="75" spans="2:27" ht="315">
      <c r="B75" s="151" t="s">
        <v>6240</v>
      </c>
      <c r="C75" s="151" t="s">
        <v>6532</v>
      </c>
      <c r="D75" s="151" t="s">
        <v>6494</v>
      </c>
      <c r="E75" s="151" t="s">
        <v>36</v>
      </c>
      <c r="F75" s="151" t="s">
        <v>6533</v>
      </c>
      <c r="G75" s="151" t="s">
        <v>2527</v>
      </c>
      <c r="H75" s="151" t="s">
        <v>2173</v>
      </c>
      <c r="I75" s="151" t="s">
        <v>1183</v>
      </c>
      <c r="J75" s="151" t="s">
        <v>361</v>
      </c>
      <c r="K75" s="527" t="s">
        <v>6527</v>
      </c>
      <c r="L75" s="525" t="s">
        <v>6534</v>
      </c>
      <c r="M75" s="465" t="s">
        <v>6529</v>
      </c>
      <c r="N75" s="151" t="s">
        <v>361</v>
      </c>
      <c r="O75" s="341" t="s">
        <v>6535</v>
      </c>
      <c r="P75" s="151" t="s">
        <v>6531</v>
      </c>
      <c r="Q75" s="151" t="s">
        <v>2177</v>
      </c>
      <c r="R75" s="151" t="s">
        <v>361</v>
      </c>
      <c r="S75" s="151" t="s">
        <v>6265</v>
      </c>
      <c r="T75" s="151" t="s">
        <v>6265</v>
      </c>
      <c r="U75" s="151" t="s">
        <v>361</v>
      </c>
      <c r="V75" s="151">
        <v>9</v>
      </c>
      <c r="W75" s="151" t="s">
        <v>6265</v>
      </c>
      <c r="X75" s="151" t="s">
        <v>2885</v>
      </c>
      <c r="Y75" s="151" t="s">
        <v>361</v>
      </c>
      <c r="Z75" s="151" t="s">
        <v>361</v>
      </c>
      <c r="AA75" s="151" t="s">
        <v>6247</v>
      </c>
    </row>
    <row r="76" spans="2:27" ht="270">
      <c r="B76" s="151" t="s">
        <v>6240</v>
      </c>
      <c r="C76" s="151" t="s">
        <v>6469</v>
      </c>
      <c r="D76" s="151" t="s">
        <v>6494</v>
      </c>
      <c r="E76" s="151" t="s">
        <v>36</v>
      </c>
      <c r="F76" s="151" t="s">
        <v>6536</v>
      </c>
      <c r="G76" s="151" t="s">
        <v>2527</v>
      </c>
      <c r="H76" s="151" t="s">
        <v>2173</v>
      </c>
      <c r="I76" s="151" t="s">
        <v>1183</v>
      </c>
      <c r="J76" s="151" t="s">
        <v>361</v>
      </c>
      <c r="K76" s="527" t="s">
        <v>6527</v>
      </c>
      <c r="L76" s="525" t="s">
        <v>6471</v>
      </c>
      <c r="M76" s="465" t="s">
        <v>6529</v>
      </c>
      <c r="N76" s="151" t="s">
        <v>361</v>
      </c>
      <c r="O76" s="341" t="s">
        <v>6537</v>
      </c>
      <c r="P76" s="151" t="s">
        <v>6531</v>
      </c>
      <c r="Q76" s="151" t="s">
        <v>2177</v>
      </c>
      <c r="R76" s="151" t="s">
        <v>361</v>
      </c>
      <c r="S76" s="151" t="s">
        <v>4695</v>
      </c>
      <c r="T76" s="151" t="s">
        <v>4695</v>
      </c>
      <c r="U76" s="151" t="s">
        <v>361</v>
      </c>
      <c r="V76" s="151" t="s">
        <v>361</v>
      </c>
      <c r="W76" s="151" t="s">
        <v>2400</v>
      </c>
      <c r="X76" s="151" t="s">
        <v>4695</v>
      </c>
      <c r="Y76" s="151" t="s">
        <v>361</v>
      </c>
      <c r="Z76" s="151" t="s">
        <v>361</v>
      </c>
      <c r="AA76" s="151" t="s">
        <v>6247</v>
      </c>
    </row>
    <row r="77" spans="2:27">
      <c r="B77" s="151" t="s">
        <v>6240</v>
      </c>
      <c r="C77" s="151" t="s">
        <v>6359</v>
      </c>
      <c r="D77" s="151" t="s">
        <v>6494</v>
      </c>
      <c r="E77" s="151" t="s">
        <v>36</v>
      </c>
      <c r="F77" s="151" t="s">
        <v>6538</v>
      </c>
      <c r="G77" s="151" t="s">
        <v>2527</v>
      </c>
      <c r="H77" s="151" t="s">
        <v>3656</v>
      </c>
      <c r="I77" s="151" t="s">
        <v>361</v>
      </c>
      <c r="J77" s="151" t="s">
        <v>361</v>
      </c>
      <c r="K77" s="151" t="s">
        <v>361</v>
      </c>
      <c r="L77" s="151" t="s">
        <v>361</v>
      </c>
      <c r="M77" s="151" t="s">
        <v>361</v>
      </c>
      <c r="N77" s="151" t="s">
        <v>361</v>
      </c>
      <c r="O77" s="151"/>
      <c r="P77" s="151"/>
      <c r="Q77" s="151" t="s">
        <v>3576</v>
      </c>
      <c r="R77" s="151" t="s">
        <v>6375</v>
      </c>
      <c r="S77" s="151" t="s">
        <v>6265</v>
      </c>
      <c r="T77" s="151" t="s">
        <v>361</v>
      </c>
      <c r="U77" s="151" t="s">
        <v>361</v>
      </c>
      <c r="V77" s="151" t="s">
        <v>361</v>
      </c>
      <c r="W77" s="151" t="s">
        <v>6265</v>
      </c>
      <c r="X77" s="151" t="s">
        <v>361</v>
      </c>
      <c r="Y77" s="151" t="s">
        <v>361</v>
      </c>
      <c r="Z77" s="151" t="s">
        <v>361</v>
      </c>
      <c r="AA77" s="151" t="s">
        <v>6290</v>
      </c>
    </row>
    <row r="78" spans="2:27">
      <c r="B78" s="151" t="s">
        <v>6240</v>
      </c>
      <c r="C78" s="151" t="s">
        <v>6366</v>
      </c>
      <c r="D78" s="151" t="s">
        <v>6494</v>
      </c>
      <c r="E78" s="151" t="s">
        <v>36</v>
      </c>
      <c r="F78" s="151" t="s">
        <v>6539</v>
      </c>
      <c r="G78" s="151" t="s">
        <v>2527</v>
      </c>
      <c r="H78" s="151" t="s">
        <v>3656</v>
      </c>
      <c r="I78" s="151" t="s">
        <v>361</v>
      </c>
      <c r="J78" s="151" t="s">
        <v>361</v>
      </c>
      <c r="K78" s="151" t="s">
        <v>361</v>
      </c>
      <c r="L78" s="151" t="s">
        <v>361</v>
      </c>
      <c r="M78" s="151" t="s">
        <v>361</v>
      </c>
      <c r="N78" s="151" t="s">
        <v>361</v>
      </c>
      <c r="O78" s="151"/>
      <c r="P78" s="151"/>
      <c r="Q78" s="151" t="s">
        <v>3576</v>
      </c>
      <c r="R78" s="151" t="s">
        <v>6375</v>
      </c>
      <c r="S78" s="151" t="s">
        <v>6265</v>
      </c>
      <c r="T78" s="151" t="s">
        <v>361</v>
      </c>
      <c r="U78" s="151" t="s">
        <v>361</v>
      </c>
      <c r="V78" s="151" t="s">
        <v>361</v>
      </c>
      <c r="W78" s="151" t="s">
        <v>6265</v>
      </c>
      <c r="X78" s="151" t="s">
        <v>361</v>
      </c>
      <c r="Y78" s="151" t="s">
        <v>361</v>
      </c>
      <c r="Z78" s="151" t="s">
        <v>361</v>
      </c>
      <c r="AA78" s="151" t="s">
        <v>6290</v>
      </c>
    </row>
    <row r="79" spans="2:27">
      <c r="B79" s="151" t="s">
        <v>6240</v>
      </c>
      <c r="C79" s="151" t="s">
        <v>6540</v>
      </c>
      <c r="D79" s="151" t="s">
        <v>6494</v>
      </c>
      <c r="E79" s="151" t="s">
        <v>36</v>
      </c>
      <c r="F79" s="151" t="s">
        <v>6541</v>
      </c>
      <c r="G79" s="151" t="s">
        <v>2527</v>
      </c>
      <c r="H79" s="151" t="s">
        <v>6288</v>
      </c>
      <c r="I79" s="151" t="s">
        <v>361</v>
      </c>
      <c r="J79" s="151" t="s">
        <v>361</v>
      </c>
      <c r="K79" s="151" t="s">
        <v>361</v>
      </c>
      <c r="L79" s="151" t="s">
        <v>361</v>
      </c>
      <c r="M79" s="151" t="s">
        <v>361</v>
      </c>
      <c r="N79" s="151" t="s">
        <v>361</v>
      </c>
      <c r="O79" s="151"/>
      <c r="P79" s="151"/>
      <c r="Q79" s="151" t="s">
        <v>2550</v>
      </c>
      <c r="R79" s="151" t="s">
        <v>361</v>
      </c>
      <c r="S79" s="151" t="s">
        <v>361</v>
      </c>
      <c r="T79" s="151" t="s">
        <v>361</v>
      </c>
      <c r="U79" s="151" t="s">
        <v>361</v>
      </c>
      <c r="V79" s="151" t="s">
        <v>361</v>
      </c>
      <c r="W79" s="151" t="s">
        <v>361</v>
      </c>
      <c r="X79" s="151" t="s">
        <v>361</v>
      </c>
      <c r="Y79" s="151" t="s">
        <v>361</v>
      </c>
      <c r="Z79" s="151" t="s">
        <v>361</v>
      </c>
      <c r="AA79" s="151" t="s">
        <v>6290</v>
      </c>
    </row>
    <row r="80" spans="2:27" ht="240">
      <c r="B80" s="151" t="s">
        <v>6240</v>
      </c>
      <c r="C80" s="151" t="s">
        <v>6417</v>
      </c>
      <c r="D80" s="151" t="s">
        <v>6494</v>
      </c>
      <c r="E80" s="151" t="s">
        <v>36</v>
      </c>
      <c r="F80" s="151" t="s">
        <v>6542</v>
      </c>
      <c r="G80" s="151" t="s">
        <v>2527</v>
      </c>
      <c r="H80" s="151" t="s">
        <v>2173</v>
      </c>
      <c r="I80" s="151" t="s">
        <v>1183</v>
      </c>
      <c r="J80" s="151" t="s">
        <v>361</v>
      </c>
      <c r="K80" s="431" t="s">
        <v>528</v>
      </c>
      <c r="L80" s="526" t="s">
        <v>6276</v>
      </c>
      <c r="M80" s="526" t="s">
        <v>6244</v>
      </c>
      <c r="N80" s="151" t="s">
        <v>361</v>
      </c>
      <c r="O80" s="341" t="s">
        <v>6543</v>
      </c>
      <c r="P80" s="151" t="s">
        <v>6482</v>
      </c>
      <c r="Q80" s="151" t="s">
        <v>2177</v>
      </c>
      <c r="R80" s="151" t="s">
        <v>361</v>
      </c>
      <c r="S80" s="151" t="s">
        <v>431</v>
      </c>
      <c r="T80" s="151" t="s">
        <v>3582</v>
      </c>
      <c r="U80" s="151" t="s">
        <v>361</v>
      </c>
      <c r="V80" s="151">
        <v>3</v>
      </c>
      <c r="W80" s="151" t="s">
        <v>431</v>
      </c>
      <c r="X80" s="151" t="s">
        <v>6277</v>
      </c>
      <c r="Y80" s="151" t="s">
        <v>361</v>
      </c>
      <c r="Z80" s="151" t="s">
        <v>361</v>
      </c>
      <c r="AA80" s="151" t="s">
        <v>6247</v>
      </c>
    </row>
    <row r="81" spans="2:27">
      <c r="B81" s="151" t="s">
        <v>6240</v>
      </c>
      <c r="C81" s="151" t="s">
        <v>6483</v>
      </c>
      <c r="D81" s="151" t="s">
        <v>6494</v>
      </c>
      <c r="E81" s="151" t="s">
        <v>36</v>
      </c>
      <c r="F81" s="151" t="s">
        <v>6544</v>
      </c>
      <c r="G81" s="151" t="s">
        <v>2527</v>
      </c>
      <c r="H81" s="151" t="s">
        <v>3656</v>
      </c>
      <c r="I81" s="151" t="s">
        <v>361</v>
      </c>
      <c r="J81" s="151" t="s">
        <v>361</v>
      </c>
      <c r="K81" s="151" t="s">
        <v>361</v>
      </c>
      <c r="L81" s="151" t="s">
        <v>361</v>
      </c>
      <c r="M81" s="151" t="s">
        <v>361</v>
      </c>
      <c r="N81" s="151" t="s">
        <v>361</v>
      </c>
      <c r="O81" s="151"/>
      <c r="P81" s="151"/>
      <c r="Q81" s="151" t="s">
        <v>3576</v>
      </c>
      <c r="R81" s="151" t="s">
        <v>6375</v>
      </c>
      <c r="S81" s="151" t="s">
        <v>6265</v>
      </c>
      <c r="T81" s="151" t="s">
        <v>361</v>
      </c>
      <c r="U81" s="151" t="s">
        <v>361</v>
      </c>
      <c r="V81" s="151" t="s">
        <v>361</v>
      </c>
      <c r="W81" s="151" t="s">
        <v>6265</v>
      </c>
      <c r="X81" s="151" t="s">
        <v>361</v>
      </c>
      <c r="Y81" s="151" t="s">
        <v>361</v>
      </c>
      <c r="Z81" s="151" t="s">
        <v>361</v>
      </c>
      <c r="AA81" s="151" t="s">
        <v>6290</v>
      </c>
    </row>
    <row r="82" spans="2:27">
      <c r="B82" s="151" t="s">
        <v>6240</v>
      </c>
      <c r="C82" s="151" t="s">
        <v>6486</v>
      </c>
      <c r="D82" s="151" t="s">
        <v>6494</v>
      </c>
      <c r="E82" s="151" t="s">
        <v>36</v>
      </c>
      <c r="F82" s="151" t="s">
        <v>6545</v>
      </c>
      <c r="G82" s="151" t="s">
        <v>2527</v>
      </c>
      <c r="H82" s="151" t="s">
        <v>3656</v>
      </c>
      <c r="I82" s="151" t="s">
        <v>361</v>
      </c>
      <c r="J82" s="151" t="s">
        <v>361</v>
      </c>
      <c r="K82" s="151" t="s">
        <v>361</v>
      </c>
      <c r="L82" s="151" t="s">
        <v>361</v>
      </c>
      <c r="M82" s="151" t="s">
        <v>361</v>
      </c>
      <c r="N82" s="151" t="s">
        <v>361</v>
      </c>
      <c r="O82" s="151"/>
      <c r="P82" s="151"/>
      <c r="Q82" s="151" t="s">
        <v>3576</v>
      </c>
      <c r="R82" s="151" t="s">
        <v>6375</v>
      </c>
      <c r="S82" s="151" t="s">
        <v>6265</v>
      </c>
      <c r="T82" s="151" t="s">
        <v>361</v>
      </c>
      <c r="U82" s="151" t="s">
        <v>361</v>
      </c>
      <c r="V82" s="151" t="s">
        <v>361</v>
      </c>
      <c r="W82" s="151" t="s">
        <v>6265</v>
      </c>
      <c r="X82" s="151" t="s">
        <v>361</v>
      </c>
      <c r="Y82" s="151" t="s">
        <v>361</v>
      </c>
      <c r="Z82" s="151" t="s">
        <v>361</v>
      </c>
      <c r="AA82" s="151" t="s">
        <v>6290</v>
      </c>
    </row>
    <row r="83" spans="2:27">
      <c r="B83" s="151" t="s">
        <v>6240</v>
      </c>
      <c r="C83" s="151" t="s">
        <v>6546</v>
      </c>
      <c r="D83" s="151" t="s">
        <v>6494</v>
      </c>
      <c r="E83" s="151" t="s">
        <v>36</v>
      </c>
      <c r="F83" s="151" t="s">
        <v>6547</v>
      </c>
      <c r="G83" s="151" t="s">
        <v>2527</v>
      </c>
      <c r="H83" s="151" t="s">
        <v>3656</v>
      </c>
      <c r="I83" s="151" t="s">
        <v>361</v>
      </c>
      <c r="J83" s="151" t="s">
        <v>361</v>
      </c>
      <c r="K83" s="151" t="s">
        <v>361</v>
      </c>
      <c r="L83" s="151" t="s">
        <v>361</v>
      </c>
      <c r="M83" s="151" t="s">
        <v>361</v>
      </c>
      <c r="N83" s="151" t="s">
        <v>361</v>
      </c>
      <c r="O83" s="151"/>
      <c r="P83" s="151"/>
      <c r="Q83" s="151" t="s">
        <v>3576</v>
      </c>
      <c r="R83" s="151" t="s">
        <v>6375</v>
      </c>
      <c r="S83" s="151" t="s">
        <v>6265</v>
      </c>
      <c r="T83" s="151" t="s">
        <v>361</v>
      </c>
      <c r="U83" s="151" t="s">
        <v>361</v>
      </c>
      <c r="V83" s="151" t="s">
        <v>361</v>
      </c>
      <c r="W83" s="151" t="s">
        <v>6265</v>
      </c>
      <c r="X83" s="151" t="s">
        <v>361</v>
      </c>
      <c r="Y83" s="151" t="s">
        <v>361</v>
      </c>
      <c r="Z83" s="151" t="s">
        <v>361</v>
      </c>
      <c r="AA83" s="151" t="s">
        <v>6290</v>
      </c>
    </row>
    <row r="84" spans="2:27">
      <c r="B84" s="151" t="s">
        <v>6240</v>
      </c>
      <c r="C84" s="151" t="s">
        <v>6491</v>
      </c>
      <c r="D84" s="151" t="s">
        <v>6494</v>
      </c>
      <c r="E84" s="151" t="s">
        <v>36</v>
      </c>
      <c r="F84" s="151" t="s">
        <v>6548</v>
      </c>
      <c r="G84" s="151" t="s">
        <v>2527</v>
      </c>
      <c r="H84" s="151" t="s">
        <v>3656</v>
      </c>
      <c r="I84" s="151" t="s">
        <v>361</v>
      </c>
      <c r="J84" s="151" t="s">
        <v>361</v>
      </c>
      <c r="K84" s="151" t="s">
        <v>361</v>
      </c>
      <c r="L84" s="151" t="s">
        <v>361</v>
      </c>
      <c r="M84" s="151" t="s">
        <v>361</v>
      </c>
      <c r="N84" s="151" t="s">
        <v>361</v>
      </c>
      <c r="O84" s="151"/>
      <c r="P84" s="151"/>
      <c r="Q84" s="151" t="s">
        <v>3576</v>
      </c>
      <c r="R84" s="151" t="s">
        <v>6375</v>
      </c>
      <c r="S84" s="151" t="s">
        <v>6265</v>
      </c>
      <c r="T84" s="151" t="s">
        <v>361</v>
      </c>
      <c r="U84" s="151" t="s">
        <v>361</v>
      </c>
      <c r="V84" s="151" t="s">
        <v>361</v>
      </c>
      <c r="W84" s="151" t="s">
        <v>6265</v>
      </c>
      <c r="X84" s="151" t="s">
        <v>361</v>
      </c>
      <c r="Y84" s="151" t="s">
        <v>361</v>
      </c>
      <c r="Z84" s="151" t="s">
        <v>361</v>
      </c>
      <c r="AA84" s="151" t="s">
        <v>6290</v>
      </c>
    </row>
    <row r="85" spans="2:27">
      <c r="B85" s="151" t="s">
        <v>6240</v>
      </c>
      <c r="C85" s="151" t="s">
        <v>6549</v>
      </c>
      <c r="D85" s="151" t="s">
        <v>6494</v>
      </c>
      <c r="E85" s="151" t="s">
        <v>36</v>
      </c>
      <c r="F85" s="151" t="s">
        <v>6550</v>
      </c>
      <c r="G85" s="151" t="s">
        <v>2527</v>
      </c>
      <c r="H85" s="151" t="s">
        <v>3656</v>
      </c>
      <c r="I85" s="151" t="s">
        <v>361</v>
      </c>
      <c r="J85" s="151" t="s">
        <v>361</v>
      </c>
      <c r="K85" s="151" t="s">
        <v>361</v>
      </c>
      <c r="L85" s="151" t="s">
        <v>361</v>
      </c>
      <c r="M85" s="151" t="s">
        <v>361</v>
      </c>
      <c r="N85" s="151" t="s">
        <v>361</v>
      </c>
      <c r="O85" s="151"/>
      <c r="P85" s="151"/>
      <c r="Q85" s="151" t="s">
        <v>3576</v>
      </c>
      <c r="R85" s="151" t="s">
        <v>6375</v>
      </c>
      <c r="S85" s="151" t="s">
        <v>361</v>
      </c>
      <c r="T85" s="151" t="s">
        <v>361</v>
      </c>
      <c r="U85" s="151" t="s">
        <v>361</v>
      </c>
      <c r="V85" s="151" t="s">
        <v>361</v>
      </c>
      <c r="W85" s="151" t="s">
        <v>361</v>
      </c>
      <c r="X85" s="151" t="s">
        <v>361</v>
      </c>
      <c r="Y85" s="151" t="s">
        <v>361</v>
      </c>
      <c r="Z85" s="151" t="s">
        <v>361</v>
      </c>
      <c r="AA85" s="151" t="s">
        <v>6290</v>
      </c>
    </row>
    <row r="86" spans="2:27" ht="75">
      <c r="B86" s="151" t="s">
        <v>6240</v>
      </c>
      <c r="C86" s="151" t="s">
        <v>6413</v>
      </c>
      <c r="D86" s="151" t="s">
        <v>6494</v>
      </c>
      <c r="E86" s="151" t="s">
        <v>36</v>
      </c>
      <c r="F86" s="151" t="s">
        <v>6551</v>
      </c>
      <c r="G86" s="151" t="s">
        <v>2527</v>
      </c>
      <c r="H86" s="151" t="s">
        <v>2173</v>
      </c>
      <c r="I86" s="151" t="s">
        <v>1183</v>
      </c>
      <c r="J86" s="151" t="s">
        <v>361</v>
      </c>
      <c r="K86" s="151" t="s">
        <v>4304</v>
      </c>
      <c r="L86" s="151" t="s">
        <v>6344</v>
      </c>
      <c r="M86" s="151" t="s">
        <v>49</v>
      </c>
      <c r="N86" s="151" t="s">
        <v>361</v>
      </c>
      <c r="O86" s="341" t="s">
        <v>6552</v>
      </c>
      <c r="P86" s="151">
        <v>1</v>
      </c>
      <c r="Q86" s="151" t="s">
        <v>2177</v>
      </c>
      <c r="R86" s="151" t="s">
        <v>361</v>
      </c>
      <c r="S86" s="151" t="s">
        <v>4695</v>
      </c>
      <c r="T86" s="151" t="s">
        <v>361</v>
      </c>
      <c r="U86" s="151" t="s">
        <v>361</v>
      </c>
      <c r="V86" s="151" t="s">
        <v>361</v>
      </c>
      <c r="W86" s="151" t="s">
        <v>2400</v>
      </c>
      <c r="X86" s="151" t="s">
        <v>361</v>
      </c>
      <c r="Y86" s="151" t="s">
        <v>361</v>
      </c>
      <c r="Z86" s="151" t="s">
        <v>361</v>
      </c>
      <c r="AA86" s="151" t="s">
        <v>6247</v>
      </c>
    </row>
    <row r="87" spans="2:27" ht="345">
      <c r="B87" s="151" t="s">
        <v>6240</v>
      </c>
      <c r="C87" s="151" t="s">
        <v>5424</v>
      </c>
      <c r="D87" s="151" t="s">
        <v>6553</v>
      </c>
      <c r="E87" s="151" t="s">
        <v>36</v>
      </c>
      <c r="F87" s="151" t="s">
        <v>6554</v>
      </c>
      <c r="G87" s="151" t="s">
        <v>2527</v>
      </c>
      <c r="H87" s="151" t="s">
        <v>2173</v>
      </c>
      <c r="I87" s="151" t="s">
        <v>1183</v>
      </c>
      <c r="J87" s="151" t="s">
        <v>361</v>
      </c>
      <c r="K87" s="151" t="s">
        <v>6555</v>
      </c>
      <c r="L87" s="151" t="s">
        <v>6556</v>
      </c>
      <c r="M87" s="522" t="s">
        <v>6557</v>
      </c>
      <c r="N87" s="151" t="s">
        <v>361</v>
      </c>
      <c r="O87" s="341" t="s">
        <v>6558</v>
      </c>
      <c r="P87" s="151" t="s">
        <v>6559</v>
      </c>
      <c r="Q87" s="151" t="s">
        <v>2177</v>
      </c>
      <c r="R87" s="161" t="s">
        <v>6560</v>
      </c>
      <c r="S87" s="151" t="s">
        <v>431</v>
      </c>
      <c r="T87" s="151" t="s">
        <v>3582</v>
      </c>
      <c r="U87" s="151" t="s">
        <v>361</v>
      </c>
      <c r="V87" s="151">
        <v>16</v>
      </c>
      <c r="W87" s="151" t="s">
        <v>431</v>
      </c>
      <c r="X87" s="151" t="s">
        <v>6245</v>
      </c>
      <c r="Y87" s="151" t="s">
        <v>6561</v>
      </c>
      <c r="Z87" s="151" t="s">
        <v>361</v>
      </c>
      <c r="AA87" s="151" t="s">
        <v>6247</v>
      </c>
    </row>
    <row r="88" spans="2:27" ht="330">
      <c r="B88" s="151" t="s">
        <v>6240</v>
      </c>
      <c r="C88" s="151" t="s">
        <v>343</v>
      </c>
      <c r="D88" s="151" t="s">
        <v>6553</v>
      </c>
      <c r="E88" s="151" t="s">
        <v>36</v>
      </c>
      <c r="F88" s="151" t="s">
        <v>6562</v>
      </c>
      <c r="G88" s="151" t="s">
        <v>2527</v>
      </c>
      <c r="H88" s="151" t="s">
        <v>2173</v>
      </c>
      <c r="I88" s="151" t="s">
        <v>1183</v>
      </c>
      <c r="J88" s="151" t="s">
        <v>361</v>
      </c>
      <c r="K88" s="151" t="s">
        <v>6555</v>
      </c>
      <c r="L88" s="151" t="s">
        <v>6563</v>
      </c>
      <c r="M88" s="522" t="s">
        <v>6557</v>
      </c>
      <c r="N88" s="151" t="s">
        <v>361</v>
      </c>
      <c r="O88" s="341" t="s">
        <v>6564</v>
      </c>
      <c r="P88" s="151" t="s">
        <v>6559</v>
      </c>
      <c r="Q88" s="151" t="s">
        <v>2177</v>
      </c>
      <c r="R88" s="151" t="s">
        <v>361</v>
      </c>
      <c r="S88" s="151" t="s">
        <v>431</v>
      </c>
      <c r="T88" s="151" t="s">
        <v>3582</v>
      </c>
      <c r="U88" s="151" t="s">
        <v>361</v>
      </c>
      <c r="V88" s="151">
        <v>250</v>
      </c>
      <c r="W88" s="151" t="s">
        <v>431</v>
      </c>
      <c r="X88" s="151" t="s">
        <v>6452</v>
      </c>
      <c r="Y88" s="151" t="s">
        <v>6561</v>
      </c>
      <c r="Z88" s="151" t="s">
        <v>361</v>
      </c>
      <c r="AA88" s="151" t="s">
        <v>6247</v>
      </c>
    </row>
    <row r="89" spans="2:27" ht="330">
      <c r="B89" s="151" t="s">
        <v>6240</v>
      </c>
      <c r="C89" s="151" t="s">
        <v>6565</v>
      </c>
      <c r="D89" s="151" t="s">
        <v>6553</v>
      </c>
      <c r="E89" s="151" t="s">
        <v>36</v>
      </c>
      <c r="F89" s="151" t="s">
        <v>6566</v>
      </c>
      <c r="G89" s="151" t="s">
        <v>2527</v>
      </c>
      <c r="H89" s="151" t="s">
        <v>2173</v>
      </c>
      <c r="I89" s="151" t="s">
        <v>1183</v>
      </c>
      <c r="J89" s="151" t="s">
        <v>361</v>
      </c>
      <c r="K89" s="151" t="s">
        <v>6555</v>
      </c>
      <c r="L89" s="151" t="s">
        <v>6567</v>
      </c>
      <c r="M89" s="522" t="s">
        <v>6557</v>
      </c>
      <c r="N89" s="151" t="s">
        <v>361</v>
      </c>
      <c r="O89" s="341" t="s">
        <v>6568</v>
      </c>
      <c r="P89" s="151" t="s">
        <v>6559</v>
      </c>
      <c r="Q89" s="151" t="s">
        <v>2177</v>
      </c>
      <c r="R89" s="151" t="s">
        <v>361</v>
      </c>
      <c r="S89" s="151" t="s">
        <v>431</v>
      </c>
      <c r="T89" s="151" t="s">
        <v>3582</v>
      </c>
      <c r="U89" s="151" t="s">
        <v>361</v>
      </c>
      <c r="V89" s="151">
        <v>250</v>
      </c>
      <c r="W89" s="151" t="s">
        <v>431</v>
      </c>
      <c r="X89" s="151" t="s">
        <v>6277</v>
      </c>
      <c r="Y89" s="151" t="s">
        <v>6561</v>
      </c>
      <c r="Z89" s="151" t="s">
        <v>361</v>
      </c>
      <c r="AA89" s="151" t="s">
        <v>6247</v>
      </c>
    </row>
    <row r="90" spans="2:27" ht="210">
      <c r="B90" s="151" t="s">
        <v>6240</v>
      </c>
      <c r="C90" s="151" t="s">
        <v>6569</v>
      </c>
      <c r="D90" s="151" t="s">
        <v>6553</v>
      </c>
      <c r="E90" s="151" t="s">
        <v>36</v>
      </c>
      <c r="F90" s="151" t="s">
        <v>6570</v>
      </c>
      <c r="G90" s="151" t="s">
        <v>2527</v>
      </c>
      <c r="H90" s="151" t="s">
        <v>2173</v>
      </c>
      <c r="I90" s="151" t="s">
        <v>1183</v>
      </c>
      <c r="J90" s="151" t="s">
        <v>361</v>
      </c>
      <c r="K90" s="151" t="s">
        <v>6571</v>
      </c>
      <c r="L90" s="151" t="s">
        <v>6572</v>
      </c>
      <c r="M90" s="522" t="s">
        <v>6573</v>
      </c>
      <c r="N90" s="151" t="s">
        <v>361</v>
      </c>
      <c r="O90" s="341" t="s">
        <v>6574</v>
      </c>
      <c r="P90" s="151" t="s">
        <v>6559</v>
      </c>
      <c r="Q90" s="151" t="s">
        <v>2177</v>
      </c>
      <c r="R90" s="151" t="s">
        <v>361</v>
      </c>
      <c r="S90" s="151" t="s">
        <v>431</v>
      </c>
      <c r="T90" s="151" t="s">
        <v>3582</v>
      </c>
      <c r="U90" s="151" t="s">
        <v>361</v>
      </c>
      <c r="V90" s="151">
        <v>20</v>
      </c>
      <c r="W90" s="151" t="s">
        <v>431</v>
      </c>
      <c r="X90" s="151" t="s">
        <v>6341</v>
      </c>
      <c r="Y90" s="151" t="s">
        <v>361</v>
      </c>
      <c r="Z90" s="151" t="s">
        <v>361</v>
      </c>
      <c r="AA90" s="151" t="s">
        <v>6247</v>
      </c>
    </row>
    <row r="91" spans="2:27" ht="225">
      <c r="B91" s="151" t="s">
        <v>6240</v>
      </c>
      <c r="C91" s="151" t="s">
        <v>6575</v>
      </c>
      <c r="D91" s="151" t="s">
        <v>6553</v>
      </c>
      <c r="E91" s="151" t="s">
        <v>36</v>
      </c>
      <c r="F91" s="151" t="s">
        <v>6576</v>
      </c>
      <c r="G91" s="151" t="s">
        <v>2527</v>
      </c>
      <c r="H91" s="151" t="s">
        <v>2173</v>
      </c>
      <c r="I91" s="151" t="s">
        <v>1183</v>
      </c>
      <c r="J91" s="151" t="s">
        <v>361</v>
      </c>
      <c r="K91" s="151" t="s">
        <v>6571</v>
      </c>
      <c r="L91" s="151" t="s">
        <v>6577</v>
      </c>
      <c r="M91" s="522" t="s">
        <v>6573</v>
      </c>
      <c r="N91" s="151" t="s">
        <v>361</v>
      </c>
      <c r="O91" s="341" t="s">
        <v>6578</v>
      </c>
      <c r="P91" s="151" t="s">
        <v>6559</v>
      </c>
      <c r="Q91" s="151" t="s">
        <v>2177</v>
      </c>
      <c r="R91" s="151" t="s">
        <v>361</v>
      </c>
      <c r="S91" s="151" t="s">
        <v>4695</v>
      </c>
      <c r="T91" s="151" t="s">
        <v>4695</v>
      </c>
      <c r="U91" s="151" t="s">
        <v>361</v>
      </c>
      <c r="V91" s="151" t="s">
        <v>361</v>
      </c>
      <c r="W91" s="151" t="s">
        <v>2400</v>
      </c>
      <c r="X91" s="151" t="s">
        <v>4695</v>
      </c>
      <c r="Y91" s="151" t="s">
        <v>361</v>
      </c>
      <c r="Z91" s="151" t="s">
        <v>361</v>
      </c>
      <c r="AA91" s="151" t="s">
        <v>6247</v>
      </c>
    </row>
    <row r="92" spans="2:27" ht="240">
      <c r="B92" s="151" t="s">
        <v>6240</v>
      </c>
      <c r="C92" s="151" t="s">
        <v>6579</v>
      </c>
      <c r="D92" s="151" t="s">
        <v>6553</v>
      </c>
      <c r="E92" s="151" t="s">
        <v>36</v>
      </c>
      <c r="F92" s="151" t="s">
        <v>6580</v>
      </c>
      <c r="G92" s="151" t="s">
        <v>2527</v>
      </c>
      <c r="H92" s="151" t="s">
        <v>2173</v>
      </c>
      <c r="I92" s="151" t="s">
        <v>1183</v>
      </c>
      <c r="J92" s="151" t="s">
        <v>361</v>
      </c>
      <c r="K92" s="151" t="s">
        <v>6581</v>
      </c>
      <c r="L92" s="151" t="s">
        <v>6582</v>
      </c>
      <c r="M92" s="522" t="s">
        <v>6583</v>
      </c>
      <c r="N92" s="151" t="s">
        <v>361</v>
      </c>
      <c r="O92" s="341" t="s">
        <v>6584</v>
      </c>
      <c r="P92" s="151" t="s">
        <v>6559</v>
      </c>
      <c r="Q92" s="151" t="s">
        <v>2177</v>
      </c>
      <c r="R92" s="151" t="s">
        <v>361</v>
      </c>
      <c r="S92" s="151" t="s">
        <v>6265</v>
      </c>
      <c r="T92" s="151" t="s">
        <v>6265</v>
      </c>
      <c r="U92" s="151" t="s">
        <v>361</v>
      </c>
      <c r="V92" s="151">
        <v>19</v>
      </c>
      <c r="W92" s="151" t="s">
        <v>6265</v>
      </c>
      <c r="X92" s="151" t="s">
        <v>6350</v>
      </c>
      <c r="Y92" s="151" t="s">
        <v>361</v>
      </c>
      <c r="Z92" s="151" t="s">
        <v>361</v>
      </c>
      <c r="AA92" s="151" t="s">
        <v>6247</v>
      </c>
    </row>
    <row r="93" spans="2:27" ht="225">
      <c r="B93" s="151" t="s">
        <v>6240</v>
      </c>
      <c r="C93" s="151" t="s">
        <v>6351</v>
      </c>
      <c r="D93" s="151" t="s">
        <v>6553</v>
      </c>
      <c r="E93" s="151" t="s">
        <v>36</v>
      </c>
      <c r="F93" s="151" t="s">
        <v>6585</v>
      </c>
      <c r="G93" s="151" t="s">
        <v>2527</v>
      </c>
      <c r="H93" s="151" t="s">
        <v>2173</v>
      </c>
      <c r="I93" s="151" t="s">
        <v>1183</v>
      </c>
      <c r="J93" s="151" t="s">
        <v>361</v>
      </c>
      <c r="K93" s="151" t="s">
        <v>6581</v>
      </c>
      <c r="L93" s="151" t="s">
        <v>6586</v>
      </c>
      <c r="M93" s="522" t="s">
        <v>6583</v>
      </c>
      <c r="N93" s="151" t="s">
        <v>361</v>
      </c>
      <c r="O93" s="341" t="s">
        <v>6587</v>
      </c>
      <c r="P93" s="151" t="s">
        <v>6559</v>
      </c>
      <c r="Q93" s="151" t="s">
        <v>2177</v>
      </c>
      <c r="R93" s="151" t="s">
        <v>361</v>
      </c>
      <c r="S93" s="151" t="s">
        <v>6265</v>
      </c>
      <c r="T93" s="151" t="s">
        <v>6265</v>
      </c>
      <c r="U93" s="151" t="s">
        <v>361</v>
      </c>
      <c r="V93" s="151">
        <v>22</v>
      </c>
      <c r="W93" s="151" t="s">
        <v>6265</v>
      </c>
      <c r="X93" s="151" t="s">
        <v>3644</v>
      </c>
      <c r="Y93" s="151" t="s">
        <v>361</v>
      </c>
      <c r="Z93" s="151" t="s">
        <v>361</v>
      </c>
      <c r="AA93" s="151" t="s">
        <v>6247</v>
      </c>
    </row>
    <row r="94" spans="2:27" ht="225">
      <c r="B94" s="151" t="s">
        <v>6240</v>
      </c>
      <c r="C94" s="151" t="s">
        <v>6588</v>
      </c>
      <c r="D94" s="151" t="s">
        <v>6553</v>
      </c>
      <c r="E94" s="151" t="s">
        <v>36</v>
      </c>
      <c r="F94" s="151" t="s">
        <v>6589</v>
      </c>
      <c r="G94" s="151" t="s">
        <v>2527</v>
      </c>
      <c r="H94" s="151" t="s">
        <v>2173</v>
      </c>
      <c r="I94" s="151" t="s">
        <v>1183</v>
      </c>
      <c r="J94" s="151" t="s">
        <v>361</v>
      </c>
      <c r="K94" s="151" t="s">
        <v>6571</v>
      </c>
      <c r="L94" s="151" t="s">
        <v>6590</v>
      </c>
      <c r="M94" s="522" t="s">
        <v>6573</v>
      </c>
      <c r="N94" s="151" t="s">
        <v>361</v>
      </c>
      <c r="O94" s="341" t="s">
        <v>6591</v>
      </c>
      <c r="P94" s="151" t="s">
        <v>6559</v>
      </c>
      <c r="Q94" s="151" t="s">
        <v>2177</v>
      </c>
      <c r="R94" s="151" t="s">
        <v>361</v>
      </c>
      <c r="S94" s="151" t="s">
        <v>6265</v>
      </c>
      <c r="T94" s="151" t="s">
        <v>6265</v>
      </c>
      <c r="U94" s="151" t="s">
        <v>361</v>
      </c>
      <c r="V94" s="151">
        <v>20</v>
      </c>
      <c r="W94" s="151" t="s">
        <v>6265</v>
      </c>
      <c r="X94" s="151" t="s">
        <v>2507</v>
      </c>
      <c r="Y94" s="151" t="s">
        <v>361</v>
      </c>
      <c r="Z94" s="151" t="s">
        <v>361</v>
      </c>
      <c r="AA94" s="151" t="s">
        <v>6247</v>
      </c>
    </row>
    <row r="95" spans="2:27" ht="225">
      <c r="B95" s="151" t="s">
        <v>6240</v>
      </c>
      <c r="C95" s="151" t="s">
        <v>6592</v>
      </c>
      <c r="D95" s="151" t="s">
        <v>6553</v>
      </c>
      <c r="E95" s="151" t="s">
        <v>36</v>
      </c>
      <c r="F95" s="151" t="s">
        <v>6593</v>
      </c>
      <c r="G95" s="151" t="s">
        <v>2527</v>
      </c>
      <c r="H95" s="151" t="s">
        <v>2173</v>
      </c>
      <c r="I95" s="151" t="s">
        <v>1183</v>
      </c>
      <c r="J95" s="151" t="s">
        <v>361</v>
      </c>
      <c r="K95" s="151" t="s">
        <v>6571</v>
      </c>
      <c r="L95" s="151" t="s">
        <v>6594</v>
      </c>
      <c r="M95" s="522" t="s">
        <v>6573</v>
      </c>
      <c r="N95" s="151" t="s">
        <v>361</v>
      </c>
      <c r="O95" s="341" t="s">
        <v>6595</v>
      </c>
      <c r="P95" s="151" t="s">
        <v>6559</v>
      </c>
      <c r="Q95" s="151" t="s">
        <v>2177</v>
      </c>
      <c r="R95" s="151" t="s">
        <v>361</v>
      </c>
      <c r="S95" s="151" t="s">
        <v>6265</v>
      </c>
      <c r="T95" s="151" t="s">
        <v>6265</v>
      </c>
      <c r="U95" s="151" t="s">
        <v>361</v>
      </c>
      <c r="V95" s="151">
        <v>20</v>
      </c>
      <c r="W95" s="151" t="s">
        <v>6265</v>
      </c>
      <c r="X95" s="151" t="s">
        <v>2507</v>
      </c>
      <c r="Y95" s="151" t="s">
        <v>361</v>
      </c>
      <c r="Z95" s="151" t="s">
        <v>361</v>
      </c>
      <c r="AA95" s="151" t="s">
        <v>6247</v>
      </c>
    </row>
    <row r="96" spans="2:27" ht="240">
      <c r="B96" s="151" t="s">
        <v>6240</v>
      </c>
      <c r="C96" s="151" t="s">
        <v>6469</v>
      </c>
      <c r="D96" s="151" t="s">
        <v>6553</v>
      </c>
      <c r="E96" s="151" t="s">
        <v>36</v>
      </c>
      <c r="F96" s="151" t="s">
        <v>6596</v>
      </c>
      <c r="G96" s="151" t="s">
        <v>2527</v>
      </c>
      <c r="H96" s="151" t="s">
        <v>2173</v>
      </c>
      <c r="I96" s="151" t="s">
        <v>1183</v>
      </c>
      <c r="J96" s="151" t="s">
        <v>361</v>
      </c>
      <c r="K96" s="151" t="s">
        <v>6571</v>
      </c>
      <c r="L96" s="151" t="s">
        <v>6597</v>
      </c>
      <c r="M96" s="522" t="s">
        <v>6573</v>
      </c>
      <c r="N96" s="151" t="s">
        <v>361</v>
      </c>
      <c r="O96" s="341" t="s">
        <v>6598</v>
      </c>
      <c r="P96" s="151" t="s">
        <v>6559</v>
      </c>
      <c r="Q96" s="151" t="s">
        <v>2177</v>
      </c>
      <c r="R96" s="151" t="s">
        <v>361</v>
      </c>
      <c r="S96" s="151" t="s">
        <v>4695</v>
      </c>
      <c r="T96" s="151" t="s">
        <v>4695</v>
      </c>
      <c r="U96" s="151" t="s">
        <v>361</v>
      </c>
      <c r="V96" s="151" t="s">
        <v>361</v>
      </c>
      <c r="W96" s="151" t="s">
        <v>2400</v>
      </c>
      <c r="X96" s="151" t="s">
        <v>4695</v>
      </c>
      <c r="Y96" s="151" t="s">
        <v>361</v>
      </c>
      <c r="Z96" s="151" t="s">
        <v>361</v>
      </c>
      <c r="AA96" s="151" t="s">
        <v>6247</v>
      </c>
    </row>
    <row r="97" spans="2:27">
      <c r="B97" s="151" t="s">
        <v>6240</v>
      </c>
      <c r="C97" s="151" t="s">
        <v>6599</v>
      </c>
      <c r="D97" s="151" t="s">
        <v>6553</v>
      </c>
      <c r="E97" s="151" t="s">
        <v>36</v>
      </c>
      <c r="F97" s="151" t="s">
        <v>6600</v>
      </c>
      <c r="G97" s="151" t="s">
        <v>2527</v>
      </c>
      <c r="H97" s="151" t="s">
        <v>3656</v>
      </c>
      <c r="I97" s="151" t="s">
        <v>361</v>
      </c>
      <c r="J97" s="151" t="s">
        <v>361</v>
      </c>
      <c r="K97" s="151" t="s">
        <v>361</v>
      </c>
      <c r="L97" s="151" t="s">
        <v>361</v>
      </c>
      <c r="M97" s="151" t="s">
        <v>361</v>
      </c>
      <c r="N97" s="151" t="s">
        <v>361</v>
      </c>
      <c r="O97" s="151"/>
      <c r="P97" s="151"/>
      <c r="Q97" s="151" t="s">
        <v>3576</v>
      </c>
      <c r="R97" s="151" t="s">
        <v>6488</v>
      </c>
      <c r="S97" s="151" t="s">
        <v>6265</v>
      </c>
      <c r="T97" s="151" t="s">
        <v>361</v>
      </c>
      <c r="U97" s="151" t="s">
        <v>361</v>
      </c>
      <c r="V97" s="151" t="s">
        <v>361</v>
      </c>
      <c r="W97" s="151" t="s">
        <v>6265</v>
      </c>
      <c r="X97" s="151" t="s">
        <v>361</v>
      </c>
      <c r="Y97" s="151" t="s">
        <v>361</v>
      </c>
      <c r="Z97" s="151" t="s">
        <v>361</v>
      </c>
      <c r="AA97" s="151" t="s">
        <v>6290</v>
      </c>
    </row>
    <row r="98" spans="2:27">
      <c r="B98" s="151" t="s">
        <v>6240</v>
      </c>
      <c r="C98" s="151" t="s">
        <v>6601</v>
      </c>
      <c r="D98" s="151" t="s">
        <v>6553</v>
      </c>
      <c r="E98" s="151" t="s">
        <v>36</v>
      </c>
      <c r="F98" s="151" t="s">
        <v>6602</v>
      </c>
      <c r="G98" s="151" t="s">
        <v>2527</v>
      </c>
      <c r="H98" s="151" t="s">
        <v>3656</v>
      </c>
      <c r="I98" s="151" t="s">
        <v>361</v>
      </c>
      <c r="J98" s="151" t="s">
        <v>361</v>
      </c>
      <c r="K98" s="151" t="s">
        <v>361</v>
      </c>
      <c r="L98" s="151" t="s">
        <v>361</v>
      </c>
      <c r="M98" s="151" t="s">
        <v>361</v>
      </c>
      <c r="N98" s="151" t="s">
        <v>361</v>
      </c>
      <c r="O98" s="151"/>
      <c r="P98" s="151"/>
      <c r="Q98" s="151" t="s">
        <v>3576</v>
      </c>
      <c r="R98" s="151" t="s">
        <v>6488</v>
      </c>
      <c r="S98" s="151" t="s">
        <v>6265</v>
      </c>
      <c r="T98" s="151" t="s">
        <v>361</v>
      </c>
      <c r="U98" s="151" t="s">
        <v>361</v>
      </c>
      <c r="V98" s="151" t="s">
        <v>361</v>
      </c>
      <c r="W98" s="151" t="s">
        <v>6265</v>
      </c>
      <c r="X98" s="151" t="s">
        <v>361</v>
      </c>
      <c r="Y98" s="151" t="s">
        <v>361</v>
      </c>
      <c r="Z98" s="151" t="s">
        <v>361</v>
      </c>
      <c r="AA98" s="151" t="s">
        <v>6290</v>
      </c>
    </row>
    <row r="99" spans="2:27">
      <c r="B99" s="151" t="s">
        <v>6240</v>
      </c>
      <c r="C99" s="151" t="s">
        <v>6603</v>
      </c>
      <c r="D99" s="151" t="s">
        <v>6553</v>
      </c>
      <c r="E99" s="151" t="s">
        <v>36</v>
      </c>
      <c r="F99" s="151" t="s">
        <v>6604</v>
      </c>
      <c r="G99" s="151" t="s">
        <v>2527</v>
      </c>
      <c r="H99" s="151" t="s">
        <v>3656</v>
      </c>
      <c r="I99" s="151" t="s">
        <v>361</v>
      </c>
      <c r="J99" s="151" t="s">
        <v>361</v>
      </c>
      <c r="K99" s="151" t="s">
        <v>361</v>
      </c>
      <c r="L99" s="151" t="s">
        <v>361</v>
      </c>
      <c r="M99" s="151" t="s">
        <v>361</v>
      </c>
      <c r="N99" s="151" t="s">
        <v>361</v>
      </c>
      <c r="O99" s="151"/>
      <c r="P99" s="151"/>
      <c r="Q99" s="151" t="s">
        <v>3576</v>
      </c>
      <c r="R99" s="151" t="s">
        <v>6488</v>
      </c>
      <c r="S99" s="151" t="s">
        <v>6265</v>
      </c>
      <c r="T99" s="151" t="s">
        <v>361</v>
      </c>
      <c r="U99" s="151" t="s">
        <v>361</v>
      </c>
      <c r="V99" s="151" t="s">
        <v>361</v>
      </c>
      <c r="W99" s="151" t="s">
        <v>6265</v>
      </c>
      <c r="X99" s="151" t="s">
        <v>361</v>
      </c>
      <c r="Y99" s="151" t="s">
        <v>361</v>
      </c>
      <c r="Z99" s="151" t="s">
        <v>361</v>
      </c>
      <c r="AA99" s="151" t="s">
        <v>6290</v>
      </c>
    </row>
    <row r="100" spans="2:27">
      <c r="B100" s="151" t="s">
        <v>6240</v>
      </c>
      <c r="C100" s="151" t="s">
        <v>6605</v>
      </c>
      <c r="D100" s="151" t="s">
        <v>6553</v>
      </c>
      <c r="E100" s="151" t="s">
        <v>36</v>
      </c>
      <c r="F100" s="151" t="s">
        <v>6606</v>
      </c>
      <c r="G100" s="151" t="s">
        <v>2527</v>
      </c>
      <c r="H100" s="151" t="s">
        <v>3656</v>
      </c>
      <c r="I100" s="151" t="s">
        <v>361</v>
      </c>
      <c r="J100" s="151" t="s">
        <v>361</v>
      </c>
      <c r="K100" s="151" t="s">
        <v>361</v>
      </c>
      <c r="L100" s="151" t="s">
        <v>361</v>
      </c>
      <c r="M100" s="151" t="s">
        <v>361</v>
      </c>
      <c r="N100" s="151" t="s">
        <v>361</v>
      </c>
      <c r="O100" s="151"/>
      <c r="P100" s="151"/>
      <c r="Q100" s="151" t="s">
        <v>3576</v>
      </c>
      <c r="R100" s="151" t="s">
        <v>6488</v>
      </c>
      <c r="S100" s="151" t="s">
        <v>6265</v>
      </c>
      <c r="T100" s="151" t="s">
        <v>361</v>
      </c>
      <c r="U100" s="151" t="s">
        <v>361</v>
      </c>
      <c r="V100" s="151" t="s">
        <v>361</v>
      </c>
      <c r="W100" s="151" t="s">
        <v>6265</v>
      </c>
      <c r="X100" s="151" t="s">
        <v>361</v>
      </c>
      <c r="Y100" s="151" t="s">
        <v>361</v>
      </c>
      <c r="Z100" s="151" t="s">
        <v>361</v>
      </c>
      <c r="AA100" s="151" t="s">
        <v>6290</v>
      </c>
    </row>
    <row r="101" spans="2:27">
      <c r="B101" s="151" t="s">
        <v>6240</v>
      </c>
      <c r="C101" s="151" t="s">
        <v>6491</v>
      </c>
      <c r="D101" s="151" t="s">
        <v>6553</v>
      </c>
      <c r="E101" s="151" t="s">
        <v>36</v>
      </c>
      <c r="F101" s="151" t="s">
        <v>6607</v>
      </c>
      <c r="G101" s="151" t="s">
        <v>2527</v>
      </c>
      <c r="H101" s="151" t="s">
        <v>3656</v>
      </c>
      <c r="I101" s="151" t="s">
        <v>361</v>
      </c>
      <c r="J101" s="151" t="s">
        <v>361</v>
      </c>
      <c r="K101" s="151" t="s">
        <v>361</v>
      </c>
      <c r="L101" s="151" t="s">
        <v>361</v>
      </c>
      <c r="M101" s="151" t="s">
        <v>361</v>
      </c>
      <c r="N101" s="151" t="s">
        <v>361</v>
      </c>
      <c r="O101" s="151"/>
      <c r="P101" s="151"/>
      <c r="Q101" s="151" t="s">
        <v>3576</v>
      </c>
      <c r="R101" s="151" t="s">
        <v>6488</v>
      </c>
      <c r="S101" s="151" t="s">
        <v>6265</v>
      </c>
      <c r="T101" s="151" t="s">
        <v>361</v>
      </c>
      <c r="U101" s="151" t="s">
        <v>361</v>
      </c>
      <c r="V101" s="151" t="s">
        <v>361</v>
      </c>
      <c r="W101" s="151" t="s">
        <v>6265</v>
      </c>
      <c r="X101" s="151" t="s">
        <v>361</v>
      </c>
      <c r="Y101" s="151" t="s">
        <v>361</v>
      </c>
      <c r="Z101" s="151" t="s">
        <v>361</v>
      </c>
      <c r="AA101" s="151" t="s">
        <v>6290</v>
      </c>
    </row>
    <row r="102" spans="2:27" ht="195">
      <c r="B102" s="151" t="s">
        <v>6240</v>
      </c>
      <c r="C102" s="151" t="s">
        <v>6608</v>
      </c>
      <c r="D102" s="151" t="s">
        <v>6609</v>
      </c>
      <c r="E102" s="151" t="s">
        <v>36</v>
      </c>
      <c r="F102" s="151" t="s">
        <v>6610</v>
      </c>
      <c r="G102" s="151" t="s">
        <v>2527</v>
      </c>
      <c r="H102" s="151" t="s">
        <v>2173</v>
      </c>
      <c r="I102" s="151" t="s">
        <v>1183</v>
      </c>
      <c r="J102" s="151" t="s">
        <v>6243</v>
      </c>
      <c r="K102" s="151" t="s">
        <v>1721</v>
      </c>
      <c r="L102" s="151" t="s">
        <v>1555</v>
      </c>
      <c r="M102" s="465" t="s">
        <v>6611</v>
      </c>
      <c r="N102" s="151" t="s">
        <v>361</v>
      </c>
      <c r="O102" s="341" t="s">
        <v>6612</v>
      </c>
      <c r="P102" s="151" t="s">
        <v>6613</v>
      </c>
      <c r="Q102" s="151" t="s">
        <v>2177</v>
      </c>
      <c r="R102" s="151" t="s">
        <v>361</v>
      </c>
      <c r="S102" s="151" t="s">
        <v>431</v>
      </c>
      <c r="T102" s="151" t="s">
        <v>3582</v>
      </c>
      <c r="U102" s="151" t="s">
        <v>361</v>
      </c>
      <c r="V102" s="151">
        <v>16</v>
      </c>
      <c r="W102" s="151" t="s">
        <v>431</v>
      </c>
      <c r="X102" s="151" t="s">
        <v>6245</v>
      </c>
      <c r="Y102" s="151" t="s">
        <v>6246</v>
      </c>
      <c r="Z102" s="151" t="s">
        <v>6246</v>
      </c>
      <c r="AA102" s="151" t="s">
        <v>6247</v>
      </c>
    </row>
    <row r="103" spans="2:27" ht="180">
      <c r="B103" s="151" t="s">
        <v>6240</v>
      </c>
      <c r="C103" s="151" t="s">
        <v>6614</v>
      </c>
      <c r="D103" s="151" t="s">
        <v>6609</v>
      </c>
      <c r="E103" s="151" t="s">
        <v>36</v>
      </c>
      <c r="F103" s="151" t="s">
        <v>6615</v>
      </c>
      <c r="G103" s="151" t="s">
        <v>2527</v>
      </c>
      <c r="H103" s="151" t="s">
        <v>2173</v>
      </c>
      <c r="I103" s="151" t="s">
        <v>1183</v>
      </c>
      <c r="J103" s="151" t="s">
        <v>361</v>
      </c>
      <c r="K103" s="151" t="s">
        <v>1721</v>
      </c>
      <c r="L103" s="151" t="s">
        <v>4300</v>
      </c>
      <c r="M103" s="465" t="s">
        <v>6611</v>
      </c>
      <c r="N103" s="151" t="s">
        <v>361</v>
      </c>
      <c r="O103" s="341" t="s">
        <v>6616</v>
      </c>
      <c r="P103" s="151" t="s">
        <v>6613</v>
      </c>
      <c r="Q103" s="151" t="s">
        <v>2177</v>
      </c>
      <c r="R103" s="151" t="s">
        <v>361</v>
      </c>
      <c r="S103" s="151" t="s">
        <v>431</v>
      </c>
      <c r="T103" s="151" t="s">
        <v>3582</v>
      </c>
      <c r="U103" s="151" t="s">
        <v>361</v>
      </c>
      <c r="V103" s="151">
        <v>3</v>
      </c>
      <c r="W103" s="151" t="s">
        <v>431</v>
      </c>
      <c r="X103" s="151" t="s">
        <v>6447</v>
      </c>
      <c r="Y103" s="151" t="s">
        <v>6561</v>
      </c>
      <c r="Z103" s="151" t="s">
        <v>361</v>
      </c>
      <c r="AA103" s="151" t="s">
        <v>6247</v>
      </c>
    </row>
    <row r="104" spans="2:27" ht="180">
      <c r="B104" s="151" t="s">
        <v>6240</v>
      </c>
      <c r="C104" s="151" t="s">
        <v>6617</v>
      </c>
      <c r="D104" s="151" t="s">
        <v>6609</v>
      </c>
      <c r="E104" s="151" t="s">
        <v>36</v>
      </c>
      <c r="F104" s="151" t="s">
        <v>6618</v>
      </c>
      <c r="G104" s="151" t="s">
        <v>2527</v>
      </c>
      <c r="H104" s="151" t="s">
        <v>2173</v>
      </c>
      <c r="I104" s="151" t="s">
        <v>1183</v>
      </c>
      <c r="J104" s="151" t="s">
        <v>361</v>
      </c>
      <c r="K104" s="151" t="s">
        <v>1721</v>
      </c>
      <c r="L104" s="151" t="s">
        <v>6619</v>
      </c>
      <c r="M104" s="465" t="s">
        <v>6611</v>
      </c>
      <c r="N104" s="151" t="s">
        <v>361</v>
      </c>
      <c r="O104" s="341" t="s">
        <v>6620</v>
      </c>
      <c r="P104" s="151" t="s">
        <v>6613</v>
      </c>
      <c r="Q104" s="151" t="s">
        <v>2177</v>
      </c>
      <c r="R104" s="151" t="s">
        <v>361</v>
      </c>
      <c r="S104" s="151" t="s">
        <v>431</v>
      </c>
      <c r="T104" s="151" t="s">
        <v>3582</v>
      </c>
      <c r="U104" s="151" t="s">
        <v>361</v>
      </c>
      <c r="V104" s="151">
        <v>16</v>
      </c>
      <c r="W104" s="151" t="s">
        <v>431</v>
      </c>
      <c r="X104" s="151" t="s">
        <v>6245</v>
      </c>
      <c r="Y104" s="151" t="s">
        <v>6621</v>
      </c>
      <c r="Z104" s="151" t="s">
        <v>361</v>
      </c>
      <c r="AA104" s="151" t="s">
        <v>6247</v>
      </c>
    </row>
    <row r="105" spans="2:27" ht="240">
      <c r="B105" s="151" t="s">
        <v>6240</v>
      </c>
      <c r="C105" s="151" t="s">
        <v>343</v>
      </c>
      <c r="D105" s="151" t="s">
        <v>6609</v>
      </c>
      <c r="E105" s="151" t="s">
        <v>36</v>
      </c>
      <c r="F105" s="151" t="s">
        <v>6622</v>
      </c>
      <c r="G105" s="151" t="s">
        <v>2527</v>
      </c>
      <c r="H105" s="151" t="s">
        <v>2173</v>
      </c>
      <c r="I105" s="151" t="s">
        <v>1183</v>
      </c>
      <c r="J105" s="151" t="s">
        <v>361</v>
      </c>
      <c r="K105" s="151" t="s">
        <v>6623</v>
      </c>
      <c r="L105" s="151" t="s">
        <v>6388</v>
      </c>
      <c r="M105" s="465" t="s">
        <v>6624</v>
      </c>
      <c r="N105" s="151" t="s">
        <v>361</v>
      </c>
      <c r="O105" s="341" t="s">
        <v>6625</v>
      </c>
      <c r="P105" s="151" t="s">
        <v>6613</v>
      </c>
      <c r="Q105" s="151" t="s">
        <v>2177</v>
      </c>
      <c r="R105" s="151" t="s">
        <v>361</v>
      </c>
      <c r="S105" s="151" t="s">
        <v>431</v>
      </c>
      <c r="T105" s="151" t="s">
        <v>3582</v>
      </c>
      <c r="U105" s="151" t="s">
        <v>361</v>
      </c>
      <c r="V105" s="151">
        <v>120</v>
      </c>
      <c r="W105" s="151" t="s">
        <v>431</v>
      </c>
      <c r="X105" s="151" t="s">
        <v>6324</v>
      </c>
      <c r="Y105" s="151" t="s">
        <v>6621</v>
      </c>
      <c r="Z105" s="151" t="s">
        <v>361</v>
      </c>
      <c r="AA105" s="151" t="s">
        <v>6247</v>
      </c>
    </row>
    <row r="106" spans="2:27" ht="180">
      <c r="B106" s="151" t="s">
        <v>6240</v>
      </c>
      <c r="C106" s="151" t="s">
        <v>340</v>
      </c>
      <c r="D106" s="151" t="s">
        <v>6609</v>
      </c>
      <c r="E106" s="151" t="s">
        <v>36</v>
      </c>
      <c r="F106" s="151" t="s">
        <v>6626</v>
      </c>
      <c r="G106" s="151" t="s">
        <v>2527</v>
      </c>
      <c r="H106" s="151" t="s">
        <v>2173</v>
      </c>
      <c r="I106" s="151" t="s">
        <v>1183</v>
      </c>
      <c r="J106" s="151" t="s">
        <v>361</v>
      </c>
      <c r="K106" s="151" t="s">
        <v>1721</v>
      </c>
      <c r="L106" s="151" t="s">
        <v>6627</v>
      </c>
      <c r="M106" s="465" t="s">
        <v>6611</v>
      </c>
      <c r="N106" s="151" t="s">
        <v>361</v>
      </c>
      <c r="O106" s="341" t="s">
        <v>6628</v>
      </c>
      <c r="P106" s="151" t="s">
        <v>6613</v>
      </c>
      <c r="Q106" s="151" t="s">
        <v>2177</v>
      </c>
      <c r="R106" s="151" t="s">
        <v>361</v>
      </c>
      <c r="S106" s="151" t="s">
        <v>431</v>
      </c>
      <c r="T106" s="151" t="s">
        <v>3582</v>
      </c>
      <c r="U106" s="151" t="s">
        <v>361</v>
      </c>
      <c r="V106" s="151">
        <v>30</v>
      </c>
      <c r="W106" s="151" t="s">
        <v>431</v>
      </c>
      <c r="X106" s="151" t="s">
        <v>6439</v>
      </c>
      <c r="Y106" s="151" t="s">
        <v>361</v>
      </c>
      <c r="Z106" s="151" t="s">
        <v>361</v>
      </c>
      <c r="AA106" s="151" t="s">
        <v>6247</v>
      </c>
    </row>
    <row r="107" spans="2:27" ht="240">
      <c r="B107" s="151" t="s">
        <v>6240</v>
      </c>
      <c r="C107" s="151" t="s">
        <v>347</v>
      </c>
      <c r="D107" s="151" t="s">
        <v>6609</v>
      </c>
      <c r="E107" s="151" t="s">
        <v>36</v>
      </c>
      <c r="F107" s="151" t="s">
        <v>6629</v>
      </c>
      <c r="G107" s="151" t="s">
        <v>2527</v>
      </c>
      <c r="H107" s="151" t="s">
        <v>2173</v>
      </c>
      <c r="I107" s="151" t="s">
        <v>1183</v>
      </c>
      <c r="J107" s="151" t="s">
        <v>361</v>
      </c>
      <c r="K107" s="151" t="s">
        <v>6630</v>
      </c>
      <c r="L107" s="151" t="s">
        <v>6631</v>
      </c>
      <c r="M107" s="465" t="s">
        <v>6632</v>
      </c>
      <c r="N107" s="151" t="s">
        <v>361</v>
      </c>
      <c r="O107" s="341" t="s">
        <v>6633</v>
      </c>
      <c r="P107" s="151" t="s">
        <v>6634</v>
      </c>
      <c r="Q107" s="151" t="s">
        <v>2177</v>
      </c>
      <c r="R107" s="151" t="s">
        <v>361</v>
      </c>
      <c r="S107" s="151" t="s">
        <v>431</v>
      </c>
      <c r="T107" s="151" t="s">
        <v>3608</v>
      </c>
      <c r="U107" s="151" t="s">
        <v>361</v>
      </c>
      <c r="V107" s="151">
        <v>1</v>
      </c>
      <c r="W107" s="151" t="s">
        <v>431</v>
      </c>
      <c r="X107" s="151" t="s">
        <v>6280</v>
      </c>
      <c r="Y107" s="151" t="s">
        <v>361</v>
      </c>
      <c r="Z107" s="151" t="s">
        <v>361</v>
      </c>
      <c r="AA107" s="151" t="s">
        <v>6247</v>
      </c>
    </row>
    <row r="108" spans="2:27" ht="285">
      <c r="B108" s="151" t="s">
        <v>6240</v>
      </c>
      <c r="C108" s="151" t="s">
        <v>6635</v>
      </c>
      <c r="D108" s="151" t="s">
        <v>6609</v>
      </c>
      <c r="E108" s="151" t="s">
        <v>36</v>
      </c>
      <c r="F108" s="151" t="s">
        <v>6636</v>
      </c>
      <c r="G108" s="151" t="s">
        <v>2527</v>
      </c>
      <c r="H108" s="151" t="s">
        <v>2173</v>
      </c>
      <c r="I108" s="151" t="s">
        <v>1183</v>
      </c>
      <c r="J108" s="151" t="s">
        <v>361</v>
      </c>
      <c r="K108" s="151" t="s">
        <v>6630</v>
      </c>
      <c r="L108" s="151" t="s">
        <v>6637</v>
      </c>
      <c r="M108" s="465" t="s">
        <v>6632</v>
      </c>
      <c r="N108" s="151" t="s">
        <v>361</v>
      </c>
      <c r="O108" s="341" t="s">
        <v>6638</v>
      </c>
      <c r="P108" s="151" t="s">
        <v>6634</v>
      </c>
      <c r="Q108" s="151" t="s">
        <v>2177</v>
      </c>
      <c r="R108" s="151" t="s">
        <v>361</v>
      </c>
      <c r="S108" s="151" t="s">
        <v>4695</v>
      </c>
      <c r="T108" s="151" t="s">
        <v>4695</v>
      </c>
      <c r="U108" s="151" t="s">
        <v>361</v>
      </c>
      <c r="V108" s="151" t="s">
        <v>361</v>
      </c>
      <c r="W108" s="151" t="s">
        <v>2400</v>
      </c>
      <c r="X108" s="151" t="s">
        <v>4695</v>
      </c>
      <c r="Y108" s="151" t="s">
        <v>361</v>
      </c>
      <c r="Z108" s="151" t="s">
        <v>361</v>
      </c>
      <c r="AA108" s="151" t="s">
        <v>6247</v>
      </c>
    </row>
    <row r="109" spans="2:27" ht="285">
      <c r="B109" s="151" t="s">
        <v>6240</v>
      </c>
      <c r="C109" s="151" t="s">
        <v>6639</v>
      </c>
      <c r="D109" s="151" t="s">
        <v>6609</v>
      </c>
      <c r="E109" s="151" t="s">
        <v>36</v>
      </c>
      <c r="F109" s="151" t="s">
        <v>6640</v>
      </c>
      <c r="G109" s="151" t="s">
        <v>2527</v>
      </c>
      <c r="H109" s="151" t="s">
        <v>2173</v>
      </c>
      <c r="I109" s="151" t="s">
        <v>1183</v>
      </c>
      <c r="J109" s="151" t="s">
        <v>361</v>
      </c>
      <c r="K109" s="151" t="s">
        <v>6630</v>
      </c>
      <c r="L109" s="151" t="s">
        <v>6641</v>
      </c>
      <c r="M109" s="465" t="s">
        <v>6632</v>
      </c>
      <c r="N109" s="151" t="s">
        <v>361</v>
      </c>
      <c r="O109" s="341" t="s">
        <v>6642</v>
      </c>
      <c r="P109" s="151" t="s">
        <v>6634</v>
      </c>
      <c r="Q109" s="151" t="s">
        <v>2177</v>
      </c>
      <c r="R109" s="151" t="s">
        <v>361</v>
      </c>
      <c r="S109" s="151" t="s">
        <v>4695</v>
      </c>
      <c r="T109" s="151" t="s">
        <v>4695</v>
      </c>
      <c r="U109" s="151" t="s">
        <v>361</v>
      </c>
      <c r="V109" s="151" t="s">
        <v>361</v>
      </c>
      <c r="W109" s="151" t="s">
        <v>2400</v>
      </c>
      <c r="X109" s="151" t="s">
        <v>4695</v>
      </c>
      <c r="Y109" s="151" t="s">
        <v>361</v>
      </c>
      <c r="Z109" s="151" t="s">
        <v>361</v>
      </c>
      <c r="AA109" s="151" t="s">
        <v>6247</v>
      </c>
    </row>
    <row r="110" spans="2:27" ht="270">
      <c r="B110" s="151" t="s">
        <v>6240</v>
      </c>
      <c r="C110" s="151" t="s">
        <v>4066</v>
      </c>
      <c r="D110" s="151" t="s">
        <v>6609</v>
      </c>
      <c r="E110" s="151" t="s">
        <v>36</v>
      </c>
      <c r="F110" s="151" t="s">
        <v>6643</v>
      </c>
      <c r="G110" s="151" t="s">
        <v>2527</v>
      </c>
      <c r="H110" s="151" t="s">
        <v>2173</v>
      </c>
      <c r="I110" s="151" t="s">
        <v>1183</v>
      </c>
      <c r="J110" s="151" t="s">
        <v>361</v>
      </c>
      <c r="K110" s="151" t="s">
        <v>6630</v>
      </c>
      <c r="L110" s="151" t="s">
        <v>6644</v>
      </c>
      <c r="M110" s="465" t="s">
        <v>6632</v>
      </c>
      <c r="N110" s="151" t="s">
        <v>361</v>
      </c>
      <c r="O110" s="341" t="s">
        <v>6645</v>
      </c>
      <c r="P110" s="151" t="s">
        <v>6634</v>
      </c>
      <c r="Q110" s="151" t="s">
        <v>2177</v>
      </c>
      <c r="R110" s="151" t="s">
        <v>361</v>
      </c>
      <c r="S110" s="151" t="s">
        <v>4695</v>
      </c>
      <c r="T110" s="151" t="s">
        <v>4695</v>
      </c>
      <c r="U110" s="151" t="s">
        <v>361</v>
      </c>
      <c r="V110" s="151" t="s">
        <v>361</v>
      </c>
      <c r="W110" s="151" t="s">
        <v>2400</v>
      </c>
      <c r="X110" s="151" t="s">
        <v>2400</v>
      </c>
      <c r="Y110" s="151" t="s">
        <v>361</v>
      </c>
      <c r="Z110" s="151" t="s">
        <v>361</v>
      </c>
      <c r="AA110" s="151" t="s">
        <v>6247</v>
      </c>
    </row>
    <row r="111" spans="2:27" ht="180">
      <c r="B111" s="151" t="s">
        <v>6240</v>
      </c>
      <c r="C111" s="151" t="s">
        <v>6646</v>
      </c>
      <c r="D111" s="151" t="s">
        <v>6647</v>
      </c>
      <c r="E111" s="151" t="s">
        <v>36</v>
      </c>
      <c r="F111" s="151" t="s">
        <v>6648</v>
      </c>
      <c r="G111" s="151" t="s">
        <v>2527</v>
      </c>
      <c r="H111" s="151" t="s">
        <v>2173</v>
      </c>
      <c r="I111" s="151" t="s">
        <v>1183</v>
      </c>
      <c r="J111" s="151" t="s">
        <v>361</v>
      </c>
      <c r="K111" s="151" t="s">
        <v>1721</v>
      </c>
      <c r="L111" s="151" t="s">
        <v>6649</v>
      </c>
      <c r="M111" s="465" t="s">
        <v>6611</v>
      </c>
      <c r="N111" s="151" t="s">
        <v>361</v>
      </c>
      <c r="O111" s="341" t="s">
        <v>6650</v>
      </c>
      <c r="P111" s="151" t="s">
        <v>6613</v>
      </c>
      <c r="Q111" s="151" t="s">
        <v>2177</v>
      </c>
      <c r="R111" s="151" t="s">
        <v>361</v>
      </c>
      <c r="S111" s="151" t="s">
        <v>431</v>
      </c>
      <c r="T111" s="151" t="s">
        <v>3582</v>
      </c>
      <c r="U111" s="151" t="s">
        <v>361</v>
      </c>
      <c r="V111" s="151">
        <v>20</v>
      </c>
      <c r="W111" s="151" t="s">
        <v>431</v>
      </c>
      <c r="X111" s="151" t="s">
        <v>6341</v>
      </c>
      <c r="Y111" s="151" t="s">
        <v>361</v>
      </c>
      <c r="Z111" s="151" t="s">
        <v>361</v>
      </c>
      <c r="AA111" s="151" t="s">
        <v>6247</v>
      </c>
    </row>
    <row r="112" spans="2:27" ht="195">
      <c r="B112" s="151" t="s">
        <v>6240</v>
      </c>
      <c r="C112" s="151" t="s">
        <v>6651</v>
      </c>
      <c r="D112" s="151" t="s">
        <v>6647</v>
      </c>
      <c r="E112" s="151" t="s">
        <v>36</v>
      </c>
      <c r="F112" s="151" t="s">
        <v>6652</v>
      </c>
      <c r="G112" s="151" t="s">
        <v>2527</v>
      </c>
      <c r="H112" s="151" t="s">
        <v>2173</v>
      </c>
      <c r="I112" s="151" t="s">
        <v>1183</v>
      </c>
      <c r="J112" s="151" t="s">
        <v>361</v>
      </c>
      <c r="K112" s="151" t="s">
        <v>1721</v>
      </c>
      <c r="L112" s="151" t="s">
        <v>6653</v>
      </c>
      <c r="M112" s="465" t="s">
        <v>6611</v>
      </c>
      <c r="N112" s="151" t="s">
        <v>361</v>
      </c>
      <c r="O112" s="341" t="s">
        <v>6654</v>
      </c>
      <c r="P112" s="151" t="s">
        <v>6613</v>
      </c>
      <c r="Q112" s="151" t="s">
        <v>2177</v>
      </c>
      <c r="R112" s="151" t="s">
        <v>361</v>
      </c>
      <c r="S112" s="151" t="s">
        <v>431</v>
      </c>
      <c r="T112" s="151" t="s">
        <v>3582</v>
      </c>
      <c r="U112" s="151" t="s">
        <v>361</v>
      </c>
      <c r="V112" s="151">
        <v>9</v>
      </c>
      <c r="W112" s="151" t="s">
        <v>431</v>
      </c>
      <c r="X112" s="151" t="s">
        <v>6655</v>
      </c>
      <c r="Y112" s="151" t="s">
        <v>6656</v>
      </c>
      <c r="Z112" s="151" t="s">
        <v>361</v>
      </c>
      <c r="AA112" s="151" t="s">
        <v>6247</v>
      </c>
    </row>
    <row r="113" spans="2:27" ht="150">
      <c r="B113" s="151" t="s">
        <v>6240</v>
      </c>
      <c r="C113" s="151" t="s">
        <v>6657</v>
      </c>
      <c r="D113" s="151" t="s">
        <v>6647</v>
      </c>
      <c r="E113" s="151" t="s">
        <v>36</v>
      </c>
      <c r="F113" s="151" t="s">
        <v>6658</v>
      </c>
      <c r="G113" s="151" t="s">
        <v>2527</v>
      </c>
      <c r="H113" s="151" t="s">
        <v>2173</v>
      </c>
      <c r="I113" s="151" t="s">
        <v>1183</v>
      </c>
      <c r="J113" s="151" t="s">
        <v>361</v>
      </c>
      <c r="K113" s="151" t="s">
        <v>6659</v>
      </c>
      <c r="L113" s="151" t="s">
        <v>6660</v>
      </c>
      <c r="M113" s="431" t="s">
        <v>6244</v>
      </c>
      <c r="N113" s="151" t="s">
        <v>361</v>
      </c>
      <c r="O113" s="341" t="s">
        <v>6661</v>
      </c>
      <c r="P113" s="151" t="s">
        <v>6309</v>
      </c>
      <c r="Q113" s="151" t="s">
        <v>2177</v>
      </c>
      <c r="R113" s="151" t="s">
        <v>361</v>
      </c>
      <c r="S113" s="151" t="s">
        <v>431</v>
      </c>
      <c r="T113" s="151" t="s">
        <v>3582</v>
      </c>
      <c r="U113" s="151" t="s">
        <v>361</v>
      </c>
      <c r="V113" s="151">
        <v>250</v>
      </c>
      <c r="W113" s="151" t="s">
        <v>431</v>
      </c>
      <c r="X113" s="151" t="s">
        <v>6452</v>
      </c>
      <c r="Y113" s="151" t="s">
        <v>361</v>
      </c>
      <c r="Z113" s="151" t="s">
        <v>361</v>
      </c>
      <c r="AA113" s="151" t="s">
        <v>6247</v>
      </c>
    </row>
    <row r="114" spans="2:27" ht="180">
      <c r="B114" s="151" t="s">
        <v>6240</v>
      </c>
      <c r="C114" s="151" t="s">
        <v>4660</v>
      </c>
      <c r="D114" s="151" t="s">
        <v>6647</v>
      </c>
      <c r="E114" s="151" t="s">
        <v>36</v>
      </c>
      <c r="F114" s="151" t="s">
        <v>6662</v>
      </c>
      <c r="G114" s="151" t="s">
        <v>2527</v>
      </c>
      <c r="H114" s="151" t="s">
        <v>2173</v>
      </c>
      <c r="I114" s="151" t="s">
        <v>1183</v>
      </c>
      <c r="J114" s="151" t="s">
        <v>361</v>
      </c>
      <c r="K114" s="151" t="s">
        <v>1721</v>
      </c>
      <c r="L114" s="151" t="s">
        <v>6663</v>
      </c>
      <c r="M114" s="465" t="s">
        <v>6664</v>
      </c>
      <c r="N114" s="151" t="s">
        <v>361</v>
      </c>
      <c r="O114" s="341" t="s">
        <v>6665</v>
      </c>
      <c r="P114" s="151" t="s">
        <v>6613</v>
      </c>
      <c r="Q114" s="151" t="s">
        <v>2177</v>
      </c>
      <c r="R114" s="151" t="s">
        <v>361</v>
      </c>
      <c r="S114" s="151" t="s">
        <v>431</v>
      </c>
      <c r="T114" s="151" t="s">
        <v>3582</v>
      </c>
      <c r="U114" s="151" t="s">
        <v>361</v>
      </c>
      <c r="V114" s="151">
        <v>5</v>
      </c>
      <c r="W114" s="151" t="s">
        <v>431</v>
      </c>
      <c r="X114" s="151" t="s">
        <v>6273</v>
      </c>
      <c r="Y114" s="151" t="s">
        <v>6656</v>
      </c>
      <c r="Z114" s="151" t="s">
        <v>361</v>
      </c>
      <c r="AA114" s="151" t="s">
        <v>6247</v>
      </c>
    </row>
    <row r="115" spans="2:27" ht="255">
      <c r="B115" s="151" t="s">
        <v>6240</v>
      </c>
      <c r="C115" s="151" t="s">
        <v>6666</v>
      </c>
      <c r="D115" s="151" t="s">
        <v>6667</v>
      </c>
      <c r="E115" s="151" t="s">
        <v>36</v>
      </c>
      <c r="F115" s="151" t="s">
        <v>6668</v>
      </c>
      <c r="G115" s="151" t="s">
        <v>2527</v>
      </c>
      <c r="H115" s="151" t="s">
        <v>2173</v>
      </c>
      <c r="I115" s="151" t="s">
        <v>1183</v>
      </c>
      <c r="J115" s="151" t="s">
        <v>361</v>
      </c>
      <c r="K115" s="151" t="s">
        <v>6669</v>
      </c>
      <c r="L115" s="151" t="s">
        <v>6670</v>
      </c>
      <c r="M115" s="465" t="s">
        <v>6671</v>
      </c>
      <c r="N115" s="151" t="s">
        <v>361</v>
      </c>
      <c r="O115" s="341" t="s">
        <v>6672</v>
      </c>
      <c r="P115" s="151" t="s">
        <v>6673</v>
      </c>
      <c r="Q115" s="151" t="s">
        <v>2177</v>
      </c>
      <c r="R115" s="151" t="s">
        <v>361</v>
      </c>
      <c r="S115" s="151" t="s">
        <v>431</v>
      </c>
      <c r="T115" s="151" t="s">
        <v>3608</v>
      </c>
      <c r="U115" s="151" t="s">
        <v>361</v>
      </c>
      <c r="V115" s="151">
        <v>1</v>
      </c>
      <c r="W115" s="151" t="s">
        <v>431</v>
      </c>
      <c r="X115" s="151" t="s">
        <v>6280</v>
      </c>
      <c r="Y115" s="151" t="s">
        <v>6656</v>
      </c>
      <c r="Z115" s="151" t="s">
        <v>361</v>
      </c>
      <c r="AA115" s="151" t="s">
        <v>6247</v>
      </c>
    </row>
    <row r="116" spans="2:27" ht="240">
      <c r="B116" s="151" t="s">
        <v>6240</v>
      </c>
      <c r="C116" s="151" t="s">
        <v>2246</v>
      </c>
      <c r="D116" s="151" t="s">
        <v>6667</v>
      </c>
      <c r="E116" s="151" t="s">
        <v>36</v>
      </c>
      <c r="F116" s="151" t="s">
        <v>6674</v>
      </c>
      <c r="G116" s="151" t="s">
        <v>2527</v>
      </c>
      <c r="H116" s="151" t="s">
        <v>2173</v>
      </c>
      <c r="I116" s="151" t="s">
        <v>1183</v>
      </c>
      <c r="J116" s="151" t="s">
        <v>361</v>
      </c>
      <c r="K116" s="151" t="s">
        <v>6669</v>
      </c>
      <c r="L116" s="151" t="s">
        <v>6675</v>
      </c>
      <c r="M116" s="465" t="s">
        <v>6671</v>
      </c>
      <c r="N116" s="151" t="s">
        <v>361</v>
      </c>
      <c r="O116" s="341" t="s">
        <v>6676</v>
      </c>
      <c r="P116" s="151" t="s">
        <v>6673</v>
      </c>
      <c r="Q116" s="151" t="s">
        <v>2177</v>
      </c>
      <c r="R116" s="151" t="s">
        <v>361</v>
      </c>
      <c r="S116" s="151" t="s">
        <v>431</v>
      </c>
      <c r="T116" s="151" t="s">
        <v>3582</v>
      </c>
      <c r="U116" s="151" t="s">
        <v>361</v>
      </c>
      <c r="V116" s="151">
        <v>5</v>
      </c>
      <c r="W116" s="151" t="s">
        <v>431</v>
      </c>
      <c r="X116" s="151" t="s">
        <v>6273</v>
      </c>
      <c r="Y116" s="151" t="s">
        <v>6656</v>
      </c>
      <c r="Z116" s="151" t="s">
        <v>361</v>
      </c>
      <c r="AA116" s="151" t="s">
        <v>6247</v>
      </c>
    </row>
    <row r="117" spans="2:27" ht="240">
      <c r="B117" s="151" t="s">
        <v>6240</v>
      </c>
      <c r="C117" s="151" t="s">
        <v>2254</v>
      </c>
      <c r="D117" s="151" t="s">
        <v>6667</v>
      </c>
      <c r="E117" s="151" t="s">
        <v>36</v>
      </c>
      <c r="F117" s="151" t="s">
        <v>6677</v>
      </c>
      <c r="G117" s="151" t="s">
        <v>2527</v>
      </c>
      <c r="H117" s="151" t="s">
        <v>2173</v>
      </c>
      <c r="I117" s="151" t="s">
        <v>1183</v>
      </c>
      <c r="J117" s="151" t="s">
        <v>361</v>
      </c>
      <c r="K117" s="151" t="s">
        <v>6669</v>
      </c>
      <c r="L117" s="151" t="s">
        <v>6678</v>
      </c>
      <c r="M117" s="465" t="s">
        <v>6671</v>
      </c>
      <c r="N117" s="151" t="s">
        <v>361</v>
      </c>
      <c r="O117" s="341" t="s">
        <v>6679</v>
      </c>
      <c r="P117" s="151" t="s">
        <v>6673</v>
      </c>
      <c r="Q117" s="151" t="s">
        <v>2177</v>
      </c>
      <c r="R117" s="151" t="s">
        <v>361</v>
      </c>
      <c r="S117" s="151" t="s">
        <v>431</v>
      </c>
      <c r="T117" s="151" t="s">
        <v>3582</v>
      </c>
      <c r="U117" s="151" t="s">
        <v>361</v>
      </c>
      <c r="V117" s="151">
        <v>80</v>
      </c>
      <c r="W117" s="151" t="s">
        <v>431</v>
      </c>
      <c r="X117" s="151" t="s">
        <v>6680</v>
      </c>
      <c r="Y117" s="151" t="s">
        <v>361</v>
      </c>
      <c r="Z117" s="151" t="s">
        <v>361</v>
      </c>
      <c r="AA117" s="151" t="s">
        <v>6247</v>
      </c>
    </row>
    <row r="118" spans="2:27" ht="240">
      <c r="B118" s="151" t="s">
        <v>6240</v>
      </c>
      <c r="C118" s="151" t="s">
        <v>2262</v>
      </c>
      <c r="D118" s="151" t="s">
        <v>6667</v>
      </c>
      <c r="E118" s="151" t="s">
        <v>36</v>
      </c>
      <c r="F118" s="151" t="s">
        <v>6681</v>
      </c>
      <c r="G118" s="151" t="s">
        <v>2527</v>
      </c>
      <c r="H118" s="151" t="s">
        <v>2173</v>
      </c>
      <c r="I118" s="151" t="s">
        <v>1183</v>
      </c>
      <c r="J118" s="151" t="s">
        <v>361</v>
      </c>
      <c r="K118" s="151" t="s">
        <v>6669</v>
      </c>
      <c r="L118" s="151" t="s">
        <v>6682</v>
      </c>
      <c r="M118" s="465" t="s">
        <v>6671</v>
      </c>
      <c r="N118" s="151" t="s">
        <v>361</v>
      </c>
      <c r="O118" s="341" t="s">
        <v>6683</v>
      </c>
      <c r="P118" s="151" t="s">
        <v>6673</v>
      </c>
      <c r="Q118" s="151" t="s">
        <v>2177</v>
      </c>
      <c r="R118" s="151" t="s">
        <v>361</v>
      </c>
      <c r="S118" s="151" t="s">
        <v>431</v>
      </c>
      <c r="T118" s="151" t="s">
        <v>3582</v>
      </c>
      <c r="U118" s="151" t="s">
        <v>361</v>
      </c>
      <c r="V118" s="151">
        <v>80</v>
      </c>
      <c r="W118" s="151" t="s">
        <v>431</v>
      </c>
      <c r="X118" s="151" t="s">
        <v>6680</v>
      </c>
      <c r="Y118" s="151" t="s">
        <v>361</v>
      </c>
      <c r="Z118" s="151" t="s">
        <v>361</v>
      </c>
      <c r="AA118" s="151" t="s">
        <v>6247</v>
      </c>
    </row>
    <row r="119" spans="2:27" ht="285">
      <c r="B119" s="151" t="s">
        <v>6240</v>
      </c>
      <c r="C119" s="151" t="s">
        <v>6684</v>
      </c>
      <c r="D119" s="151" t="s">
        <v>6667</v>
      </c>
      <c r="E119" s="151" t="s">
        <v>36</v>
      </c>
      <c r="F119" s="151" t="s">
        <v>6685</v>
      </c>
      <c r="G119" s="151" t="s">
        <v>2527</v>
      </c>
      <c r="H119" s="151" t="s">
        <v>2173</v>
      </c>
      <c r="I119" s="151" t="s">
        <v>1183</v>
      </c>
      <c r="J119" s="151" t="s">
        <v>361</v>
      </c>
      <c r="K119" s="151" t="s">
        <v>6669</v>
      </c>
      <c r="L119" s="151" t="s">
        <v>6686</v>
      </c>
      <c r="M119" s="465" t="s">
        <v>6671</v>
      </c>
      <c r="N119" s="151" t="s">
        <v>361</v>
      </c>
      <c r="O119" s="341" t="s">
        <v>6687</v>
      </c>
      <c r="P119" s="151" t="s">
        <v>6673</v>
      </c>
      <c r="Q119" s="151" t="s">
        <v>2177</v>
      </c>
      <c r="R119" s="151" t="s">
        <v>6688</v>
      </c>
      <c r="S119" s="151" t="s">
        <v>6265</v>
      </c>
      <c r="T119" s="151" t="s">
        <v>6265</v>
      </c>
      <c r="U119" s="151" t="s">
        <v>361</v>
      </c>
      <c r="V119" s="151">
        <v>4</v>
      </c>
      <c r="W119" s="151" t="s">
        <v>6265</v>
      </c>
      <c r="X119" s="151" t="s">
        <v>6689</v>
      </c>
      <c r="Y119" s="151" t="s">
        <v>361</v>
      </c>
      <c r="Z119" s="151" t="s">
        <v>361</v>
      </c>
      <c r="AA119" s="151" t="s">
        <v>6247</v>
      </c>
    </row>
    <row r="120" spans="2:27" ht="270">
      <c r="B120" s="151" t="s">
        <v>6240</v>
      </c>
      <c r="C120" s="151" t="s">
        <v>2204</v>
      </c>
      <c r="D120" s="151" t="s">
        <v>6667</v>
      </c>
      <c r="E120" s="151" t="s">
        <v>36</v>
      </c>
      <c r="F120" s="151" t="s">
        <v>6690</v>
      </c>
      <c r="G120" s="151" t="s">
        <v>2527</v>
      </c>
      <c r="H120" s="151" t="s">
        <v>2173</v>
      </c>
      <c r="I120" s="151" t="s">
        <v>1183</v>
      </c>
      <c r="J120" s="151" t="s">
        <v>361</v>
      </c>
      <c r="K120" s="151" t="s">
        <v>6669</v>
      </c>
      <c r="L120" s="151" t="s">
        <v>6691</v>
      </c>
      <c r="M120" s="465" t="s">
        <v>6671</v>
      </c>
      <c r="N120" s="151" t="s">
        <v>361</v>
      </c>
      <c r="O120" s="341" t="s">
        <v>6692</v>
      </c>
      <c r="P120" s="151" t="s">
        <v>6673</v>
      </c>
      <c r="Q120" s="151" t="s">
        <v>2177</v>
      </c>
      <c r="R120" s="151" t="s">
        <v>361</v>
      </c>
      <c r="S120" s="151" t="s">
        <v>4695</v>
      </c>
      <c r="T120" s="151" t="s">
        <v>4695</v>
      </c>
      <c r="U120" s="151" t="s">
        <v>361</v>
      </c>
      <c r="V120" s="151" t="s">
        <v>361</v>
      </c>
      <c r="W120" s="151" t="s">
        <v>2400</v>
      </c>
      <c r="X120" s="151" t="s">
        <v>2400</v>
      </c>
      <c r="Y120" s="151" t="s">
        <v>361</v>
      </c>
      <c r="Z120" s="151" t="s">
        <v>361</v>
      </c>
      <c r="AA120" s="151" t="s">
        <v>6247</v>
      </c>
    </row>
    <row r="121" spans="2:27" ht="255">
      <c r="B121" s="151" t="s">
        <v>6240</v>
      </c>
      <c r="C121" s="151" t="s">
        <v>2280</v>
      </c>
      <c r="D121" s="151" t="s">
        <v>6667</v>
      </c>
      <c r="E121" s="151" t="s">
        <v>36</v>
      </c>
      <c r="F121" s="151" t="s">
        <v>6693</v>
      </c>
      <c r="G121" s="151" t="s">
        <v>2527</v>
      </c>
      <c r="H121" s="151" t="s">
        <v>2173</v>
      </c>
      <c r="I121" s="151" t="s">
        <v>1183</v>
      </c>
      <c r="J121" s="151" t="s">
        <v>361</v>
      </c>
      <c r="K121" s="151" t="s">
        <v>6669</v>
      </c>
      <c r="L121" s="151" t="s">
        <v>6694</v>
      </c>
      <c r="M121" s="465" t="s">
        <v>6671</v>
      </c>
      <c r="N121" s="151" t="s">
        <v>361</v>
      </c>
      <c r="O121" s="341" t="s">
        <v>6695</v>
      </c>
      <c r="P121" s="151" t="s">
        <v>6673</v>
      </c>
      <c r="Q121" s="151" t="s">
        <v>2177</v>
      </c>
      <c r="R121" s="151" t="s">
        <v>361</v>
      </c>
      <c r="S121" s="151" t="s">
        <v>431</v>
      </c>
      <c r="T121" s="151" t="s">
        <v>3608</v>
      </c>
      <c r="U121" s="151" t="s">
        <v>361</v>
      </c>
      <c r="V121" s="151">
        <v>1</v>
      </c>
      <c r="W121" s="151" t="s">
        <v>431</v>
      </c>
      <c r="X121" s="151" t="s">
        <v>6280</v>
      </c>
      <c r="Y121" s="151" t="s">
        <v>6656</v>
      </c>
      <c r="Z121" s="151" t="s">
        <v>361</v>
      </c>
      <c r="AA121" s="151" t="s">
        <v>6247</v>
      </c>
    </row>
    <row r="122" spans="2:27" ht="270">
      <c r="B122" s="151" t="s">
        <v>6240</v>
      </c>
      <c r="C122" s="151" t="s">
        <v>6696</v>
      </c>
      <c r="D122" s="151" t="s">
        <v>6667</v>
      </c>
      <c r="E122" s="151" t="s">
        <v>36</v>
      </c>
      <c r="F122" s="151" t="s">
        <v>6697</v>
      </c>
      <c r="G122" s="151" t="s">
        <v>2527</v>
      </c>
      <c r="H122" s="151" t="s">
        <v>2173</v>
      </c>
      <c r="I122" s="151" t="s">
        <v>1183</v>
      </c>
      <c r="J122" s="151" t="s">
        <v>361</v>
      </c>
      <c r="K122" s="151" t="s">
        <v>6669</v>
      </c>
      <c r="L122" s="151" t="s">
        <v>6698</v>
      </c>
      <c r="M122" s="465" t="s">
        <v>6671</v>
      </c>
      <c r="N122" s="151" t="s">
        <v>361</v>
      </c>
      <c r="O122" s="341" t="s">
        <v>6699</v>
      </c>
      <c r="P122" s="151" t="s">
        <v>6673</v>
      </c>
      <c r="Q122" s="151" t="s">
        <v>2177</v>
      </c>
      <c r="R122" s="151" t="s">
        <v>361</v>
      </c>
      <c r="S122" s="151" t="s">
        <v>431</v>
      </c>
      <c r="T122" s="151" t="s">
        <v>3608</v>
      </c>
      <c r="U122" s="151" t="s">
        <v>361</v>
      </c>
      <c r="V122" s="151">
        <v>1</v>
      </c>
      <c r="W122" s="151" t="s">
        <v>431</v>
      </c>
      <c r="X122" s="151" t="s">
        <v>6280</v>
      </c>
      <c r="Y122" s="151" t="s">
        <v>6656</v>
      </c>
      <c r="Z122" s="151" t="s">
        <v>361</v>
      </c>
      <c r="AA122" s="151" t="s">
        <v>6247</v>
      </c>
    </row>
    <row r="123" spans="2:27" ht="255">
      <c r="B123" s="151" t="s">
        <v>6240</v>
      </c>
      <c r="C123" s="151" t="s">
        <v>6700</v>
      </c>
      <c r="D123" s="151" t="s">
        <v>6667</v>
      </c>
      <c r="E123" s="151" t="s">
        <v>36</v>
      </c>
      <c r="F123" s="151" t="s">
        <v>6701</v>
      </c>
      <c r="G123" s="151" t="s">
        <v>2527</v>
      </c>
      <c r="H123" s="151" t="s">
        <v>2173</v>
      </c>
      <c r="I123" s="151" t="s">
        <v>1183</v>
      </c>
      <c r="J123" s="151" t="s">
        <v>361</v>
      </c>
      <c r="K123" s="151" t="s">
        <v>6669</v>
      </c>
      <c r="L123" s="151" t="s">
        <v>6702</v>
      </c>
      <c r="M123" s="465" t="s">
        <v>6671</v>
      </c>
      <c r="N123" s="151" t="s">
        <v>361</v>
      </c>
      <c r="O123" s="341" t="s">
        <v>6703</v>
      </c>
      <c r="P123" s="151" t="s">
        <v>6673</v>
      </c>
      <c r="Q123" s="151" t="s">
        <v>2177</v>
      </c>
      <c r="R123" s="151" t="s">
        <v>361</v>
      </c>
      <c r="S123" s="151" t="s">
        <v>431</v>
      </c>
      <c r="T123" s="151" t="s">
        <v>3582</v>
      </c>
      <c r="U123" s="151" t="s">
        <v>361</v>
      </c>
      <c r="V123" s="151">
        <v>50</v>
      </c>
      <c r="W123" s="151" t="s">
        <v>431</v>
      </c>
      <c r="X123" s="151" t="s">
        <v>6704</v>
      </c>
      <c r="Y123" s="151" t="s">
        <v>6656</v>
      </c>
      <c r="Z123" s="151" t="s">
        <v>361</v>
      </c>
      <c r="AA123" s="151" t="s">
        <v>6247</v>
      </c>
    </row>
    <row r="124" spans="2:27" ht="240">
      <c r="B124" s="151" t="s">
        <v>6240</v>
      </c>
      <c r="C124" s="151" t="s">
        <v>6705</v>
      </c>
      <c r="D124" s="151" t="s">
        <v>6667</v>
      </c>
      <c r="E124" s="151" t="s">
        <v>36</v>
      </c>
      <c r="F124" s="151" t="s">
        <v>6706</v>
      </c>
      <c r="G124" s="151" t="s">
        <v>2527</v>
      </c>
      <c r="H124" s="151" t="s">
        <v>2173</v>
      </c>
      <c r="I124" s="151" t="s">
        <v>1183</v>
      </c>
      <c r="J124" s="151" t="s">
        <v>361</v>
      </c>
      <c r="K124" s="151" t="s">
        <v>6669</v>
      </c>
      <c r="L124" s="151" t="s">
        <v>4079</v>
      </c>
      <c r="M124" s="465" t="s">
        <v>6671</v>
      </c>
      <c r="N124" s="151" t="s">
        <v>361</v>
      </c>
      <c r="O124" s="341" t="s">
        <v>6707</v>
      </c>
      <c r="P124" s="151" t="s">
        <v>6673</v>
      </c>
      <c r="Q124" s="151" t="s">
        <v>2177</v>
      </c>
      <c r="R124" s="151" t="s">
        <v>361</v>
      </c>
      <c r="S124" s="151" t="s">
        <v>431</v>
      </c>
      <c r="T124" s="151" t="s">
        <v>3608</v>
      </c>
      <c r="U124" s="151" t="s">
        <v>361</v>
      </c>
      <c r="V124" s="151">
        <v>1</v>
      </c>
      <c r="W124" s="151" t="s">
        <v>431</v>
      </c>
      <c r="X124" s="151" t="s">
        <v>6280</v>
      </c>
      <c r="Y124" s="151" t="s">
        <v>6708</v>
      </c>
      <c r="Z124" s="151" t="s">
        <v>361</v>
      </c>
      <c r="AA124" s="151" t="s">
        <v>6247</v>
      </c>
    </row>
    <row r="125" spans="2:27" ht="240">
      <c r="B125" s="151" t="s">
        <v>6240</v>
      </c>
      <c r="C125" s="151" t="s">
        <v>6709</v>
      </c>
      <c r="D125" s="151" t="s">
        <v>6710</v>
      </c>
      <c r="E125" s="151" t="s">
        <v>36</v>
      </c>
      <c r="F125" s="151" t="s">
        <v>6711</v>
      </c>
      <c r="G125" s="151" t="s">
        <v>2527</v>
      </c>
      <c r="H125" s="151" t="s">
        <v>2173</v>
      </c>
      <c r="I125" s="151" t="s">
        <v>1183</v>
      </c>
      <c r="J125" s="151" t="s">
        <v>361</v>
      </c>
      <c r="K125" s="151" t="s">
        <v>1721</v>
      </c>
      <c r="L125" s="151" t="s">
        <v>6712</v>
      </c>
      <c r="M125" s="465" t="s">
        <v>6664</v>
      </c>
      <c r="N125" s="151" t="s">
        <v>361</v>
      </c>
      <c r="O125" s="341" t="s">
        <v>6713</v>
      </c>
      <c r="P125" s="151" t="s">
        <v>6613</v>
      </c>
      <c r="Q125" s="151" t="s">
        <v>2177</v>
      </c>
      <c r="R125" s="151" t="s">
        <v>361</v>
      </c>
      <c r="S125" s="151" t="s">
        <v>431</v>
      </c>
      <c r="T125" s="151" t="s">
        <v>3608</v>
      </c>
      <c r="U125" s="151" t="s">
        <v>361</v>
      </c>
      <c r="V125" s="151">
        <v>1</v>
      </c>
      <c r="W125" s="151" t="s">
        <v>431</v>
      </c>
      <c r="X125" s="151" t="s">
        <v>6280</v>
      </c>
      <c r="Y125" s="151" t="s">
        <v>6656</v>
      </c>
      <c r="Z125" s="151" t="s">
        <v>361</v>
      </c>
      <c r="AA125" s="151" t="s">
        <v>6247</v>
      </c>
    </row>
    <row r="126" spans="2:27" ht="255">
      <c r="B126" s="151" t="s">
        <v>6240</v>
      </c>
      <c r="C126" s="151" t="s">
        <v>6714</v>
      </c>
      <c r="D126" s="151" t="s">
        <v>6710</v>
      </c>
      <c r="E126" s="151" t="s">
        <v>36</v>
      </c>
      <c r="F126" s="151" t="s">
        <v>6715</v>
      </c>
      <c r="G126" s="151" t="s">
        <v>2527</v>
      </c>
      <c r="H126" s="151" t="s">
        <v>2173</v>
      </c>
      <c r="I126" s="151" t="s">
        <v>1183</v>
      </c>
      <c r="J126" s="151" t="s">
        <v>361</v>
      </c>
      <c r="K126" s="151" t="s">
        <v>1721</v>
      </c>
      <c r="L126" s="151" t="s">
        <v>6716</v>
      </c>
      <c r="M126" s="465" t="s">
        <v>6664</v>
      </c>
      <c r="N126" s="151" t="s">
        <v>361</v>
      </c>
      <c r="O126" s="341" t="s">
        <v>6717</v>
      </c>
      <c r="P126" s="151" t="s">
        <v>6613</v>
      </c>
      <c r="Q126" s="151" t="s">
        <v>2177</v>
      </c>
      <c r="R126" s="151" t="s">
        <v>361</v>
      </c>
      <c r="S126" s="151" t="s">
        <v>6265</v>
      </c>
      <c r="T126" s="151" t="s">
        <v>6265</v>
      </c>
      <c r="U126" s="151" t="s">
        <v>361</v>
      </c>
      <c r="V126" s="151">
        <v>20</v>
      </c>
      <c r="W126" s="151" t="s">
        <v>6265</v>
      </c>
      <c r="X126" s="151" t="s">
        <v>2507</v>
      </c>
      <c r="Y126" s="151" t="s">
        <v>361</v>
      </c>
      <c r="Z126" s="151" t="s">
        <v>361</v>
      </c>
      <c r="AA126" s="151" t="s">
        <v>6247</v>
      </c>
    </row>
    <row r="127" spans="2:27" ht="409.5">
      <c r="B127" s="151" t="s">
        <v>6240</v>
      </c>
      <c r="C127" s="151" t="s">
        <v>6718</v>
      </c>
      <c r="D127" s="151" t="s">
        <v>6710</v>
      </c>
      <c r="E127" s="151" t="s">
        <v>36</v>
      </c>
      <c r="F127" s="151" t="s">
        <v>6719</v>
      </c>
      <c r="G127" s="151" t="s">
        <v>2527</v>
      </c>
      <c r="H127" s="151" t="s">
        <v>2173</v>
      </c>
      <c r="I127" s="151" t="s">
        <v>1183</v>
      </c>
      <c r="J127" s="151" t="s">
        <v>361</v>
      </c>
      <c r="K127" s="151" t="s">
        <v>1721</v>
      </c>
      <c r="L127" s="151" t="s">
        <v>6720</v>
      </c>
      <c r="M127" s="465" t="s">
        <v>6664</v>
      </c>
      <c r="N127" s="151" t="s">
        <v>361</v>
      </c>
      <c r="O127" s="341" t="s">
        <v>6721</v>
      </c>
      <c r="P127" s="151" t="s">
        <v>6613</v>
      </c>
      <c r="Q127" s="151" t="s">
        <v>2177</v>
      </c>
      <c r="R127" s="151" t="s">
        <v>361</v>
      </c>
      <c r="S127" s="151" t="s">
        <v>6265</v>
      </c>
      <c r="T127" s="151" t="s">
        <v>6265</v>
      </c>
      <c r="U127" s="151" t="s">
        <v>361</v>
      </c>
      <c r="V127" s="151">
        <v>4</v>
      </c>
      <c r="W127" s="151" t="s">
        <v>6265</v>
      </c>
      <c r="X127" s="151" t="s">
        <v>4439</v>
      </c>
      <c r="Y127" s="151" t="s">
        <v>361</v>
      </c>
      <c r="Z127" s="151" t="s">
        <v>361</v>
      </c>
      <c r="AA127" s="151" t="s">
        <v>6247</v>
      </c>
    </row>
    <row r="128" spans="2:27">
      <c r="B128" s="151" t="s">
        <v>6240</v>
      </c>
      <c r="C128" s="151" t="s">
        <v>6722</v>
      </c>
      <c r="D128" s="151" t="s">
        <v>6710</v>
      </c>
      <c r="E128" s="151" t="s">
        <v>36</v>
      </c>
      <c r="F128" s="151" t="s">
        <v>6723</v>
      </c>
      <c r="G128" s="151" t="s">
        <v>2527</v>
      </c>
      <c r="H128" s="151" t="s">
        <v>6288</v>
      </c>
      <c r="I128" s="151" t="s">
        <v>361</v>
      </c>
      <c r="J128" s="151" t="s">
        <v>361</v>
      </c>
      <c r="K128" s="151" t="s">
        <v>361</v>
      </c>
      <c r="L128" s="151" t="s">
        <v>361</v>
      </c>
      <c r="M128" s="151" t="s">
        <v>361</v>
      </c>
      <c r="N128" s="151" t="s">
        <v>361</v>
      </c>
      <c r="O128" s="151"/>
      <c r="P128" s="151"/>
      <c r="Q128" s="151" t="s">
        <v>2550</v>
      </c>
      <c r="R128" s="151" t="s">
        <v>361</v>
      </c>
      <c r="S128" s="151" t="s">
        <v>361</v>
      </c>
      <c r="T128" s="151" t="s">
        <v>361</v>
      </c>
      <c r="U128" s="151" t="s">
        <v>361</v>
      </c>
      <c r="V128" s="151" t="s">
        <v>361</v>
      </c>
      <c r="W128" s="151" t="s">
        <v>361</v>
      </c>
      <c r="X128" s="151" t="s">
        <v>361</v>
      </c>
      <c r="Y128" s="151" t="s">
        <v>361</v>
      </c>
      <c r="Z128" s="151" t="s">
        <v>361</v>
      </c>
      <c r="AA128" s="151" t="s">
        <v>361</v>
      </c>
    </row>
    <row r="129" spans="2:27">
      <c r="B129" s="151" t="s">
        <v>6240</v>
      </c>
      <c r="C129" s="151" t="s">
        <v>6724</v>
      </c>
      <c r="D129" s="151" t="s">
        <v>6710</v>
      </c>
      <c r="E129" s="151" t="s">
        <v>36</v>
      </c>
      <c r="F129" s="151" t="s">
        <v>6725</v>
      </c>
      <c r="G129" s="151" t="s">
        <v>2527</v>
      </c>
      <c r="H129" s="151" t="s">
        <v>6288</v>
      </c>
      <c r="I129" s="151" t="s">
        <v>361</v>
      </c>
      <c r="J129" s="151" t="s">
        <v>361</v>
      </c>
      <c r="K129" s="151" t="s">
        <v>361</v>
      </c>
      <c r="L129" s="151" t="s">
        <v>361</v>
      </c>
      <c r="M129" s="151" t="s">
        <v>361</v>
      </c>
      <c r="N129" s="151" t="s">
        <v>361</v>
      </c>
      <c r="O129" s="151"/>
      <c r="P129" s="151"/>
      <c r="Q129" s="151" t="s">
        <v>2550</v>
      </c>
      <c r="R129" s="151" t="s">
        <v>361</v>
      </c>
      <c r="S129" s="151" t="s">
        <v>361</v>
      </c>
      <c r="T129" s="151" t="s">
        <v>361</v>
      </c>
      <c r="U129" s="151" t="s">
        <v>361</v>
      </c>
      <c r="V129" s="151" t="s">
        <v>361</v>
      </c>
      <c r="W129" s="151" t="s">
        <v>361</v>
      </c>
      <c r="X129" s="151" t="s">
        <v>361</v>
      </c>
      <c r="Y129" s="151" t="s">
        <v>361</v>
      </c>
      <c r="Z129" s="151" t="s">
        <v>361</v>
      </c>
      <c r="AA129" s="151" t="s">
        <v>361</v>
      </c>
    </row>
    <row r="130" spans="2:27" ht="409.5">
      <c r="B130" s="151" t="s">
        <v>6240</v>
      </c>
      <c r="C130" s="151" t="s">
        <v>6726</v>
      </c>
      <c r="D130" s="151" t="s">
        <v>6710</v>
      </c>
      <c r="E130" s="151" t="s">
        <v>36</v>
      </c>
      <c r="F130" s="151" t="s">
        <v>6727</v>
      </c>
      <c r="G130" s="151" t="s">
        <v>2527</v>
      </c>
      <c r="H130" s="151" t="s">
        <v>2173</v>
      </c>
      <c r="I130" s="151" t="s">
        <v>1183</v>
      </c>
      <c r="J130" s="151" t="s">
        <v>361</v>
      </c>
      <c r="K130" s="151" t="s">
        <v>6728</v>
      </c>
      <c r="L130" s="151" t="s">
        <v>6729</v>
      </c>
      <c r="M130" s="465" t="s">
        <v>6730</v>
      </c>
      <c r="N130" s="151" t="s">
        <v>361</v>
      </c>
      <c r="O130" s="341" t="s">
        <v>6731</v>
      </c>
      <c r="P130" s="151" t="s">
        <v>6732</v>
      </c>
      <c r="Q130" s="151" t="s">
        <v>2177</v>
      </c>
      <c r="R130" s="465" t="s">
        <v>6733</v>
      </c>
      <c r="S130" s="151" t="s">
        <v>431</v>
      </c>
      <c r="T130" s="151" t="s">
        <v>3582</v>
      </c>
      <c r="U130" s="151" t="s">
        <v>361</v>
      </c>
      <c r="V130" s="151">
        <v>2</v>
      </c>
      <c r="W130" s="151" t="s">
        <v>431</v>
      </c>
      <c r="X130" s="151" t="s">
        <v>6447</v>
      </c>
      <c r="Y130" s="151" t="s">
        <v>6656</v>
      </c>
      <c r="Z130" s="151" t="s">
        <v>361</v>
      </c>
      <c r="AA130" s="151" t="s">
        <v>6247</v>
      </c>
    </row>
    <row r="131" spans="2:27" ht="285">
      <c r="B131" s="151" t="s">
        <v>6240</v>
      </c>
      <c r="C131" s="151" t="s">
        <v>6734</v>
      </c>
      <c r="D131" s="151" t="s">
        <v>6710</v>
      </c>
      <c r="E131" s="151" t="s">
        <v>36</v>
      </c>
      <c r="F131" s="151" t="s">
        <v>6735</v>
      </c>
      <c r="G131" s="151" t="s">
        <v>2527</v>
      </c>
      <c r="H131" s="151" t="s">
        <v>2173</v>
      </c>
      <c r="I131" s="151" t="s">
        <v>1183</v>
      </c>
      <c r="J131" s="151" t="s">
        <v>361</v>
      </c>
      <c r="K131" s="151" t="s">
        <v>6728</v>
      </c>
      <c r="L131" s="151" t="s">
        <v>6736</v>
      </c>
      <c r="M131" s="465" t="s">
        <v>6730</v>
      </c>
      <c r="N131" s="151" t="s">
        <v>361</v>
      </c>
      <c r="O131" s="341" t="s">
        <v>6737</v>
      </c>
      <c r="P131" s="151" t="s">
        <v>6732</v>
      </c>
      <c r="Q131" s="151" t="s">
        <v>2177</v>
      </c>
      <c r="R131" s="151" t="s">
        <v>361</v>
      </c>
      <c r="S131" s="151" t="s">
        <v>431</v>
      </c>
      <c r="T131" s="151" t="s">
        <v>3582</v>
      </c>
      <c r="U131" s="151" t="s">
        <v>361</v>
      </c>
      <c r="V131" s="151">
        <v>5</v>
      </c>
      <c r="W131" s="151" t="s">
        <v>431</v>
      </c>
      <c r="X131" s="151" t="s">
        <v>6273</v>
      </c>
      <c r="Y131" s="151" t="s">
        <v>6656</v>
      </c>
      <c r="Z131" s="151" t="s">
        <v>361</v>
      </c>
      <c r="AA131" s="151" t="s">
        <v>6247</v>
      </c>
    </row>
    <row r="132" spans="2:27" ht="409.5">
      <c r="B132" s="151" t="s">
        <v>6240</v>
      </c>
      <c r="C132" s="151" t="s">
        <v>6738</v>
      </c>
      <c r="D132" s="151" t="s">
        <v>6710</v>
      </c>
      <c r="E132" s="151" t="s">
        <v>36</v>
      </c>
      <c r="F132" s="151" t="s">
        <v>6739</v>
      </c>
      <c r="G132" s="151" t="s">
        <v>2527</v>
      </c>
      <c r="H132" s="151" t="s">
        <v>2173</v>
      </c>
      <c r="I132" s="151" t="s">
        <v>1183</v>
      </c>
      <c r="J132" s="151" t="s">
        <v>361</v>
      </c>
      <c r="K132" s="151" t="s">
        <v>6728</v>
      </c>
      <c r="L132" s="151" t="s">
        <v>6740</v>
      </c>
      <c r="M132" s="465" t="s">
        <v>6730</v>
      </c>
      <c r="N132" s="151" t="s">
        <v>361</v>
      </c>
      <c r="O132" s="341" t="s">
        <v>6741</v>
      </c>
      <c r="P132" s="151" t="s">
        <v>6732</v>
      </c>
      <c r="Q132" s="151" t="s">
        <v>2177</v>
      </c>
      <c r="R132" s="151" t="s">
        <v>361</v>
      </c>
      <c r="S132" s="151" t="s">
        <v>6265</v>
      </c>
      <c r="T132" s="151" t="s">
        <v>6265</v>
      </c>
      <c r="U132" s="151" t="s">
        <v>361</v>
      </c>
      <c r="V132" s="151">
        <v>4</v>
      </c>
      <c r="W132" s="151" t="s">
        <v>6265</v>
      </c>
      <c r="X132" s="151" t="s">
        <v>4439</v>
      </c>
      <c r="Y132" s="151" t="s">
        <v>361</v>
      </c>
      <c r="Z132" s="151" t="s">
        <v>361</v>
      </c>
      <c r="AA132" s="151" t="s">
        <v>6247</v>
      </c>
    </row>
    <row r="133" spans="2:27" ht="285">
      <c r="B133" s="151" t="s">
        <v>6240</v>
      </c>
      <c r="C133" s="151" t="s">
        <v>6742</v>
      </c>
      <c r="D133" s="151" t="s">
        <v>6710</v>
      </c>
      <c r="E133" s="151" t="s">
        <v>36</v>
      </c>
      <c r="F133" s="151" t="s">
        <v>6743</v>
      </c>
      <c r="G133" s="151" t="s">
        <v>2527</v>
      </c>
      <c r="H133" s="151" t="s">
        <v>2173</v>
      </c>
      <c r="I133" s="151" t="s">
        <v>1183</v>
      </c>
      <c r="J133" s="151" t="s">
        <v>361</v>
      </c>
      <c r="K133" s="151" t="s">
        <v>6728</v>
      </c>
      <c r="L133" s="151" t="s">
        <v>6744</v>
      </c>
      <c r="M133" s="465" t="s">
        <v>6730</v>
      </c>
      <c r="N133" s="151" t="s">
        <v>361</v>
      </c>
      <c r="O133" s="456" t="s">
        <v>6745</v>
      </c>
      <c r="P133" s="151" t="s">
        <v>6732</v>
      </c>
      <c r="Q133" s="151" t="s">
        <v>2177</v>
      </c>
      <c r="R133" s="151" t="s">
        <v>361</v>
      </c>
      <c r="S133" s="151" t="s">
        <v>431</v>
      </c>
      <c r="T133" s="151" t="s">
        <v>3582</v>
      </c>
      <c r="U133" s="151" t="s">
        <v>361</v>
      </c>
      <c r="V133" s="151">
        <v>3</v>
      </c>
      <c r="W133" s="151" t="s">
        <v>431</v>
      </c>
      <c r="X133" s="151" t="s">
        <v>6277</v>
      </c>
      <c r="Y133" s="151" t="s">
        <v>6656</v>
      </c>
      <c r="Z133" s="151" t="s">
        <v>361</v>
      </c>
      <c r="AA133" s="151" t="s">
        <v>6247</v>
      </c>
    </row>
    <row r="134" spans="2:27" ht="285">
      <c r="B134" s="151" t="s">
        <v>6240</v>
      </c>
      <c r="C134" s="151" t="s">
        <v>6746</v>
      </c>
      <c r="D134" s="151" t="s">
        <v>6710</v>
      </c>
      <c r="E134" s="151" t="s">
        <v>36</v>
      </c>
      <c r="F134" s="151" t="s">
        <v>6747</v>
      </c>
      <c r="G134" s="151" t="s">
        <v>2527</v>
      </c>
      <c r="H134" s="151" t="s">
        <v>2173</v>
      </c>
      <c r="I134" s="151" t="s">
        <v>1183</v>
      </c>
      <c r="J134" s="151" t="s">
        <v>361</v>
      </c>
      <c r="K134" s="151" t="s">
        <v>6728</v>
      </c>
      <c r="L134" s="151" t="s">
        <v>6748</v>
      </c>
      <c r="M134" s="465" t="s">
        <v>6730</v>
      </c>
      <c r="N134" s="151" t="s">
        <v>361</v>
      </c>
      <c r="O134" s="341" t="s">
        <v>6749</v>
      </c>
      <c r="P134" s="151" t="s">
        <v>6732</v>
      </c>
      <c r="Q134" s="151" t="s">
        <v>2177</v>
      </c>
      <c r="R134" s="151" t="s">
        <v>361</v>
      </c>
      <c r="S134" s="151" t="s">
        <v>6265</v>
      </c>
      <c r="T134" s="151" t="s">
        <v>6265</v>
      </c>
      <c r="U134" s="151" t="s">
        <v>361</v>
      </c>
      <c r="V134" s="151">
        <v>20</v>
      </c>
      <c r="W134" s="151" t="s">
        <v>6265</v>
      </c>
      <c r="X134" s="151" t="s">
        <v>2507</v>
      </c>
      <c r="Y134" s="151" t="s">
        <v>361</v>
      </c>
      <c r="Z134" s="151" t="s">
        <v>361</v>
      </c>
      <c r="AA134" s="151" t="s">
        <v>6247</v>
      </c>
    </row>
    <row r="135" spans="2:27" ht="270">
      <c r="B135" s="151" t="s">
        <v>6240</v>
      </c>
      <c r="C135" s="151" t="s">
        <v>6750</v>
      </c>
      <c r="D135" s="151" t="s">
        <v>6710</v>
      </c>
      <c r="E135" s="151" t="s">
        <v>36</v>
      </c>
      <c r="F135" s="151" t="s">
        <v>6751</v>
      </c>
      <c r="G135" s="151" t="s">
        <v>2527</v>
      </c>
      <c r="H135" s="151" t="s">
        <v>2173</v>
      </c>
      <c r="I135" s="151" t="s">
        <v>1183</v>
      </c>
      <c r="J135" s="151" t="s">
        <v>361</v>
      </c>
      <c r="K135" s="151" t="s">
        <v>6728</v>
      </c>
      <c r="L135" s="151" t="s">
        <v>6752</v>
      </c>
      <c r="M135" s="465" t="s">
        <v>6730</v>
      </c>
      <c r="N135" s="151" t="s">
        <v>361</v>
      </c>
      <c r="O135" s="341" t="s">
        <v>6753</v>
      </c>
      <c r="P135" s="151" t="s">
        <v>6732</v>
      </c>
      <c r="Q135" s="151" t="s">
        <v>2177</v>
      </c>
      <c r="R135" s="151" t="s">
        <v>361</v>
      </c>
      <c r="S135" s="151" t="s">
        <v>6265</v>
      </c>
      <c r="T135" s="151" t="s">
        <v>6265</v>
      </c>
      <c r="U135" s="151" t="s">
        <v>361</v>
      </c>
      <c r="V135" s="151">
        <v>20</v>
      </c>
      <c r="W135" s="151" t="s">
        <v>6265</v>
      </c>
      <c r="X135" s="151" t="s">
        <v>2507</v>
      </c>
      <c r="Y135" s="151" t="s">
        <v>361</v>
      </c>
      <c r="Z135" s="151" t="s">
        <v>361</v>
      </c>
      <c r="AA135" s="151" t="s">
        <v>6247</v>
      </c>
    </row>
    <row r="136" spans="2:27" ht="300">
      <c r="B136" s="151" t="s">
        <v>6240</v>
      </c>
      <c r="C136" s="151" t="s">
        <v>6754</v>
      </c>
      <c r="D136" s="151" t="s">
        <v>6710</v>
      </c>
      <c r="E136" s="151" t="s">
        <v>36</v>
      </c>
      <c r="F136" s="151" t="s">
        <v>6755</v>
      </c>
      <c r="G136" s="151" t="s">
        <v>2527</v>
      </c>
      <c r="H136" s="151" t="s">
        <v>2173</v>
      </c>
      <c r="I136" s="151" t="s">
        <v>1183</v>
      </c>
      <c r="J136" s="151" t="s">
        <v>361</v>
      </c>
      <c r="K136" s="151" t="s">
        <v>6728</v>
      </c>
      <c r="L136" s="151" t="s">
        <v>6756</v>
      </c>
      <c r="M136" s="465" t="s">
        <v>6730</v>
      </c>
      <c r="N136" s="151" t="s">
        <v>361</v>
      </c>
      <c r="O136" s="341" t="s">
        <v>6757</v>
      </c>
      <c r="P136" s="151" t="s">
        <v>6732</v>
      </c>
      <c r="Q136" s="151" t="s">
        <v>2177</v>
      </c>
      <c r="R136" s="151" t="s">
        <v>361</v>
      </c>
      <c r="S136" s="151" t="s">
        <v>6265</v>
      </c>
      <c r="T136" s="151" t="s">
        <v>6265</v>
      </c>
      <c r="U136" s="151" t="s">
        <v>361</v>
      </c>
      <c r="V136" s="151">
        <v>20</v>
      </c>
      <c r="W136" s="151" t="s">
        <v>6265</v>
      </c>
      <c r="X136" s="151" t="s">
        <v>2507</v>
      </c>
      <c r="Y136" s="151" t="s">
        <v>361</v>
      </c>
      <c r="Z136" s="151" t="s">
        <v>361</v>
      </c>
      <c r="AA136" s="151" t="s">
        <v>6247</v>
      </c>
    </row>
    <row r="137" spans="2:27" ht="270">
      <c r="B137" s="151" t="s">
        <v>6240</v>
      </c>
      <c r="C137" s="151" t="s">
        <v>6758</v>
      </c>
      <c r="D137" s="151" t="s">
        <v>6710</v>
      </c>
      <c r="E137" s="151" t="s">
        <v>36</v>
      </c>
      <c r="F137" s="151" t="s">
        <v>6759</v>
      </c>
      <c r="G137" s="151" t="s">
        <v>2527</v>
      </c>
      <c r="H137" s="151" t="s">
        <v>2173</v>
      </c>
      <c r="I137" s="151" t="s">
        <v>1183</v>
      </c>
      <c r="J137" s="151" t="s">
        <v>361</v>
      </c>
      <c r="K137" s="151" t="s">
        <v>6728</v>
      </c>
      <c r="L137" s="151" t="s">
        <v>6760</v>
      </c>
      <c r="M137" s="465" t="s">
        <v>6730</v>
      </c>
      <c r="N137" s="151" t="s">
        <v>361</v>
      </c>
      <c r="O137" s="341" t="s">
        <v>6761</v>
      </c>
      <c r="P137" s="151" t="s">
        <v>6732</v>
      </c>
      <c r="Q137" s="151" t="s">
        <v>2177</v>
      </c>
      <c r="R137" s="151" t="s">
        <v>361</v>
      </c>
      <c r="S137" s="151" t="s">
        <v>6265</v>
      </c>
      <c r="T137" s="151" t="s">
        <v>6265</v>
      </c>
      <c r="U137" s="151" t="s">
        <v>361</v>
      </c>
      <c r="V137" s="151">
        <v>20</v>
      </c>
      <c r="W137" s="151" t="s">
        <v>6265</v>
      </c>
      <c r="X137" s="151" t="s">
        <v>2507</v>
      </c>
      <c r="Y137" s="151" t="s">
        <v>361</v>
      </c>
      <c r="Z137" s="151" t="s">
        <v>361</v>
      </c>
      <c r="AA137" s="151" t="s">
        <v>6247</v>
      </c>
    </row>
    <row r="138" spans="2:27" ht="255">
      <c r="B138" s="151" t="s">
        <v>6240</v>
      </c>
      <c r="C138" s="151" t="s">
        <v>6762</v>
      </c>
      <c r="D138" s="151" t="s">
        <v>6710</v>
      </c>
      <c r="E138" s="151" t="s">
        <v>36</v>
      </c>
      <c r="F138" s="151" t="s">
        <v>6763</v>
      </c>
      <c r="G138" s="151" t="s">
        <v>2527</v>
      </c>
      <c r="H138" s="151" t="s">
        <v>2173</v>
      </c>
      <c r="I138" s="151" t="s">
        <v>1183</v>
      </c>
      <c r="J138" s="151" t="s">
        <v>361</v>
      </c>
      <c r="K138" s="151" t="s">
        <v>6728</v>
      </c>
      <c r="L138" s="151" t="s">
        <v>6764</v>
      </c>
      <c r="M138" s="465" t="s">
        <v>6730</v>
      </c>
      <c r="N138" s="151" t="s">
        <v>361</v>
      </c>
      <c r="O138" s="341" t="s">
        <v>6765</v>
      </c>
      <c r="P138" s="151" t="s">
        <v>6732</v>
      </c>
      <c r="Q138" s="151" t="s">
        <v>2177</v>
      </c>
      <c r="R138" s="151" t="s">
        <v>361</v>
      </c>
      <c r="S138" s="151" t="s">
        <v>6265</v>
      </c>
      <c r="T138" s="151" t="s">
        <v>6265</v>
      </c>
      <c r="U138" s="151" t="s">
        <v>361</v>
      </c>
      <c r="V138" s="151">
        <v>20</v>
      </c>
      <c r="W138" s="151" t="s">
        <v>6265</v>
      </c>
      <c r="X138" s="151" t="s">
        <v>2507</v>
      </c>
      <c r="Y138" s="151" t="s">
        <v>361</v>
      </c>
      <c r="Z138" s="151" t="s">
        <v>361</v>
      </c>
      <c r="AA138" s="151" t="s">
        <v>6247</v>
      </c>
    </row>
    <row r="139" spans="2:27" ht="255">
      <c r="B139" s="151" t="s">
        <v>6240</v>
      </c>
      <c r="C139" s="151" t="s">
        <v>6766</v>
      </c>
      <c r="D139" s="151" t="s">
        <v>6710</v>
      </c>
      <c r="E139" s="151" t="s">
        <v>36</v>
      </c>
      <c r="F139" s="151" t="s">
        <v>6767</v>
      </c>
      <c r="G139" s="151" t="s">
        <v>2527</v>
      </c>
      <c r="H139" s="151" t="s">
        <v>2173</v>
      </c>
      <c r="I139" s="151" t="s">
        <v>1183</v>
      </c>
      <c r="J139" s="151" t="s">
        <v>361</v>
      </c>
      <c r="K139" s="151" t="s">
        <v>6728</v>
      </c>
      <c r="L139" s="151" t="s">
        <v>6768</v>
      </c>
      <c r="M139" s="465" t="s">
        <v>6730</v>
      </c>
      <c r="N139" s="151" t="s">
        <v>361</v>
      </c>
      <c r="O139" s="341" t="s">
        <v>6769</v>
      </c>
      <c r="P139" s="151" t="s">
        <v>6732</v>
      </c>
      <c r="Q139" s="151" t="s">
        <v>2177</v>
      </c>
      <c r="R139" s="151" t="s">
        <v>361</v>
      </c>
      <c r="S139" s="151" t="s">
        <v>6265</v>
      </c>
      <c r="T139" s="151" t="s">
        <v>6265</v>
      </c>
      <c r="U139" s="151" t="s">
        <v>361</v>
      </c>
      <c r="V139" s="151">
        <v>20</v>
      </c>
      <c r="W139" s="151" t="s">
        <v>6265</v>
      </c>
      <c r="X139" s="151" t="s">
        <v>2507</v>
      </c>
      <c r="Y139" s="151" t="s">
        <v>361</v>
      </c>
      <c r="Z139" s="151" t="s">
        <v>361</v>
      </c>
      <c r="AA139" s="151" t="s">
        <v>6247</v>
      </c>
    </row>
    <row r="140" spans="2:27" ht="255">
      <c r="B140" s="151" t="s">
        <v>6240</v>
      </c>
      <c r="C140" s="151" t="s">
        <v>6770</v>
      </c>
      <c r="D140" s="151" t="s">
        <v>6710</v>
      </c>
      <c r="E140" s="151" t="s">
        <v>36</v>
      </c>
      <c r="F140" s="151" t="s">
        <v>6771</v>
      </c>
      <c r="G140" s="151" t="s">
        <v>2527</v>
      </c>
      <c r="H140" s="151" t="s">
        <v>2173</v>
      </c>
      <c r="I140" s="151" t="s">
        <v>1183</v>
      </c>
      <c r="J140" s="151" t="s">
        <v>361</v>
      </c>
      <c r="K140" s="151" t="s">
        <v>6728</v>
      </c>
      <c r="L140" s="151" t="s">
        <v>6772</v>
      </c>
      <c r="M140" s="465" t="s">
        <v>6730</v>
      </c>
      <c r="N140" s="151" t="s">
        <v>361</v>
      </c>
      <c r="O140" s="341" t="s">
        <v>6773</v>
      </c>
      <c r="P140" s="151" t="s">
        <v>6732</v>
      </c>
      <c r="Q140" s="151" t="s">
        <v>2177</v>
      </c>
      <c r="R140" s="151" t="s">
        <v>361</v>
      </c>
      <c r="S140" s="151" t="s">
        <v>6265</v>
      </c>
      <c r="T140" s="151" t="s">
        <v>6265</v>
      </c>
      <c r="U140" s="151" t="s">
        <v>361</v>
      </c>
      <c r="V140" s="151">
        <v>20</v>
      </c>
      <c r="W140" s="151" t="s">
        <v>6265</v>
      </c>
      <c r="X140" s="151" t="s">
        <v>2507</v>
      </c>
      <c r="Y140" s="151" t="s">
        <v>361</v>
      </c>
      <c r="Z140" s="151" t="s">
        <v>361</v>
      </c>
      <c r="AA140" s="151" t="s">
        <v>6247</v>
      </c>
    </row>
    <row r="141" spans="2:27" ht="255">
      <c r="B141" s="151" t="s">
        <v>6240</v>
      </c>
      <c r="C141" s="151" t="s">
        <v>6774</v>
      </c>
      <c r="D141" s="151" t="s">
        <v>6710</v>
      </c>
      <c r="E141" s="151" t="s">
        <v>36</v>
      </c>
      <c r="F141" s="151" t="s">
        <v>6775</v>
      </c>
      <c r="G141" s="151" t="s">
        <v>2527</v>
      </c>
      <c r="H141" s="151" t="s">
        <v>2173</v>
      </c>
      <c r="I141" s="151" t="s">
        <v>1183</v>
      </c>
      <c r="J141" s="151" t="s">
        <v>361</v>
      </c>
      <c r="K141" s="151" t="s">
        <v>6728</v>
      </c>
      <c r="L141" s="151" t="s">
        <v>6776</v>
      </c>
      <c r="M141" s="465" t="s">
        <v>6730</v>
      </c>
      <c r="N141" s="151" t="s">
        <v>361</v>
      </c>
      <c r="O141" s="341" t="s">
        <v>6777</v>
      </c>
      <c r="P141" s="151" t="s">
        <v>6732</v>
      </c>
      <c r="Q141" s="151" t="s">
        <v>2177</v>
      </c>
      <c r="R141" s="151" t="s">
        <v>361</v>
      </c>
      <c r="S141" s="151" t="s">
        <v>6265</v>
      </c>
      <c r="T141" s="151" t="s">
        <v>6265</v>
      </c>
      <c r="U141" s="151" t="s">
        <v>361</v>
      </c>
      <c r="V141" s="151">
        <v>20</v>
      </c>
      <c r="W141" s="151" t="s">
        <v>6265</v>
      </c>
      <c r="X141" s="151" t="s">
        <v>2507</v>
      </c>
      <c r="Y141" s="151" t="s">
        <v>361</v>
      </c>
      <c r="Z141" s="151" t="s">
        <v>361</v>
      </c>
      <c r="AA141" s="151" t="s">
        <v>6247</v>
      </c>
    </row>
    <row r="142" spans="2:27" ht="270">
      <c r="B142" s="151" t="s">
        <v>6240</v>
      </c>
      <c r="C142" s="151" t="s">
        <v>16</v>
      </c>
      <c r="D142" s="151" t="s">
        <v>6710</v>
      </c>
      <c r="E142" s="151" t="s">
        <v>36</v>
      </c>
      <c r="F142" s="151" t="s">
        <v>6778</v>
      </c>
      <c r="G142" s="151" t="s">
        <v>2527</v>
      </c>
      <c r="H142" s="151" t="s">
        <v>2173</v>
      </c>
      <c r="I142" s="151" t="s">
        <v>1183</v>
      </c>
      <c r="J142" s="151" t="s">
        <v>361</v>
      </c>
      <c r="K142" s="151" t="s">
        <v>6728</v>
      </c>
      <c r="L142" s="151" t="s">
        <v>6779</v>
      </c>
      <c r="M142" s="465" t="s">
        <v>6730</v>
      </c>
      <c r="N142" s="151" t="s">
        <v>361</v>
      </c>
      <c r="O142" s="341" t="s">
        <v>6780</v>
      </c>
      <c r="P142" s="151" t="s">
        <v>6732</v>
      </c>
      <c r="Q142" s="151" t="s">
        <v>2177</v>
      </c>
      <c r="R142" s="151" t="s">
        <v>361</v>
      </c>
      <c r="S142" s="151" t="s">
        <v>431</v>
      </c>
      <c r="T142" s="151" t="s">
        <v>3582</v>
      </c>
      <c r="U142" s="151" t="s">
        <v>361</v>
      </c>
      <c r="V142" s="151">
        <v>255</v>
      </c>
      <c r="W142" s="151" t="s">
        <v>431</v>
      </c>
      <c r="X142" s="151" t="s">
        <v>6781</v>
      </c>
      <c r="Y142" s="151" t="s">
        <v>361</v>
      </c>
      <c r="Z142" s="151" t="s">
        <v>361</v>
      </c>
      <c r="AA142" s="151" t="s">
        <v>6247</v>
      </c>
    </row>
    <row r="143" spans="2:27" ht="255">
      <c r="B143" s="151" t="s">
        <v>6240</v>
      </c>
      <c r="C143" s="151" t="s">
        <v>6705</v>
      </c>
      <c r="D143" s="151" t="s">
        <v>6710</v>
      </c>
      <c r="E143" s="151" t="s">
        <v>36</v>
      </c>
      <c r="F143" s="151" t="s">
        <v>6782</v>
      </c>
      <c r="G143" s="151" t="s">
        <v>2527</v>
      </c>
      <c r="H143" s="151" t="s">
        <v>2173</v>
      </c>
      <c r="I143" s="151" t="s">
        <v>1183</v>
      </c>
      <c r="J143" s="151" t="s">
        <v>361</v>
      </c>
      <c r="K143" s="151" t="s">
        <v>6728</v>
      </c>
      <c r="L143" s="151" t="s">
        <v>4079</v>
      </c>
      <c r="M143" s="465" t="s">
        <v>6730</v>
      </c>
      <c r="N143" s="151" t="s">
        <v>361</v>
      </c>
      <c r="O143" s="341" t="s">
        <v>6783</v>
      </c>
      <c r="P143" s="151" t="s">
        <v>6732</v>
      </c>
      <c r="Q143" s="151" t="s">
        <v>2177</v>
      </c>
      <c r="R143" s="151" t="s">
        <v>361</v>
      </c>
      <c r="S143" s="151" t="s">
        <v>431</v>
      </c>
      <c r="T143" s="151" t="s">
        <v>3608</v>
      </c>
      <c r="U143" s="151" t="s">
        <v>361</v>
      </c>
      <c r="V143" s="151">
        <v>1</v>
      </c>
      <c r="W143" s="151" t="s">
        <v>431</v>
      </c>
      <c r="X143" s="151" t="s">
        <v>6280</v>
      </c>
      <c r="Y143" s="151" t="s">
        <v>6784</v>
      </c>
      <c r="Z143" s="151" t="s">
        <v>361</v>
      </c>
      <c r="AA143" s="151" t="s">
        <v>6247</v>
      </c>
    </row>
    <row r="144" spans="2:27" ht="300">
      <c r="B144" s="151" t="s">
        <v>6240</v>
      </c>
      <c r="C144" s="151" t="s">
        <v>6785</v>
      </c>
      <c r="D144" s="151" t="s">
        <v>6786</v>
      </c>
      <c r="E144" s="151" t="s">
        <v>36</v>
      </c>
      <c r="F144" s="151" t="s">
        <v>6787</v>
      </c>
      <c r="G144" s="151" t="s">
        <v>2527</v>
      </c>
      <c r="H144" s="151" t="s">
        <v>2173</v>
      </c>
      <c r="I144" s="151" t="s">
        <v>1183</v>
      </c>
      <c r="J144" s="151" t="s">
        <v>361</v>
      </c>
      <c r="K144" s="151" t="s">
        <v>6788</v>
      </c>
      <c r="L144" s="151" t="s">
        <v>6789</v>
      </c>
      <c r="M144" s="465" t="s">
        <v>6790</v>
      </c>
      <c r="N144" s="151" t="s">
        <v>361</v>
      </c>
      <c r="O144" s="341" t="s">
        <v>6791</v>
      </c>
      <c r="P144" s="151" t="s">
        <v>6792</v>
      </c>
      <c r="Q144" s="151" t="s">
        <v>2177</v>
      </c>
      <c r="R144" s="151" t="s">
        <v>361</v>
      </c>
      <c r="S144" s="151" t="s">
        <v>431</v>
      </c>
      <c r="T144" s="151" t="s">
        <v>3608</v>
      </c>
      <c r="U144" s="151" t="s">
        <v>361</v>
      </c>
      <c r="V144" s="151">
        <v>1</v>
      </c>
      <c r="W144" s="151" t="s">
        <v>431</v>
      </c>
      <c r="X144" s="151" t="s">
        <v>6280</v>
      </c>
      <c r="Y144" s="151" t="s">
        <v>6793</v>
      </c>
      <c r="Z144" s="151" t="s">
        <v>361</v>
      </c>
      <c r="AA144" s="151" t="s">
        <v>6247</v>
      </c>
    </row>
    <row r="145" spans="2:27" ht="300">
      <c r="B145" s="151" t="s">
        <v>6240</v>
      </c>
      <c r="C145" s="151" t="s">
        <v>6794</v>
      </c>
      <c r="D145" s="151" t="s">
        <v>6786</v>
      </c>
      <c r="E145" s="151" t="s">
        <v>36</v>
      </c>
      <c r="F145" s="151" t="s">
        <v>6795</v>
      </c>
      <c r="G145" s="151" t="s">
        <v>2527</v>
      </c>
      <c r="H145" s="151" t="s">
        <v>2173</v>
      </c>
      <c r="I145" s="151" t="s">
        <v>1183</v>
      </c>
      <c r="J145" s="151" t="s">
        <v>361</v>
      </c>
      <c r="K145" s="151" t="s">
        <v>6788</v>
      </c>
      <c r="L145" s="151" t="s">
        <v>6796</v>
      </c>
      <c r="M145" s="465" t="s">
        <v>6790</v>
      </c>
      <c r="O145" s="341" t="s">
        <v>6797</v>
      </c>
      <c r="P145" s="151" t="s">
        <v>6792</v>
      </c>
      <c r="Q145" s="151" t="s">
        <v>2177</v>
      </c>
      <c r="R145" s="151" t="s">
        <v>361</v>
      </c>
      <c r="S145" s="151" t="s">
        <v>431</v>
      </c>
      <c r="T145" s="151" t="s">
        <v>3582</v>
      </c>
      <c r="U145" s="151" t="s">
        <v>361</v>
      </c>
      <c r="V145" s="151">
        <v>2</v>
      </c>
      <c r="W145" s="151" t="s">
        <v>431</v>
      </c>
      <c r="X145" s="151" t="s">
        <v>6447</v>
      </c>
      <c r="Y145" s="151" t="s">
        <v>6656</v>
      </c>
      <c r="Z145" s="151" t="s">
        <v>361</v>
      </c>
      <c r="AA145" s="151" t="s">
        <v>6247</v>
      </c>
    </row>
    <row r="146" spans="2:27" ht="270">
      <c r="B146" s="151" t="s">
        <v>6240</v>
      </c>
      <c r="C146" s="151" t="s">
        <v>6798</v>
      </c>
      <c r="D146" s="151" t="s">
        <v>6786</v>
      </c>
      <c r="E146" s="151" t="s">
        <v>36</v>
      </c>
      <c r="F146" s="151" t="s">
        <v>6799</v>
      </c>
      <c r="G146" s="151" t="s">
        <v>2527</v>
      </c>
      <c r="H146" s="151" t="s">
        <v>2173</v>
      </c>
      <c r="I146" s="151" t="s">
        <v>1183</v>
      </c>
      <c r="J146" s="151" t="s">
        <v>361</v>
      </c>
      <c r="K146" s="151" t="s">
        <v>6788</v>
      </c>
      <c r="L146" s="151" t="s">
        <v>6800</v>
      </c>
      <c r="M146" s="465" t="s">
        <v>6790</v>
      </c>
      <c r="N146" s="151" t="s">
        <v>361</v>
      </c>
      <c r="O146" s="341" t="s">
        <v>6801</v>
      </c>
      <c r="P146" s="151" t="s">
        <v>6792</v>
      </c>
      <c r="Q146" s="151" t="s">
        <v>2177</v>
      </c>
      <c r="R146" s="151" t="s">
        <v>361</v>
      </c>
      <c r="S146" s="151" t="s">
        <v>431</v>
      </c>
      <c r="T146" s="151" t="s">
        <v>3608</v>
      </c>
      <c r="U146" s="151" t="s">
        <v>361</v>
      </c>
      <c r="V146" s="151">
        <v>1</v>
      </c>
      <c r="W146" s="151" t="s">
        <v>431</v>
      </c>
      <c r="X146" s="151" t="s">
        <v>6280</v>
      </c>
      <c r="Y146" s="151" t="s">
        <v>6656</v>
      </c>
      <c r="Z146" s="151" t="s">
        <v>361</v>
      </c>
      <c r="AA146" s="151" t="s">
        <v>6247</v>
      </c>
    </row>
    <row r="147" spans="2:27" ht="270">
      <c r="B147" s="151" t="s">
        <v>6240</v>
      </c>
      <c r="C147" s="151" t="s">
        <v>6565</v>
      </c>
      <c r="D147" s="151" t="s">
        <v>6786</v>
      </c>
      <c r="E147" s="151" t="s">
        <v>36</v>
      </c>
      <c r="F147" s="151" t="s">
        <v>6802</v>
      </c>
      <c r="G147" s="151" t="s">
        <v>2527</v>
      </c>
      <c r="H147" s="151" t="s">
        <v>2173</v>
      </c>
      <c r="I147" s="151" t="s">
        <v>1183</v>
      </c>
      <c r="J147" s="151" t="s">
        <v>361</v>
      </c>
      <c r="K147" s="151" t="s">
        <v>6788</v>
      </c>
      <c r="L147" s="151" t="s">
        <v>6803</v>
      </c>
      <c r="M147" s="465" t="s">
        <v>6790</v>
      </c>
      <c r="N147" s="151" t="s">
        <v>361</v>
      </c>
      <c r="O147" s="341" t="s">
        <v>6804</v>
      </c>
      <c r="P147" s="151" t="s">
        <v>6792</v>
      </c>
      <c r="Q147" s="151" t="s">
        <v>2177</v>
      </c>
      <c r="R147" s="151" t="s">
        <v>361</v>
      </c>
      <c r="S147" s="151" t="s">
        <v>431</v>
      </c>
      <c r="T147" s="151" t="s">
        <v>3582</v>
      </c>
      <c r="U147" s="151" t="s">
        <v>361</v>
      </c>
      <c r="V147" s="151">
        <v>3</v>
      </c>
      <c r="W147" s="151" t="s">
        <v>431</v>
      </c>
      <c r="X147" s="151" t="s">
        <v>6277</v>
      </c>
      <c r="Y147" s="151" t="s">
        <v>6656</v>
      </c>
      <c r="Z147" s="151" t="s">
        <v>361</v>
      </c>
      <c r="AA147" s="151" t="s">
        <v>6247</v>
      </c>
    </row>
    <row r="148" spans="2:27" ht="285">
      <c r="B148" s="151" t="s">
        <v>6240</v>
      </c>
      <c r="C148" s="151" t="s">
        <v>4263</v>
      </c>
      <c r="D148" s="151" t="s">
        <v>6786</v>
      </c>
      <c r="E148" s="151" t="s">
        <v>36</v>
      </c>
      <c r="F148" s="151" t="s">
        <v>6805</v>
      </c>
      <c r="G148" s="151" t="s">
        <v>2527</v>
      </c>
      <c r="H148" s="151" t="s">
        <v>2173</v>
      </c>
      <c r="I148" s="151" t="s">
        <v>1183</v>
      </c>
      <c r="J148" s="151" t="s">
        <v>361</v>
      </c>
      <c r="K148" s="151" t="s">
        <v>6788</v>
      </c>
      <c r="L148" s="151" t="s">
        <v>6806</v>
      </c>
      <c r="M148" s="465" t="s">
        <v>6790</v>
      </c>
      <c r="N148" s="151" t="s">
        <v>361</v>
      </c>
      <c r="O148" s="341" t="s">
        <v>6807</v>
      </c>
      <c r="P148" s="151" t="s">
        <v>6792</v>
      </c>
      <c r="Q148" s="151" t="s">
        <v>2177</v>
      </c>
      <c r="R148" s="151" t="s">
        <v>361</v>
      </c>
      <c r="S148" s="151" t="s">
        <v>431</v>
      </c>
      <c r="T148" s="151" t="s">
        <v>3582</v>
      </c>
      <c r="U148" s="151" t="s">
        <v>361</v>
      </c>
      <c r="V148" s="151">
        <v>3</v>
      </c>
      <c r="W148" s="151" t="s">
        <v>431</v>
      </c>
      <c r="X148" s="151" t="s">
        <v>6277</v>
      </c>
      <c r="Y148" s="151" t="s">
        <v>6656</v>
      </c>
      <c r="Z148" s="151" t="s">
        <v>361</v>
      </c>
      <c r="AA148" s="151" t="s">
        <v>6247</v>
      </c>
    </row>
    <row r="149" spans="2:27" ht="300">
      <c r="B149" s="151" t="s">
        <v>6240</v>
      </c>
      <c r="C149" s="151" t="s">
        <v>5428</v>
      </c>
      <c r="D149" s="151" t="s">
        <v>6786</v>
      </c>
      <c r="E149" s="151" t="s">
        <v>36</v>
      </c>
      <c r="F149" s="151" t="s">
        <v>6808</v>
      </c>
      <c r="G149" s="151" t="s">
        <v>2527</v>
      </c>
      <c r="H149" s="151" t="s">
        <v>2173</v>
      </c>
      <c r="I149" s="151" t="s">
        <v>1183</v>
      </c>
      <c r="J149" s="151" t="s">
        <v>361</v>
      </c>
      <c r="K149" s="151" t="s">
        <v>6788</v>
      </c>
      <c r="L149" s="151" t="s">
        <v>6809</v>
      </c>
      <c r="M149" s="465" t="s">
        <v>6790</v>
      </c>
      <c r="N149" s="151" t="s">
        <v>361</v>
      </c>
      <c r="O149" s="341" t="s">
        <v>6810</v>
      </c>
      <c r="P149" s="151" t="s">
        <v>6792</v>
      </c>
      <c r="Q149" s="151" t="s">
        <v>2177</v>
      </c>
      <c r="R149" s="151" t="s">
        <v>361</v>
      </c>
      <c r="S149" s="151" t="s">
        <v>431</v>
      </c>
      <c r="T149" s="151" t="s">
        <v>3582</v>
      </c>
      <c r="U149" s="151" t="s">
        <v>361</v>
      </c>
      <c r="V149" s="151">
        <v>60</v>
      </c>
      <c r="W149" s="151" t="s">
        <v>431</v>
      </c>
      <c r="X149" s="151" t="s">
        <v>6811</v>
      </c>
      <c r="Y149" s="151" t="s">
        <v>6812</v>
      </c>
      <c r="Z149" s="151" t="s">
        <v>361</v>
      </c>
      <c r="AA149" s="151" t="s">
        <v>6247</v>
      </c>
    </row>
    <row r="150" spans="2:27" ht="300">
      <c r="B150" s="151" t="s">
        <v>6240</v>
      </c>
      <c r="C150" s="151" t="s">
        <v>6813</v>
      </c>
      <c r="D150" s="151" t="s">
        <v>6786</v>
      </c>
      <c r="E150" s="151" t="s">
        <v>36</v>
      </c>
      <c r="F150" s="151" t="s">
        <v>6814</v>
      </c>
      <c r="G150" s="151" t="s">
        <v>2527</v>
      </c>
      <c r="H150" s="151" t="s">
        <v>2173</v>
      </c>
      <c r="I150" s="151" t="s">
        <v>1183</v>
      </c>
      <c r="J150" s="151" t="s">
        <v>361</v>
      </c>
      <c r="K150" s="151" t="s">
        <v>6788</v>
      </c>
      <c r="L150" s="151" t="s">
        <v>6815</v>
      </c>
      <c r="M150" s="465" t="s">
        <v>6790</v>
      </c>
      <c r="N150" s="151" t="s">
        <v>361</v>
      </c>
      <c r="O150" s="341" t="s">
        <v>6816</v>
      </c>
      <c r="P150" s="151" t="s">
        <v>6792</v>
      </c>
      <c r="Q150" s="151" t="s">
        <v>2177</v>
      </c>
      <c r="R150" s="151" t="s">
        <v>361</v>
      </c>
      <c r="S150" s="151" t="s">
        <v>431</v>
      </c>
      <c r="T150" s="151" t="s">
        <v>3582</v>
      </c>
      <c r="U150" s="151" t="s">
        <v>361</v>
      </c>
      <c r="V150" s="151">
        <v>3</v>
      </c>
      <c r="W150" s="151" t="s">
        <v>431</v>
      </c>
      <c r="X150" s="151" t="s">
        <v>6277</v>
      </c>
      <c r="Y150" s="151" t="s">
        <v>6656</v>
      </c>
      <c r="Z150" s="151" t="s">
        <v>361</v>
      </c>
      <c r="AA150" s="151" t="s">
        <v>6247</v>
      </c>
    </row>
    <row r="151" spans="2:27" ht="300">
      <c r="B151" s="151" t="s">
        <v>6240</v>
      </c>
      <c r="C151" s="151" t="s">
        <v>6817</v>
      </c>
      <c r="D151" s="151" t="s">
        <v>6786</v>
      </c>
      <c r="E151" s="151" t="s">
        <v>36</v>
      </c>
      <c r="F151" s="151" t="s">
        <v>6818</v>
      </c>
      <c r="G151" s="151" t="s">
        <v>2527</v>
      </c>
      <c r="H151" s="151" t="s">
        <v>2173</v>
      </c>
      <c r="I151" s="151" t="s">
        <v>1183</v>
      </c>
      <c r="J151" s="151" t="s">
        <v>361</v>
      </c>
      <c r="K151" s="151" t="s">
        <v>6788</v>
      </c>
      <c r="L151" s="151" t="s">
        <v>6819</v>
      </c>
      <c r="M151" s="465" t="s">
        <v>6790</v>
      </c>
      <c r="N151" s="151" t="s">
        <v>361</v>
      </c>
      <c r="O151" s="341" t="s">
        <v>6820</v>
      </c>
      <c r="P151" s="151" t="s">
        <v>6792</v>
      </c>
      <c r="Q151" s="151" t="s">
        <v>2177</v>
      </c>
      <c r="R151" s="151" t="s">
        <v>361</v>
      </c>
      <c r="S151" s="151" t="s">
        <v>431</v>
      </c>
      <c r="T151" s="151" t="s">
        <v>3582</v>
      </c>
      <c r="U151" s="151" t="s">
        <v>361</v>
      </c>
      <c r="V151" s="151">
        <v>16</v>
      </c>
      <c r="W151" s="151" t="s">
        <v>431</v>
      </c>
      <c r="X151" s="151" t="s">
        <v>6245</v>
      </c>
      <c r="Y151" s="151" t="s">
        <v>361</v>
      </c>
      <c r="Z151" s="151" t="s">
        <v>361</v>
      </c>
      <c r="AA151" s="151" t="s">
        <v>6247</v>
      </c>
    </row>
    <row r="152" spans="2:27" ht="285">
      <c r="B152" s="151" t="s">
        <v>6240</v>
      </c>
      <c r="C152" s="151" t="s">
        <v>4787</v>
      </c>
      <c r="D152" s="151" t="s">
        <v>6786</v>
      </c>
      <c r="E152" s="151" t="s">
        <v>36</v>
      </c>
      <c r="F152" s="151" t="s">
        <v>6821</v>
      </c>
      <c r="G152" s="151" t="s">
        <v>2527</v>
      </c>
      <c r="H152" s="151" t="s">
        <v>2173</v>
      </c>
      <c r="I152" s="151" t="s">
        <v>1183</v>
      </c>
      <c r="J152" s="151" t="s">
        <v>361</v>
      </c>
      <c r="K152" s="151" t="s">
        <v>6788</v>
      </c>
      <c r="L152" s="151" t="s">
        <v>6822</v>
      </c>
      <c r="M152" s="465" t="s">
        <v>6790</v>
      </c>
      <c r="N152" s="151" t="s">
        <v>361</v>
      </c>
      <c r="O152" s="341" t="s">
        <v>6823</v>
      </c>
      <c r="P152" s="151" t="s">
        <v>6792</v>
      </c>
      <c r="Q152" s="151" t="s">
        <v>2177</v>
      </c>
      <c r="R152" s="151" t="s">
        <v>361</v>
      </c>
      <c r="S152" s="151" t="s">
        <v>431</v>
      </c>
      <c r="T152" s="151" t="s">
        <v>3582</v>
      </c>
      <c r="U152" s="151" t="s">
        <v>361</v>
      </c>
      <c r="V152" s="151">
        <v>80</v>
      </c>
      <c r="W152" s="151" t="s">
        <v>431</v>
      </c>
      <c r="X152" s="151" t="s">
        <v>6680</v>
      </c>
      <c r="Y152" s="151" t="s">
        <v>6656</v>
      </c>
      <c r="Z152" s="151" t="s">
        <v>361</v>
      </c>
      <c r="AA152" s="151" t="s">
        <v>6247</v>
      </c>
    </row>
    <row r="153" spans="2:27" ht="225">
      <c r="B153" s="151" t="s">
        <v>6240</v>
      </c>
      <c r="C153" s="151" t="s">
        <v>4293</v>
      </c>
      <c r="D153" s="151" t="s">
        <v>6824</v>
      </c>
      <c r="E153" s="151" t="s">
        <v>36</v>
      </c>
      <c r="F153" s="151" t="s">
        <v>6825</v>
      </c>
      <c r="G153" s="151" t="s">
        <v>2527</v>
      </c>
      <c r="H153" s="151" t="s">
        <v>2173</v>
      </c>
      <c r="I153" s="151" t="s">
        <v>1183</v>
      </c>
      <c r="J153" s="151" t="s">
        <v>361</v>
      </c>
      <c r="K153" s="151" t="s">
        <v>1721</v>
      </c>
      <c r="L153" s="151" t="s">
        <v>1512</v>
      </c>
      <c r="M153" s="465" t="s">
        <v>6826</v>
      </c>
      <c r="N153" s="151" t="s">
        <v>361</v>
      </c>
      <c r="O153" s="341" t="s">
        <v>6827</v>
      </c>
      <c r="P153" s="151">
        <v>282374</v>
      </c>
      <c r="Q153" s="151" t="s">
        <v>2177</v>
      </c>
      <c r="R153" s="151" t="s">
        <v>361</v>
      </c>
      <c r="S153" s="151" t="s">
        <v>431</v>
      </c>
      <c r="T153" s="151" t="s">
        <v>3582</v>
      </c>
      <c r="U153" s="151" t="s">
        <v>361</v>
      </c>
      <c r="V153" s="151">
        <v>20</v>
      </c>
      <c r="W153" s="151" t="s">
        <v>431</v>
      </c>
      <c r="X153" s="151" t="s">
        <v>6341</v>
      </c>
      <c r="Y153" s="151" t="s">
        <v>361</v>
      </c>
      <c r="Z153" s="151" t="s">
        <v>361</v>
      </c>
      <c r="AA153" s="151" t="s">
        <v>6247</v>
      </c>
    </row>
    <row r="154" spans="2:27" ht="210">
      <c r="B154" s="151" t="s">
        <v>6240</v>
      </c>
      <c r="C154" s="151" t="s">
        <v>4298</v>
      </c>
      <c r="D154" s="151" t="s">
        <v>6824</v>
      </c>
      <c r="E154" s="151" t="s">
        <v>36</v>
      </c>
      <c r="F154" s="151" t="s">
        <v>6828</v>
      </c>
      <c r="G154" s="151" t="s">
        <v>2527</v>
      </c>
      <c r="H154" s="151" t="s">
        <v>2173</v>
      </c>
      <c r="I154" s="151" t="s">
        <v>1183</v>
      </c>
      <c r="J154" s="151" t="s">
        <v>361</v>
      </c>
      <c r="K154" s="151" t="s">
        <v>1721</v>
      </c>
      <c r="L154" s="151" t="s">
        <v>4300</v>
      </c>
      <c r="M154" s="465" t="s">
        <v>6826</v>
      </c>
      <c r="N154" s="151" t="s">
        <v>361</v>
      </c>
      <c r="O154" s="341" t="s">
        <v>6829</v>
      </c>
      <c r="P154" s="151">
        <v>282374</v>
      </c>
      <c r="Q154" s="151" t="s">
        <v>2177</v>
      </c>
      <c r="R154" s="151" t="s">
        <v>361</v>
      </c>
      <c r="S154" s="151" t="s">
        <v>431</v>
      </c>
      <c r="T154" s="151" t="s">
        <v>3582</v>
      </c>
      <c r="U154" s="151" t="s">
        <v>361</v>
      </c>
      <c r="V154" s="151">
        <v>2</v>
      </c>
      <c r="W154" s="151" t="s">
        <v>431</v>
      </c>
      <c r="X154" s="151" t="s">
        <v>6447</v>
      </c>
      <c r="Y154" s="151" t="s">
        <v>6656</v>
      </c>
      <c r="Z154" s="151" t="s">
        <v>361</v>
      </c>
      <c r="AA154" s="151" t="s">
        <v>6247</v>
      </c>
    </row>
    <row r="155" spans="2:27" ht="240">
      <c r="B155" s="151" t="s">
        <v>6240</v>
      </c>
      <c r="C155" s="151" t="s">
        <v>6830</v>
      </c>
      <c r="D155" s="151" t="s">
        <v>6824</v>
      </c>
      <c r="E155" s="151" t="s">
        <v>36</v>
      </c>
      <c r="F155" s="151" t="s">
        <v>6831</v>
      </c>
      <c r="G155" s="151" t="s">
        <v>2527</v>
      </c>
      <c r="H155" s="151" t="s">
        <v>2173</v>
      </c>
      <c r="I155" s="151" t="s">
        <v>1183</v>
      </c>
      <c r="J155" s="151" t="s">
        <v>361</v>
      </c>
      <c r="K155" s="151" t="s">
        <v>1721</v>
      </c>
      <c r="L155" s="151" t="s">
        <v>6832</v>
      </c>
      <c r="M155" s="465" t="s">
        <v>6826</v>
      </c>
      <c r="N155" s="151" t="s">
        <v>361</v>
      </c>
      <c r="O155" s="341" t="s">
        <v>6833</v>
      </c>
      <c r="P155" s="151">
        <v>282374</v>
      </c>
      <c r="Q155" s="151" t="s">
        <v>2177</v>
      </c>
      <c r="R155" s="151" t="s">
        <v>361</v>
      </c>
      <c r="S155" s="151" t="s">
        <v>431</v>
      </c>
      <c r="T155" s="151" t="s">
        <v>3608</v>
      </c>
      <c r="U155" s="151" t="s">
        <v>361</v>
      </c>
      <c r="V155" s="151">
        <v>1</v>
      </c>
      <c r="W155" s="151" t="s">
        <v>431</v>
      </c>
      <c r="X155" s="151" t="s">
        <v>4252</v>
      </c>
      <c r="Y155" s="151" t="s">
        <v>6656</v>
      </c>
      <c r="Z155" s="151" t="s">
        <v>361</v>
      </c>
      <c r="AA155" s="151" t="s">
        <v>6247</v>
      </c>
    </row>
    <row r="156" spans="2:27" ht="225">
      <c r="B156" s="151" t="s">
        <v>6240</v>
      </c>
      <c r="C156" s="151" t="s">
        <v>6617</v>
      </c>
      <c r="D156" s="151" t="s">
        <v>6824</v>
      </c>
      <c r="E156" s="151" t="s">
        <v>36</v>
      </c>
      <c r="F156" s="151" t="s">
        <v>6834</v>
      </c>
      <c r="G156" s="151" t="s">
        <v>2527</v>
      </c>
      <c r="H156" s="151" t="s">
        <v>2173</v>
      </c>
      <c r="I156" s="151" t="s">
        <v>1183</v>
      </c>
      <c r="J156" s="151" t="s">
        <v>361</v>
      </c>
      <c r="K156" s="151" t="s">
        <v>1721</v>
      </c>
      <c r="L156" s="151" t="s">
        <v>6653</v>
      </c>
      <c r="M156" s="465" t="s">
        <v>6826</v>
      </c>
      <c r="N156" s="151" t="s">
        <v>361</v>
      </c>
      <c r="O156" s="341" t="s">
        <v>6835</v>
      </c>
      <c r="P156" s="151">
        <v>282374</v>
      </c>
      <c r="Q156" s="151" t="s">
        <v>2177</v>
      </c>
      <c r="R156" s="151" t="s">
        <v>361</v>
      </c>
      <c r="S156" s="151" t="s">
        <v>431</v>
      </c>
      <c r="T156" s="151" t="s">
        <v>3582</v>
      </c>
      <c r="U156" s="151" t="s">
        <v>361</v>
      </c>
      <c r="V156" s="151">
        <v>9</v>
      </c>
      <c r="W156" s="151" t="s">
        <v>431</v>
      </c>
      <c r="X156" s="151" t="s">
        <v>6655</v>
      </c>
      <c r="Y156" s="151" t="s">
        <v>6656</v>
      </c>
      <c r="Z156" s="151" t="s">
        <v>361</v>
      </c>
      <c r="AA156" s="151" t="s">
        <v>6247</v>
      </c>
    </row>
    <row r="157" spans="2:27" ht="210">
      <c r="B157" s="151" t="s">
        <v>6240</v>
      </c>
      <c r="C157" s="151" t="s">
        <v>4237</v>
      </c>
      <c r="D157" s="151" t="s">
        <v>6824</v>
      </c>
      <c r="E157" s="151" t="s">
        <v>36</v>
      </c>
      <c r="F157" s="151" t="s">
        <v>6836</v>
      </c>
      <c r="G157" s="151" t="s">
        <v>2527</v>
      </c>
      <c r="H157" s="151" t="s">
        <v>2173</v>
      </c>
      <c r="I157" s="151" t="s">
        <v>1183</v>
      </c>
      <c r="J157" s="151" t="s">
        <v>361</v>
      </c>
      <c r="K157" s="151" t="s">
        <v>1721</v>
      </c>
      <c r="L157" s="151" t="s">
        <v>1190</v>
      </c>
      <c r="M157" s="465" t="s">
        <v>6826</v>
      </c>
      <c r="N157" s="151" t="s">
        <v>361</v>
      </c>
      <c r="O157" s="341" t="s">
        <v>6837</v>
      </c>
      <c r="P157" s="151">
        <v>282374</v>
      </c>
      <c r="Q157" s="151" t="s">
        <v>2177</v>
      </c>
      <c r="R157" s="151" t="s">
        <v>361</v>
      </c>
      <c r="S157" s="151" t="s">
        <v>4695</v>
      </c>
      <c r="T157" s="151" t="s">
        <v>4695</v>
      </c>
      <c r="U157" s="151" t="s">
        <v>361</v>
      </c>
      <c r="V157" s="151" t="s">
        <v>361</v>
      </c>
      <c r="W157" s="151" t="s">
        <v>2400</v>
      </c>
      <c r="X157" s="151" t="s">
        <v>2400</v>
      </c>
      <c r="Y157" s="151" t="s">
        <v>361</v>
      </c>
      <c r="Z157" s="151" t="s">
        <v>361</v>
      </c>
      <c r="AA157" s="151" t="s">
        <v>6247</v>
      </c>
    </row>
    <row r="158" spans="2:27" ht="225">
      <c r="B158" s="151" t="s">
        <v>6240</v>
      </c>
      <c r="C158" s="151" t="s">
        <v>6838</v>
      </c>
      <c r="D158" s="151" t="s">
        <v>6824</v>
      </c>
      <c r="E158" s="151" t="s">
        <v>36</v>
      </c>
      <c r="F158" s="151" t="s">
        <v>6839</v>
      </c>
      <c r="G158" s="151" t="s">
        <v>2527</v>
      </c>
      <c r="H158" s="151" t="s">
        <v>2173</v>
      </c>
      <c r="I158" s="151" t="s">
        <v>1183</v>
      </c>
      <c r="J158" s="151" t="s">
        <v>361</v>
      </c>
      <c r="K158" s="151" t="s">
        <v>1721</v>
      </c>
      <c r="L158" s="151" t="s">
        <v>6840</v>
      </c>
      <c r="M158" s="465" t="s">
        <v>6826</v>
      </c>
      <c r="N158" s="151" t="s">
        <v>361</v>
      </c>
      <c r="O158" s="341" t="s">
        <v>6841</v>
      </c>
      <c r="P158" s="151">
        <v>282374</v>
      </c>
      <c r="Q158" s="151" t="s">
        <v>2177</v>
      </c>
      <c r="R158" s="151" t="s">
        <v>361</v>
      </c>
      <c r="S158" s="151" t="s">
        <v>4695</v>
      </c>
      <c r="T158" s="151" t="s">
        <v>4695</v>
      </c>
      <c r="U158" s="151" t="s">
        <v>361</v>
      </c>
      <c r="V158" s="151" t="s">
        <v>361</v>
      </c>
      <c r="W158" s="151" t="s">
        <v>2400</v>
      </c>
      <c r="X158" s="151" t="s">
        <v>2400</v>
      </c>
      <c r="Y158" s="151" t="s">
        <v>361</v>
      </c>
      <c r="Z158" s="151" t="s">
        <v>361</v>
      </c>
      <c r="AA158" s="151" t="s">
        <v>6247</v>
      </c>
    </row>
    <row r="159" spans="2:27" ht="210">
      <c r="B159" s="151" t="s">
        <v>6240</v>
      </c>
      <c r="C159" s="151" t="s">
        <v>6842</v>
      </c>
      <c r="D159" s="151" t="s">
        <v>6824</v>
      </c>
      <c r="E159" s="151" t="s">
        <v>36</v>
      </c>
      <c r="F159" s="151" t="s">
        <v>6843</v>
      </c>
      <c r="G159" s="151" t="s">
        <v>2527</v>
      </c>
      <c r="H159" s="151" t="s">
        <v>2173</v>
      </c>
      <c r="I159" s="151" t="s">
        <v>1183</v>
      </c>
      <c r="J159" s="151" t="s">
        <v>361</v>
      </c>
      <c r="K159" s="151" t="s">
        <v>1721</v>
      </c>
      <c r="L159" s="151" t="s">
        <v>6844</v>
      </c>
      <c r="M159" s="465" t="s">
        <v>6826</v>
      </c>
      <c r="N159" s="151" t="s">
        <v>361</v>
      </c>
      <c r="O159" s="341" t="s">
        <v>6845</v>
      </c>
      <c r="P159" s="151">
        <v>282374</v>
      </c>
      <c r="Q159" s="151" t="s">
        <v>2177</v>
      </c>
      <c r="R159" s="151" t="s">
        <v>361</v>
      </c>
      <c r="S159" s="151" t="s">
        <v>431</v>
      </c>
      <c r="T159" s="151" t="s">
        <v>3608</v>
      </c>
      <c r="U159" s="151" t="s">
        <v>361</v>
      </c>
      <c r="V159" s="151">
        <v>1</v>
      </c>
      <c r="W159" s="151" t="s">
        <v>431</v>
      </c>
      <c r="X159" s="151" t="s">
        <v>6280</v>
      </c>
      <c r="Y159" s="151" t="s">
        <v>6656</v>
      </c>
      <c r="Z159" s="151" t="s">
        <v>361</v>
      </c>
      <c r="AA159" s="151" t="s">
        <v>6247</v>
      </c>
    </row>
    <row r="160" spans="2:27" ht="255">
      <c r="B160" s="151" t="s">
        <v>6240</v>
      </c>
      <c r="C160" s="151" t="s">
        <v>6846</v>
      </c>
      <c r="D160" s="151" t="s">
        <v>6824</v>
      </c>
      <c r="E160" s="151" t="s">
        <v>36</v>
      </c>
      <c r="F160" s="151" t="s">
        <v>6847</v>
      </c>
      <c r="G160" s="151" t="s">
        <v>2527</v>
      </c>
      <c r="H160" s="151" t="s">
        <v>2173</v>
      </c>
      <c r="I160" s="151" t="s">
        <v>1183</v>
      </c>
      <c r="J160" s="151" t="s">
        <v>361</v>
      </c>
      <c r="K160" s="151" t="s">
        <v>1721</v>
      </c>
      <c r="L160" s="151" t="s">
        <v>6848</v>
      </c>
      <c r="M160" s="465" t="s">
        <v>6826</v>
      </c>
      <c r="N160" s="151" t="s">
        <v>361</v>
      </c>
      <c r="O160" s="341" t="s">
        <v>6849</v>
      </c>
      <c r="P160" s="151">
        <v>282374</v>
      </c>
      <c r="Q160" s="151" t="s">
        <v>2177</v>
      </c>
      <c r="R160" s="151" t="s">
        <v>361</v>
      </c>
      <c r="S160" s="151" t="s">
        <v>431</v>
      </c>
      <c r="T160" s="151" t="s">
        <v>3582</v>
      </c>
      <c r="U160" s="151" t="s">
        <v>361</v>
      </c>
      <c r="V160" s="151">
        <v>20</v>
      </c>
      <c r="W160" s="151" t="s">
        <v>431</v>
      </c>
      <c r="X160" s="151" t="s">
        <v>6341</v>
      </c>
      <c r="Y160" s="151" t="s">
        <v>361</v>
      </c>
      <c r="Z160" s="151" t="s">
        <v>361</v>
      </c>
      <c r="AA160" s="151" t="s">
        <v>6247</v>
      </c>
    </row>
    <row r="161" spans="2:27">
      <c r="B161" s="340"/>
      <c r="C161" s="340"/>
      <c r="D161" s="340"/>
      <c r="E161" s="340"/>
      <c r="F161" s="340"/>
      <c r="G161" s="340"/>
      <c r="H161" s="340"/>
      <c r="I161" s="340"/>
      <c r="J161" s="340"/>
      <c r="K161" s="340"/>
      <c r="L161" s="340"/>
      <c r="M161" s="340"/>
      <c r="N161" s="340"/>
      <c r="O161" s="340"/>
      <c r="P161" s="340"/>
      <c r="Q161" s="340"/>
      <c r="R161" s="340"/>
      <c r="S161" s="340"/>
      <c r="T161" s="340"/>
      <c r="X161" s="340"/>
      <c r="Y161" s="340"/>
      <c r="Z161" s="340"/>
      <c r="AA161" s="340"/>
    </row>
  </sheetData>
  <autoFilter ref="B1:AA160" xr:uid="{B2FE7F64-289B-46DF-989B-ADEA3C2096AD}"/>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639B5-A77E-45DB-BC62-507C5EA3D0CF}">
  <sheetPr filterMode="1">
    <tabColor rgb="FFFFFF00"/>
  </sheetPr>
  <dimension ref="B1:AJ373"/>
  <sheetViews>
    <sheetView topLeftCell="A129" workbookViewId="0">
      <selection activeCell="C5" sqref="C5"/>
    </sheetView>
  </sheetViews>
  <sheetFormatPr defaultRowHeight="15"/>
  <cols>
    <col min="1" max="1" width="4.5703125" customWidth="1"/>
    <col min="2" max="2" width="14.5703125" style="374" bestFit="1" customWidth="1"/>
    <col min="3" max="3" width="41.42578125" style="374" customWidth="1"/>
    <col min="4" max="4" width="40" style="374" bestFit="1" customWidth="1"/>
    <col min="5" max="5" width="12.5703125" style="374" bestFit="1" customWidth="1"/>
    <col min="6" max="6" width="95" style="374" customWidth="1"/>
    <col min="7" max="7" width="26.42578125" style="471" hidden="1" customWidth="1"/>
    <col min="8" max="8" width="30" hidden="1" customWidth="1"/>
    <col min="9" max="9" width="75.5703125" style="374" hidden="1" customWidth="1"/>
    <col min="10" max="10" width="19.42578125" style="374" hidden="1" customWidth="1"/>
    <col min="11" max="11" width="20.42578125" style="374" customWidth="1"/>
    <col min="12" max="12" width="16.42578125" style="374" customWidth="1"/>
    <col min="13" max="13" width="29.42578125" style="374" customWidth="1"/>
    <col min="14" max="14" width="11.5703125" style="374" bestFit="1" customWidth="1"/>
    <col min="15" max="15" width="15.42578125" style="374" bestFit="1" customWidth="1"/>
    <col min="16" max="16" width="23.5703125" style="374" customWidth="1"/>
    <col min="17" max="17" width="19.5703125" style="374" customWidth="1"/>
    <col min="18" max="18" width="46.85546875" style="374" customWidth="1"/>
    <col min="19" max="19" width="68.85546875" style="374" customWidth="1"/>
    <col min="20" max="20" width="68.5703125" style="374" customWidth="1"/>
    <col min="21" max="21" width="68.85546875" style="374" customWidth="1"/>
    <col min="22" max="33" width="0" style="374" hidden="1" customWidth="1"/>
    <col min="34" max="36" width="0" hidden="1" customWidth="1"/>
  </cols>
  <sheetData>
    <row r="1" spans="2:33">
      <c r="B1" s="492" t="s">
        <v>2157</v>
      </c>
      <c r="C1" s="492" t="s">
        <v>336</v>
      </c>
      <c r="D1" s="492" t="s">
        <v>337</v>
      </c>
      <c r="E1" s="492" t="s">
        <v>338</v>
      </c>
      <c r="F1" s="492" t="s">
        <v>339</v>
      </c>
      <c r="G1" s="493" t="s">
        <v>6850</v>
      </c>
      <c r="H1" s="494" t="s">
        <v>6851</v>
      </c>
      <c r="I1" s="495" t="s">
        <v>6852</v>
      </c>
      <c r="J1" s="496" t="s">
        <v>157</v>
      </c>
      <c r="K1" s="496" t="s">
        <v>2159</v>
      </c>
      <c r="L1" s="496" t="s">
        <v>6853</v>
      </c>
      <c r="M1" s="496" t="s">
        <v>6854</v>
      </c>
      <c r="N1" s="497" t="s">
        <v>6855</v>
      </c>
      <c r="O1" s="497" t="s">
        <v>425</v>
      </c>
      <c r="P1" s="497" t="s">
        <v>426</v>
      </c>
      <c r="Q1" s="497" t="s">
        <v>427</v>
      </c>
      <c r="R1" s="497" t="s">
        <v>2161</v>
      </c>
      <c r="S1" s="497" t="s">
        <v>2162</v>
      </c>
      <c r="T1" s="497" t="s">
        <v>428</v>
      </c>
      <c r="U1" s="495" t="s">
        <v>16</v>
      </c>
      <c r="V1" s="498" t="s">
        <v>6856</v>
      </c>
      <c r="W1" s="498" t="s">
        <v>416</v>
      </c>
      <c r="X1" s="498" t="s">
        <v>417</v>
      </c>
      <c r="Y1" s="498" t="s">
        <v>418</v>
      </c>
      <c r="Z1" s="498" t="s">
        <v>419</v>
      </c>
      <c r="AA1" s="498" t="s">
        <v>420</v>
      </c>
      <c r="AB1" s="498" t="s">
        <v>421</v>
      </c>
      <c r="AC1" s="498" t="s">
        <v>422</v>
      </c>
      <c r="AD1" s="498" t="s">
        <v>423</v>
      </c>
      <c r="AE1" s="498" t="s">
        <v>424</v>
      </c>
      <c r="AF1" s="498" t="s">
        <v>16</v>
      </c>
      <c r="AG1" s="498" t="s">
        <v>6857</v>
      </c>
    </row>
    <row r="2" spans="2:33" hidden="1">
      <c r="B2" s="498" t="s">
        <v>6858</v>
      </c>
      <c r="C2" s="498" t="s">
        <v>6859</v>
      </c>
      <c r="D2" s="498" t="s">
        <v>341</v>
      </c>
      <c r="E2" s="498" t="s">
        <v>26</v>
      </c>
      <c r="F2" s="498" t="s">
        <v>6860</v>
      </c>
      <c r="G2" s="499" t="s">
        <v>326</v>
      </c>
      <c r="H2" s="500" t="s">
        <v>6861</v>
      </c>
      <c r="I2" s="498" t="s">
        <v>6862</v>
      </c>
      <c r="J2" s="498" t="s">
        <v>6863</v>
      </c>
      <c r="K2" s="498" t="s">
        <v>2173</v>
      </c>
      <c r="L2" s="498" t="s">
        <v>855</v>
      </c>
      <c r="M2" s="498" t="s">
        <v>6864</v>
      </c>
      <c r="N2" s="498" t="s">
        <v>6865</v>
      </c>
      <c r="O2" s="498" t="s">
        <v>1194</v>
      </c>
      <c r="P2" s="498" t="s">
        <v>620</v>
      </c>
      <c r="Q2" s="498" t="s">
        <v>6866</v>
      </c>
      <c r="R2" s="498" t="s">
        <v>6867</v>
      </c>
      <c r="S2" s="498" t="s">
        <v>6868</v>
      </c>
      <c r="T2" s="498"/>
      <c r="U2" s="498"/>
      <c r="V2" s="498" t="s">
        <v>6869</v>
      </c>
      <c r="W2" s="498" t="s">
        <v>6870</v>
      </c>
      <c r="X2" s="498" t="s">
        <v>3608</v>
      </c>
      <c r="Y2" s="498" t="s">
        <v>6871</v>
      </c>
      <c r="Z2" s="498">
        <v>4</v>
      </c>
      <c r="AA2" s="498" t="s">
        <v>6872</v>
      </c>
      <c r="AB2" s="498" t="s">
        <v>6873</v>
      </c>
      <c r="AC2" s="498" t="s">
        <v>6871</v>
      </c>
      <c r="AD2" s="498" t="s">
        <v>6871</v>
      </c>
      <c r="AE2" s="498" t="s">
        <v>6874</v>
      </c>
      <c r="AF2" s="498" t="s">
        <v>6875</v>
      </c>
      <c r="AG2" s="498" t="s">
        <v>6876</v>
      </c>
    </row>
    <row r="3" spans="2:33" hidden="1">
      <c r="B3" s="498" t="s">
        <v>6858</v>
      </c>
      <c r="C3" s="498" t="s">
        <v>6877</v>
      </c>
      <c r="D3" s="498" t="s">
        <v>4497</v>
      </c>
      <c r="E3" s="498" t="s">
        <v>26</v>
      </c>
      <c r="F3" s="498" t="s">
        <v>6878</v>
      </c>
      <c r="G3" s="499" t="s">
        <v>326</v>
      </c>
      <c r="H3" s="500" t="s">
        <v>6861</v>
      </c>
      <c r="I3" s="498" t="s">
        <v>6862</v>
      </c>
      <c r="J3" s="498" t="s">
        <v>6879</v>
      </c>
      <c r="K3" s="498" t="s">
        <v>2173</v>
      </c>
      <c r="L3" s="498" t="s">
        <v>855</v>
      </c>
      <c r="M3" s="498" t="s">
        <v>6864</v>
      </c>
      <c r="N3" s="498" t="s">
        <v>6865</v>
      </c>
      <c r="O3" s="498" t="s">
        <v>1194</v>
      </c>
      <c r="P3" s="498" t="s">
        <v>643</v>
      </c>
      <c r="Q3" s="498" t="s">
        <v>6880</v>
      </c>
      <c r="R3" s="498" t="s">
        <v>6881</v>
      </c>
      <c r="S3" s="498" t="s">
        <v>6868</v>
      </c>
      <c r="T3" s="498" t="s">
        <v>6882</v>
      </c>
      <c r="U3" s="498"/>
      <c r="V3" s="498" t="s">
        <v>2177</v>
      </c>
      <c r="W3" s="498" t="s">
        <v>6883</v>
      </c>
      <c r="X3" s="498" t="s">
        <v>4271</v>
      </c>
      <c r="Y3" s="498" t="s">
        <v>6871</v>
      </c>
      <c r="Z3" s="498" t="s">
        <v>6884</v>
      </c>
      <c r="AA3" s="498" t="s">
        <v>6885</v>
      </c>
      <c r="AB3" s="498"/>
      <c r="AC3" s="498" t="s">
        <v>6871</v>
      </c>
      <c r="AD3" s="498"/>
      <c r="AE3" s="498" t="s">
        <v>6886</v>
      </c>
      <c r="AF3" s="498"/>
      <c r="AG3" s="498"/>
    </row>
    <row r="4" spans="2:33" hidden="1">
      <c r="B4" s="498" t="s">
        <v>6858</v>
      </c>
      <c r="C4" s="498" t="s">
        <v>6887</v>
      </c>
      <c r="D4" s="498" t="s">
        <v>4497</v>
      </c>
      <c r="E4" s="498" t="s">
        <v>26</v>
      </c>
      <c r="F4" s="498" t="s">
        <v>6888</v>
      </c>
      <c r="G4" s="499" t="s">
        <v>326</v>
      </c>
      <c r="H4" s="500" t="s">
        <v>6861</v>
      </c>
      <c r="I4" s="498" t="s">
        <v>6862</v>
      </c>
      <c r="J4" s="498" t="s">
        <v>6879</v>
      </c>
      <c r="K4" s="498" t="s">
        <v>2173</v>
      </c>
      <c r="L4" s="498" t="s">
        <v>855</v>
      </c>
      <c r="M4" s="498" t="s">
        <v>6864</v>
      </c>
      <c r="N4" s="498" t="s">
        <v>6865</v>
      </c>
      <c r="O4" s="498" t="s">
        <v>1194</v>
      </c>
      <c r="P4" s="498" t="s">
        <v>643</v>
      </c>
      <c r="Q4" s="498" t="s">
        <v>6889</v>
      </c>
      <c r="R4" s="498" t="s">
        <v>6881</v>
      </c>
      <c r="S4" s="498" t="s">
        <v>6868</v>
      </c>
      <c r="T4" s="498" t="s">
        <v>6890</v>
      </c>
      <c r="U4" s="498"/>
      <c r="V4" s="498" t="s">
        <v>2177</v>
      </c>
      <c r="W4" s="498" t="s">
        <v>6883</v>
      </c>
      <c r="X4" s="498" t="s">
        <v>4271</v>
      </c>
      <c r="Y4" s="498" t="s">
        <v>6871</v>
      </c>
      <c r="Z4" s="498" t="s">
        <v>6884</v>
      </c>
      <c r="AA4" s="498" t="s">
        <v>6885</v>
      </c>
      <c r="AB4" s="498"/>
      <c r="AC4" s="498" t="s">
        <v>6871</v>
      </c>
      <c r="AD4" s="498"/>
      <c r="AE4" s="498" t="s">
        <v>6891</v>
      </c>
      <c r="AF4" s="498"/>
      <c r="AG4" s="498"/>
    </row>
    <row r="5" spans="2:33" hidden="1">
      <c r="B5" s="498" t="s">
        <v>6858</v>
      </c>
      <c r="C5" s="498" t="s">
        <v>6892</v>
      </c>
      <c r="D5" s="498" t="s">
        <v>341</v>
      </c>
      <c r="E5" s="498" t="s">
        <v>26</v>
      </c>
      <c r="F5" s="498" t="s">
        <v>6893</v>
      </c>
      <c r="G5" s="499" t="s">
        <v>326</v>
      </c>
      <c r="H5" s="500" t="s">
        <v>6861</v>
      </c>
      <c r="I5" s="498" t="s">
        <v>6894</v>
      </c>
      <c r="J5" s="498" t="s">
        <v>6879</v>
      </c>
      <c r="K5" s="498" t="s">
        <v>2173</v>
      </c>
      <c r="L5" s="498" t="s">
        <v>855</v>
      </c>
      <c r="M5" s="498" t="s">
        <v>6864</v>
      </c>
      <c r="N5" s="498" t="s">
        <v>6865</v>
      </c>
      <c r="O5" s="498" t="s">
        <v>1194</v>
      </c>
      <c r="P5" s="498" t="s">
        <v>6895</v>
      </c>
      <c r="Q5" s="498" t="s">
        <v>6896</v>
      </c>
      <c r="R5" s="498" t="s">
        <v>6897</v>
      </c>
      <c r="S5" s="498" t="s">
        <v>6868</v>
      </c>
      <c r="T5" s="498" t="s">
        <v>6898</v>
      </c>
      <c r="U5" s="498" t="s">
        <v>6899</v>
      </c>
      <c r="V5" s="498" t="s">
        <v>6900</v>
      </c>
      <c r="W5" s="498" t="s">
        <v>6883</v>
      </c>
      <c r="X5" s="498"/>
      <c r="Y5" s="498" t="s">
        <v>6871</v>
      </c>
      <c r="Z5" s="498"/>
      <c r="AA5" s="498" t="s">
        <v>6872</v>
      </c>
      <c r="AB5" s="498"/>
      <c r="AC5" s="498" t="s">
        <v>6871</v>
      </c>
      <c r="AD5" s="498"/>
      <c r="AE5" s="498"/>
      <c r="AF5" s="498" t="s">
        <v>6901</v>
      </c>
      <c r="AG5" s="498" t="s">
        <v>6902</v>
      </c>
    </row>
    <row r="6" spans="2:33" hidden="1">
      <c r="B6" s="498" t="s">
        <v>6858</v>
      </c>
      <c r="C6" s="498" t="s">
        <v>6903</v>
      </c>
      <c r="D6" s="498" t="s">
        <v>4497</v>
      </c>
      <c r="E6" s="498" t="s">
        <v>26</v>
      </c>
      <c r="F6" s="498" t="s">
        <v>6904</v>
      </c>
      <c r="G6" s="499" t="s">
        <v>326</v>
      </c>
      <c r="H6" s="500" t="s">
        <v>6861</v>
      </c>
      <c r="I6" s="498" t="s">
        <v>6862</v>
      </c>
      <c r="J6" s="498" t="s">
        <v>6879</v>
      </c>
      <c r="K6" s="498" t="s">
        <v>2173</v>
      </c>
      <c r="L6" s="498" t="s">
        <v>855</v>
      </c>
      <c r="M6" s="498" t="s">
        <v>6864</v>
      </c>
      <c r="N6" s="498" t="s">
        <v>6865</v>
      </c>
      <c r="O6" s="498" t="s">
        <v>1194</v>
      </c>
      <c r="P6" s="498" t="s">
        <v>6895</v>
      </c>
      <c r="Q6" s="498" t="s">
        <v>1348</v>
      </c>
      <c r="R6" s="498" t="s">
        <v>6897</v>
      </c>
      <c r="S6" s="498" t="s">
        <v>6868</v>
      </c>
      <c r="T6" s="498"/>
      <c r="U6" s="498"/>
      <c r="V6" s="498" t="s">
        <v>6905</v>
      </c>
      <c r="W6" s="498" t="s">
        <v>6883</v>
      </c>
      <c r="X6" s="498" t="s">
        <v>2207</v>
      </c>
      <c r="Y6" s="498" t="s">
        <v>6871</v>
      </c>
      <c r="Z6" s="498"/>
      <c r="AA6" s="498" t="s">
        <v>6906</v>
      </c>
      <c r="AB6" s="498"/>
      <c r="AC6" s="498" t="s">
        <v>6871</v>
      </c>
      <c r="AD6" s="498"/>
      <c r="AE6" s="498" t="s">
        <v>6907</v>
      </c>
      <c r="AF6" s="498" t="s">
        <v>6905</v>
      </c>
      <c r="AG6" s="498"/>
    </row>
    <row r="7" spans="2:33" hidden="1">
      <c r="B7" s="498" t="s">
        <v>6858</v>
      </c>
      <c r="C7" s="498" t="s">
        <v>1218</v>
      </c>
      <c r="D7" s="498" t="s">
        <v>3919</v>
      </c>
      <c r="E7" s="498" t="s">
        <v>26</v>
      </c>
      <c r="F7" s="498" t="s">
        <v>6908</v>
      </c>
      <c r="G7" s="499" t="s">
        <v>326</v>
      </c>
      <c r="H7" s="500" t="s">
        <v>6861</v>
      </c>
      <c r="I7" s="498" t="s">
        <v>6862</v>
      </c>
      <c r="J7" s="498" t="s">
        <v>6879</v>
      </c>
      <c r="K7" s="498" t="s">
        <v>2173</v>
      </c>
      <c r="L7" s="498" t="s">
        <v>855</v>
      </c>
      <c r="M7" s="498" t="s">
        <v>6864</v>
      </c>
      <c r="N7" s="498" t="s">
        <v>6865</v>
      </c>
      <c r="O7" s="498" t="s">
        <v>1194</v>
      </c>
      <c r="P7" s="498" t="s">
        <v>6909</v>
      </c>
      <c r="Q7" s="498" t="s">
        <v>2226</v>
      </c>
      <c r="R7" s="498" t="s">
        <v>6910</v>
      </c>
      <c r="S7" s="498" t="s">
        <v>6868</v>
      </c>
      <c r="T7" s="498"/>
      <c r="U7" s="498"/>
      <c r="V7" s="498" t="s">
        <v>6905</v>
      </c>
      <c r="W7" s="498" t="s">
        <v>6870</v>
      </c>
      <c r="X7" s="498" t="s">
        <v>2179</v>
      </c>
      <c r="Y7" s="498"/>
      <c r="Z7" s="498">
        <v>100</v>
      </c>
      <c r="AA7" s="498" t="s">
        <v>6872</v>
      </c>
      <c r="AB7" s="498"/>
      <c r="AC7" s="498" t="s">
        <v>6871</v>
      </c>
      <c r="AD7" s="498"/>
      <c r="AE7" s="498" t="s">
        <v>6874</v>
      </c>
      <c r="AF7" s="498" t="s">
        <v>6905</v>
      </c>
      <c r="AG7" s="498"/>
    </row>
    <row r="8" spans="2:33" hidden="1">
      <c r="B8" s="498" t="s">
        <v>6858</v>
      </c>
      <c r="C8" s="498" t="s">
        <v>6911</v>
      </c>
      <c r="D8" s="498" t="s">
        <v>3919</v>
      </c>
      <c r="E8" s="498" t="s">
        <v>26</v>
      </c>
      <c r="F8" s="498" t="s">
        <v>6912</v>
      </c>
      <c r="G8" s="499" t="s">
        <v>326</v>
      </c>
      <c r="H8" s="500" t="s">
        <v>6861</v>
      </c>
      <c r="I8" s="498" t="s">
        <v>6862</v>
      </c>
      <c r="J8" s="498" t="s">
        <v>6879</v>
      </c>
      <c r="K8" s="498" t="s">
        <v>2173</v>
      </c>
      <c r="L8" s="498" t="s">
        <v>855</v>
      </c>
      <c r="M8" s="498" t="s">
        <v>6864</v>
      </c>
      <c r="N8" s="498" t="s">
        <v>6865</v>
      </c>
      <c r="O8" s="498" t="s">
        <v>1194</v>
      </c>
      <c r="P8" s="498" t="s">
        <v>6909</v>
      </c>
      <c r="Q8" s="498" t="s">
        <v>6913</v>
      </c>
      <c r="R8" s="498" t="s">
        <v>6910</v>
      </c>
      <c r="S8" s="498" t="s">
        <v>6868</v>
      </c>
      <c r="T8" s="498"/>
      <c r="U8" s="498"/>
      <c r="V8" s="498" t="s">
        <v>6905</v>
      </c>
      <c r="W8" s="498" t="s">
        <v>6870</v>
      </c>
      <c r="X8" s="498" t="s">
        <v>2179</v>
      </c>
      <c r="Y8" s="498"/>
      <c r="Z8" s="498">
        <v>40</v>
      </c>
      <c r="AA8" s="498" t="s">
        <v>6872</v>
      </c>
      <c r="AB8" s="498"/>
      <c r="AC8" s="498" t="s">
        <v>6871</v>
      </c>
      <c r="AD8" s="498"/>
      <c r="AE8" s="498" t="s">
        <v>6874</v>
      </c>
      <c r="AF8" s="498" t="s">
        <v>6905</v>
      </c>
      <c r="AG8" s="498"/>
    </row>
    <row r="9" spans="2:33" hidden="1">
      <c r="B9" s="498" t="s">
        <v>6858</v>
      </c>
      <c r="C9" s="498" t="s">
        <v>6914</v>
      </c>
      <c r="D9" s="498" t="s">
        <v>3919</v>
      </c>
      <c r="E9" s="498" t="s">
        <v>26</v>
      </c>
      <c r="F9" s="498" t="s">
        <v>6915</v>
      </c>
      <c r="G9" s="499" t="s">
        <v>326</v>
      </c>
      <c r="H9" s="500" t="s">
        <v>6861</v>
      </c>
      <c r="I9" s="498" t="s">
        <v>6862</v>
      </c>
      <c r="J9" s="498" t="s">
        <v>6879</v>
      </c>
      <c r="K9" s="498" t="s">
        <v>2173</v>
      </c>
      <c r="L9" s="498" t="s">
        <v>855</v>
      </c>
      <c r="M9" s="498" t="s">
        <v>6864</v>
      </c>
      <c r="N9" s="498" t="s">
        <v>6865</v>
      </c>
      <c r="O9" s="498" t="s">
        <v>1194</v>
      </c>
      <c r="P9" s="498" t="s">
        <v>6909</v>
      </c>
      <c r="Q9" s="498" t="s">
        <v>6916</v>
      </c>
      <c r="R9" s="498" t="s">
        <v>6910</v>
      </c>
      <c r="S9" s="498" t="s">
        <v>6868</v>
      </c>
      <c r="T9" s="498"/>
      <c r="U9" s="498"/>
      <c r="V9" s="498" t="s">
        <v>6905</v>
      </c>
      <c r="W9" s="498" t="s">
        <v>6870</v>
      </c>
      <c r="X9" s="498" t="s">
        <v>2179</v>
      </c>
      <c r="Y9" s="498"/>
      <c r="Z9" s="498">
        <v>40</v>
      </c>
      <c r="AA9" s="498" t="s">
        <v>6872</v>
      </c>
      <c r="AB9" s="498"/>
      <c r="AC9" s="498" t="s">
        <v>6871</v>
      </c>
      <c r="AD9" s="498"/>
      <c r="AE9" s="498" t="s">
        <v>6874</v>
      </c>
      <c r="AF9" s="498" t="s">
        <v>6905</v>
      </c>
      <c r="AG9" s="498"/>
    </row>
    <row r="10" spans="2:33" hidden="1">
      <c r="B10" s="498" t="s">
        <v>6858</v>
      </c>
      <c r="C10" s="498" t="s">
        <v>6917</v>
      </c>
      <c r="D10" s="498" t="s">
        <v>4497</v>
      </c>
      <c r="E10" s="498" t="s">
        <v>26</v>
      </c>
      <c r="F10" s="498" t="s">
        <v>6918</v>
      </c>
      <c r="G10" s="499" t="s">
        <v>326</v>
      </c>
      <c r="H10" s="500" t="s">
        <v>6861</v>
      </c>
      <c r="I10" s="498" t="s">
        <v>6862</v>
      </c>
      <c r="J10" s="498" t="s">
        <v>2527</v>
      </c>
      <c r="K10" s="498" t="s">
        <v>2173</v>
      </c>
      <c r="L10" s="498" t="s">
        <v>855</v>
      </c>
      <c r="M10" s="498" t="s">
        <v>6864</v>
      </c>
      <c r="N10" s="498" t="s">
        <v>6865</v>
      </c>
      <c r="O10" s="498" t="s">
        <v>2101</v>
      </c>
      <c r="P10" s="498" t="s">
        <v>653</v>
      </c>
      <c r="Q10" s="498" t="s">
        <v>6919</v>
      </c>
      <c r="R10" s="498" t="s">
        <v>6920</v>
      </c>
      <c r="S10" s="498" t="s">
        <v>6868</v>
      </c>
      <c r="T10" s="498" t="s">
        <v>6921</v>
      </c>
      <c r="U10" s="498"/>
      <c r="V10" s="498" t="s">
        <v>2177</v>
      </c>
      <c r="W10" s="498" t="s">
        <v>6883</v>
      </c>
      <c r="X10" s="498" t="s">
        <v>4271</v>
      </c>
      <c r="Y10" s="498" t="s">
        <v>6871</v>
      </c>
      <c r="Z10" s="498" t="s">
        <v>6884</v>
      </c>
      <c r="AA10" s="498" t="s">
        <v>6885</v>
      </c>
      <c r="AB10" s="498"/>
      <c r="AC10" s="498"/>
      <c r="AD10" s="498"/>
      <c r="AE10" s="498" t="s">
        <v>855</v>
      </c>
      <c r="AF10" s="498"/>
      <c r="AG10" s="498" t="s">
        <v>6922</v>
      </c>
    </row>
    <row r="11" spans="2:33" hidden="1">
      <c r="B11" s="498" t="s">
        <v>6858</v>
      </c>
      <c r="C11" s="498" t="s">
        <v>6917</v>
      </c>
      <c r="D11" s="498" t="s">
        <v>6923</v>
      </c>
      <c r="E11" s="498" t="s">
        <v>26</v>
      </c>
      <c r="F11" s="498" t="s">
        <v>6918</v>
      </c>
      <c r="G11" s="499" t="s">
        <v>326</v>
      </c>
      <c r="H11" s="500" t="s">
        <v>6861</v>
      </c>
      <c r="I11" s="498" t="s">
        <v>6862</v>
      </c>
      <c r="J11" s="498" t="s">
        <v>2527</v>
      </c>
      <c r="K11" s="498" t="s">
        <v>2173</v>
      </c>
      <c r="L11" s="498" t="s">
        <v>855</v>
      </c>
      <c r="M11" s="498" t="s">
        <v>6864</v>
      </c>
      <c r="N11" s="498" t="s">
        <v>6865</v>
      </c>
      <c r="O11" s="498" t="s">
        <v>2101</v>
      </c>
      <c r="P11" s="498" t="s">
        <v>653</v>
      </c>
      <c r="Q11" s="498" t="s">
        <v>6919</v>
      </c>
      <c r="R11" s="498" t="s">
        <v>6920</v>
      </c>
      <c r="S11" s="498" t="s">
        <v>6868</v>
      </c>
      <c r="T11" s="498" t="s">
        <v>6921</v>
      </c>
      <c r="U11" s="498"/>
      <c r="V11" s="498" t="s">
        <v>2177</v>
      </c>
      <c r="W11" s="498" t="s">
        <v>6883</v>
      </c>
      <c r="X11" s="498" t="s">
        <v>4271</v>
      </c>
      <c r="Y11" s="498"/>
      <c r="Z11" s="498" t="s">
        <v>6884</v>
      </c>
      <c r="AA11" s="498"/>
      <c r="AB11" s="498"/>
      <c r="AC11" s="498"/>
      <c r="AD11" s="498"/>
      <c r="AE11" s="498" t="s">
        <v>855</v>
      </c>
      <c r="AF11" s="498"/>
      <c r="AG11" s="498" t="s">
        <v>6922</v>
      </c>
    </row>
    <row r="12" spans="2:33" hidden="1">
      <c r="B12" s="498" t="s">
        <v>6858</v>
      </c>
      <c r="C12" s="498" t="s">
        <v>6924</v>
      </c>
      <c r="D12" s="498" t="s">
        <v>3919</v>
      </c>
      <c r="E12" s="498" t="s">
        <v>26</v>
      </c>
      <c r="F12" s="498" t="s">
        <v>6925</v>
      </c>
      <c r="G12" s="499" t="s">
        <v>326</v>
      </c>
      <c r="H12" s="500" t="s">
        <v>6861</v>
      </c>
      <c r="I12" s="498" t="s">
        <v>6862</v>
      </c>
      <c r="J12" s="498" t="s">
        <v>6879</v>
      </c>
      <c r="K12" s="498" t="s">
        <v>2173</v>
      </c>
      <c r="L12" s="498" t="s">
        <v>855</v>
      </c>
      <c r="M12" s="498" t="s">
        <v>6864</v>
      </c>
      <c r="N12" s="498" t="s">
        <v>6926</v>
      </c>
      <c r="O12" s="498" t="s">
        <v>1194</v>
      </c>
      <c r="P12" s="498" t="s">
        <v>6927</v>
      </c>
      <c r="Q12" s="498" t="s">
        <v>1196</v>
      </c>
      <c r="R12" s="498" t="s">
        <v>6928</v>
      </c>
      <c r="S12" s="498" t="s">
        <v>6868</v>
      </c>
      <c r="T12" s="498"/>
      <c r="U12" s="498"/>
      <c r="V12" s="498" t="s">
        <v>6869</v>
      </c>
      <c r="W12" s="498" t="s">
        <v>6929</v>
      </c>
      <c r="X12" s="498" t="s">
        <v>2207</v>
      </c>
      <c r="Y12" s="498" t="s">
        <v>6871</v>
      </c>
      <c r="Z12" s="498"/>
      <c r="AA12" s="498"/>
      <c r="AB12" s="498"/>
      <c r="AC12" s="498" t="s">
        <v>6930</v>
      </c>
      <c r="AD12" s="498" t="s">
        <v>6871</v>
      </c>
      <c r="AE12" s="498" t="s">
        <v>6931</v>
      </c>
      <c r="AF12" s="498" t="s">
        <v>6875</v>
      </c>
      <c r="AG12" s="498" t="s">
        <v>6876</v>
      </c>
    </row>
    <row r="13" spans="2:33" hidden="1">
      <c r="B13" s="498" t="s">
        <v>6858</v>
      </c>
      <c r="C13" s="498" t="s">
        <v>2400</v>
      </c>
      <c r="D13" s="498" t="s">
        <v>6932</v>
      </c>
      <c r="E13" s="498" t="s">
        <v>26</v>
      </c>
      <c r="F13" s="498" t="s">
        <v>6933</v>
      </c>
      <c r="G13" s="499" t="s">
        <v>326</v>
      </c>
      <c r="H13" s="500" t="s">
        <v>6861</v>
      </c>
      <c r="I13" s="498" t="s">
        <v>6862</v>
      </c>
      <c r="J13" s="498" t="s">
        <v>6934</v>
      </c>
      <c r="K13" s="498" t="s">
        <v>2173</v>
      </c>
      <c r="L13" s="498" t="s">
        <v>855</v>
      </c>
      <c r="M13" s="498" t="s">
        <v>6864</v>
      </c>
      <c r="N13" s="498" t="s">
        <v>6865</v>
      </c>
      <c r="O13" s="498" t="s">
        <v>2101</v>
      </c>
      <c r="P13" s="498" t="s">
        <v>6927</v>
      </c>
      <c r="Q13" s="498" t="s">
        <v>1716</v>
      </c>
      <c r="R13" s="498" t="s">
        <v>6928</v>
      </c>
      <c r="S13" s="498" t="s">
        <v>6868</v>
      </c>
      <c r="T13" s="498"/>
      <c r="U13" s="498"/>
      <c r="V13" s="498" t="s">
        <v>6905</v>
      </c>
      <c r="W13" s="498" t="s">
        <v>6935</v>
      </c>
      <c r="X13" s="498" t="s">
        <v>6936</v>
      </c>
      <c r="Y13" s="498"/>
      <c r="Z13" s="498">
        <v>3</v>
      </c>
      <c r="AA13" s="498"/>
      <c r="AB13" s="498"/>
      <c r="AC13" s="498"/>
      <c r="AD13" s="498"/>
      <c r="AE13" s="498" t="s">
        <v>855</v>
      </c>
      <c r="AF13" s="498" t="s">
        <v>6905</v>
      </c>
      <c r="AG13" s="498"/>
    </row>
    <row r="14" spans="2:33" hidden="1">
      <c r="B14" s="498" t="s">
        <v>6858</v>
      </c>
      <c r="C14" s="498" t="s">
        <v>375</v>
      </c>
      <c r="D14" s="498" t="s">
        <v>6932</v>
      </c>
      <c r="E14" s="498" t="s">
        <v>26</v>
      </c>
      <c r="F14" s="498" t="s">
        <v>6937</v>
      </c>
      <c r="G14" s="499" t="s">
        <v>326</v>
      </c>
      <c r="H14" s="500" t="s">
        <v>6861</v>
      </c>
      <c r="I14" s="498" t="s">
        <v>6862</v>
      </c>
      <c r="J14" s="498" t="s">
        <v>6934</v>
      </c>
      <c r="K14" s="498" t="s">
        <v>2173</v>
      </c>
      <c r="L14" s="498" t="s">
        <v>855</v>
      </c>
      <c r="M14" s="498" t="s">
        <v>6864</v>
      </c>
      <c r="N14" s="498" t="s">
        <v>6865</v>
      </c>
      <c r="O14" s="498" t="s">
        <v>2101</v>
      </c>
      <c r="P14" s="498" t="s">
        <v>6927</v>
      </c>
      <c r="Q14" s="498" t="s">
        <v>6938</v>
      </c>
      <c r="R14" s="498" t="s">
        <v>6928</v>
      </c>
      <c r="S14" s="498" t="s">
        <v>6868</v>
      </c>
      <c r="T14" s="498"/>
      <c r="U14" s="498"/>
      <c r="V14" s="498" t="s">
        <v>6905</v>
      </c>
      <c r="W14" s="498" t="s">
        <v>6935</v>
      </c>
      <c r="X14" s="498" t="s">
        <v>3608</v>
      </c>
      <c r="Y14" s="498"/>
      <c r="Z14" s="498">
        <v>11</v>
      </c>
      <c r="AA14" s="498"/>
      <c r="AB14" s="498"/>
      <c r="AC14" s="498"/>
      <c r="AD14" s="498"/>
      <c r="AE14" s="498" t="s">
        <v>855</v>
      </c>
      <c r="AF14" s="498" t="s">
        <v>6905</v>
      </c>
      <c r="AG14" s="498" t="s">
        <v>6939</v>
      </c>
    </row>
    <row r="15" spans="2:33" hidden="1">
      <c r="B15" s="498" t="s">
        <v>6858</v>
      </c>
      <c r="C15" s="498" t="s">
        <v>6940</v>
      </c>
      <c r="D15" s="498" t="s">
        <v>6932</v>
      </c>
      <c r="E15" s="498" t="s">
        <v>26</v>
      </c>
      <c r="F15" s="498" t="s">
        <v>6941</v>
      </c>
      <c r="G15" s="499" t="s">
        <v>326</v>
      </c>
      <c r="H15" s="500" t="s">
        <v>6861</v>
      </c>
      <c r="I15" s="498" t="s">
        <v>6862</v>
      </c>
      <c r="J15" s="498" t="s">
        <v>6934</v>
      </c>
      <c r="K15" s="498" t="s">
        <v>2173</v>
      </c>
      <c r="L15" s="498" t="s">
        <v>855</v>
      </c>
      <c r="M15" s="498" t="s">
        <v>6864</v>
      </c>
      <c r="N15" s="498" t="s">
        <v>6865</v>
      </c>
      <c r="O15" s="498" t="s">
        <v>2101</v>
      </c>
      <c r="P15" s="498" t="s">
        <v>6927</v>
      </c>
      <c r="Q15" s="498" t="s">
        <v>6942</v>
      </c>
      <c r="R15" s="498" t="s">
        <v>6928</v>
      </c>
      <c r="S15" s="498" t="s">
        <v>6868</v>
      </c>
      <c r="T15" s="498"/>
      <c r="U15" s="498"/>
      <c r="V15" s="498" t="s">
        <v>6905</v>
      </c>
      <c r="W15" s="498" t="s">
        <v>6935</v>
      </c>
      <c r="X15" s="498" t="s">
        <v>3608</v>
      </c>
      <c r="Y15" s="498"/>
      <c r="Z15" s="498">
        <v>4</v>
      </c>
      <c r="AA15" s="498"/>
      <c r="AB15" s="498"/>
      <c r="AC15" s="498"/>
      <c r="AD15" s="498"/>
      <c r="AE15" s="498" t="s">
        <v>855</v>
      </c>
      <c r="AF15" s="498" t="s">
        <v>6905</v>
      </c>
      <c r="AG15" s="498" t="s">
        <v>6943</v>
      </c>
    </row>
    <row r="16" spans="2:33" hidden="1">
      <c r="B16" s="498" t="s">
        <v>6858</v>
      </c>
      <c r="C16" s="498" t="s">
        <v>6944</v>
      </c>
      <c r="D16" s="498" t="s">
        <v>6932</v>
      </c>
      <c r="E16" s="498" t="s">
        <v>26</v>
      </c>
      <c r="F16" s="498" t="s">
        <v>6945</v>
      </c>
      <c r="G16" s="499" t="s">
        <v>326</v>
      </c>
      <c r="H16" s="500" t="s">
        <v>6861</v>
      </c>
      <c r="I16" s="498" t="s">
        <v>6862</v>
      </c>
      <c r="J16" s="498" t="s">
        <v>6934</v>
      </c>
      <c r="K16" s="498" t="s">
        <v>2173</v>
      </c>
      <c r="L16" s="498" t="s">
        <v>855</v>
      </c>
      <c r="M16" s="498" t="s">
        <v>6864</v>
      </c>
      <c r="N16" s="498" t="s">
        <v>6865</v>
      </c>
      <c r="O16" s="498" t="s">
        <v>2101</v>
      </c>
      <c r="P16" s="498" t="s">
        <v>6927</v>
      </c>
      <c r="Q16" s="498" t="s">
        <v>6946</v>
      </c>
      <c r="R16" s="498" t="s">
        <v>6928</v>
      </c>
      <c r="S16" s="498" t="s">
        <v>6868</v>
      </c>
      <c r="T16" s="498"/>
      <c r="U16" s="498"/>
      <c r="V16" s="498" t="s">
        <v>6905</v>
      </c>
      <c r="W16" s="498" t="s">
        <v>6935</v>
      </c>
      <c r="X16" s="498" t="s">
        <v>3582</v>
      </c>
      <c r="Y16" s="498"/>
      <c r="Z16" s="498">
        <v>100</v>
      </c>
      <c r="AA16" s="498"/>
      <c r="AB16" s="498" t="s">
        <v>3608</v>
      </c>
      <c r="AC16" s="498"/>
      <c r="AD16" s="498"/>
      <c r="AE16" s="498" t="s">
        <v>855</v>
      </c>
      <c r="AF16" s="498" t="s">
        <v>6905</v>
      </c>
      <c r="AG16" s="498"/>
    </row>
    <row r="17" spans="2:33" hidden="1">
      <c r="B17" s="498" t="s">
        <v>6858</v>
      </c>
      <c r="C17" s="498" t="s">
        <v>6947</v>
      </c>
      <c r="D17" s="498" t="s">
        <v>6932</v>
      </c>
      <c r="E17" s="498" t="s">
        <v>26</v>
      </c>
      <c r="F17" s="498" t="s">
        <v>6948</v>
      </c>
      <c r="G17" s="499" t="s">
        <v>326</v>
      </c>
      <c r="H17" s="500" t="s">
        <v>6861</v>
      </c>
      <c r="I17" s="498" t="s">
        <v>6862</v>
      </c>
      <c r="J17" s="498" t="s">
        <v>6934</v>
      </c>
      <c r="K17" s="498" t="s">
        <v>2173</v>
      </c>
      <c r="L17" s="498" t="s">
        <v>855</v>
      </c>
      <c r="M17" s="498" t="s">
        <v>6864</v>
      </c>
      <c r="N17" s="498" t="s">
        <v>6865</v>
      </c>
      <c r="O17" s="498" t="s">
        <v>2101</v>
      </c>
      <c r="P17" s="498" t="s">
        <v>6927</v>
      </c>
      <c r="Q17" s="498" t="s">
        <v>6949</v>
      </c>
      <c r="R17" s="498" t="s">
        <v>6928</v>
      </c>
      <c r="S17" s="498" t="s">
        <v>6868</v>
      </c>
      <c r="T17" s="498"/>
      <c r="U17" s="498"/>
      <c r="V17" s="498" t="s">
        <v>6905</v>
      </c>
      <c r="W17" s="498" t="s">
        <v>6935</v>
      </c>
      <c r="X17" s="498" t="s">
        <v>3582</v>
      </c>
      <c r="Y17" s="498"/>
      <c r="Z17" s="498">
        <v>100</v>
      </c>
      <c r="AA17" s="498"/>
      <c r="AB17" s="498" t="s">
        <v>3608</v>
      </c>
      <c r="AC17" s="498"/>
      <c r="AD17" s="498"/>
      <c r="AE17" s="498" t="s">
        <v>855</v>
      </c>
      <c r="AF17" s="498" t="s">
        <v>6905</v>
      </c>
      <c r="AG17" s="498"/>
    </row>
    <row r="18" spans="2:33" hidden="1">
      <c r="B18" s="498" t="s">
        <v>6858</v>
      </c>
      <c r="C18" s="498" t="s">
        <v>6950</v>
      </c>
      <c r="D18" s="498" t="s">
        <v>6932</v>
      </c>
      <c r="E18" s="498" t="s">
        <v>26</v>
      </c>
      <c r="F18" s="498" t="s">
        <v>6951</v>
      </c>
      <c r="G18" s="499" t="s">
        <v>326</v>
      </c>
      <c r="H18" s="500" t="s">
        <v>6861</v>
      </c>
      <c r="I18" s="498" t="s">
        <v>6862</v>
      </c>
      <c r="J18" s="498" t="s">
        <v>6934</v>
      </c>
      <c r="K18" s="498" t="s">
        <v>2173</v>
      </c>
      <c r="L18" s="498" t="s">
        <v>855</v>
      </c>
      <c r="M18" s="498" t="s">
        <v>6864</v>
      </c>
      <c r="N18" s="498" t="s">
        <v>6865</v>
      </c>
      <c r="O18" s="498" t="s">
        <v>2101</v>
      </c>
      <c r="P18" s="498" t="s">
        <v>6927</v>
      </c>
      <c r="Q18" s="498" t="s">
        <v>6952</v>
      </c>
      <c r="R18" s="498" t="s">
        <v>6928</v>
      </c>
      <c r="S18" s="498" t="s">
        <v>6868</v>
      </c>
      <c r="T18" s="498"/>
      <c r="U18" s="498"/>
      <c r="V18" s="498" t="s">
        <v>6905</v>
      </c>
      <c r="W18" s="498" t="s">
        <v>6935</v>
      </c>
      <c r="X18" s="498" t="s">
        <v>3608</v>
      </c>
      <c r="Y18" s="498"/>
      <c r="Z18" s="498">
        <v>250</v>
      </c>
      <c r="AA18" s="498"/>
      <c r="AB18" s="498"/>
      <c r="AC18" s="498"/>
      <c r="AD18" s="498"/>
      <c r="AE18" s="498" t="s">
        <v>855</v>
      </c>
      <c r="AF18" s="498" t="s">
        <v>6905</v>
      </c>
      <c r="AG18" s="498"/>
    </row>
    <row r="19" spans="2:33" hidden="1">
      <c r="B19" s="498" t="s">
        <v>6858</v>
      </c>
      <c r="C19" s="498" t="s">
        <v>6953</v>
      </c>
      <c r="D19" s="498" t="s">
        <v>341</v>
      </c>
      <c r="E19" s="498" t="s">
        <v>26</v>
      </c>
      <c r="F19" s="498" t="s">
        <v>6954</v>
      </c>
      <c r="G19" s="499" t="s">
        <v>326</v>
      </c>
      <c r="H19" s="500" t="s">
        <v>6861</v>
      </c>
      <c r="I19" s="498" t="s">
        <v>6862</v>
      </c>
      <c r="J19" s="498" t="s">
        <v>6879</v>
      </c>
      <c r="K19" s="498" t="s">
        <v>2173</v>
      </c>
      <c r="L19" s="498" t="s">
        <v>855</v>
      </c>
      <c r="M19" s="498" t="s">
        <v>6864</v>
      </c>
      <c r="N19" s="498" t="s">
        <v>6865</v>
      </c>
      <c r="O19" s="498" t="s">
        <v>1194</v>
      </c>
      <c r="P19" s="498" t="s">
        <v>6955</v>
      </c>
      <c r="Q19" s="498" t="s">
        <v>6956</v>
      </c>
      <c r="R19" s="498" t="s">
        <v>6957</v>
      </c>
      <c r="S19" s="498" t="s">
        <v>6868</v>
      </c>
      <c r="T19" s="498" t="s">
        <v>6958</v>
      </c>
      <c r="U19" s="498"/>
      <c r="V19" s="498" t="s">
        <v>2177</v>
      </c>
      <c r="W19" s="498" t="s">
        <v>6870</v>
      </c>
      <c r="X19" s="498" t="s">
        <v>6959</v>
      </c>
      <c r="Y19" s="498"/>
      <c r="Z19" s="498" t="s">
        <v>6960</v>
      </c>
      <c r="AA19" s="498" t="s">
        <v>6872</v>
      </c>
      <c r="AB19" s="498" t="s">
        <v>3608</v>
      </c>
      <c r="AC19" s="498"/>
      <c r="AD19" s="498"/>
      <c r="AE19" s="498" t="s">
        <v>6961</v>
      </c>
      <c r="AF19" s="498"/>
      <c r="AG19" s="498"/>
    </row>
    <row r="20" spans="2:33" hidden="1">
      <c r="B20" s="498" t="s">
        <v>6858</v>
      </c>
      <c r="C20" s="498" t="s">
        <v>6962</v>
      </c>
      <c r="D20" s="498" t="s">
        <v>341</v>
      </c>
      <c r="E20" s="498" t="s">
        <v>26</v>
      </c>
      <c r="F20" s="498" t="s">
        <v>6963</v>
      </c>
      <c r="G20" s="499" t="s">
        <v>326</v>
      </c>
      <c r="H20" s="500" t="s">
        <v>6861</v>
      </c>
      <c r="I20" s="498" t="s">
        <v>6862</v>
      </c>
      <c r="J20" s="498" t="s">
        <v>6964</v>
      </c>
      <c r="K20" s="498" t="s">
        <v>2173</v>
      </c>
      <c r="L20" s="498" t="s">
        <v>855</v>
      </c>
      <c r="M20" s="498" t="s">
        <v>6864</v>
      </c>
      <c r="N20" s="498" t="s">
        <v>6865</v>
      </c>
      <c r="O20" s="498" t="s">
        <v>1194</v>
      </c>
      <c r="P20" s="498" t="s">
        <v>574</v>
      </c>
      <c r="Q20" s="498" t="s">
        <v>6965</v>
      </c>
      <c r="R20" s="498" t="s">
        <v>6957</v>
      </c>
      <c r="S20" s="498" t="s">
        <v>6868</v>
      </c>
      <c r="T20" s="498" t="s">
        <v>6966</v>
      </c>
      <c r="U20" s="498"/>
      <c r="V20" s="498" t="s">
        <v>2177</v>
      </c>
      <c r="W20" s="498" t="s">
        <v>6883</v>
      </c>
      <c r="X20" s="498" t="s">
        <v>3608</v>
      </c>
      <c r="Y20" s="498" t="s">
        <v>6871</v>
      </c>
      <c r="Z20" s="498">
        <v>25</v>
      </c>
      <c r="AA20" s="498" t="s">
        <v>6872</v>
      </c>
      <c r="AB20" s="498"/>
      <c r="AC20" s="498"/>
      <c r="AD20" s="498"/>
      <c r="AE20" s="498" t="s">
        <v>6961</v>
      </c>
      <c r="AF20" s="498"/>
      <c r="AG20" s="498" t="s">
        <v>6967</v>
      </c>
    </row>
    <row r="21" spans="2:33" hidden="1">
      <c r="B21" s="498" t="s">
        <v>6968</v>
      </c>
      <c r="C21" s="498" t="s">
        <v>6969</v>
      </c>
      <c r="D21" s="498" t="s">
        <v>341</v>
      </c>
      <c r="E21" s="498" t="s">
        <v>26</v>
      </c>
      <c r="F21" s="498" t="s">
        <v>6970</v>
      </c>
      <c r="G21" s="499" t="s">
        <v>326</v>
      </c>
      <c r="H21" s="500" t="s">
        <v>6861</v>
      </c>
      <c r="I21" s="498" t="s">
        <v>6862</v>
      </c>
      <c r="J21" s="498" t="s">
        <v>6934</v>
      </c>
      <c r="K21" s="498" t="s">
        <v>2173</v>
      </c>
      <c r="L21" s="498" t="s">
        <v>855</v>
      </c>
      <c r="M21" s="498" t="s">
        <v>6864</v>
      </c>
      <c r="N21" s="498" t="s">
        <v>6865</v>
      </c>
      <c r="O21" s="498" t="s">
        <v>1194</v>
      </c>
      <c r="P21" s="498" t="s">
        <v>6971</v>
      </c>
      <c r="Q21" s="498" t="s">
        <v>6972</v>
      </c>
      <c r="R21" s="498" t="s">
        <v>6973</v>
      </c>
      <c r="S21" s="498" t="s">
        <v>6868</v>
      </c>
      <c r="T21" s="498" t="s">
        <v>6974</v>
      </c>
      <c r="U21" s="498"/>
      <c r="V21" s="498" t="s">
        <v>2177</v>
      </c>
      <c r="W21" s="498" t="s">
        <v>6870</v>
      </c>
      <c r="X21" s="498"/>
      <c r="Y21" s="498" t="s">
        <v>6871</v>
      </c>
      <c r="Z21" s="498"/>
      <c r="AA21" s="498" t="s">
        <v>6872</v>
      </c>
      <c r="AB21" s="498"/>
      <c r="AC21" s="498" t="s">
        <v>6871</v>
      </c>
      <c r="AD21" s="498"/>
      <c r="AE21" s="498" t="s">
        <v>6874</v>
      </c>
      <c r="AF21" s="498"/>
      <c r="AG21" s="498"/>
    </row>
    <row r="22" spans="2:33" hidden="1">
      <c r="B22" s="498" t="s">
        <v>6968</v>
      </c>
      <c r="C22" s="498" t="s">
        <v>6975</v>
      </c>
      <c r="D22" s="498" t="s">
        <v>341</v>
      </c>
      <c r="E22" s="498" t="s">
        <v>26</v>
      </c>
      <c r="F22" s="498" t="s">
        <v>6976</v>
      </c>
      <c r="G22" s="499" t="s">
        <v>326</v>
      </c>
      <c r="H22" s="500" t="s">
        <v>6861</v>
      </c>
      <c r="I22" s="498" t="s">
        <v>6862</v>
      </c>
      <c r="J22" s="498" t="s">
        <v>6863</v>
      </c>
      <c r="K22" s="498" t="s">
        <v>2173</v>
      </c>
      <c r="L22" s="498" t="s">
        <v>855</v>
      </c>
      <c r="M22" s="498" t="s">
        <v>6864</v>
      </c>
      <c r="N22" s="498" t="s">
        <v>6865</v>
      </c>
      <c r="O22" s="498" t="s">
        <v>1194</v>
      </c>
      <c r="P22" s="498" t="s">
        <v>605</v>
      </c>
      <c r="Q22" s="498" t="s">
        <v>6977</v>
      </c>
      <c r="R22" s="498" t="s">
        <v>6978</v>
      </c>
      <c r="S22" s="498" t="s">
        <v>6868</v>
      </c>
      <c r="T22" s="498"/>
      <c r="U22" s="498"/>
      <c r="V22" s="498" t="s">
        <v>6883</v>
      </c>
      <c r="W22" s="498" t="s">
        <v>3608</v>
      </c>
      <c r="X22" s="498" t="s">
        <v>6871</v>
      </c>
      <c r="Y22" s="498">
        <v>30</v>
      </c>
      <c r="Z22" s="498" t="s">
        <v>6872</v>
      </c>
      <c r="AA22" s="498" t="s">
        <v>3608</v>
      </c>
      <c r="AB22" s="498" t="s">
        <v>6871</v>
      </c>
      <c r="AC22" s="498"/>
      <c r="AD22" s="498" t="s">
        <v>6961</v>
      </c>
      <c r="AE22" s="498" t="s">
        <v>6905</v>
      </c>
      <c r="AF22" s="498"/>
      <c r="AG22" s="498"/>
    </row>
    <row r="23" spans="2:33" hidden="1">
      <c r="B23" s="498" t="s">
        <v>6858</v>
      </c>
      <c r="C23" s="498" t="s">
        <v>6975</v>
      </c>
      <c r="D23" s="498" t="s">
        <v>341</v>
      </c>
      <c r="E23" s="498" t="s">
        <v>26</v>
      </c>
      <c r="F23" s="498" t="s">
        <v>6976</v>
      </c>
      <c r="G23" s="499" t="s">
        <v>326</v>
      </c>
      <c r="H23" s="500" t="s">
        <v>6861</v>
      </c>
      <c r="I23" s="498" t="s">
        <v>6862</v>
      </c>
      <c r="J23" s="498" t="s">
        <v>6863</v>
      </c>
      <c r="K23" s="498" t="s">
        <v>2173</v>
      </c>
      <c r="L23" s="498" t="s">
        <v>855</v>
      </c>
      <c r="M23" s="498" t="s">
        <v>6864</v>
      </c>
      <c r="N23" s="498" t="s">
        <v>6865</v>
      </c>
      <c r="O23" s="498" t="s">
        <v>1194</v>
      </c>
      <c r="P23" s="498" t="s">
        <v>605</v>
      </c>
      <c r="Q23" s="498" t="s">
        <v>6977</v>
      </c>
      <c r="R23" s="498" t="s">
        <v>6978</v>
      </c>
      <c r="S23" s="498" t="s">
        <v>6868</v>
      </c>
      <c r="T23" s="498"/>
      <c r="U23" s="498"/>
      <c r="V23" s="498" t="s">
        <v>6905</v>
      </c>
      <c r="W23" s="498" t="s">
        <v>6883</v>
      </c>
      <c r="X23" s="498" t="s">
        <v>3608</v>
      </c>
      <c r="Y23" s="498" t="s">
        <v>6871</v>
      </c>
      <c r="Z23" s="498">
        <v>30</v>
      </c>
      <c r="AA23" s="498" t="s">
        <v>6872</v>
      </c>
      <c r="AB23" s="498" t="s">
        <v>3608</v>
      </c>
      <c r="AC23" s="498" t="s">
        <v>6871</v>
      </c>
      <c r="AD23" s="498"/>
      <c r="AE23" s="498" t="s">
        <v>6961</v>
      </c>
      <c r="AF23" s="498" t="s">
        <v>6905</v>
      </c>
      <c r="AG23" s="498"/>
    </row>
    <row r="24" spans="2:33" hidden="1">
      <c r="B24" s="498" t="s">
        <v>6858</v>
      </c>
      <c r="C24" s="498" t="s">
        <v>6979</v>
      </c>
      <c r="D24" s="498" t="s">
        <v>3919</v>
      </c>
      <c r="E24" s="498" t="s">
        <v>26</v>
      </c>
      <c r="F24" s="498" t="s">
        <v>6980</v>
      </c>
      <c r="G24" s="499" t="s">
        <v>326</v>
      </c>
      <c r="H24" s="500" t="s">
        <v>6861</v>
      </c>
      <c r="I24" s="498" t="s">
        <v>6862</v>
      </c>
      <c r="J24" s="498" t="s">
        <v>6879</v>
      </c>
      <c r="K24" s="498" t="s">
        <v>2173</v>
      </c>
      <c r="L24" s="498" t="s">
        <v>855</v>
      </c>
      <c r="M24" s="498" t="s">
        <v>6864</v>
      </c>
      <c r="N24" s="498" t="s">
        <v>6865</v>
      </c>
      <c r="O24" s="498" t="s">
        <v>1194</v>
      </c>
      <c r="P24" s="498" t="s">
        <v>6971</v>
      </c>
      <c r="Q24" s="498" t="s">
        <v>6972</v>
      </c>
      <c r="R24" s="498" t="s">
        <v>6973</v>
      </c>
      <c r="S24" s="498" t="s">
        <v>6868</v>
      </c>
      <c r="T24" s="498" t="s">
        <v>6981</v>
      </c>
      <c r="U24" s="498"/>
      <c r="V24" s="498" t="s">
        <v>2177</v>
      </c>
      <c r="W24" s="498" t="s">
        <v>6982</v>
      </c>
      <c r="X24" s="498"/>
      <c r="Y24" s="498">
        <v>255</v>
      </c>
      <c r="Z24" s="498"/>
      <c r="AA24" s="498" t="s">
        <v>6872</v>
      </c>
      <c r="AB24" s="498"/>
      <c r="AC24" s="498" t="s">
        <v>6871</v>
      </c>
      <c r="AD24" s="498"/>
      <c r="AE24" s="498" t="s">
        <v>6874</v>
      </c>
      <c r="AF24" s="498"/>
      <c r="AG24" s="498"/>
    </row>
    <row r="25" spans="2:33" hidden="1">
      <c r="B25" s="498" t="s">
        <v>6858</v>
      </c>
      <c r="C25" s="498" t="s">
        <v>6983</v>
      </c>
      <c r="D25" s="498" t="s">
        <v>3919</v>
      </c>
      <c r="E25" s="498" t="s">
        <v>26</v>
      </c>
      <c r="F25" s="498" t="s">
        <v>6984</v>
      </c>
      <c r="G25" s="499" t="s">
        <v>326</v>
      </c>
      <c r="H25" s="500" t="s">
        <v>6861</v>
      </c>
      <c r="I25" s="498" t="s">
        <v>6862</v>
      </c>
      <c r="J25" s="498" t="s">
        <v>6879</v>
      </c>
      <c r="K25" s="498" t="s">
        <v>2173</v>
      </c>
      <c r="L25" s="498" t="s">
        <v>855</v>
      </c>
      <c r="M25" s="498" t="s">
        <v>6864</v>
      </c>
      <c r="N25" s="498" t="s">
        <v>6865</v>
      </c>
      <c r="O25" s="498" t="s">
        <v>1194</v>
      </c>
      <c r="P25" s="498" t="s">
        <v>6971</v>
      </c>
      <c r="Q25" s="498" t="s">
        <v>6972</v>
      </c>
      <c r="R25" s="498" t="s">
        <v>6973</v>
      </c>
      <c r="S25" s="498" t="s">
        <v>6868</v>
      </c>
      <c r="T25" s="498" t="s">
        <v>6985</v>
      </c>
      <c r="U25" s="498"/>
      <c r="V25" s="498" t="s">
        <v>2177</v>
      </c>
      <c r="W25" s="498" t="s">
        <v>6986</v>
      </c>
      <c r="X25" s="498"/>
      <c r="Y25" s="498" t="s">
        <v>6871</v>
      </c>
      <c r="Z25" s="498"/>
      <c r="AA25" s="498" t="s">
        <v>6872</v>
      </c>
      <c r="AB25" s="498"/>
      <c r="AC25" s="498"/>
      <c r="AD25" s="498"/>
      <c r="AE25" s="498" t="s">
        <v>6874</v>
      </c>
      <c r="AF25" s="498"/>
      <c r="AG25" s="498"/>
    </row>
    <row r="26" spans="2:33" hidden="1">
      <c r="B26" s="498" t="s">
        <v>6858</v>
      </c>
      <c r="C26" s="498" t="s">
        <v>6987</v>
      </c>
      <c r="D26" s="498" t="s">
        <v>3919</v>
      </c>
      <c r="E26" s="498" t="s">
        <v>26</v>
      </c>
      <c r="F26" s="498" t="s">
        <v>6988</v>
      </c>
      <c r="G26" s="499" t="s">
        <v>326</v>
      </c>
      <c r="H26" s="500" t="s">
        <v>6861</v>
      </c>
      <c r="I26" s="498" t="s">
        <v>6862</v>
      </c>
      <c r="J26" s="498" t="s">
        <v>6879</v>
      </c>
      <c r="K26" s="498" t="s">
        <v>2173</v>
      </c>
      <c r="L26" s="498" t="s">
        <v>855</v>
      </c>
      <c r="M26" s="498" t="s">
        <v>6864</v>
      </c>
      <c r="N26" s="498" t="s">
        <v>6865</v>
      </c>
      <c r="O26" s="498" t="s">
        <v>1194</v>
      </c>
      <c r="P26" s="498" t="s">
        <v>6971</v>
      </c>
      <c r="Q26" s="498" t="s">
        <v>6972</v>
      </c>
      <c r="R26" s="498" t="s">
        <v>6973</v>
      </c>
      <c r="S26" s="498" t="s">
        <v>6868</v>
      </c>
      <c r="T26" s="498" t="s">
        <v>6989</v>
      </c>
      <c r="U26" s="498"/>
      <c r="V26" s="498" t="s">
        <v>2177</v>
      </c>
      <c r="W26" s="498" t="s">
        <v>6986</v>
      </c>
      <c r="X26" s="498"/>
      <c r="Y26" s="498" t="s">
        <v>6871</v>
      </c>
      <c r="Z26" s="498"/>
      <c r="AA26" s="498" t="s">
        <v>6872</v>
      </c>
      <c r="AB26" s="498"/>
      <c r="AC26" s="498"/>
      <c r="AD26" s="498"/>
      <c r="AE26" s="498" t="s">
        <v>6874</v>
      </c>
      <c r="AF26" s="498"/>
      <c r="AG26" s="498"/>
    </row>
    <row r="27" spans="2:33" hidden="1">
      <c r="B27" s="498" t="s">
        <v>6858</v>
      </c>
      <c r="C27" s="498" t="s">
        <v>6990</v>
      </c>
      <c r="D27" s="498" t="s">
        <v>3919</v>
      </c>
      <c r="E27" s="498" t="s">
        <v>26</v>
      </c>
      <c r="F27" s="498" t="s">
        <v>6991</v>
      </c>
      <c r="G27" s="499" t="s">
        <v>326</v>
      </c>
      <c r="H27" s="500" t="s">
        <v>6861</v>
      </c>
      <c r="I27" s="498" t="s">
        <v>6862</v>
      </c>
      <c r="J27" s="498" t="s">
        <v>6879</v>
      </c>
      <c r="K27" s="498" t="s">
        <v>2173</v>
      </c>
      <c r="L27" s="498" t="s">
        <v>855</v>
      </c>
      <c r="M27" s="498" t="s">
        <v>6864</v>
      </c>
      <c r="N27" s="498" t="s">
        <v>6865</v>
      </c>
      <c r="O27" s="498" t="s">
        <v>1194</v>
      </c>
      <c r="P27" s="498" t="s">
        <v>6971</v>
      </c>
      <c r="Q27" s="498" t="s">
        <v>6972</v>
      </c>
      <c r="R27" s="498" t="s">
        <v>6973</v>
      </c>
      <c r="S27" s="498" t="s">
        <v>6868</v>
      </c>
      <c r="T27" s="498" t="s">
        <v>6992</v>
      </c>
      <c r="U27" s="498"/>
      <c r="V27" s="498" t="s">
        <v>2177</v>
      </c>
      <c r="W27" s="498" t="s">
        <v>6986</v>
      </c>
      <c r="X27" s="498"/>
      <c r="Y27" s="498" t="s">
        <v>6871</v>
      </c>
      <c r="Z27" s="498"/>
      <c r="AA27" s="498" t="s">
        <v>6872</v>
      </c>
      <c r="AB27" s="498"/>
      <c r="AC27" s="498"/>
      <c r="AD27" s="498"/>
      <c r="AE27" s="498" t="s">
        <v>6874</v>
      </c>
      <c r="AF27" s="498"/>
      <c r="AG27" s="498"/>
    </row>
    <row r="28" spans="2:33" hidden="1">
      <c r="B28" s="498" t="s">
        <v>6858</v>
      </c>
      <c r="C28" s="498" t="s">
        <v>6993</v>
      </c>
      <c r="D28" s="498" t="s">
        <v>3919</v>
      </c>
      <c r="E28" s="498" t="s">
        <v>26</v>
      </c>
      <c r="F28" s="498" t="s">
        <v>6994</v>
      </c>
      <c r="G28" s="499" t="s">
        <v>326</v>
      </c>
      <c r="H28" s="500" t="s">
        <v>6861</v>
      </c>
      <c r="I28" s="498" t="s">
        <v>6862</v>
      </c>
      <c r="J28" s="498" t="s">
        <v>6879</v>
      </c>
      <c r="K28" s="498" t="s">
        <v>2173</v>
      </c>
      <c r="L28" s="498" t="s">
        <v>855</v>
      </c>
      <c r="M28" s="498" t="s">
        <v>6864</v>
      </c>
      <c r="N28" s="498" t="s">
        <v>6865</v>
      </c>
      <c r="O28" s="498" t="s">
        <v>1194</v>
      </c>
      <c r="P28" s="498" t="s">
        <v>6971</v>
      </c>
      <c r="Q28" s="498" t="s">
        <v>6972</v>
      </c>
      <c r="R28" s="498" t="s">
        <v>6973</v>
      </c>
      <c r="S28" s="498" t="s">
        <v>6868</v>
      </c>
      <c r="T28" s="498" t="s">
        <v>6995</v>
      </c>
      <c r="U28" s="498"/>
      <c r="V28" s="498" t="s">
        <v>2177</v>
      </c>
      <c r="W28" s="498" t="s">
        <v>6986</v>
      </c>
      <c r="X28" s="498"/>
      <c r="Y28" s="498" t="s">
        <v>6871</v>
      </c>
      <c r="Z28" s="498"/>
      <c r="AA28" s="498" t="s">
        <v>6872</v>
      </c>
      <c r="AB28" s="498"/>
      <c r="AC28" s="498"/>
      <c r="AD28" s="498"/>
      <c r="AE28" s="498" t="s">
        <v>6874</v>
      </c>
      <c r="AF28" s="498"/>
      <c r="AG28" s="498"/>
    </row>
    <row r="29" spans="2:33" hidden="1">
      <c r="B29" s="498" t="s">
        <v>6858</v>
      </c>
      <c r="C29" s="498" t="s">
        <v>6996</v>
      </c>
      <c r="D29" s="498" t="s">
        <v>341</v>
      </c>
      <c r="E29" s="498" t="s">
        <v>26</v>
      </c>
      <c r="F29" s="498" t="s">
        <v>6997</v>
      </c>
      <c r="G29" s="499" t="s">
        <v>326</v>
      </c>
      <c r="H29" s="500" t="s">
        <v>6861</v>
      </c>
      <c r="I29" s="498" t="s">
        <v>6862</v>
      </c>
      <c r="J29" s="498" t="s">
        <v>6879</v>
      </c>
      <c r="K29" s="498" t="s">
        <v>2173</v>
      </c>
      <c r="L29" s="498" t="s">
        <v>855</v>
      </c>
      <c r="M29" s="498" t="s">
        <v>6864</v>
      </c>
      <c r="N29" s="498" t="s">
        <v>6865</v>
      </c>
      <c r="O29" s="498" t="s">
        <v>1194</v>
      </c>
      <c r="P29" s="498" t="s">
        <v>6971</v>
      </c>
      <c r="Q29" s="498" t="s">
        <v>6972</v>
      </c>
      <c r="R29" s="498" t="s">
        <v>6973</v>
      </c>
      <c r="S29" s="498" t="s">
        <v>6868</v>
      </c>
      <c r="T29" s="498" t="s">
        <v>6998</v>
      </c>
      <c r="U29" s="498"/>
      <c r="V29" s="498" t="s">
        <v>2177</v>
      </c>
      <c r="W29" s="498" t="s">
        <v>6982</v>
      </c>
      <c r="X29" s="498" t="s">
        <v>3582</v>
      </c>
      <c r="Y29" s="498">
        <v>255</v>
      </c>
      <c r="Z29" s="498">
        <v>255</v>
      </c>
      <c r="AA29" s="498" t="s">
        <v>6872</v>
      </c>
      <c r="AB29" s="498" t="s">
        <v>3608</v>
      </c>
      <c r="AC29" s="498"/>
      <c r="AD29" s="498"/>
      <c r="AE29" s="498" t="s">
        <v>6874</v>
      </c>
      <c r="AF29" s="498"/>
      <c r="AG29" s="498"/>
    </row>
    <row r="30" spans="2:33" hidden="1">
      <c r="B30" s="498" t="s">
        <v>6968</v>
      </c>
      <c r="C30" s="498" t="s">
        <v>6999</v>
      </c>
      <c r="D30" s="498" t="s">
        <v>3919</v>
      </c>
      <c r="E30" s="498" t="s">
        <v>26</v>
      </c>
      <c r="F30" s="498" t="s">
        <v>7000</v>
      </c>
      <c r="G30" s="499" t="s">
        <v>326</v>
      </c>
      <c r="H30" s="500" t="s">
        <v>6861</v>
      </c>
      <c r="I30" s="498" t="s">
        <v>6862</v>
      </c>
      <c r="J30" s="498" t="s">
        <v>6879</v>
      </c>
      <c r="K30" s="498" t="s">
        <v>2173</v>
      </c>
      <c r="L30" s="498" t="s">
        <v>855</v>
      </c>
      <c r="M30" s="498" t="s">
        <v>6864</v>
      </c>
      <c r="N30" s="498" t="s">
        <v>6865</v>
      </c>
      <c r="O30" s="498" t="s">
        <v>1194</v>
      </c>
      <c r="P30" s="498" t="s">
        <v>6971</v>
      </c>
      <c r="Q30" s="498" t="s">
        <v>6972</v>
      </c>
      <c r="R30" s="498" t="s">
        <v>6973</v>
      </c>
      <c r="S30" s="498" t="s">
        <v>6868</v>
      </c>
      <c r="T30" s="498" t="s">
        <v>7001</v>
      </c>
      <c r="U30" s="498"/>
      <c r="V30" s="498" t="s">
        <v>6982</v>
      </c>
      <c r="W30" s="498" t="s">
        <v>3582</v>
      </c>
      <c r="X30" s="498">
        <v>255</v>
      </c>
      <c r="Y30" s="498">
        <v>255</v>
      </c>
      <c r="Z30" s="498" t="s">
        <v>6872</v>
      </c>
      <c r="AA30" s="498" t="s">
        <v>3608</v>
      </c>
      <c r="AB30" s="498"/>
      <c r="AC30" s="498"/>
      <c r="AD30" s="498" t="s">
        <v>6874</v>
      </c>
      <c r="AE30" s="498"/>
      <c r="AF30" s="498"/>
      <c r="AG30" s="498"/>
    </row>
    <row r="31" spans="2:33" hidden="1">
      <c r="B31" s="498" t="s">
        <v>6858</v>
      </c>
      <c r="C31" s="498" t="s">
        <v>6999</v>
      </c>
      <c r="D31" s="498" t="s">
        <v>3919</v>
      </c>
      <c r="E31" s="498" t="s">
        <v>26</v>
      </c>
      <c r="F31" s="498" t="s">
        <v>7000</v>
      </c>
      <c r="G31" s="499" t="s">
        <v>326</v>
      </c>
      <c r="H31" s="500" t="s">
        <v>6861</v>
      </c>
      <c r="I31" s="498" t="s">
        <v>6862</v>
      </c>
      <c r="J31" s="498" t="s">
        <v>6879</v>
      </c>
      <c r="K31" s="498" t="s">
        <v>2173</v>
      </c>
      <c r="L31" s="498" t="s">
        <v>855</v>
      </c>
      <c r="M31" s="498" t="s">
        <v>6864</v>
      </c>
      <c r="N31" s="498" t="s">
        <v>6865</v>
      </c>
      <c r="O31" s="498" t="s">
        <v>1194</v>
      </c>
      <c r="P31" s="498" t="s">
        <v>6971</v>
      </c>
      <c r="Q31" s="498" t="s">
        <v>6972</v>
      </c>
      <c r="R31" s="498" t="s">
        <v>6973</v>
      </c>
      <c r="S31" s="498" t="s">
        <v>6868</v>
      </c>
      <c r="T31" s="498" t="s">
        <v>7001</v>
      </c>
      <c r="U31" s="498"/>
      <c r="V31" s="498" t="s">
        <v>2177</v>
      </c>
      <c r="W31" s="498" t="s">
        <v>6982</v>
      </c>
      <c r="X31" s="498" t="s">
        <v>3582</v>
      </c>
      <c r="Y31" s="498">
        <v>255</v>
      </c>
      <c r="Z31" s="498">
        <v>255</v>
      </c>
      <c r="AA31" s="498" t="s">
        <v>6872</v>
      </c>
      <c r="AB31" s="498" t="s">
        <v>3608</v>
      </c>
      <c r="AC31" s="498"/>
      <c r="AD31" s="498"/>
      <c r="AE31" s="498" t="s">
        <v>6874</v>
      </c>
      <c r="AF31" s="498"/>
      <c r="AG31" s="498"/>
    </row>
    <row r="32" spans="2:33" hidden="1">
      <c r="B32" s="498" t="s">
        <v>6968</v>
      </c>
      <c r="C32" s="498" t="s">
        <v>7002</v>
      </c>
      <c r="D32" s="498" t="s">
        <v>341</v>
      </c>
      <c r="E32" s="498" t="s">
        <v>26</v>
      </c>
      <c r="F32" s="498" t="s">
        <v>7003</v>
      </c>
      <c r="G32" s="499" t="s">
        <v>326</v>
      </c>
      <c r="H32" s="500" t="s">
        <v>6861</v>
      </c>
      <c r="I32" s="498" t="s">
        <v>6862</v>
      </c>
      <c r="J32" s="498" t="s">
        <v>6879</v>
      </c>
      <c r="K32" s="498" t="s">
        <v>2173</v>
      </c>
      <c r="L32" s="498" t="s">
        <v>855</v>
      </c>
      <c r="M32" s="498" t="s">
        <v>6864</v>
      </c>
      <c r="N32" s="498" t="s">
        <v>6865</v>
      </c>
      <c r="O32" s="498" t="s">
        <v>1194</v>
      </c>
      <c r="P32" s="498" t="s">
        <v>6971</v>
      </c>
      <c r="Q32" s="498" t="s">
        <v>6972</v>
      </c>
      <c r="R32" s="498" t="s">
        <v>6973</v>
      </c>
      <c r="S32" s="498" t="s">
        <v>6868</v>
      </c>
      <c r="T32" s="498" t="s">
        <v>7004</v>
      </c>
      <c r="U32" s="498"/>
      <c r="V32" s="498" t="s">
        <v>6982</v>
      </c>
      <c r="W32" s="498" t="s">
        <v>3582</v>
      </c>
      <c r="X32" s="498">
        <v>255</v>
      </c>
      <c r="Y32" s="498">
        <v>255</v>
      </c>
      <c r="Z32" s="498" t="s">
        <v>6872</v>
      </c>
      <c r="AA32" s="498" t="s">
        <v>3608</v>
      </c>
      <c r="AB32" s="498"/>
      <c r="AC32" s="498"/>
      <c r="AD32" s="498" t="s">
        <v>6874</v>
      </c>
      <c r="AE32" s="498"/>
      <c r="AF32" s="498"/>
      <c r="AG32" s="498"/>
    </row>
    <row r="33" spans="2:33" hidden="1">
      <c r="B33" s="498" t="s">
        <v>6858</v>
      </c>
      <c r="C33" s="498" t="s">
        <v>7002</v>
      </c>
      <c r="D33" s="498" t="s">
        <v>341</v>
      </c>
      <c r="E33" s="498" t="s">
        <v>26</v>
      </c>
      <c r="F33" s="498" t="s">
        <v>7003</v>
      </c>
      <c r="G33" s="499" t="s">
        <v>326</v>
      </c>
      <c r="H33" s="500" t="s">
        <v>6861</v>
      </c>
      <c r="I33" s="498" t="s">
        <v>6862</v>
      </c>
      <c r="J33" s="498" t="s">
        <v>6879</v>
      </c>
      <c r="K33" s="498" t="s">
        <v>2173</v>
      </c>
      <c r="L33" s="498" t="s">
        <v>855</v>
      </c>
      <c r="M33" s="498" t="s">
        <v>6864</v>
      </c>
      <c r="N33" s="498" t="s">
        <v>6865</v>
      </c>
      <c r="O33" s="498" t="s">
        <v>1194</v>
      </c>
      <c r="P33" s="498" t="s">
        <v>6971</v>
      </c>
      <c r="Q33" s="498" t="s">
        <v>6972</v>
      </c>
      <c r="R33" s="498" t="s">
        <v>6973</v>
      </c>
      <c r="S33" s="498" t="s">
        <v>6868</v>
      </c>
      <c r="T33" s="498" t="s">
        <v>7004</v>
      </c>
      <c r="U33" s="498"/>
      <c r="V33" s="498" t="s">
        <v>2177</v>
      </c>
      <c r="W33" s="498" t="s">
        <v>6982</v>
      </c>
      <c r="X33" s="498" t="s">
        <v>3582</v>
      </c>
      <c r="Y33" s="498">
        <v>255</v>
      </c>
      <c r="Z33" s="498">
        <v>255</v>
      </c>
      <c r="AA33" s="498" t="s">
        <v>6872</v>
      </c>
      <c r="AB33" s="498" t="s">
        <v>3608</v>
      </c>
      <c r="AC33" s="498"/>
      <c r="AD33" s="498"/>
      <c r="AE33" s="498" t="s">
        <v>6874</v>
      </c>
      <c r="AF33" s="498"/>
      <c r="AG33" s="498"/>
    </row>
    <row r="34" spans="2:33" hidden="1">
      <c r="B34" s="498" t="s">
        <v>6858</v>
      </c>
      <c r="C34" s="498" t="s">
        <v>7005</v>
      </c>
      <c r="D34" s="498" t="s">
        <v>3919</v>
      </c>
      <c r="E34" s="498" t="s">
        <v>26</v>
      </c>
      <c r="F34" s="498" t="s">
        <v>7006</v>
      </c>
      <c r="G34" s="499" t="s">
        <v>326</v>
      </c>
      <c r="H34" s="500" t="s">
        <v>6861</v>
      </c>
      <c r="I34" s="498" t="s">
        <v>6862</v>
      </c>
      <c r="J34" s="498" t="s">
        <v>6879</v>
      </c>
      <c r="K34" s="498" t="s">
        <v>2173</v>
      </c>
      <c r="L34" s="498" t="s">
        <v>855</v>
      </c>
      <c r="M34" s="498" t="s">
        <v>6864</v>
      </c>
      <c r="N34" s="498" t="s">
        <v>6865</v>
      </c>
      <c r="O34" s="498" t="s">
        <v>1194</v>
      </c>
      <c r="P34" s="498" t="s">
        <v>6971</v>
      </c>
      <c r="Q34" s="498" t="s">
        <v>6972</v>
      </c>
      <c r="R34" s="498" t="s">
        <v>6973</v>
      </c>
      <c r="S34" s="498" t="s">
        <v>6868</v>
      </c>
      <c r="T34" s="498" t="s">
        <v>7007</v>
      </c>
      <c r="U34" s="498"/>
      <c r="V34" s="498" t="s">
        <v>2177</v>
      </c>
      <c r="W34" s="498" t="s">
        <v>6982</v>
      </c>
      <c r="X34" s="498" t="s">
        <v>3582</v>
      </c>
      <c r="Y34" s="498">
        <v>255</v>
      </c>
      <c r="Z34" s="498">
        <v>255</v>
      </c>
      <c r="AA34" s="498" t="s">
        <v>6872</v>
      </c>
      <c r="AB34" s="498" t="s">
        <v>3608</v>
      </c>
      <c r="AC34" s="498"/>
      <c r="AD34" s="498"/>
      <c r="AE34" s="498" t="s">
        <v>6874</v>
      </c>
      <c r="AF34" s="498"/>
      <c r="AG34" s="498"/>
    </row>
    <row r="35" spans="2:33" hidden="1">
      <c r="B35" s="498" t="s">
        <v>6858</v>
      </c>
      <c r="C35" s="498" t="s">
        <v>7008</v>
      </c>
      <c r="D35" s="498" t="s">
        <v>3919</v>
      </c>
      <c r="E35" s="498" t="s">
        <v>26</v>
      </c>
      <c r="F35" s="498" t="s">
        <v>7009</v>
      </c>
      <c r="G35" s="499" t="s">
        <v>326</v>
      </c>
      <c r="H35" s="500" t="s">
        <v>6861</v>
      </c>
      <c r="I35" s="498" t="s">
        <v>6862</v>
      </c>
      <c r="J35" s="498" t="s">
        <v>6879</v>
      </c>
      <c r="K35" s="498" t="s">
        <v>2173</v>
      </c>
      <c r="L35" s="498" t="s">
        <v>855</v>
      </c>
      <c r="M35" s="498" t="s">
        <v>6864</v>
      </c>
      <c r="N35" s="498" t="s">
        <v>6865</v>
      </c>
      <c r="O35" s="498" t="s">
        <v>1194</v>
      </c>
      <c r="P35" s="498" t="s">
        <v>6971</v>
      </c>
      <c r="Q35" s="498" t="s">
        <v>6972</v>
      </c>
      <c r="R35" s="498" t="s">
        <v>6973</v>
      </c>
      <c r="S35" s="498" t="s">
        <v>6868</v>
      </c>
      <c r="T35" s="498" t="s">
        <v>7010</v>
      </c>
      <c r="U35" s="498"/>
      <c r="V35" s="498" t="s">
        <v>2177</v>
      </c>
      <c r="W35" s="498" t="s">
        <v>6982</v>
      </c>
      <c r="X35" s="498" t="s">
        <v>3582</v>
      </c>
      <c r="Y35" s="498">
        <v>255</v>
      </c>
      <c r="Z35" s="498">
        <v>255</v>
      </c>
      <c r="AA35" s="498" t="s">
        <v>6872</v>
      </c>
      <c r="AB35" s="498" t="s">
        <v>3608</v>
      </c>
      <c r="AC35" s="498"/>
      <c r="AD35" s="498"/>
      <c r="AE35" s="498" t="s">
        <v>6874</v>
      </c>
      <c r="AF35" s="498"/>
      <c r="AG35" s="498" t="s">
        <v>7011</v>
      </c>
    </row>
    <row r="36" spans="2:33" hidden="1">
      <c r="B36" s="498" t="s">
        <v>6858</v>
      </c>
      <c r="C36" s="498" t="s">
        <v>7012</v>
      </c>
      <c r="D36" s="498" t="s">
        <v>3919</v>
      </c>
      <c r="E36" s="498" t="s">
        <v>26</v>
      </c>
      <c r="F36" s="498" t="s">
        <v>7013</v>
      </c>
      <c r="G36" s="499" t="s">
        <v>326</v>
      </c>
      <c r="H36" s="500" t="s">
        <v>6861</v>
      </c>
      <c r="I36" s="498" t="s">
        <v>6862</v>
      </c>
      <c r="J36" s="498" t="s">
        <v>6879</v>
      </c>
      <c r="K36" s="498" t="s">
        <v>2173</v>
      </c>
      <c r="L36" s="498" t="s">
        <v>855</v>
      </c>
      <c r="M36" s="498" t="s">
        <v>6864</v>
      </c>
      <c r="N36" s="498" t="s">
        <v>6865</v>
      </c>
      <c r="O36" s="498" t="s">
        <v>1194</v>
      </c>
      <c r="P36" s="498" t="s">
        <v>6971</v>
      </c>
      <c r="Q36" s="498" t="s">
        <v>6972</v>
      </c>
      <c r="R36" s="498" t="s">
        <v>6973</v>
      </c>
      <c r="S36" s="498" t="s">
        <v>6868</v>
      </c>
      <c r="T36" s="498" t="s">
        <v>7014</v>
      </c>
      <c r="U36" s="498"/>
      <c r="V36" s="498" t="s">
        <v>2177</v>
      </c>
      <c r="W36" s="498" t="s">
        <v>6986</v>
      </c>
      <c r="X36" s="498" t="s">
        <v>3582</v>
      </c>
      <c r="Y36" s="498" t="s">
        <v>6871</v>
      </c>
      <c r="Z36" s="498">
        <v>255</v>
      </c>
      <c r="AA36" s="498" t="s">
        <v>6872</v>
      </c>
      <c r="AB36" s="498" t="s">
        <v>3608</v>
      </c>
      <c r="AC36" s="498"/>
      <c r="AD36" s="498"/>
      <c r="AE36" s="498" t="s">
        <v>6874</v>
      </c>
      <c r="AF36" s="498"/>
      <c r="AG36" s="498"/>
    </row>
    <row r="37" spans="2:33" hidden="1">
      <c r="B37" s="498" t="s">
        <v>6858</v>
      </c>
      <c r="C37" s="498" t="s">
        <v>7015</v>
      </c>
      <c r="D37" s="498" t="s">
        <v>3919</v>
      </c>
      <c r="E37" s="498" t="s">
        <v>26</v>
      </c>
      <c r="F37" s="498" t="s">
        <v>7016</v>
      </c>
      <c r="G37" s="499" t="s">
        <v>326</v>
      </c>
      <c r="H37" s="500" t="s">
        <v>6861</v>
      </c>
      <c r="I37" s="498" t="s">
        <v>6862</v>
      </c>
      <c r="J37" s="498" t="s">
        <v>6879</v>
      </c>
      <c r="K37" s="498" t="s">
        <v>2173</v>
      </c>
      <c r="L37" s="498" t="s">
        <v>855</v>
      </c>
      <c r="M37" s="498" t="s">
        <v>6864</v>
      </c>
      <c r="N37" s="498" t="s">
        <v>6865</v>
      </c>
      <c r="O37" s="498" t="s">
        <v>1194</v>
      </c>
      <c r="P37" s="498" t="s">
        <v>6971</v>
      </c>
      <c r="Q37" s="498" t="s">
        <v>6972</v>
      </c>
      <c r="R37" s="498" t="s">
        <v>6973</v>
      </c>
      <c r="S37" s="498" t="s">
        <v>6868</v>
      </c>
      <c r="T37" s="498" t="s">
        <v>7017</v>
      </c>
      <c r="U37" s="498"/>
      <c r="V37" s="498" t="s">
        <v>2177</v>
      </c>
      <c r="W37" s="498" t="s">
        <v>6982</v>
      </c>
      <c r="X37" s="498" t="s">
        <v>3582</v>
      </c>
      <c r="Y37" s="498">
        <v>255</v>
      </c>
      <c r="Z37" s="498">
        <v>255</v>
      </c>
      <c r="AA37" s="498" t="s">
        <v>6872</v>
      </c>
      <c r="AB37" s="498" t="s">
        <v>3608</v>
      </c>
      <c r="AC37" s="498"/>
      <c r="AD37" s="498"/>
      <c r="AE37" s="498" t="s">
        <v>6874</v>
      </c>
      <c r="AF37" s="498"/>
      <c r="AG37" s="498"/>
    </row>
    <row r="38" spans="2:33" hidden="1">
      <c r="B38" s="498" t="s">
        <v>6858</v>
      </c>
      <c r="C38" s="498" t="s">
        <v>7018</v>
      </c>
      <c r="D38" s="498" t="s">
        <v>3919</v>
      </c>
      <c r="E38" s="498" t="s">
        <v>26</v>
      </c>
      <c r="F38" s="498" t="s">
        <v>7019</v>
      </c>
      <c r="G38" s="499" t="s">
        <v>326</v>
      </c>
      <c r="H38" s="500" t="s">
        <v>6861</v>
      </c>
      <c r="I38" s="498" t="s">
        <v>6862</v>
      </c>
      <c r="J38" s="498" t="s">
        <v>6879</v>
      </c>
      <c r="K38" s="498" t="s">
        <v>2173</v>
      </c>
      <c r="L38" s="498" t="s">
        <v>855</v>
      </c>
      <c r="M38" s="498" t="s">
        <v>6864</v>
      </c>
      <c r="N38" s="498" t="s">
        <v>6865</v>
      </c>
      <c r="O38" s="498" t="s">
        <v>1194</v>
      </c>
      <c r="P38" s="498" t="s">
        <v>6971</v>
      </c>
      <c r="Q38" s="498" t="s">
        <v>6972</v>
      </c>
      <c r="R38" s="498" t="s">
        <v>6973</v>
      </c>
      <c r="S38" s="498" t="s">
        <v>6868</v>
      </c>
      <c r="T38" s="498" t="s">
        <v>7020</v>
      </c>
      <c r="U38" s="498"/>
      <c r="V38" s="498" t="s">
        <v>2177</v>
      </c>
      <c r="W38" s="498" t="s">
        <v>6982</v>
      </c>
      <c r="X38" s="498" t="s">
        <v>3582</v>
      </c>
      <c r="Y38" s="498">
        <v>255</v>
      </c>
      <c r="Z38" s="498">
        <v>255</v>
      </c>
      <c r="AA38" s="498" t="s">
        <v>6872</v>
      </c>
      <c r="AB38" s="498" t="s">
        <v>3608</v>
      </c>
      <c r="AC38" s="498"/>
      <c r="AD38" s="498"/>
      <c r="AE38" s="498" t="s">
        <v>6874</v>
      </c>
      <c r="AF38" s="498"/>
      <c r="AG38" s="498"/>
    </row>
    <row r="39" spans="2:33" hidden="1">
      <c r="B39" s="498" t="s">
        <v>6858</v>
      </c>
      <c r="C39" s="498" t="s">
        <v>7021</v>
      </c>
      <c r="D39" s="498" t="s">
        <v>3919</v>
      </c>
      <c r="E39" s="498" t="s">
        <v>26</v>
      </c>
      <c r="F39" s="498" t="s">
        <v>7022</v>
      </c>
      <c r="G39" s="499" t="s">
        <v>326</v>
      </c>
      <c r="H39" s="500" t="s">
        <v>6861</v>
      </c>
      <c r="I39" s="498" t="s">
        <v>6862</v>
      </c>
      <c r="J39" s="498" t="s">
        <v>6879</v>
      </c>
      <c r="K39" s="498" t="s">
        <v>2173</v>
      </c>
      <c r="L39" s="498" t="s">
        <v>855</v>
      </c>
      <c r="M39" s="498" t="s">
        <v>6864</v>
      </c>
      <c r="N39" s="498" t="s">
        <v>6865</v>
      </c>
      <c r="O39" s="498" t="s">
        <v>1194</v>
      </c>
      <c r="P39" s="498" t="s">
        <v>6971</v>
      </c>
      <c r="Q39" s="498" t="s">
        <v>6972</v>
      </c>
      <c r="R39" s="498" t="s">
        <v>6973</v>
      </c>
      <c r="S39" s="498" t="s">
        <v>6868</v>
      </c>
      <c r="T39" s="498" t="s">
        <v>7023</v>
      </c>
      <c r="U39" s="498"/>
      <c r="V39" s="498" t="s">
        <v>2177</v>
      </c>
      <c r="W39" s="498" t="s">
        <v>6982</v>
      </c>
      <c r="X39" s="498" t="s">
        <v>3582</v>
      </c>
      <c r="Y39" s="498">
        <v>255</v>
      </c>
      <c r="Z39" s="498">
        <v>255</v>
      </c>
      <c r="AA39" s="498" t="s">
        <v>6872</v>
      </c>
      <c r="AB39" s="498" t="s">
        <v>3608</v>
      </c>
      <c r="AC39" s="498"/>
      <c r="AD39" s="498"/>
      <c r="AE39" s="498" t="s">
        <v>6874</v>
      </c>
      <c r="AF39" s="498"/>
      <c r="AG39" s="498"/>
    </row>
    <row r="40" spans="2:33" hidden="1">
      <c r="B40" s="498" t="s">
        <v>6858</v>
      </c>
      <c r="C40" s="498" t="s">
        <v>7024</v>
      </c>
      <c r="D40" s="498" t="s">
        <v>3919</v>
      </c>
      <c r="E40" s="498" t="s">
        <v>26</v>
      </c>
      <c r="F40" s="498" t="s">
        <v>7025</v>
      </c>
      <c r="G40" s="499" t="s">
        <v>326</v>
      </c>
      <c r="H40" s="500" t="s">
        <v>6861</v>
      </c>
      <c r="I40" s="498" t="s">
        <v>6862</v>
      </c>
      <c r="J40" s="498" t="s">
        <v>6879</v>
      </c>
      <c r="K40" s="498" t="s">
        <v>2173</v>
      </c>
      <c r="L40" s="498" t="s">
        <v>855</v>
      </c>
      <c r="M40" s="498" t="s">
        <v>6864</v>
      </c>
      <c r="N40" s="498" t="s">
        <v>6865</v>
      </c>
      <c r="O40" s="498" t="s">
        <v>1194</v>
      </c>
      <c r="P40" s="498" t="s">
        <v>6971</v>
      </c>
      <c r="Q40" s="498" t="s">
        <v>6972</v>
      </c>
      <c r="R40" s="498" t="s">
        <v>6973</v>
      </c>
      <c r="S40" s="498" t="s">
        <v>6868</v>
      </c>
      <c r="T40" s="498" t="s">
        <v>7026</v>
      </c>
      <c r="U40" s="498"/>
      <c r="V40" s="498" t="s">
        <v>6869</v>
      </c>
      <c r="W40" s="498"/>
      <c r="X40" s="498" t="s">
        <v>3582</v>
      </c>
      <c r="Y40" s="498"/>
      <c r="Z40" s="498">
        <v>255</v>
      </c>
      <c r="AA40" s="498" t="s">
        <v>6872</v>
      </c>
      <c r="AB40" s="498" t="s">
        <v>3608</v>
      </c>
      <c r="AC40" s="498"/>
      <c r="AD40" s="498"/>
      <c r="AE40" s="498"/>
      <c r="AF40" s="498" t="s">
        <v>7027</v>
      </c>
      <c r="AG40" s="498" t="s">
        <v>7028</v>
      </c>
    </row>
    <row r="41" spans="2:33" hidden="1">
      <c r="B41" s="498" t="s">
        <v>6858</v>
      </c>
      <c r="C41" s="498" t="s">
        <v>7029</v>
      </c>
      <c r="D41" s="498" t="s">
        <v>3919</v>
      </c>
      <c r="E41" s="498" t="s">
        <v>26</v>
      </c>
      <c r="F41" s="498" t="s">
        <v>7030</v>
      </c>
      <c r="G41" s="499" t="s">
        <v>326</v>
      </c>
      <c r="H41" s="500" t="s">
        <v>6861</v>
      </c>
      <c r="I41" s="498" t="s">
        <v>6862</v>
      </c>
      <c r="J41" s="498" t="s">
        <v>7031</v>
      </c>
      <c r="K41" s="498" t="s">
        <v>2173</v>
      </c>
      <c r="L41" s="498" t="s">
        <v>855</v>
      </c>
      <c r="M41" s="498" t="s">
        <v>6864</v>
      </c>
      <c r="N41" s="498" t="s">
        <v>6865</v>
      </c>
      <c r="O41" s="498" t="s">
        <v>1194</v>
      </c>
      <c r="P41" s="498" t="s">
        <v>574</v>
      </c>
      <c r="Q41" s="498" t="s">
        <v>7032</v>
      </c>
      <c r="R41" s="498" t="s">
        <v>6957</v>
      </c>
      <c r="S41" s="498" t="s">
        <v>6868</v>
      </c>
      <c r="T41" s="498"/>
      <c r="U41" s="498"/>
      <c r="V41" s="498" t="s">
        <v>6905</v>
      </c>
      <c r="W41" s="498" t="s">
        <v>6870</v>
      </c>
      <c r="X41" s="498" t="s">
        <v>2207</v>
      </c>
      <c r="Y41" s="498"/>
      <c r="Z41" s="498"/>
      <c r="AA41" s="498" t="s">
        <v>6906</v>
      </c>
      <c r="AB41" s="498"/>
      <c r="AC41" s="498"/>
      <c r="AD41" s="498"/>
      <c r="AE41" s="498" t="s">
        <v>6874</v>
      </c>
      <c r="AF41" s="498" t="s">
        <v>6905</v>
      </c>
      <c r="AG41" s="498"/>
    </row>
    <row r="42" spans="2:33" hidden="1">
      <c r="B42" s="498" t="s">
        <v>6858</v>
      </c>
      <c r="C42" s="498" t="s">
        <v>7033</v>
      </c>
      <c r="D42" s="498" t="s">
        <v>341</v>
      </c>
      <c r="E42" s="498" t="s">
        <v>26</v>
      </c>
      <c r="F42" s="498" t="s">
        <v>7034</v>
      </c>
      <c r="G42" s="499" t="s">
        <v>326</v>
      </c>
      <c r="H42" s="500" t="s">
        <v>6861</v>
      </c>
      <c r="I42" s="498" t="s">
        <v>6862</v>
      </c>
      <c r="J42" s="498" t="s">
        <v>6879</v>
      </c>
      <c r="K42" s="498" t="s">
        <v>2173</v>
      </c>
      <c r="L42" s="498" t="s">
        <v>855</v>
      </c>
      <c r="M42" s="498" t="s">
        <v>6864</v>
      </c>
      <c r="N42" s="498" t="s">
        <v>6865</v>
      </c>
      <c r="O42" s="498" t="s">
        <v>1194</v>
      </c>
      <c r="P42" s="498" t="s">
        <v>6955</v>
      </c>
      <c r="Q42" s="498" t="s">
        <v>7035</v>
      </c>
      <c r="R42" s="498" t="s">
        <v>6957</v>
      </c>
      <c r="S42" s="498" t="s">
        <v>6868</v>
      </c>
      <c r="T42" s="498" t="s">
        <v>7036</v>
      </c>
      <c r="U42" s="498"/>
      <c r="V42" s="498" t="s">
        <v>2177</v>
      </c>
      <c r="W42" s="498" t="s">
        <v>6870</v>
      </c>
      <c r="X42" s="498" t="s">
        <v>6959</v>
      </c>
      <c r="Y42" s="498"/>
      <c r="Z42" s="498" t="s">
        <v>7037</v>
      </c>
      <c r="AA42" s="498" t="s">
        <v>6872</v>
      </c>
      <c r="AB42" s="498" t="s">
        <v>3608</v>
      </c>
      <c r="AC42" s="498"/>
      <c r="AD42" s="498"/>
      <c r="AE42" s="498" t="s">
        <v>6874</v>
      </c>
      <c r="AF42" s="498"/>
      <c r="AG42" s="498"/>
    </row>
    <row r="43" spans="2:33" hidden="1">
      <c r="B43" s="498" t="s">
        <v>6858</v>
      </c>
      <c r="C43" s="498" t="s">
        <v>7038</v>
      </c>
      <c r="D43" s="498" t="s">
        <v>341</v>
      </c>
      <c r="E43" s="498" t="s">
        <v>26</v>
      </c>
      <c r="F43" s="498" t="s">
        <v>7039</v>
      </c>
      <c r="G43" s="499" t="s">
        <v>326</v>
      </c>
      <c r="H43" s="500" t="s">
        <v>6861</v>
      </c>
      <c r="I43" s="498" t="s">
        <v>6862</v>
      </c>
      <c r="J43" s="498" t="s">
        <v>6879</v>
      </c>
      <c r="K43" s="498" t="s">
        <v>2173</v>
      </c>
      <c r="L43" s="498" t="s">
        <v>855</v>
      </c>
      <c r="M43" s="498" t="s">
        <v>6864</v>
      </c>
      <c r="N43" s="498" t="s">
        <v>6865</v>
      </c>
      <c r="O43" s="498" t="s">
        <v>1194</v>
      </c>
      <c r="P43" s="498" t="s">
        <v>6955</v>
      </c>
      <c r="Q43" s="498" t="s">
        <v>7040</v>
      </c>
      <c r="R43" s="498" t="s">
        <v>6957</v>
      </c>
      <c r="S43" s="498" t="s">
        <v>6868</v>
      </c>
      <c r="T43" s="498" t="s">
        <v>7041</v>
      </c>
      <c r="U43" s="498"/>
      <c r="V43" s="498" t="s">
        <v>2177</v>
      </c>
      <c r="W43" s="498" t="s">
        <v>6982</v>
      </c>
      <c r="X43" s="498" t="s">
        <v>6959</v>
      </c>
      <c r="Y43" s="498"/>
      <c r="Z43" s="498" t="s">
        <v>7037</v>
      </c>
      <c r="AA43" s="498"/>
      <c r="AB43" s="498" t="s">
        <v>3608</v>
      </c>
      <c r="AC43" s="498"/>
      <c r="AD43" s="498"/>
      <c r="AE43" s="498" t="s">
        <v>855</v>
      </c>
      <c r="AF43" s="498"/>
      <c r="AG43" s="498"/>
    </row>
    <row r="44" spans="2:33" hidden="1">
      <c r="B44" s="498" t="s">
        <v>6858</v>
      </c>
      <c r="C44" s="498" t="s">
        <v>6969</v>
      </c>
      <c r="D44" s="498" t="s">
        <v>341</v>
      </c>
      <c r="E44" s="498" t="s">
        <v>26</v>
      </c>
      <c r="F44" s="498" t="s">
        <v>7042</v>
      </c>
      <c r="G44" s="499" t="s">
        <v>326</v>
      </c>
      <c r="H44" s="500" t="s">
        <v>6861</v>
      </c>
      <c r="I44" s="498" t="s">
        <v>6862</v>
      </c>
      <c r="J44" s="498" t="s">
        <v>6879</v>
      </c>
      <c r="K44" s="498" t="s">
        <v>2173</v>
      </c>
      <c r="L44" s="498" t="s">
        <v>855</v>
      </c>
      <c r="M44" s="498" t="s">
        <v>6864</v>
      </c>
      <c r="N44" s="498" t="s">
        <v>6865</v>
      </c>
      <c r="O44" s="498" t="s">
        <v>1194</v>
      </c>
      <c r="P44" s="498" t="s">
        <v>6971</v>
      </c>
      <c r="Q44" s="498" t="s">
        <v>6972</v>
      </c>
      <c r="R44" s="498" t="s">
        <v>6973</v>
      </c>
      <c r="S44" s="498" t="s">
        <v>6868</v>
      </c>
      <c r="T44" s="498" t="s">
        <v>6974</v>
      </c>
      <c r="U44" s="498"/>
      <c r="V44" s="498" t="s">
        <v>2177</v>
      </c>
      <c r="W44" s="498" t="s">
        <v>6883</v>
      </c>
      <c r="X44" s="498" t="s">
        <v>3582</v>
      </c>
      <c r="Y44" s="498" t="s">
        <v>6871</v>
      </c>
      <c r="Z44" s="498">
        <v>255</v>
      </c>
      <c r="AA44" s="498" t="s">
        <v>6872</v>
      </c>
      <c r="AB44" s="498" t="s">
        <v>3608</v>
      </c>
      <c r="AC44" s="498" t="s">
        <v>6871</v>
      </c>
      <c r="AD44" s="498"/>
      <c r="AE44" s="498" t="s">
        <v>7043</v>
      </c>
      <c r="AF44" s="498"/>
      <c r="AG44" s="498"/>
    </row>
    <row r="45" spans="2:33" hidden="1">
      <c r="B45" s="498" t="s">
        <v>6858</v>
      </c>
      <c r="C45" s="498" t="s">
        <v>7044</v>
      </c>
      <c r="D45" s="498" t="s">
        <v>341</v>
      </c>
      <c r="E45" s="498" t="s">
        <v>26</v>
      </c>
      <c r="F45" s="498" t="s">
        <v>7045</v>
      </c>
      <c r="G45" s="499" t="s">
        <v>326</v>
      </c>
      <c r="H45" s="500" t="s">
        <v>6861</v>
      </c>
      <c r="I45" s="498" t="s">
        <v>6862</v>
      </c>
      <c r="J45" s="498" t="s">
        <v>6879</v>
      </c>
      <c r="K45" s="498" t="s">
        <v>2173</v>
      </c>
      <c r="L45" s="498" t="s">
        <v>855</v>
      </c>
      <c r="M45" s="498" t="s">
        <v>6864</v>
      </c>
      <c r="N45" s="498" t="s">
        <v>6865</v>
      </c>
      <c r="O45" s="498" t="s">
        <v>1194</v>
      </c>
      <c r="P45" s="498" t="s">
        <v>574</v>
      </c>
      <c r="Q45" s="498" t="s">
        <v>7046</v>
      </c>
      <c r="R45" s="498" t="s">
        <v>6957</v>
      </c>
      <c r="S45" s="498" t="s">
        <v>6868</v>
      </c>
      <c r="T45" s="498"/>
      <c r="U45" s="498"/>
      <c r="V45" s="498" t="s">
        <v>6905</v>
      </c>
      <c r="W45" s="498" t="s">
        <v>6883</v>
      </c>
      <c r="X45" s="498" t="s">
        <v>3608</v>
      </c>
      <c r="Y45" s="498" t="s">
        <v>6871</v>
      </c>
      <c r="Z45" s="498">
        <v>1</v>
      </c>
      <c r="AA45" s="498" t="s">
        <v>6872</v>
      </c>
      <c r="AB45" s="498"/>
      <c r="AC45" s="498"/>
      <c r="AD45" s="498" t="s">
        <v>7047</v>
      </c>
      <c r="AE45" s="498" t="s">
        <v>6874</v>
      </c>
      <c r="AF45" s="498" t="s">
        <v>6905</v>
      </c>
      <c r="AG45" s="498"/>
    </row>
    <row r="46" spans="2:33" hidden="1">
      <c r="B46" s="498" t="s">
        <v>6858</v>
      </c>
      <c r="C46" s="498" t="s">
        <v>7048</v>
      </c>
      <c r="D46" s="498" t="s">
        <v>3919</v>
      </c>
      <c r="E46" s="498" t="s">
        <v>26</v>
      </c>
      <c r="F46" s="498" t="s">
        <v>7049</v>
      </c>
      <c r="G46" s="499" t="s">
        <v>326</v>
      </c>
      <c r="H46" s="500" t="s">
        <v>6861</v>
      </c>
      <c r="I46" s="498" t="s">
        <v>6862</v>
      </c>
      <c r="J46" s="498" t="s">
        <v>6879</v>
      </c>
      <c r="K46" s="498" t="s">
        <v>2173</v>
      </c>
      <c r="L46" s="498" t="s">
        <v>855</v>
      </c>
      <c r="M46" s="498" t="s">
        <v>6864</v>
      </c>
      <c r="N46" s="498" t="s">
        <v>6865</v>
      </c>
      <c r="O46" s="498" t="s">
        <v>1194</v>
      </c>
      <c r="P46" s="498" t="s">
        <v>605</v>
      </c>
      <c r="Q46" s="498" t="s">
        <v>7050</v>
      </c>
      <c r="R46" s="498" t="s">
        <v>6978</v>
      </c>
      <c r="S46" s="498" t="s">
        <v>6868</v>
      </c>
      <c r="T46" s="498"/>
      <c r="U46" s="498"/>
      <c r="V46" s="498" t="s">
        <v>6905</v>
      </c>
      <c r="W46" s="498" t="s">
        <v>6883</v>
      </c>
      <c r="X46" s="498" t="s">
        <v>2207</v>
      </c>
      <c r="Y46" s="498"/>
      <c r="Z46" s="498"/>
      <c r="AA46" s="498" t="s">
        <v>6872</v>
      </c>
      <c r="AB46" s="498"/>
      <c r="AC46" s="498"/>
      <c r="AD46" s="498"/>
      <c r="AE46" s="498" t="s">
        <v>6961</v>
      </c>
      <c r="AF46" s="498" t="s">
        <v>6905</v>
      </c>
      <c r="AG46" s="498"/>
    </row>
    <row r="47" spans="2:33" hidden="1">
      <c r="B47" s="498" t="s">
        <v>6858</v>
      </c>
      <c r="C47" s="498" t="s">
        <v>7051</v>
      </c>
      <c r="D47" s="498" t="s">
        <v>3919</v>
      </c>
      <c r="E47" s="498" t="s">
        <v>26</v>
      </c>
      <c r="F47" s="498" t="s">
        <v>7052</v>
      </c>
      <c r="G47" s="499" t="s">
        <v>326</v>
      </c>
      <c r="H47" s="500" t="s">
        <v>6861</v>
      </c>
      <c r="I47" s="498" t="s">
        <v>6862</v>
      </c>
      <c r="J47" s="498" t="s">
        <v>6879</v>
      </c>
      <c r="K47" s="498" t="s">
        <v>2173</v>
      </c>
      <c r="L47" s="498" t="s">
        <v>855</v>
      </c>
      <c r="M47" s="498" t="s">
        <v>6864</v>
      </c>
      <c r="N47" s="498" t="s">
        <v>6865</v>
      </c>
      <c r="O47" s="498" t="s">
        <v>1194</v>
      </c>
      <c r="P47" s="498" t="s">
        <v>605</v>
      </c>
      <c r="Q47" s="498" t="s">
        <v>7053</v>
      </c>
      <c r="R47" s="498" t="s">
        <v>6978</v>
      </c>
      <c r="S47" s="498" t="s">
        <v>6868</v>
      </c>
      <c r="T47" s="498"/>
      <c r="U47" s="498"/>
      <c r="V47" s="498" t="s">
        <v>6905</v>
      </c>
      <c r="W47" s="498" t="s">
        <v>6883</v>
      </c>
      <c r="X47" s="498" t="s">
        <v>2207</v>
      </c>
      <c r="Y47" s="498"/>
      <c r="Z47" s="498"/>
      <c r="AA47" s="498" t="s">
        <v>6872</v>
      </c>
      <c r="AB47" s="498"/>
      <c r="AC47" s="498"/>
      <c r="AD47" s="498"/>
      <c r="AE47" s="498" t="s">
        <v>6961</v>
      </c>
      <c r="AF47" s="498" t="s">
        <v>6905</v>
      </c>
      <c r="AG47" s="498"/>
    </row>
    <row r="48" spans="2:33" hidden="1">
      <c r="B48" s="498" t="s">
        <v>6858</v>
      </c>
      <c r="C48" s="498" t="s">
        <v>7054</v>
      </c>
      <c r="D48" s="498" t="s">
        <v>341</v>
      </c>
      <c r="E48" s="498" t="s">
        <v>26</v>
      </c>
      <c r="F48" s="498" t="s">
        <v>7055</v>
      </c>
      <c r="G48" s="499" t="s">
        <v>326</v>
      </c>
      <c r="H48" s="500" t="s">
        <v>6861</v>
      </c>
      <c r="I48" s="498" t="s">
        <v>6862</v>
      </c>
      <c r="J48" s="498" t="s">
        <v>6879</v>
      </c>
      <c r="K48" s="498" t="s">
        <v>2173</v>
      </c>
      <c r="L48" s="498" t="s">
        <v>855</v>
      </c>
      <c r="M48" s="498" t="s">
        <v>6864</v>
      </c>
      <c r="N48" s="498" t="s">
        <v>6865</v>
      </c>
      <c r="O48" s="498" t="s">
        <v>1194</v>
      </c>
      <c r="P48" s="498" t="s">
        <v>574</v>
      </c>
      <c r="Q48" s="498" t="s">
        <v>2352</v>
      </c>
      <c r="R48" s="498" t="s">
        <v>6957</v>
      </c>
      <c r="S48" s="498" t="s">
        <v>6868</v>
      </c>
      <c r="T48" s="498"/>
      <c r="U48" s="498"/>
      <c r="V48" s="498" t="s">
        <v>6905</v>
      </c>
      <c r="W48" s="498" t="s">
        <v>6883</v>
      </c>
      <c r="X48" s="498" t="s">
        <v>2207</v>
      </c>
      <c r="Y48" s="498" t="s">
        <v>6871</v>
      </c>
      <c r="Z48" s="498"/>
      <c r="AA48" s="498" t="s">
        <v>6872</v>
      </c>
      <c r="AB48" s="498"/>
      <c r="AC48" s="498"/>
      <c r="AD48" s="498"/>
      <c r="AE48" s="498" t="s">
        <v>855</v>
      </c>
      <c r="AF48" s="498" t="s">
        <v>6905</v>
      </c>
      <c r="AG48" s="498"/>
    </row>
    <row r="49" spans="2:33" hidden="1">
      <c r="B49" s="498" t="s">
        <v>6858</v>
      </c>
      <c r="C49" s="498" t="s">
        <v>7056</v>
      </c>
      <c r="D49" s="498" t="s">
        <v>3919</v>
      </c>
      <c r="E49" s="498" t="s">
        <v>26</v>
      </c>
      <c r="F49" s="498" t="s">
        <v>7057</v>
      </c>
      <c r="G49" s="499" t="s">
        <v>326</v>
      </c>
      <c r="H49" s="500" t="s">
        <v>6861</v>
      </c>
      <c r="I49" s="498" t="s">
        <v>6862</v>
      </c>
      <c r="J49" s="498" t="s">
        <v>6879</v>
      </c>
      <c r="K49" s="498" t="s">
        <v>2173</v>
      </c>
      <c r="L49" s="498" t="s">
        <v>855</v>
      </c>
      <c r="M49" s="498" t="s">
        <v>6864</v>
      </c>
      <c r="N49" s="498" t="s">
        <v>6865</v>
      </c>
      <c r="O49" s="498" t="s">
        <v>1194</v>
      </c>
      <c r="P49" s="498" t="s">
        <v>574</v>
      </c>
      <c r="Q49" s="498" t="s">
        <v>6965</v>
      </c>
      <c r="R49" s="498" t="s">
        <v>6957</v>
      </c>
      <c r="S49" s="498" t="s">
        <v>6868</v>
      </c>
      <c r="T49" s="498" t="s">
        <v>7058</v>
      </c>
      <c r="U49" s="498"/>
      <c r="V49" s="498" t="s">
        <v>2177</v>
      </c>
      <c r="W49" s="498" t="s">
        <v>6883</v>
      </c>
      <c r="X49" s="498" t="s">
        <v>3608</v>
      </c>
      <c r="Y49" s="498" t="s">
        <v>6871</v>
      </c>
      <c r="Z49" s="498">
        <v>25</v>
      </c>
      <c r="AA49" s="498" t="s">
        <v>6872</v>
      </c>
      <c r="AB49" s="498"/>
      <c r="AC49" s="498"/>
      <c r="AD49" s="498"/>
      <c r="AE49" s="498" t="s">
        <v>855</v>
      </c>
      <c r="AF49" s="498"/>
      <c r="AG49" s="498"/>
    </row>
    <row r="50" spans="2:33" hidden="1">
      <c r="B50" s="498" t="s">
        <v>6858</v>
      </c>
      <c r="C50" s="498" t="s">
        <v>7059</v>
      </c>
      <c r="D50" s="498" t="s">
        <v>3919</v>
      </c>
      <c r="E50" s="498" t="s">
        <v>26</v>
      </c>
      <c r="F50" s="498" t="s">
        <v>7060</v>
      </c>
      <c r="G50" s="499" t="s">
        <v>326</v>
      </c>
      <c r="H50" s="500" t="s">
        <v>6861</v>
      </c>
      <c r="I50" s="498" t="s">
        <v>6862</v>
      </c>
      <c r="J50" s="498" t="s">
        <v>6879</v>
      </c>
      <c r="K50" s="498" t="s">
        <v>2173</v>
      </c>
      <c r="L50" s="498" t="s">
        <v>855</v>
      </c>
      <c r="M50" s="498" t="s">
        <v>6864</v>
      </c>
      <c r="N50" s="498" t="s">
        <v>6865</v>
      </c>
      <c r="O50" s="498" t="s">
        <v>1194</v>
      </c>
      <c r="P50" s="498" t="s">
        <v>574</v>
      </c>
      <c r="Q50" s="498" t="s">
        <v>6965</v>
      </c>
      <c r="R50" s="498" t="s">
        <v>6957</v>
      </c>
      <c r="S50" s="498" t="s">
        <v>6868</v>
      </c>
      <c r="T50" s="498" t="s">
        <v>7061</v>
      </c>
      <c r="U50" s="498"/>
      <c r="V50" s="498" t="s">
        <v>2177</v>
      </c>
      <c r="W50" s="498" t="s">
        <v>6883</v>
      </c>
      <c r="X50" s="498" t="s">
        <v>3608</v>
      </c>
      <c r="Y50" s="498" t="s">
        <v>6871</v>
      </c>
      <c r="Z50" s="498">
        <v>25</v>
      </c>
      <c r="AA50" s="498" t="s">
        <v>6872</v>
      </c>
      <c r="AB50" s="498"/>
      <c r="AC50" s="498"/>
      <c r="AD50" s="498"/>
      <c r="AE50" s="498" t="s">
        <v>6874</v>
      </c>
      <c r="AF50" s="498"/>
      <c r="AG50" s="498" t="s">
        <v>7062</v>
      </c>
    </row>
    <row r="51" spans="2:33" hidden="1">
      <c r="B51" s="498" t="s">
        <v>6858</v>
      </c>
      <c r="C51" s="498" t="s">
        <v>6617</v>
      </c>
      <c r="D51" s="498" t="s">
        <v>341</v>
      </c>
      <c r="E51" s="498" t="s">
        <v>26</v>
      </c>
      <c r="F51" s="498" t="s">
        <v>7063</v>
      </c>
      <c r="G51" s="499" t="s">
        <v>326</v>
      </c>
      <c r="H51" s="500" t="s">
        <v>6861</v>
      </c>
      <c r="I51" s="498" t="s">
        <v>6862</v>
      </c>
      <c r="J51" s="498" t="s">
        <v>6879</v>
      </c>
      <c r="K51" s="498" t="s">
        <v>2173</v>
      </c>
      <c r="L51" s="498" t="s">
        <v>855</v>
      </c>
      <c r="M51" s="498" t="s">
        <v>6864</v>
      </c>
      <c r="N51" s="498" t="s">
        <v>6865</v>
      </c>
      <c r="O51" s="498" t="s">
        <v>1194</v>
      </c>
      <c r="P51" s="498" t="s">
        <v>634</v>
      </c>
      <c r="Q51" s="498" t="s">
        <v>2183</v>
      </c>
      <c r="R51" s="498" t="s">
        <v>7064</v>
      </c>
      <c r="S51" s="498" t="s">
        <v>6868</v>
      </c>
      <c r="T51" s="498"/>
      <c r="U51" s="498"/>
      <c r="V51" s="498" t="s">
        <v>6905</v>
      </c>
      <c r="W51" s="498" t="s">
        <v>6883</v>
      </c>
      <c r="X51" s="498" t="s">
        <v>3582</v>
      </c>
      <c r="Y51" s="498" t="s">
        <v>6871</v>
      </c>
      <c r="Z51" s="498">
        <v>30</v>
      </c>
      <c r="AA51" s="498" t="s">
        <v>6872</v>
      </c>
      <c r="AB51" s="498" t="s">
        <v>3608</v>
      </c>
      <c r="AC51" s="498"/>
      <c r="AD51" s="498"/>
      <c r="AE51" s="498" t="s">
        <v>855</v>
      </c>
      <c r="AF51" s="498" t="s">
        <v>6905</v>
      </c>
      <c r="AG51" s="498"/>
    </row>
    <row r="52" spans="2:33" hidden="1">
      <c r="B52" s="498" t="s">
        <v>6858</v>
      </c>
      <c r="C52" s="498" t="s">
        <v>7065</v>
      </c>
      <c r="D52" s="498" t="s">
        <v>3919</v>
      </c>
      <c r="E52" s="498" t="s">
        <v>26</v>
      </c>
      <c r="F52" s="498" t="s">
        <v>7065</v>
      </c>
      <c r="G52" s="499" t="s">
        <v>326</v>
      </c>
      <c r="H52" s="500" t="s">
        <v>6861</v>
      </c>
      <c r="I52" s="498" t="s">
        <v>6862</v>
      </c>
      <c r="J52" s="498" t="s">
        <v>6879</v>
      </c>
      <c r="K52" s="498" t="s">
        <v>2173</v>
      </c>
      <c r="L52" s="498" t="s">
        <v>855</v>
      </c>
      <c r="M52" s="498" t="s">
        <v>6864</v>
      </c>
      <c r="N52" s="498"/>
      <c r="O52" s="498" t="s">
        <v>1194</v>
      </c>
      <c r="P52" s="498" t="s">
        <v>7066</v>
      </c>
      <c r="Q52" s="498" t="s">
        <v>7067</v>
      </c>
      <c r="R52" s="498" t="s">
        <v>7068</v>
      </c>
      <c r="S52" s="498" t="s">
        <v>7069</v>
      </c>
      <c r="T52" s="498"/>
      <c r="U52" s="498"/>
      <c r="V52" s="498" t="s">
        <v>6869</v>
      </c>
      <c r="W52" s="498"/>
      <c r="X52" s="498"/>
      <c r="Y52" s="498"/>
      <c r="Z52" s="498"/>
      <c r="AA52" s="498"/>
      <c r="AB52" s="498"/>
      <c r="AC52" s="498"/>
      <c r="AD52" s="498"/>
      <c r="AE52" s="498"/>
      <c r="AF52" s="498" t="s">
        <v>6875</v>
      </c>
      <c r="AG52" s="498" t="s">
        <v>7070</v>
      </c>
    </row>
    <row r="53" spans="2:33" hidden="1">
      <c r="B53" s="498" t="s">
        <v>6858</v>
      </c>
      <c r="C53" s="498" t="s">
        <v>7054</v>
      </c>
      <c r="D53" s="498" t="s">
        <v>7071</v>
      </c>
      <c r="E53" s="498" t="s">
        <v>26</v>
      </c>
      <c r="F53" s="498" t="s">
        <v>7072</v>
      </c>
      <c r="G53" s="499" t="s">
        <v>326</v>
      </c>
      <c r="H53" s="500" t="s">
        <v>6861</v>
      </c>
      <c r="I53" s="498" t="s">
        <v>6862</v>
      </c>
      <c r="J53" s="498" t="s">
        <v>7031</v>
      </c>
      <c r="K53" s="498" t="s">
        <v>2173</v>
      </c>
      <c r="L53" s="498" t="s">
        <v>855</v>
      </c>
      <c r="M53" s="498" t="s">
        <v>6864</v>
      </c>
      <c r="N53" s="498" t="s">
        <v>6865</v>
      </c>
      <c r="O53" s="498" t="s">
        <v>2101</v>
      </c>
      <c r="P53" s="498" t="s">
        <v>653</v>
      </c>
      <c r="Q53" s="498" t="s">
        <v>7073</v>
      </c>
      <c r="R53" s="498" t="s">
        <v>6957</v>
      </c>
      <c r="S53" s="498" t="s">
        <v>6868</v>
      </c>
      <c r="T53" s="498"/>
      <c r="U53" s="498"/>
      <c r="V53" s="498" t="s">
        <v>6905</v>
      </c>
      <c r="W53" s="498" t="s">
        <v>7074</v>
      </c>
      <c r="X53" s="498" t="s">
        <v>3608</v>
      </c>
      <c r="Y53" s="498"/>
      <c r="Z53" s="498">
        <v>4</v>
      </c>
      <c r="AA53" s="498"/>
      <c r="AB53" s="498"/>
      <c r="AC53" s="498"/>
      <c r="AD53" s="498"/>
      <c r="AE53" s="498" t="s">
        <v>855</v>
      </c>
      <c r="AF53" s="498" t="s">
        <v>6905</v>
      </c>
      <c r="AG53" s="498"/>
    </row>
    <row r="54" spans="2:33" hidden="1">
      <c r="B54" s="498" t="s">
        <v>6968</v>
      </c>
      <c r="C54" s="498" t="s">
        <v>7075</v>
      </c>
      <c r="D54" s="498" t="s">
        <v>341</v>
      </c>
      <c r="E54" s="498" t="s">
        <v>26</v>
      </c>
      <c r="F54" s="498" t="s">
        <v>7076</v>
      </c>
      <c r="G54" s="499" t="s">
        <v>326</v>
      </c>
      <c r="H54" s="500" t="s">
        <v>6861</v>
      </c>
      <c r="I54" s="498" t="s">
        <v>6862</v>
      </c>
      <c r="J54" s="498" t="s">
        <v>7077</v>
      </c>
      <c r="K54" s="498" t="s">
        <v>2173</v>
      </c>
      <c r="L54" s="498" t="s">
        <v>855</v>
      </c>
      <c r="M54" s="498" t="s">
        <v>6864</v>
      </c>
      <c r="N54" s="498" t="s">
        <v>6865</v>
      </c>
      <c r="O54" s="498" t="s">
        <v>1194</v>
      </c>
      <c r="P54" s="498" t="s">
        <v>574</v>
      </c>
      <c r="Q54" s="498" t="s">
        <v>6965</v>
      </c>
      <c r="R54" s="498" t="s">
        <v>6957</v>
      </c>
      <c r="S54" s="498" t="s">
        <v>6868</v>
      </c>
      <c r="T54" s="498" t="s">
        <v>7078</v>
      </c>
      <c r="U54" s="498"/>
      <c r="V54" s="498" t="s">
        <v>7079</v>
      </c>
      <c r="W54" s="498" t="s">
        <v>6870</v>
      </c>
      <c r="X54" s="498" t="s">
        <v>3608</v>
      </c>
      <c r="Y54" s="498" t="s">
        <v>6871</v>
      </c>
      <c r="Z54" s="498">
        <v>25</v>
      </c>
      <c r="AA54" s="498" t="s">
        <v>6872</v>
      </c>
      <c r="AB54" s="498"/>
      <c r="AC54" s="498" t="s">
        <v>6871</v>
      </c>
      <c r="AD54" s="498"/>
      <c r="AE54" s="498" t="s">
        <v>6961</v>
      </c>
      <c r="AF54" s="498"/>
      <c r="AG54" s="498"/>
    </row>
    <row r="55" spans="2:33" hidden="1">
      <c r="B55" s="498" t="s">
        <v>6858</v>
      </c>
      <c r="C55" s="498" t="s">
        <v>7075</v>
      </c>
      <c r="D55" s="498" t="s">
        <v>341</v>
      </c>
      <c r="E55" s="498" t="s">
        <v>26</v>
      </c>
      <c r="F55" s="498" t="s">
        <v>7076</v>
      </c>
      <c r="G55" s="499" t="s">
        <v>326</v>
      </c>
      <c r="H55" s="500" t="s">
        <v>6861</v>
      </c>
      <c r="I55" s="498" t="s">
        <v>6862</v>
      </c>
      <c r="J55" s="498" t="s">
        <v>7080</v>
      </c>
      <c r="K55" s="498" t="s">
        <v>2173</v>
      </c>
      <c r="L55" s="498" t="s">
        <v>855</v>
      </c>
      <c r="M55" s="498" t="s">
        <v>6864</v>
      </c>
      <c r="N55" s="498" t="s">
        <v>6865</v>
      </c>
      <c r="O55" s="498" t="s">
        <v>1194</v>
      </c>
      <c r="P55" s="498" t="s">
        <v>574</v>
      </c>
      <c r="Q55" s="498" t="s">
        <v>6965</v>
      </c>
      <c r="R55" s="498" t="s">
        <v>6957</v>
      </c>
      <c r="S55" s="498" t="s">
        <v>6868</v>
      </c>
      <c r="T55" s="498" t="s">
        <v>7078</v>
      </c>
      <c r="U55" s="498"/>
      <c r="V55" s="498" t="s">
        <v>7079</v>
      </c>
      <c r="W55" s="498" t="s">
        <v>6870</v>
      </c>
      <c r="X55" s="498" t="s">
        <v>3608</v>
      </c>
      <c r="Y55" s="498"/>
      <c r="Z55" s="498">
        <v>25</v>
      </c>
      <c r="AA55" s="498" t="s">
        <v>6872</v>
      </c>
      <c r="AB55" s="498"/>
      <c r="AC55" s="498"/>
      <c r="AD55" s="498"/>
      <c r="AE55" s="498" t="s">
        <v>6961</v>
      </c>
      <c r="AF55" s="498"/>
      <c r="AG55" s="498"/>
    </row>
    <row r="56" spans="2:33" hidden="1">
      <c r="B56" s="498" t="s">
        <v>6858</v>
      </c>
      <c r="C56" s="498" t="s">
        <v>7081</v>
      </c>
      <c r="D56" s="498" t="s">
        <v>7071</v>
      </c>
      <c r="E56" s="498" t="s">
        <v>26</v>
      </c>
      <c r="F56" s="498" t="s">
        <v>7082</v>
      </c>
      <c r="G56" s="499" t="s">
        <v>326</v>
      </c>
      <c r="H56" s="500" t="s">
        <v>6861</v>
      </c>
      <c r="I56" s="498" t="s">
        <v>6862</v>
      </c>
      <c r="J56" s="498" t="s">
        <v>6934</v>
      </c>
      <c r="K56" s="498" t="s">
        <v>2173</v>
      </c>
      <c r="L56" s="498" t="s">
        <v>855</v>
      </c>
      <c r="M56" s="498" t="s">
        <v>6864</v>
      </c>
      <c r="N56" s="498" t="s">
        <v>6865</v>
      </c>
      <c r="O56" s="498" t="s">
        <v>2101</v>
      </c>
      <c r="P56" s="498" t="s">
        <v>653</v>
      </c>
      <c r="Q56" s="498" t="s">
        <v>7083</v>
      </c>
      <c r="R56" s="498" t="s">
        <v>6920</v>
      </c>
      <c r="S56" s="498" t="s">
        <v>6868</v>
      </c>
      <c r="T56" s="498"/>
      <c r="U56" s="498"/>
      <c r="V56" s="498" t="s">
        <v>6905</v>
      </c>
      <c r="W56" s="498" t="s">
        <v>7084</v>
      </c>
      <c r="X56" s="498" t="s">
        <v>3608</v>
      </c>
      <c r="Y56" s="498" t="s">
        <v>6871</v>
      </c>
      <c r="Z56" s="498">
        <v>6</v>
      </c>
      <c r="AA56" s="498" t="s">
        <v>6872</v>
      </c>
      <c r="AB56" s="498"/>
      <c r="AC56" s="498"/>
      <c r="AD56" s="498"/>
      <c r="AE56" s="498" t="s">
        <v>7085</v>
      </c>
      <c r="AF56" s="498" t="s">
        <v>6905</v>
      </c>
      <c r="AG56" s="498"/>
    </row>
    <row r="57" spans="2:33" hidden="1">
      <c r="B57" s="498" t="s">
        <v>6858</v>
      </c>
      <c r="C57" s="498" t="s">
        <v>2821</v>
      </c>
      <c r="D57" s="498" t="s">
        <v>7071</v>
      </c>
      <c r="E57" s="498" t="s">
        <v>26</v>
      </c>
      <c r="F57" s="498" t="s">
        <v>7086</v>
      </c>
      <c r="G57" s="499" t="s">
        <v>326</v>
      </c>
      <c r="H57" s="500" t="s">
        <v>6861</v>
      </c>
      <c r="I57" s="498" t="s">
        <v>6862</v>
      </c>
      <c r="J57" s="498" t="s">
        <v>6934</v>
      </c>
      <c r="K57" s="498" t="s">
        <v>2173</v>
      </c>
      <c r="L57" s="498" t="s">
        <v>855</v>
      </c>
      <c r="M57" s="498" t="s">
        <v>6864</v>
      </c>
      <c r="N57" s="498" t="s">
        <v>6865</v>
      </c>
      <c r="O57" s="498" t="s">
        <v>2101</v>
      </c>
      <c r="P57" s="498" t="s">
        <v>653</v>
      </c>
      <c r="Q57" s="498" t="s">
        <v>7087</v>
      </c>
      <c r="R57" s="498" t="s">
        <v>6920</v>
      </c>
      <c r="S57" s="498" t="s">
        <v>6868</v>
      </c>
      <c r="T57" s="498"/>
      <c r="U57" s="498"/>
      <c r="V57" s="498" t="s">
        <v>6905</v>
      </c>
      <c r="W57" s="498" t="s">
        <v>7084</v>
      </c>
      <c r="X57" s="498" t="s">
        <v>3608</v>
      </c>
      <c r="Y57" s="498"/>
      <c r="Z57" s="498">
        <v>3</v>
      </c>
      <c r="AA57" s="498" t="s">
        <v>6872</v>
      </c>
      <c r="AB57" s="498"/>
      <c r="AC57" s="498"/>
      <c r="AD57" s="498"/>
      <c r="AE57" s="498" t="s">
        <v>7085</v>
      </c>
      <c r="AF57" s="498" t="s">
        <v>6905</v>
      </c>
      <c r="AG57" s="498" t="s">
        <v>7088</v>
      </c>
    </row>
    <row r="58" spans="2:33" hidden="1">
      <c r="B58" s="498" t="s">
        <v>6858</v>
      </c>
      <c r="C58" s="498" t="s">
        <v>7089</v>
      </c>
      <c r="D58" s="498" t="s">
        <v>7071</v>
      </c>
      <c r="E58" s="498" t="s">
        <v>26</v>
      </c>
      <c r="F58" s="498" t="s">
        <v>7090</v>
      </c>
      <c r="G58" s="499" t="s">
        <v>326</v>
      </c>
      <c r="H58" s="500" t="s">
        <v>6861</v>
      </c>
      <c r="I58" s="498" t="s">
        <v>6862</v>
      </c>
      <c r="J58" s="498" t="s">
        <v>6934</v>
      </c>
      <c r="K58" s="498" t="s">
        <v>2173</v>
      </c>
      <c r="L58" s="498" t="s">
        <v>855</v>
      </c>
      <c r="M58" s="498" t="s">
        <v>6864</v>
      </c>
      <c r="N58" s="498" t="s">
        <v>6865</v>
      </c>
      <c r="O58" s="498" t="s">
        <v>2101</v>
      </c>
      <c r="P58" s="498" t="s">
        <v>653</v>
      </c>
      <c r="Q58" s="498" t="s">
        <v>7091</v>
      </c>
      <c r="R58" s="498" t="s">
        <v>6920</v>
      </c>
      <c r="S58" s="498" t="s">
        <v>6868</v>
      </c>
      <c r="T58" s="498"/>
      <c r="U58" s="498"/>
      <c r="V58" s="498" t="s">
        <v>6905</v>
      </c>
      <c r="W58" s="498" t="s">
        <v>7092</v>
      </c>
      <c r="X58" s="498" t="s">
        <v>3608</v>
      </c>
      <c r="Y58" s="498" t="s">
        <v>6871</v>
      </c>
      <c r="Z58" s="498">
        <v>4</v>
      </c>
      <c r="AA58" s="498" t="s">
        <v>6872</v>
      </c>
      <c r="AB58" s="498"/>
      <c r="AC58" s="498"/>
      <c r="AD58" s="498"/>
      <c r="AE58" s="498" t="s">
        <v>855</v>
      </c>
      <c r="AF58" s="498" t="s">
        <v>6905</v>
      </c>
      <c r="AG58" s="498"/>
    </row>
    <row r="59" spans="2:33" hidden="1">
      <c r="B59" s="498" t="s">
        <v>6858</v>
      </c>
      <c r="C59" s="498" t="s">
        <v>7093</v>
      </c>
      <c r="D59" s="498" t="s">
        <v>7071</v>
      </c>
      <c r="E59" s="498" t="s">
        <v>26</v>
      </c>
      <c r="F59" s="498" t="s">
        <v>7094</v>
      </c>
      <c r="G59" s="499" t="s">
        <v>326</v>
      </c>
      <c r="H59" s="500" t="s">
        <v>7095</v>
      </c>
      <c r="I59" s="498" t="s">
        <v>7096</v>
      </c>
      <c r="J59" s="498" t="s">
        <v>6934</v>
      </c>
      <c r="K59" s="498" t="s">
        <v>2173</v>
      </c>
      <c r="L59" s="498" t="s">
        <v>855</v>
      </c>
      <c r="M59" s="498" t="s">
        <v>6864</v>
      </c>
      <c r="N59" s="498" t="s">
        <v>1193</v>
      </c>
      <c r="O59" s="498" t="s">
        <v>1194</v>
      </c>
      <c r="P59" s="498" t="s">
        <v>1339</v>
      </c>
      <c r="Q59" s="498" t="s">
        <v>7097</v>
      </c>
      <c r="R59" s="498" t="s">
        <v>7098</v>
      </c>
      <c r="S59" s="498"/>
      <c r="T59" s="498"/>
      <c r="U59" s="498"/>
      <c r="V59" s="498"/>
      <c r="W59" s="498"/>
      <c r="X59" s="498"/>
      <c r="Y59" s="498"/>
      <c r="Z59" s="498"/>
      <c r="AA59" s="498"/>
      <c r="AB59" s="498"/>
      <c r="AC59" s="498"/>
      <c r="AD59" s="498"/>
      <c r="AE59" s="498"/>
      <c r="AF59" s="498"/>
      <c r="AG59" s="498"/>
    </row>
    <row r="60" spans="2:33" hidden="1">
      <c r="B60" s="498" t="s">
        <v>6858</v>
      </c>
      <c r="C60" s="498" t="s">
        <v>7099</v>
      </c>
      <c r="D60" s="498" t="s">
        <v>7071</v>
      </c>
      <c r="E60" s="498" t="s">
        <v>26</v>
      </c>
      <c r="F60" s="498" t="s">
        <v>7100</v>
      </c>
      <c r="G60" s="499" t="s">
        <v>326</v>
      </c>
      <c r="H60" s="500" t="s">
        <v>7095</v>
      </c>
      <c r="I60" s="498" t="s">
        <v>7096</v>
      </c>
      <c r="J60" s="498" t="s">
        <v>6934</v>
      </c>
      <c r="K60" s="498" t="s">
        <v>2173</v>
      </c>
      <c r="L60" s="498" t="s">
        <v>855</v>
      </c>
      <c r="M60" s="498" t="s">
        <v>6864</v>
      </c>
      <c r="N60" s="498" t="s">
        <v>1193</v>
      </c>
      <c r="O60" s="498" t="s">
        <v>1194</v>
      </c>
      <c r="P60" s="498" t="s">
        <v>1339</v>
      </c>
      <c r="Q60" s="498" t="s">
        <v>7101</v>
      </c>
      <c r="R60" s="498" t="s">
        <v>7098</v>
      </c>
      <c r="S60" s="498"/>
      <c r="T60" s="498"/>
      <c r="U60" s="498"/>
      <c r="V60" s="498"/>
      <c r="W60" s="498"/>
      <c r="X60" s="498"/>
      <c r="Y60" s="498"/>
      <c r="Z60" s="498"/>
      <c r="AA60" s="498"/>
      <c r="AB60" s="498"/>
      <c r="AC60" s="498"/>
      <c r="AD60" s="498"/>
      <c r="AE60" s="498"/>
      <c r="AF60" s="498"/>
      <c r="AG60" s="498"/>
    </row>
    <row r="61" spans="2:33" hidden="1">
      <c r="B61" s="498" t="s">
        <v>6858</v>
      </c>
      <c r="C61" s="498" t="s">
        <v>7102</v>
      </c>
      <c r="D61" s="498" t="s">
        <v>7071</v>
      </c>
      <c r="E61" s="498" t="s">
        <v>26</v>
      </c>
      <c r="F61" s="498" t="s">
        <v>7103</v>
      </c>
      <c r="G61" s="499" t="s">
        <v>326</v>
      </c>
      <c r="H61" s="500" t="s">
        <v>7095</v>
      </c>
      <c r="I61" s="498" t="s">
        <v>7096</v>
      </c>
      <c r="J61" s="498" t="s">
        <v>6934</v>
      </c>
      <c r="K61" s="498" t="s">
        <v>2173</v>
      </c>
      <c r="L61" s="498" t="s">
        <v>855</v>
      </c>
      <c r="M61" s="498" t="s">
        <v>6864</v>
      </c>
      <c r="N61" s="498" t="s">
        <v>1193</v>
      </c>
      <c r="O61" s="498" t="s">
        <v>1194</v>
      </c>
      <c r="P61" s="498" t="s">
        <v>1339</v>
      </c>
      <c r="Q61" s="498" t="s">
        <v>7104</v>
      </c>
      <c r="R61" s="498" t="s">
        <v>7098</v>
      </c>
      <c r="S61" s="498"/>
      <c r="T61" s="498"/>
      <c r="U61" s="498"/>
      <c r="V61" s="498"/>
      <c r="W61" s="498"/>
      <c r="X61" s="498"/>
      <c r="Y61" s="498"/>
      <c r="Z61" s="498"/>
      <c r="AA61" s="498"/>
      <c r="AB61" s="498"/>
      <c r="AC61" s="498"/>
      <c r="AD61" s="498"/>
      <c r="AE61" s="498"/>
      <c r="AF61" s="498"/>
      <c r="AG61" s="498"/>
    </row>
    <row r="62" spans="2:33" hidden="1">
      <c r="B62" s="498" t="s">
        <v>6858</v>
      </c>
      <c r="C62" s="498" t="s">
        <v>6953</v>
      </c>
      <c r="D62" s="498" t="s">
        <v>7105</v>
      </c>
      <c r="E62" s="498" t="s">
        <v>26</v>
      </c>
      <c r="F62" s="498" t="s">
        <v>7106</v>
      </c>
      <c r="G62" s="499" t="s">
        <v>326</v>
      </c>
      <c r="H62" s="500" t="s">
        <v>6861</v>
      </c>
      <c r="I62" s="498" t="s">
        <v>6862</v>
      </c>
      <c r="J62" s="498" t="s">
        <v>6879</v>
      </c>
      <c r="K62" s="498" t="s">
        <v>2173</v>
      </c>
      <c r="L62" s="498" t="s">
        <v>855</v>
      </c>
      <c r="M62" s="498" t="s">
        <v>6864</v>
      </c>
      <c r="N62" s="498" t="s">
        <v>6865</v>
      </c>
      <c r="O62" s="498" t="s">
        <v>2101</v>
      </c>
      <c r="P62" s="498" t="s">
        <v>7107</v>
      </c>
      <c r="Q62" s="498" t="s">
        <v>7108</v>
      </c>
      <c r="R62" s="498" t="s">
        <v>7109</v>
      </c>
      <c r="S62" s="498" t="s">
        <v>6868</v>
      </c>
      <c r="T62" s="498"/>
      <c r="U62" s="498"/>
      <c r="V62" s="498" t="s">
        <v>2177</v>
      </c>
      <c r="W62" s="498" t="s">
        <v>6883</v>
      </c>
      <c r="X62" s="498" t="s">
        <v>7110</v>
      </c>
      <c r="Y62" s="498"/>
      <c r="Z62" s="498" t="s">
        <v>7111</v>
      </c>
      <c r="AA62" s="498" t="s">
        <v>6872</v>
      </c>
      <c r="AB62" s="498"/>
      <c r="AC62" s="498"/>
      <c r="AD62" s="498"/>
      <c r="AE62" s="498" t="s">
        <v>855</v>
      </c>
      <c r="AF62" s="498"/>
      <c r="AG62" s="498"/>
    </row>
    <row r="63" spans="2:33" hidden="1">
      <c r="B63" s="498" t="s">
        <v>6858</v>
      </c>
      <c r="C63" s="498" t="s">
        <v>7112</v>
      </c>
      <c r="D63" s="498" t="s">
        <v>7105</v>
      </c>
      <c r="E63" s="498" t="s">
        <v>26</v>
      </c>
      <c r="F63" s="498" t="s">
        <v>7113</v>
      </c>
      <c r="G63" s="499" t="s">
        <v>326</v>
      </c>
      <c r="H63" s="500" t="s">
        <v>6861</v>
      </c>
      <c r="I63" s="498" t="s">
        <v>6862</v>
      </c>
      <c r="J63" s="498" t="s">
        <v>6879</v>
      </c>
      <c r="K63" s="498" t="s">
        <v>2173</v>
      </c>
      <c r="L63" s="498" t="s">
        <v>855</v>
      </c>
      <c r="M63" s="498" t="s">
        <v>6864</v>
      </c>
      <c r="N63" s="498" t="s">
        <v>6865</v>
      </c>
      <c r="O63" s="498" t="s">
        <v>2101</v>
      </c>
      <c r="P63" s="498" t="s">
        <v>7114</v>
      </c>
      <c r="Q63" s="498" t="s">
        <v>7115</v>
      </c>
      <c r="R63" s="498" t="s">
        <v>7116</v>
      </c>
      <c r="S63" s="498" t="s">
        <v>6868</v>
      </c>
      <c r="T63" s="498"/>
      <c r="U63" s="498"/>
      <c r="V63" s="498" t="s">
        <v>6905</v>
      </c>
      <c r="W63" s="498" t="s">
        <v>6883</v>
      </c>
      <c r="X63" s="498" t="s">
        <v>4271</v>
      </c>
      <c r="Y63" s="498"/>
      <c r="Z63" s="498">
        <v>4</v>
      </c>
      <c r="AA63" s="498" t="s">
        <v>6872</v>
      </c>
      <c r="AB63" s="498"/>
      <c r="AC63" s="498"/>
      <c r="AD63" s="498"/>
      <c r="AE63" s="498" t="s">
        <v>7117</v>
      </c>
      <c r="AF63" s="498" t="s">
        <v>6905</v>
      </c>
      <c r="AG63" s="498"/>
    </row>
    <row r="64" spans="2:33" hidden="1">
      <c r="B64" s="498" t="s">
        <v>6858</v>
      </c>
      <c r="C64" s="498" t="s">
        <v>7118</v>
      </c>
      <c r="D64" s="498" t="s">
        <v>7105</v>
      </c>
      <c r="E64" s="498" t="s">
        <v>26</v>
      </c>
      <c r="F64" s="498" t="s">
        <v>7119</v>
      </c>
      <c r="G64" s="499" t="s">
        <v>326</v>
      </c>
      <c r="H64" s="500" t="s">
        <v>6861</v>
      </c>
      <c r="I64" s="498" t="s">
        <v>6862</v>
      </c>
      <c r="J64" s="498" t="s">
        <v>6879</v>
      </c>
      <c r="K64" s="498" t="s">
        <v>2173</v>
      </c>
      <c r="L64" s="498" t="s">
        <v>855</v>
      </c>
      <c r="M64" s="498" t="s">
        <v>6864</v>
      </c>
      <c r="N64" s="498" t="s">
        <v>6865</v>
      </c>
      <c r="O64" s="498" t="s">
        <v>2101</v>
      </c>
      <c r="P64" s="498" t="s">
        <v>7120</v>
      </c>
      <c r="Q64" s="498" t="s">
        <v>6972</v>
      </c>
      <c r="R64" s="498" t="s">
        <v>7121</v>
      </c>
      <c r="S64" s="498" t="s">
        <v>6868</v>
      </c>
      <c r="T64" s="498" t="s">
        <v>7122</v>
      </c>
      <c r="U64" s="498"/>
      <c r="V64" s="498" t="s">
        <v>2177</v>
      </c>
      <c r="W64" s="498" t="s">
        <v>6883</v>
      </c>
      <c r="X64" s="498" t="s">
        <v>2179</v>
      </c>
      <c r="Y64" s="498"/>
      <c r="Z64" s="498">
        <v>2000</v>
      </c>
      <c r="AA64" s="498" t="s">
        <v>6872</v>
      </c>
      <c r="AB64" s="498" t="s">
        <v>7123</v>
      </c>
      <c r="AC64" s="498"/>
      <c r="AD64" s="498"/>
      <c r="AE64" s="498" t="s">
        <v>855</v>
      </c>
      <c r="AF64" s="498"/>
      <c r="AG64" s="498"/>
    </row>
    <row r="65" spans="2:33" hidden="1">
      <c r="B65" s="498" t="s">
        <v>6858</v>
      </c>
      <c r="C65" s="498" t="s">
        <v>7124</v>
      </c>
      <c r="D65" s="498" t="s">
        <v>7105</v>
      </c>
      <c r="E65" s="498" t="s">
        <v>26</v>
      </c>
      <c r="F65" s="498" t="s">
        <v>7125</v>
      </c>
      <c r="G65" s="499" t="s">
        <v>326</v>
      </c>
      <c r="H65" s="500" t="s">
        <v>6861</v>
      </c>
      <c r="I65" s="498" t="s">
        <v>6862</v>
      </c>
      <c r="J65" s="498" t="s">
        <v>6879</v>
      </c>
      <c r="K65" s="498" t="s">
        <v>2173</v>
      </c>
      <c r="L65" s="498" t="s">
        <v>855</v>
      </c>
      <c r="M65" s="498" t="s">
        <v>6864</v>
      </c>
      <c r="N65" s="498" t="s">
        <v>6865</v>
      </c>
      <c r="O65" s="498" t="s">
        <v>2101</v>
      </c>
      <c r="P65" s="498" t="s">
        <v>7114</v>
      </c>
      <c r="Q65" s="498" t="s">
        <v>7126</v>
      </c>
      <c r="R65" s="498" t="s">
        <v>7116</v>
      </c>
      <c r="S65" s="498" t="s">
        <v>6868</v>
      </c>
      <c r="T65" s="498"/>
      <c r="U65" s="498"/>
      <c r="V65" s="498" t="s">
        <v>6905</v>
      </c>
      <c r="W65" s="498" t="s">
        <v>6883</v>
      </c>
      <c r="X65" s="498" t="s">
        <v>6936</v>
      </c>
      <c r="Y65" s="498"/>
      <c r="Z65" s="498">
        <v>2</v>
      </c>
      <c r="AA65" s="498" t="s">
        <v>6872</v>
      </c>
      <c r="AB65" s="498"/>
      <c r="AC65" s="498"/>
      <c r="AD65" s="498"/>
      <c r="AE65" s="498" t="s">
        <v>855</v>
      </c>
      <c r="AF65" s="498" t="s">
        <v>6905</v>
      </c>
      <c r="AG65" s="498"/>
    </row>
    <row r="66" spans="2:33" hidden="1">
      <c r="B66" s="498" t="s">
        <v>6858</v>
      </c>
      <c r="C66" s="498" t="s">
        <v>7127</v>
      </c>
      <c r="D66" s="498" t="s">
        <v>7105</v>
      </c>
      <c r="E66" s="498" t="s">
        <v>26</v>
      </c>
      <c r="F66" s="498" t="s">
        <v>7128</v>
      </c>
      <c r="G66" s="499" t="s">
        <v>326</v>
      </c>
      <c r="H66" s="500" t="s">
        <v>6861</v>
      </c>
      <c r="I66" s="498" t="s">
        <v>6862</v>
      </c>
      <c r="J66" s="498" t="s">
        <v>6879</v>
      </c>
      <c r="K66" s="498" t="s">
        <v>2173</v>
      </c>
      <c r="L66" s="498" t="s">
        <v>855</v>
      </c>
      <c r="M66" s="498" t="s">
        <v>6864</v>
      </c>
      <c r="N66" s="498" t="s">
        <v>6865</v>
      </c>
      <c r="O66" s="498" t="s">
        <v>1194</v>
      </c>
      <c r="P66" s="498" t="s">
        <v>7129</v>
      </c>
      <c r="Q66" s="498" t="s">
        <v>7130</v>
      </c>
      <c r="R66" s="498" t="s">
        <v>7131</v>
      </c>
      <c r="S66" s="498" t="s">
        <v>6868</v>
      </c>
      <c r="T66" s="498" t="s">
        <v>7132</v>
      </c>
      <c r="U66" s="498"/>
      <c r="V66" s="498" t="s">
        <v>2177</v>
      </c>
      <c r="W66" s="498" t="s">
        <v>7133</v>
      </c>
      <c r="X66" s="498" t="s">
        <v>7134</v>
      </c>
      <c r="Y66" s="498"/>
      <c r="Z66" s="498" t="s">
        <v>7135</v>
      </c>
      <c r="AA66" s="498" t="s">
        <v>6872</v>
      </c>
      <c r="AB66" s="498"/>
      <c r="AC66" s="498"/>
      <c r="AD66" s="498"/>
      <c r="AE66" s="498" t="s">
        <v>855</v>
      </c>
      <c r="AF66" s="498"/>
      <c r="AG66" s="498"/>
    </row>
    <row r="67" spans="2:33" hidden="1">
      <c r="B67" s="498" t="s">
        <v>6858</v>
      </c>
      <c r="C67" s="498" t="s">
        <v>7136</v>
      </c>
      <c r="D67" s="498" t="s">
        <v>7105</v>
      </c>
      <c r="E67" s="498" t="s">
        <v>26</v>
      </c>
      <c r="F67" s="498" t="s">
        <v>7137</v>
      </c>
      <c r="G67" s="499" t="s">
        <v>326</v>
      </c>
      <c r="H67" s="500" t="s">
        <v>6861</v>
      </c>
      <c r="I67" s="498" t="s">
        <v>6862</v>
      </c>
      <c r="J67" s="498" t="s">
        <v>6879</v>
      </c>
      <c r="K67" s="498" t="s">
        <v>2173</v>
      </c>
      <c r="L67" s="498" t="s">
        <v>855</v>
      </c>
      <c r="M67" s="498" t="s">
        <v>6864</v>
      </c>
      <c r="N67" s="498" t="s">
        <v>6865</v>
      </c>
      <c r="O67" s="498" t="s">
        <v>1194</v>
      </c>
      <c r="P67" s="498" t="s">
        <v>7138</v>
      </c>
      <c r="Q67" s="498" t="s">
        <v>7139</v>
      </c>
      <c r="R67" s="498" t="s">
        <v>7140</v>
      </c>
      <c r="S67" s="498" t="s">
        <v>6868</v>
      </c>
      <c r="T67" s="498"/>
      <c r="U67" s="498"/>
      <c r="V67" s="498" t="s">
        <v>6905</v>
      </c>
      <c r="W67" s="498" t="s">
        <v>7133</v>
      </c>
      <c r="X67" s="498" t="s">
        <v>2207</v>
      </c>
      <c r="Y67" s="498"/>
      <c r="Z67" s="498"/>
      <c r="AA67" s="498" t="s">
        <v>6872</v>
      </c>
      <c r="AB67" s="498"/>
      <c r="AC67" s="498"/>
      <c r="AD67" s="498"/>
      <c r="AE67" s="498" t="s">
        <v>855</v>
      </c>
      <c r="AF67" s="498" t="s">
        <v>6905</v>
      </c>
      <c r="AG67" s="498"/>
    </row>
    <row r="68" spans="2:33" hidden="1">
      <c r="B68" s="498" t="s">
        <v>6858</v>
      </c>
      <c r="C68" s="498" t="s">
        <v>7141</v>
      </c>
      <c r="D68" s="498" t="s">
        <v>7105</v>
      </c>
      <c r="E68" s="498" t="s">
        <v>26</v>
      </c>
      <c r="F68" s="498" t="s">
        <v>7142</v>
      </c>
      <c r="G68" s="499" t="s">
        <v>326</v>
      </c>
      <c r="H68" s="500" t="s">
        <v>6861</v>
      </c>
      <c r="I68" s="498" t="s">
        <v>6862</v>
      </c>
      <c r="J68" s="498" t="s">
        <v>6879</v>
      </c>
      <c r="K68" s="498" t="s">
        <v>2173</v>
      </c>
      <c r="L68" s="498" t="s">
        <v>855</v>
      </c>
      <c r="M68" s="498" t="s">
        <v>6864</v>
      </c>
      <c r="N68" s="498" t="s">
        <v>6865</v>
      </c>
      <c r="O68" s="498" t="s">
        <v>1194</v>
      </c>
      <c r="P68" s="498" t="s">
        <v>7138</v>
      </c>
      <c r="Q68" s="498" t="s">
        <v>7143</v>
      </c>
      <c r="R68" s="498" t="s">
        <v>7140</v>
      </c>
      <c r="S68" s="498" t="s">
        <v>6868</v>
      </c>
      <c r="T68" s="498"/>
      <c r="U68" s="498"/>
      <c r="V68" s="498" t="s">
        <v>6905</v>
      </c>
      <c r="W68" s="498" t="s">
        <v>7133</v>
      </c>
      <c r="X68" s="498" t="s">
        <v>2207</v>
      </c>
      <c r="Y68" s="498"/>
      <c r="Z68" s="498"/>
      <c r="AA68" s="498" t="s">
        <v>6872</v>
      </c>
      <c r="AB68" s="498"/>
      <c r="AC68" s="498"/>
      <c r="AD68" s="498"/>
      <c r="AE68" s="498" t="s">
        <v>855</v>
      </c>
      <c r="AF68" s="498" t="s">
        <v>6905</v>
      </c>
      <c r="AG68" s="498"/>
    </row>
    <row r="69" spans="2:33" hidden="1">
      <c r="B69" s="498" t="s">
        <v>6858</v>
      </c>
      <c r="C69" s="498" t="s">
        <v>7144</v>
      </c>
      <c r="D69" s="498" t="s">
        <v>341</v>
      </c>
      <c r="E69" s="498" t="s">
        <v>26</v>
      </c>
      <c r="F69" s="498" t="s">
        <v>7145</v>
      </c>
      <c r="G69" s="499" t="s">
        <v>326</v>
      </c>
      <c r="H69" s="500" t="s">
        <v>6861</v>
      </c>
      <c r="I69" s="498" t="s">
        <v>6862</v>
      </c>
      <c r="J69" s="498" t="s">
        <v>6879</v>
      </c>
      <c r="K69" s="498" t="s">
        <v>2173</v>
      </c>
      <c r="L69" s="498" t="s">
        <v>855</v>
      </c>
      <c r="M69" s="498" t="s">
        <v>6864</v>
      </c>
      <c r="N69" s="498" t="s">
        <v>6865</v>
      </c>
      <c r="O69" s="498" t="s">
        <v>1194</v>
      </c>
      <c r="P69" s="498" t="s">
        <v>605</v>
      </c>
      <c r="Q69" s="498" t="s">
        <v>7146</v>
      </c>
      <c r="R69" s="498" t="s">
        <v>6978</v>
      </c>
      <c r="S69" s="498" t="s">
        <v>6868</v>
      </c>
      <c r="T69" s="498"/>
      <c r="U69" s="498"/>
      <c r="V69" s="498" t="s">
        <v>6905</v>
      </c>
      <c r="W69" s="498" t="s">
        <v>6883</v>
      </c>
      <c r="X69" s="498" t="s">
        <v>3582</v>
      </c>
      <c r="Y69" s="498" t="s">
        <v>6871</v>
      </c>
      <c r="Z69" s="498">
        <v>30</v>
      </c>
      <c r="AA69" s="498" t="s">
        <v>6872</v>
      </c>
      <c r="AB69" s="498" t="s">
        <v>3608</v>
      </c>
      <c r="AC69" s="498" t="s">
        <v>6871</v>
      </c>
      <c r="AD69" s="498"/>
      <c r="AE69" s="498" t="s">
        <v>6961</v>
      </c>
      <c r="AF69" s="498" t="s">
        <v>6905</v>
      </c>
      <c r="AG69" s="498"/>
    </row>
    <row r="70" spans="2:33" hidden="1">
      <c r="B70" s="498" t="s">
        <v>6858</v>
      </c>
      <c r="C70" s="498" t="s">
        <v>7147</v>
      </c>
      <c r="D70" s="498" t="s">
        <v>4497</v>
      </c>
      <c r="E70" s="498" t="s">
        <v>26</v>
      </c>
      <c r="F70" s="498" t="s">
        <v>7148</v>
      </c>
      <c r="G70" s="499" t="s">
        <v>326</v>
      </c>
      <c r="H70" s="500" t="s">
        <v>6861</v>
      </c>
      <c r="I70" s="498" t="s">
        <v>6862</v>
      </c>
      <c r="J70" s="498" t="s">
        <v>6934</v>
      </c>
      <c r="K70" s="498" t="s">
        <v>2173</v>
      </c>
      <c r="L70" s="498" t="s">
        <v>855</v>
      </c>
      <c r="M70" s="498" t="s">
        <v>6864</v>
      </c>
      <c r="N70" s="498" t="s">
        <v>6865</v>
      </c>
      <c r="O70" s="498" t="s">
        <v>1194</v>
      </c>
      <c r="P70" s="498" t="s">
        <v>6971</v>
      </c>
      <c r="Q70" s="498" t="s">
        <v>6972</v>
      </c>
      <c r="R70" s="498" t="s">
        <v>6973</v>
      </c>
      <c r="S70" s="498" t="s">
        <v>6868</v>
      </c>
      <c r="T70" s="498" t="s">
        <v>7149</v>
      </c>
      <c r="U70" s="498"/>
      <c r="V70" s="498" t="s">
        <v>2177</v>
      </c>
      <c r="W70" s="498" t="s">
        <v>7150</v>
      </c>
      <c r="X70" s="498" t="s">
        <v>3582</v>
      </c>
      <c r="Y70" s="498">
        <v>255</v>
      </c>
      <c r="Z70" s="498">
        <v>255</v>
      </c>
      <c r="AA70" s="498" t="s">
        <v>6872</v>
      </c>
      <c r="AB70" s="498" t="s">
        <v>3608</v>
      </c>
      <c r="AC70" s="498"/>
      <c r="AD70" s="498"/>
      <c r="AE70" s="498" t="s">
        <v>6961</v>
      </c>
      <c r="AF70" s="498"/>
      <c r="AG70" s="498"/>
    </row>
    <row r="71" spans="2:33" hidden="1">
      <c r="B71" s="498" t="s">
        <v>6858</v>
      </c>
      <c r="C71" s="498" t="s">
        <v>7151</v>
      </c>
      <c r="D71" s="498" t="s">
        <v>341</v>
      </c>
      <c r="E71" s="498" t="s">
        <v>26</v>
      </c>
      <c r="F71" s="498" t="s">
        <v>7152</v>
      </c>
      <c r="G71" s="499" t="s">
        <v>326</v>
      </c>
      <c r="H71" s="500" t="s">
        <v>6861</v>
      </c>
      <c r="I71" s="498" t="s">
        <v>6862</v>
      </c>
      <c r="J71" s="498" t="s">
        <v>6879</v>
      </c>
      <c r="K71" s="498" t="s">
        <v>2173</v>
      </c>
      <c r="L71" s="498" t="s">
        <v>855</v>
      </c>
      <c r="M71" s="498" t="s">
        <v>6864</v>
      </c>
      <c r="N71" s="498" t="s">
        <v>6865</v>
      </c>
      <c r="O71" s="498" t="s">
        <v>1194</v>
      </c>
      <c r="P71" s="498" t="s">
        <v>574</v>
      </c>
      <c r="Q71" s="498" t="s">
        <v>7153</v>
      </c>
      <c r="R71" s="498" t="s">
        <v>6957</v>
      </c>
      <c r="S71" s="498" t="s">
        <v>6868</v>
      </c>
      <c r="T71" s="498"/>
      <c r="U71" s="498"/>
      <c r="V71" s="498" t="s">
        <v>6905</v>
      </c>
      <c r="W71" s="498" t="s">
        <v>7154</v>
      </c>
      <c r="X71" s="498" t="s">
        <v>4271</v>
      </c>
      <c r="Y71" s="498" t="s">
        <v>6871</v>
      </c>
      <c r="Z71" s="498">
        <v>5</v>
      </c>
      <c r="AA71" s="498" t="s">
        <v>7155</v>
      </c>
      <c r="AB71" s="498"/>
      <c r="AC71" s="498" t="s">
        <v>6871</v>
      </c>
      <c r="AD71" s="498" t="s">
        <v>7156</v>
      </c>
      <c r="AE71" s="498" t="s">
        <v>6961</v>
      </c>
      <c r="AF71" s="498" t="s">
        <v>6905</v>
      </c>
      <c r="AG71" s="498"/>
    </row>
    <row r="72" spans="2:33" hidden="1">
      <c r="B72" s="498" t="s">
        <v>6858</v>
      </c>
      <c r="C72" s="498" t="s">
        <v>7157</v>
      </c>
      <c r="D72" s="498" t="s">
        <v>7158</v>
      </c>
      <c r="E72" s="498" t="s">
        <v>26</v>
      </c>
      <c r="F72" s="498" t="s">
        <v>7159</v>
      </c>
      <c r="G72" s="499" t="s">
        <v>326</v>
      </c>
      <c r="H72" s="500" t="s">
        <v>6861</v>
      </c>
      <c r="I72" s="498" t="s">
        <v>6862</v>
      </c>
      <c r="J72" s="498" t="s">
        <v>6879</v>
      </c>
      <c r="K72" s="498" t="s">
        <v>2173</v>
      </c>
      <c r="L72" s="498" t="s">
        <v>855</v>
      </c>
      <c r="M72" s="498" t="s">
        <v>6864</v>
      </c>
      <c r="N72" s="498" t="s">
        <v>6865</v>
      </c>
      <c r="O72" s="498" t="s">
        <v>1194</v>
      </c>
      <c r="P72" s="498" t="s">
        <v>7160</v>
      </c>
      <c r="Q72" s="498" t="s">
        <v>1196</v>
      </c>
      <c r="R72" s="498" t="s">
        <v>7161</v>
      </c>
      <c r="S72" s="498" t="s">
        <v>6868</v>
      </c>
      <c r="T72" s="498"/>
      <c r="U72" s="498"/>
      <c r="V72" s="498" t="s">
        <v>6905</v>
      </c>
      <c r="W72" s="498" t="s">
        <v>6929</v>
      </c>
      <c r="X72" s="498" t="s">
        <v>2207</v>
      </c>
      <c r="Y72" s="498"/>
      <c r="Z72" s="498"/>
      <c r="AA72" s="498"/>
      <c r="AB72" s="498"/>
      <c r="AC72" s="498"/>
      <c r="AD72" s="498"/>
      <c r="AE72" s="498" t="s">
        <v>7162</v>
      </c>
      <c r="AF72" s="498" t="s">
        <v>6905</v>
      </c>
      <c r="AG72" s="498"/>
    </row>
    <row r="73" spans="2:33" hidden="1">
      <c r="B73" s="498" t="s">
        <v>6858</v>
      </c>
      <c r="C73" s="498" t="s">
        <v>7163</v>
      </c>
      <c r="D73" s="498" t="s">
        <v>7158</v>
      </c>
      <c r="E73" s="498" t="s">
        <v>26</v>
      </c>
      <c r="F73" s="498" t="s">
        <v>7164</v>
      </c>
      <c r="G73" s="499" t="s">
        <v>326</v>
      </c>
      <c r="H73" s="500" t="s">
        <v>6861</v>
      </c>
      <c r="I73" s="498" t="s">
        <v>6862</v>
      </c>
      <c r="J73" s="498" t="s">
        <v>6879</v>
      </c>
      <c r="K73" s="498" t="s">
        <v>2173</v>
      </c>
      <c r="L73" s="498" t="s">
        <v>855</v>
      </c>
      <c r="M73" s="498" t="s">
        <v>6864</v>
      </c>
      <c r="N73" s="498" t="s">
        <v>6865</v>
      </c>
      <c r="O73" s="498" t="s">
        <v>1194</v>
      </c>
      <c r="P73" s="498" t="s">
        <v>7160</v>
      </c>
      <c r="Q73" s="498" t="s">
        <v>7165</v>
      </c>
      <c r="R73" s="498" t="s">
        <v>7161</v>
      </c>
      <c r="S73" s="498" t="s">
        <v>6868</v>
      </c>
      <c r="T73" s="498"/>
      <c r="U73" s="498"/>
      <c r="V73" s="498" t="s">
        <v>6905</v>
      </c>
      <c r="W73" s="498" t="s">
        <v>6929</v>
      </c>
      <c r="X73" s="498" t="s">
        <v>3582</v>
      </c>
      <c r="Y73" s="498"/>
      <c r="Z73" s="498">
        <v>2000</v>
      </c>
      <c r="AA73" s="498"/>
      <c r="AB73" s="498" t="s">
        <v>3608</v>
      </c>
      <c r="AC73" s="498"/>
      <c r="AD73" s="498"/>
      <c r="AE73" s="498" t="s">
        <v>7162</v>
      </c>
      <c r="AF73" s="498" t="s">
        <v>6905</v>
      </c>
      <c r="AG73" s="498"/>
    </row>
    <row r="74" spans="2:33" hidden="1">
      <c r="B74" s="498" t="s">
        <v>6858</v>
      </c>
      <c r="C74" s="498" t="s">
        <v>7166</v>
      </c>
      <c r="D74" s="498" t="s">
        <v>7158</v>
      </c>
      <c r="E74" s="498" t="s">
        <v>26</v>
      </c>
      <c r="F74" s="498" t="s">
        <v>7167</v>
      </c>
      <c r="G74" s="499" t="s">
        <v>326</v>
      </c>
      <c r="H74" s="500" t="s">
        <v>6861</v>
      </c>
      <c r="I74" s="498" t="s">
        <v>6862</v>
      </c>
      <c r="J74" s="498" t="s">
        <v>6879</v>
      </c>
      <c r="K74" s="498" t="s">
        <v>2173</v>
      </c>
      <c r="L74" s="498" t="s">
        <v>855</v>
      </c>
      <c r="M74" s="498" t="s">
        <v>6864</v>
      </c>
      <c r="N74" s="498" t="s">
        <v>6865</v>
      </c>
      <c r="O74" s="498" t="s">
        <v>1194</v>
      </c>
      <c r="P74" s="498" t="s">
        <v>7168</v>
      </c>
      <c r="Q74" s="498" t="s">
        <v>7169</v>
      </c>
      <c r="R74" s="498" t="s">
        <v>7170</v>
      </c>
      <c r="S74" s="498" t="s">
        <v>6868</v>
      </c>
      <c r="T74" s="498"/>
      <c r="U74" s="498"/>
      <c r="V74" s="498" t="s">
        <v>6905</v>
      </c>
      <c r="W74" s="498" t="s">
        <v>6929</v>
      </c>
      <c r="X74" s="498" t="s">
        <v>3582</v>
      </c>
      <c r="Y74" s="498"/>
      <c r="Z74" s="498">
        <v>50</v>
      </c>
      <c r="AA74" s="498"/>
      <c r="AB74" s="498" t="s">
        <v>3608</v>
      </c>
      <c r="AC74" s="498"/>
      <c r="AD74" s="498"/>
      <c r="AE74" s="498" t="s">
        <v>7162</v>
      </c>
      <c r="AF74" s="498" t="s">
        <v>6905</v>
      </c>
      <c r="AG74" s="498"/>
    </row>
    <row r="75" spans="2:33" hidden="1">
      <c r="B75" s="498" t="s">
        <v>6858</v>
      </c>
      <c r="C75" s="498" t="s">
        <v>7171</v>
      </c>
      <c r="D75" s="498" t="s">
        <v>7158</v>
      </c>
      <c r="E75" s="498" t="s">
        <v>26</v>
      </c>
      <c r="F75" s="498" t="s">
        <v>7172</v>
      </c>
      <c r="G75" s="499" t="s">
        <v>326</v>
      </c>
      <c r="H75" s="500" t="s">
        <v>6861</v>
      </c>
      <c r="I75" s="498" t="s">
        <v>6862</v>
      </c>
      <c r="J75" s="498" t="s">
        <v>6879</v>
      </c>
      <c r="K75" s="498" t="s">
        <v>2173</v>
      </c>
      <c r="L75" s="498" t="s">
        <v>855</v>
      </c>
      <c r="M75" s="498" t="s">
        <v>6864</v>
      </c>
      <c r="N75" s="498" t="s">
        <v>6865</v>
      </c>
      <c r="O75" s="498" t="s">
        <v>1194</v>
      </c>
      <c r="P75" s="498" t="s">
        <v>7160</v>
      </c>
      <c r="Q75" s="498" t="s">
        <v>6952</v>
      </c>
      <c r="R75" s="498" t="s">
        <v>7161</v>
      </c>
      <c r="S75" s="498" t="s">
        <v>6868</v>
      </c>
      <c r="T75" s="498"/>
      <c r="U75" s="498"/>
      <c r="V75" s="498" t="s">
        <v>6905</v>
      </c>
      <c r="W75" s="498" t="s">
        <v>6929</v>
      </c>
      <c r="X75" s="498" t="s">
        <v>3582</v>
      </c>
      <c r="Y75" s="498"/>
      <c r="Z75" s="498">
        <v>250</v>
      </c>
      <c r="AA75" s="498"/>
      <c r="AB75" s="498" t="s">
        <v>3608</v>
      </c>
      <c r="AC75" s="498"/>
      <c r="AD75" s="498"/>
      <c r="AE75" s="498" t="s">
        <v>855</v>
      </c>
      <c r="AF75" s="498" t="s">
        <v>6905</v>
      </c>
      <c r="AG75" s="498"/>
    </row>
    <row r="76" spans="2:33" hidden="1">
      <c r="B76" s="498" t="s">
        <v>6858</v>
      </c>
      <c r="C76" s="498" t="s">
        <v>2669</v>
      </c>
      <c r="D76" s="498" t="s">
        <v>4497</v>
      </c>
      <c r="E76" s="498" t="s">
        <v>26</v>
      </c>
      <c r="F76" s="498" t="s">
        <v>7173</v>
      </c>
      <c r="G76" s="499" t="s">
        <v>326</v>
      </c>
      <c r="H76" s="500" t="s">
        <v>6861</v>
      </c>
      <c r="I76" s="498" t="s">
        <v>6862</v>
      </c>
      <c r="J76" s="498" t="s">
        <v>6934</v>
      </c>
      <c r="K76" s="498" t="s">
        <v>2173</v>
      </c>
      <c r="L76" s="498" t="s">
        <v>855</v>
      </c>
      <c r="M76" s="498" t="s">
        <v>6864</v>
      </c>
      <c r="N76" s="498" t="s">
        <v>6865</v>
      </c>
      <c r="O76" s="498" t="s">
        <v>2101</v>
      </c>
      <c r="P76" s="498" t="s">
        <v>626</v>
      </c>
      <c r="Q76" s="498" t="s">
        <v>7174</v>
      </c>
      <c r="R76" s="498" t="s">
        <v>7175</v>
      </c>
      <c r="S76" s="498" t="s">
        <v>6868</v>
      </c>
      <c r="T76" s="498" t="s">
        <v>7176</v>
      </c>
      <c r="U76" s="498"/>
      <c r="V76" s="498" t="s">
        <v>2177</v>
      </c>
      <c r="W76" s="498" t="s">
        <v>6929</v>
      </c>
      <c r="X76" s="498" t="s">
        <v>3608</v>
      </c>
      <c r="Y76" s="498"/>
      <c r="Z76" s="498">
        <v>3</v>
      </c>
      <c r="AA76" s="498"/>
      <c r="AB76" s="498" t="s">
        <v>3608</v>
      </c>
      <c r="AC76" s="498"/>
      <c r="AD76" s="498"/>
      <c r="AE76" s="498" t="s">
        <v>855</v>
      </c>
      <c r="AF76" s="498"/>
      <c r="AG76" s="498"/>
    </row>
    <row r="77" spans="2:33" hidden="1">
      <c r="B77" s="498" t="s">
        <v>6858</v>
      </c>
      <c r="C77" s="498" t="s">
        <v>440</v>
      </c>
      <c r="D77" s="498" t="s">
        <v>4497</v>
      </c>
      <c r="E77" s="498" t="s">
        <v>26</v>
      </c>
      <c r="F77" s="498" t="s">
        <v>7177</v>
      </c>
      <c r="G77" s="499" t="s">
        <v>326</v>
      </c>
      <c r="H77" s="500" t="s">
        <v>6861</v>
      </c>
      <c r="I77" s="498" t="s">
        <v>6862</v>
      </c>
      <c r="J77" s="498" t="s">
        <v>6934</v>
      </c>
      <c r="K77" s="498" t="s">
        <v>2173</v>
      </c>
      <c r="L77" s="498" t="s">
        <v>855</v>
      </c>
      <c r="M77" s="498" t="s">
        <v>6864</v>
      </c>
      <c r="N77" s="498" t="s">
        <v>6865</v>
      </c>
      <c r="O77" s="498" t="s">
        <v>2101</v>
      </c>
      <c r="P77" s="498" t="s">
        <v>7178</v>
      </c>
      <c r="Q77" s="498" t="s">
        <v>5826</v>
      </c>
      <c r="R77" s="498" t="s">
        <v>7179</v>
      </c>
      <c r="S77" s="498" t="s">
        <v>6868</v>
      </c>
      <c r="T77" s="498"/>
      <c r="U77" s="498"/>
      <c r="V77" s="498" t="s">
        <v>6905</v>
      </c>
      <c r="W77" s="498" t="s">
        <v>6929</v>
      </c>
      <c r="X77" s="498" t="s">
        <v>7123</v>
      </c>
      <c r="Y77" s="498"/>
      <c r="Z77" s="498">
        <v>30</v>
      </c>
      <c r="AA77" s="498"/>
      <c r="AB77" s="498" t="s">
        <v>7123</v>
      </c>
      <c r="AC77" s="498"/>
      <c r="AD77" s="498"/>
      <c r="AE77" s="498" t="s">
        <v>855</v>
      </c>
      <c r="AF77" s="498" t="s">
        <v>6905</v>
      </c>
      <c r="AG77" s="498"/>
    </row>
    <row r="78" spans="2:33" hidden="1">
      <c r="B78" s="498" t="s">
        <v>6858</v>
      </c>
      <c r="C78" s="498" t="s">
        <v>3524</v>
      </c>
      <c r="D78" s="498" t="s">
        <v>4497</v>
      </c>
      <c r="E78" s="498" t="s">
        <v>26</v>
      </c>
      <c r="F78" s="498" t="s">
        <v>7180</v>
      </c>
      <c r="G78" s="499" t="s">
        <v>326</v>
      </c>
      <c r="H78" s="500" t="s">
        <v>6861</v>
      </c>
      <c r="I78" s="498" t="s">
        <v>6862</v>
      </c>
      <c r="J78" s="498" t="s">
        <v>6934</v>
      </c>
      <c r="K78" s="498" t="s">
        <v>2173</v>
      </c>
      <c r="L78" s="498" t="s">
        <v>855</v>
      </c>
      <c r="M78" s="498" t="s">
        <v>6864</v>
      </c>
      <c r="N78" s="498" t="s">
        <v>6865</v>
      </c>
      <c r="O78" s="498" t="s">
        <v>2101</v>
      </c>
      <c r="P78" s="498" t="s">
        <v>7178</v>
      </c>
      <c r="Q78" s="498" t="s">
        <v>2183</v>
      </c>
      <c r="R78" s="498" t="s">
        <v>7179</v>
      </c>
      <c r="S78" s="498" t="s">
        <v>6868</v>
      </c>
      <c r="T78" s="498" t="s">
        <v>7181</v>
      </c>
      <c r="U78" s="498"/>
      <c r="V78" s="498" t="s">
        <v>2177</v>
      </c>
      <c r="W78" s="498" t="s">
        <v>6929</v>
      </c>
      <c r="X78" s="498" t="s">
        <v>3608</v>
      </c>
      <c r="Y78" s="498"/>
      <c r="Z78" s="498">
        <v>25</v>
      </c>
      <c r="AA78" s="498"/>
      <c r="AB78" s="498" t="s">
        <v>3608</v>
      </c>
      <c r="AC78" s="498"/>
      <c r="AD78" s="498"/>
      <c r="AE78" s="498" t="s">
        <v>855</v>
      </c>
      <c r="AF78" s="498"/>
      <c r="AG78" s="498"/>
    </row>
    <row r="79" spans="2:33" hidden="1">
      <c r="B79" s="498" t="s">
        <v>6858</v>
      </c>
      <c r="C79" s="498" t="s">
        <v>7182</v>
      </c>
      <c r="D79" s="498" t="s">
        <v>4497</v>
      </c>
      <c r="E79" s="498" t="s">
        <v>26</v>
      </c>
      <c r="F79" s="498" t="s">
        <v>7183</v>
      </c>
      <c r="G79" s="499" t="s">
        <v>326</v>
      </c>
      <c r="H79" s="500" t="s">
        <v>7095</v>
      </c>
      <c r="I79" s="498" t="s">
        <v>7095</v>
      </c>
      <c r="J79" s="498" t="s">
        <v>6934</v>
      </c>
      <c r="K79" s="498" t="s">
        <v>2173</v>
      </c>
      <c r="L79" s="498" t="s">
        <v>6864</v>
      </c>
      <c r="M79" s="498" t="s">
        <v>6864</v>
      </c>
      <c r="N79" s="498" t="s">
        <v>7184</v>
      </c>
      <c r="O79" s="498" t="s">
        <v>7184</v>
      </c>
      <c r="P79" s="498" t="s">
        <v>7184</v>
      </c>
      <c r="Q79" s="498" t="s">
        <v>7184</v>
      </c>
      <c r="R79" s="498" t="s">
        <v>7184</v>
      </c>
      <c r="S79" s="498" t="s">
        <v>7184</v>
      </c>
      <c r="T79" s="498" t="s">
        <v>7184</v>
      </c>
      <c r="U79" s="498" t="s">
        <v>7185</v>
      </c>
      <c r="V79" s="498" t="s">
        <v>6869</v>
      </c>
      <c r="W79" s="498" t="s">
        <v>6929</v>
      </c>
      <c r="X79" s="498"/>
      <c r="Y79" s="498"/>
      <c r="Z79" s="498"/>
      <c r="AA79" s="498"/>
      <c r="AB79" s="498"/>
      <c r="AC79" s="498"/>
      <c r="AD79" s="498"/>
      <c r="AE79" s="498"/>
      <c r="AF79" s="498" t="s">
        <v>7186</v>
      </c>
      <c r="AG79" s="498" t="s">
        <v>7187</v>
      </c>
    </row>
    <row r="80" spans="2:33" hidden="1">
      <c r="B80" s="498" t="s">
        <v>6858</v>
      </c>
      <c r="C80" s="498" t="s">
        <v>7188</v>
      </c>
      <c r="D80" s="498" t="s">
        <v>7189</v>
      </c>
      <c r="E80" s="498" t="s">
        <v>26</v>
      </c>
      <c r="F80" s="498" t="s">
        <v>7190</v>
      </c>
      <c r="G80" s="499" t="s">
        <v>326</v>
      </c>
      <c r="H80" s="500" t="s">
        <v>6861</v>
      </c>
      <c r="I80" s="498" t="s">
        <v>6862</v>
      </c>
      <c r="J80" s="498" t="s">
        <v>6934</v>
      </c>
      <c r="K80" s="498" t="s">
        <v>2546</v>
      </c>
      <c r="L80" s="498" t="s">
        <v>855</v>
      </c>
      <c r="M80" s="498" t="s">
        <v>6864</v>
      </c>
      <c r="N80" s="498" t="s">
        <v>6865</v>
      </c>
      <c r="O80" s="498" t="s">
        <v>1194</v>
      </c>
      <c r="P80" s="498" t="s">
        <v>592</v>
      </c>
      <c r="Q80" s="498" t="s">
        <v>7191</v>
      </c>
      <c r="R80" s="498" t="s">
        <v>7192</v>
      </c>
      <c r="S80" s="498" t="s">
        <v>7193</v>
      </c>
      <c r="T80" s="498" t="s">
        <v>7194</v>
      </c>
      <c r="U80" s="498"/>
      <c r="V80" s="498" t="s">
        <v>6869</v>
      </c>
      <c r="W80" s="498"/>
      <c r="X80" s="498"/>
      <c r="Y80" s="498"/>
      <c r="Z80" s="498"/>
      <c r="AA80" s="498"/>
      <c r="AB80" s="498"/>
      <c r="AC80" s="498"/>
      <c r="AD80" s="498"/>
      <c r="AE80" s="498"/>
      <c r="AF80" s="498" t="s">
        <v>6875</v>
      </c>
      <c r="AG80" s="498" t="s">
        <v>6876</v>
      </c>
    </row>
    <row r="81" spans="2:33" hidden="1">
      <c r="B81" s="498" t="s">
        <v>6968</v>
      </c>
      <c r="C81" s="498" t="s">
        <v>2181</v>
      </c>
      <c r="D81" s="498" t="s">
        <v>341</v>
      </c>
      <c r="E81" s="498" t="s">
        <v>26</v>
      </c>
      <c r="F81" s="498" t="s">
        <v>7195</v>
      </c>
      <c r="G81" s="499" t="s">
        <v>326</v>
      </c>
      <c r="H81" s="500" t="s">
        <v>6861</v>
      </c>
      <c r="I81" s="498" t="s">
        <v>6862</v>
      </c>
      <c r="J81" s="498" t="s">
        <v>6934</v>
      </c>
      <c r="K81" s="498" t="s">
        <v>2173</v>
      </c>
      <c r="L81" s="498" t="s">
        <v>855</v>
      </c>
      <c r="M81" s="498" t="s">
        <v>6864</v>
      </c>
      <c r="N81" s="498" t="s">
        <v>6865</v>
      </c>
      <c r="O81" s="498" t="s">
        <v>1194</v>
      </c>
      <c r="P81" s="498" t="s">
        <v>7196</v>
      </c>
      <c r="Q81" s="498" t="s">
        <v>7197</v>
      </c>
      <c r="R81" s="498" t="s">
        <v>7198</v>
      </c>
      <c r="S81" s="498" t="s">
        <v>6868</v>
      </c>
      <c r="T81" s="498"/>
      <c r="U81" s="498"/>
      <c r="V81" s="498" t="s">
        <v>6905</v>
      </c>
      <c r="W81" s="498" t="s">
        <v>6883</v>
      </c>
      <c r="X81" s="498" t="s">
        <v>3582</v>
      </c>
      <c r="Y81" s="498" t="s">
        <v>6871</v>
      </c>
      <c r="Z81" s="498">
        <v>70</v>
      </c>
      <c r="AA81" s="498" t="s">
        <v>6872</v>
      </c>
      <c r="AB81" s="498" t="s">
        <v>3608</v>
      </c>
      <c r="AC81" s="498" t="s">
        <v>6871</v>
      </c>
      <c r="AD81" s="498" t="s">
        <v>6871</v>
      </c>
      <c r="AE81" s="498" t="s">
        <v>855</v>
      </c>
      <c r="AF81" s="498" t="s">
        <v>6905</v>
      </c>
      <c r="AG81" s="498"/>
    </row>
    <row r="82" spans="2:33" hidden="1">
      <c r="B82" s="498" t="s">
        <v>6858</v>
      </c>
      <c r="C82" s="498" t="s">
        <v>2181</v>
      </c>
      <c r="D82" s="498" t="s">
        <v>341</v>
      </c>
      <c r="E82" s="498" t="s">
        <v>26</v>
      </c>
      <c r="F82" s="498" t="s">
        <v>7195</v>
      </c>
      <c r="G82" s="499" t="s">
        <v>326</v>
      </c>
      <c r="H82" s="500" t="s">
        <v>6861</v>
      </c>
      <c r="I82" s="498" t="s">
        <v>6862</v>
      </c>
      <c r="J82" s="498" t="s">
        <v>6879</v>
      </c>
      <c r="K82" s="498" t="s">
        <v>2173</v>
      </c>
      <c r="L82" s="498" t="s">
        <v>855</v>
      </c>
      <c r="M82" s="498" t="s">
        <v>6864</v>
      </c>
      <c r="N82" s="498" t="s">
        <v>6865</v>
      </c>
      <c r="O82" s="498" t="s">
        <v>1194</v>
      </c>
      <c r="P82" s="498" t="s">
        <v>7196</v>
      </c>
      <c r="Q82" s="498" t="s">
        <v>7197</v>
      </c>
      <c r="R82" s="498" t="s">
        <v>7198</v>
      </c>
      <c r="S82" s="498" t="s">
        <v>6868</v>
      </c>
      <c r="T82" s="498"/>
      <c r="U82" s="498"/>
      <c r="V82" s="498" t="s">
        <v>6905</v>
      </c>
      <c r="W82" s="498" t="s">
        <v>6883</v>
      </c>
      <c r="X82" s="498" t="s">
        <v>3582</v>
      </c>
      <c r="Y82" s="498" t="s">
        <v>6871</v>
      </c>
      <c r="Z82" s="498">
        <v>70</v>
      </c>
      <c r="AA82" s="498" t="s">
        <v>6872</v>
      </c>
      <c r="AB82" s="498" t="s">
        <v>3608</v>
      </c>
      <c r="AC82" s="498" t="s">
        <v>6871</v>
      </c>
      <c r="AD82" s="498"/>
      <c r="AE82" s="498" t="s">
        <v>7199</v>
      </c>
      <c r="AF82" s="498" t="s">
        <v>6905</v>
      </c>
      <c r="AG82" s="498"/>
    </row>
    <row r="83" spans="2:33" hidden="1">
      <c r="B83" s="498" t="s">
        <v>6858</v>
      </c>
      <c r="C83" s="498" t="s">
        <v>375</v>
      </c>
      <c r="D83" s="498" t="s">
        <v>7200</v>
      </c>
      <c r="E83" s="498" t="s">
        <v>26</v>
      </c>
      <c r="F83" s="498" t="s">
        <v>7201</v>
      </c>
      <c r="G83" s="499" t="s">
        <v>326</v>
      </c>
      <c r="H83" s="500" t="s">
        <v>6861</v>
      </c>
      <c r="I83" s="498" t="s">
        <v>6862</v>
      </c>
      <c r="J83" s="498" t="s">
        <v>6934</v>
      </c>
      <c r="K83" s="498" t="s">
        <v>2173</v>
      </c>
      <c r="L83" s="498" t="s">
        <v>855</v>
      </c>
      <c r="M83" s="498" t="s">
        <v>6864</v>
      </c>
      <c r="N83" s="498" t="s">
        <v>6865</v>
      </c>
      <c r="O83" s="498" t="s">
        <v>1194</v>
      </c>
      <c r="P83" s="498" t="s">
        <v>6927</v>
      </c>
      <c r="Q83" s="498" t="s">
        <v>6938</v>
      </c>
      <c r="R83" s="498" t="s">
        <v>6928</v>
      </c>
      <c r="S83" s="498" t="s">
        <v>6868</v>
      </c>
      <c r="T83" s="498" t="s">
        <v>7202</v>
      </c>
      <c r="U83" s="498"/>
      <c r="V83" s="498" t="s">
        <v>6905</v>
      </c>
      <c r="W83" s="498" t="s">
        <v>6929</v>
      </c>
      <c r="X83" s="498" t="s">
        <v>3608</v>
      </c>
      <c r="Y83" s="498"/>
      <c r="Z83" s="498">
        <v>11</v>
      </c>
      <c r="AA83" s="498" t="s">
        <v>6872</v>
      </c>
      <c r="AB83" s="498" t="s">
        <v>3608</v>
      </c>
      <c r="AC83" s="498"/>
      <c r="AD83" s="498"/>
      <c r="AE83" s="498" t="s">
        <v>855</v>
      </c>
      <c r="AF83" s="498" t="s">
        <v>6905</v>
      </c>
      <c r="AG83" s="498"/>
    </row>
    <row r="84" spans="2:33" hidden="1">
      <c r="B84" s="498" t="s">
        <v>6858</v>
      </c>
      <c r="C84" s="498" t="s">
        <v>7203</v>
      </c>
      <c r="D84" s="498" t="s">
        <v>7200</v>
      </c>
      <c r="E84" s="498" t="s">
        <v>26</v>
      </c>
      <c r="F84" s="498" t="s">
        <v>7204</v>
      </c>
      <c r="G84" s="499" t="s">
        <v>326</v>
      </c>
      <c r="H84" s="500" t="s">
        <v>6861</v>
      </c>
      <c r="I84" s="498" t="s">
        <v>6862</v>
      </c>
      <c r="J84" s="498" t="s">
        <v>6934</v>
      </c>
      <c r="K84" s="498" t="s">
        <v>2173</v>
      </c>
      <c r="L84" s="498" t="s">
        <v>855</v>
      </c>
      <c r="M84" s="498" t="s">
        <v>6864</v>
      </c>
      <c r="N84" s="498" t="s">
        <v>6865</v>
      </c>
      <c r="O84" s="498" t="s">
        <v>1194</v>
      </c>
      <c r="P84" s="498" t="s">
        <v>6927</v>
      </c>
      <c r="Q84" s="498" t="s">
        <v>1196</v>
      </c>
      <c r="R84" s="498" t="s">
        <v>6928</v>
      </c>
      <c r="S84" s="498" t="s">
        <v>6868</v>
      </c>
      <c r="T84" s="498"/>
      <c r="U84" s="498"/>
      <c r="V84" s="498" t="s">
        <v>6905</v>
      </c>
      <c r="W84" s="498" t="s">
        <v>6929</v>
      </c>
      <c r="X84" s="498" t="s">
        <v>2207</v>
      </c>
      <c r="Y84" s="498"/>
      <c r="Z84" s="498"/>
      <c r="AA84" s="498" t="s">
        <v>6872</v>
      </c>
      <c r="AB84" s="498"/>
      <c r="AC84" s="498"/>
      <c r="AD84" s="498"/>
      <c r="AE84" s="498" t="s">
        <v>855</v>
      </c>
      <c r="AF84" s="498" t="s">
        <v>6905</v>
      </c>
      <c r="AG84" s="498"/>
    </row>
    <row r="85" spans="2:33" hidden="1">
      <c r="B85" s="498" t="s">
        <v>6858</v>
      </c>
      <c r="C85" s="498" t="s">
        <v>336</v>
      </c>
      <c r="D85" s="498" t="s">
        <v>7200</v>
      </c>
      <c r="E85" s="498" t="s">
        <v>26</v>
      </c>
      <c r="F85" s="498" t="s">
        <v>7205</v>
      </c>
      <c r="G85" s="499" t="s">
        <v>326</v>
      </c>
      <c r="H85" s="500" t="s">
        <v>6861</v>
      </c>
      <c r="I85" s="498" t="s">
        <v>6862</v>
      </c>
      <c r="J85" s="498" t="s">
        <v>6934</v>
      </c>
      <c r="K85" s="498" t="s">
        <v>2173</v>
      </c>
      <c r="L85" s="498" t="s">
        <v>855</v>
      </c>
      <c r="M85" s="498" t="s">
        <v>6864</v>
      </c>
      <c r="N85" s="498" t="s">
        <v>6865</v>
      </c>
      <c r="O85" s="498" t="s">
        <v>1194</v>
      </c>
      <c r="P85" s="498" t="s">
        <v>7206</v>
      </c>
      <c r="Q85" s="498" t="s">
        <v>7207</v>
      </c>
      <c r="R85" s="498" t="s">
        <v>7208</v>
      </c>
      <c r="S85" s="498" t="s">
        <v>6868</v>
      </c>
      <c r="T85" s="498"/>
      <c r="U85" s="498"/>
      <c r="V85" s="498" t="s">
        <v>6905</v>
      </c>
      <c r="W85" s="498" t="s">
        <v>6929</v>
      </c>
      <c r="X85" s="498" t="s">
        <v>3608</v>
      </c>
      <c r="Y85" s="498"/>
      <c r="Z85" s="498">
        <v>100</v>
      </c>
      <c r="AA85" s="498" t="s">
        <v>6872</v>
      </c>
      <c r="AB85" s="498" t="s">
        <v>3608</v>
      </c>
      <c r="AC85" s="498"/>
      <c r="AD85" s="498"/>
      <c r="AE85" s="498" t="s">
        <v>855</v>
      </c>
      <c r="AF85" s="498" t="s">
        <v>6905</v>
      </c>
      <c r="AG85" s="498"/>
    </row>
    <row r="86" spans="2:33" hidden="1">
      <c r="B86" s="498" t="s">
        <v>6858</v>
      </c>
      <c r="C86" s="498" t="s">
        <v>6944</v>
      </c>
      <c r="D86" s="498" t="s">
        <v>7200</v>
      </c>
      <c r="E86" s="498" t="s">
        <v>26</v>
      </c>
      <c r="F86" s="498" t="s">
        <v>7209</v>
      </c>
      <c r="G86" s="499" t="s">
        <v>326</v>
      </c>
      <c r="H86" s="500" t="s">
        <v>6861</v>
      </c>
      <c r="I86" s="498" t="s">
        <v>6862</v>
      </c>
      <c r="J86" s="498" t="s">
        <v>6934</v>
      </c>
      <c r="K86" s="498" t="s">
        <v>2173</v>
      </c>
      <c r="L86" s="498" t="s">
        <v>855</v>
      </c>
      <c r="M86" s="498" t="s">
        <v>6864</v>
      </c>
      <c r="N86" s="498" t="s">
        <v>6865</v>
      </c>
      <c r="O86" s="498" t="s">
        <v>1194</v>
      </c>
      <c r="P86" s="498" t="s">
        <v>6927</v>
      </c>
      <c r="Q86" s="498" t="s">
        <v>6946</v>
      </c>
      <c r="R86" s="498" t="s">
        <v>6928</v>
      </c>
      <c r="S86" s="498" t="s">
        <v>6868</v>
      </c>
      <c r="T86" s="498"/>
      <c r="U86" s="498"/>
      <c r="V86" s="498" t="s">
        <v>6905</v>
      </c>
      <c r="W86" s="498" t="s">
        <v>6929</v>
      </c>
      <c r="X86" s="498" t="s">
        <v>3582</v>
      </c>
      <c r="Y86" s="498"/>
      <c r="Z86" s="498">
        <v>255</v>
      </c>
      <c r="AA86" s="498" t="s">
        <v>6872</v>
      </c>
      <c r="AB86" s="498" t="s">
        <v>3608</v>
      </c>
      <c r="AC86" s="498"/>
      <c r="AD86" s="498"/>
      <c r="AE86" s="498" t="s">
        <v>855</v>
      </c>
      <c r="AF86" s="498" t="s">
        <v>6905</v>
      </c>
      <c r="AG86" s="498"/>
    </row>
    <row r="87" spans="2:33" hidden="1">
      <c r="B87" s="498" t="s">
        <v>6858</v>
      </c>
      <c r="C87" s="498" t="s">
        <v>6947</v>
      </c>
      <c r="D87" s="498" t="s">
        <v>7200</v>
      </c>
      <c r="E87" s="498" t="s">
        <v>26</v>
      </c>
      <c r="F87" s="498" t="s">
        <v>7210</v>
      </c>
      <c r="G87" s="499" t="s">
        <v>326</v>
      </c>
      <c r="H87" s="500" t="s">
        <v>6861</v>
      </c>
      <c r="I87" s="498" t="s">
        <v>6862</v>
      </c>
      <c r="J87" s="498" t="s">
        <v>6934</v>
      </c>
      <c r="K87" s="498" t="s">
        <v>2173</v>
      </c>
      <c r="L87" s="498" t="s">
        <v>855</v>
      </c>
      <c r="M87" s="498" t="s">
        <v>6864</v>
      </c>
      <c r="N87" s="498" t="s">
        <v>6865</v>
      </c>
      <c r="O87" s="498" t="s">
        <v>1194</v>
      </c>
      <c r="P87" s="498" t="s">
        <v>6927</v>
      </c>
      <c r="Q87" s="498" t="s">
        <v>6949</v>
      </c>
      <c r="R87" s="498" t="s">
        <v>6928</v>
      </c>
      <c r="S87" s="498" t="s">
        <v>6868</v>
      </c>
      <c r="T87" s="498"/>
      <c r="U87" s="498"/>
      <c r="V87" s="498" t="s">
        <v>6905</v>
      </c>
      <c r="W87" s="498" t="s">
        <v>6929</v>
      </c>
      <c r="X87" s="498" t="s">
        <v>3582</v>
      </c>
      <c r="Y87" s="498"/>
      <c r="Z87" s="498">
        <v>255</v>
      </c>
      <c r="AA87" s="498" t="s">
        <v>6872</v>
      </c>
      <c r="AB87" s="498" t="s">
        <v>3608</v>
      </c>
      <c r="AC87" s="498"/>
      <c r="AD87" s="498"/>
      <c r="AE87" s="498" t="s">
        <v>855</v>
      </c>
      <c r="AF87" s="498" t="s">
        <v>6905</v>
      </c>
      <c r="AG87" s="498"/>
    </row>
    <row r="88" spans="2:33" hidden="1">
      <c r="B88" s="498" t="s">
        <v>6858</v>
      </c>
      <c r="C88" s="498" t="s">
        <v>6950</v>
      </c>
      <c r="D88" s="498" t="s">
        <v>7200</v>
      </c>
      <c r="E88" s="498" t="s">
        <v>26</v>
      </c>
      <c r="F88" s="498" t="s">
        <v>7211</v>
      </c>
      <c r="G88" s="499" t="s">
        <v>326</v>
      </c>
      <c r="H88" s="500" t="s">
        <v>6861</v>
      </c>
      <c r="I88" s="498" t="s">
        <v>6862</v>
      </c>
      <c r="J88" s="498" t="s">
        <v>6934</v>
      </c>
      <c r="K88" s="498" t="s">
        <v>2173</v>
      </c>
      <c r="L88" s="498" t="s">
        <v>855</v>
      </c>
      <c r="M88" s="498" t="s">
        <v>6864</v>
      </c>
      <c r="N88" s="498" t="s">
        <v>6865</v>
      </c>
      <c r="O88" s="498" t="s">
        <v>1194</v>
      </c>
      <c r="P88" s="498" t="s">
        <v>6927</v>
      </c>
      <c r="Q88" s="498" t="s">
        <v>6952</v>
      </c>
      <c r="R88" s="498" t="s">
        <v>6928</v>
      </c>
      <c r="S88" s="498" t="s">
        <v>6868</v>
      </c>
      <c r="T88" s="498"/>
      <c r="U88" s="498"/>
      <c r="V88" s="498" t="s">
        <v>6905</v>
      </c>
      <c r="W88" s="498" t="s">
        <v>6929</v>
      </c>
      <c r="X88" s="498" t="s">
        <v>3582</v>
      </c>
      <c r="Y88" s="498"/>
      <c r="Z88" s="498">
        <v>250</v>
      </c>
      <c r="AA88" s="498" t="s">
        <v>6872</v>
      </c>
      <c r="AB88" s="498" t="s">
        <v>3608</v>
      </c>
      <c r="AC88" s="498"/>
      <c r="AD88" s="498"/>
      <c r="AE88" s="498" t="s">
        <v>855</v>
      </c>
      <c r="AF88" s="498" t="s">
        <v>6905</v>
      </c>
      <c r="AG88" s="498"/>
    </row>
    <row r="89" spans="2:33" hidden="1">
      <c r="B89" s="498" t="s">
        <v>6858</v>
      </c>
      <c r="C89" s="498" t="s">
        <v>7212</v>
      </c>
      <c r="D89" s="498" t="s">
        <v>3919</v>
      </c>
      <c r="E89" s="498" t="s">
        <v>26</v>
      </c>
      <c r="F89" s="498" t="s">
        <v>7213</v>
      </c>
      <c r="G89" s="499" t="s">
        <v>326</v>
      </c>
      <c r="H89" s="500" t="s">
        <v>6861</v>
      </c>
      <c r="I89" s="498" t="s">
        <v>6862</v>
      </c>
      <c r="J89" s="498" t="s">
        <v>6879</v>
      </c>
      <c r="K89" s="498" t="s">
        <v>2173</v>
      </c>
      <c r="L89" s="498" t="s">
        <v>855</v>
      </c>
      <c r="M89" s="498" t="s">
        <v>6864</v>
      </c>
      <c r="N89" s="498" t="s">
        <v>6865</v>
      </c>
      <c r="O89" s="498" t="s">
        <v>1194</v>
      </c>
      <c r="P89" s="498" t="s">
        <v>6971</v>
      </c>
      <c r="Q89" s="498" t="s">
        <v>6972</v>
      </c>
      <c r="R89" s="498" t="s">
        <v>6973</v>
      </c>
      <c r="S89" s="498" t="s">
        <v>6868</v>
      </c>
      <c r="T89" s="498" t="s">
        <v>7214</v>
      </c>
      <c r="U89" s="498"/>
      <c r="V89" s="498" t="s">
        <v>7079</v>
      </c>
      <c r="W89" s="498" t="s">
        <v>7150</v>
      </c>
      <c r="X89" s="498" t="s">
        <v>3582</v>
      </c>
      <c r="Y89" s="498" t="s">
        <v>6871</v>
      </c>
      <c r="Z89" s="498">
        <v>255</v>
      </c>
      <c r="AA89" s="498" t="s">
        <v>6906</v>
      </c>
      <c r="AB89" s="498" t="s">
        <v>3608</v>
      </c>
      <c r="AC89" s="498"/>
      <c r="AD89" s="498"/>
      <c r="AE89" s="498" t="s">
        <v>7199</v>
      </c>
      <c r="AF89" s="498" t="s">
        <v>7215</v>
      </c>
      <c r="AG89" s="498"/>
    </row>
    <row r="90" spans="2:33" hidden="1">
      <c r="B90" s="498" t="s">
        <v>6858</v>
      </c>
      <c r="C90" s="498" t="s">
        <v>7216</v>
      </c>
      <c r="D90" s="498" t="s">
        <v>3919</v>
      </c>
      <c r="E90" s="498" t="s">
        <v>26</v>
      </c>
      <c r="F90" s="498" t="s">
        <v>7217</v>
      </c>
      <c r="G90" s="499" t="s">
        <v>326</v>
      </c>
      <c r="H90" s="500" t="s">
        <v>6861</v>
      </c>
      <c r="I90" s="498" t="s">
        <v>6862</v>
      </c>
      <c r="J90" s="498" t="s">
        <v>6879</v>
      </c>
      <c r="K90" s="498" t="s">
        <v>2173</v>
      </c>
      <c r="L90" s="498" t="s">
        <v>855</v>
      </c>
      <c r="M90" s="498" t="s">
        <v>6864</v>
      </c>
      <c r="N90" s="498" t="s">
        <v>6865</v>
      </c>
      <c r="O90" s="498" t="s">
        <v>1194</v>
      </c>
      <c r="P90" s="498" t="s">
        <v>6971</v>
      </c>
      <c r="Q90" s="498" t="s">
        <v>6972</v>
      </c>
      <c r="R90" s="498" t="s">
        <v>6973</v>
      </c>
      <c r="S90" s="498" t="s">
        <v>6868</v>
      </c>
      <c r="T90" s="498" t="s">
        <v>7001</v>
      </c>
      <c r="U90" s="498"/>
      <c r="V90" s="498" t="s">
        <v>7079</v>
      </c>
      <c r="W90" s="498" t="s">
        <v>7150</v>
      </c>
      <c r="X90" s="498" t="s">
        <v>3582</v>
      </c>
      <c r="Y90" s="498">
        <v>255</v>
      </c>
      <c r="Z90" s="498">
        <v>255</v>
      </c>
      <c r="AA90" s="498" t="s">
        <v>7218</v>
      </c>
      <c r="AB90" s="498" t="s">
        <v>3608</v>
      </c>
      <c r="AC90" s="498"/>
      <c r="AD90" s="498"/>
      <c r="AE90" s="498" t="s">
        <v>7199</v>
      </c>
      <c r="AF90" s="498" t="s">
        <v>7219</v>
      </c>
      <c r="AG90" s="498"/>
    </row>
    <row r="91" spans="2:33" hidden="1">
      <c r="B91" s="498" t="s">
        <v>6858</v>
      </c>
      <c r="C91" s="498" t="s">
        <v>7220</v>
      </c>
      <c r="D91" s="498" t="s">
        <v>3919</v>
      </c>
      <c r="E91" s="498" t="s">
        <v>26</v>
      </c>
      <c r="F91" s="498" t="s">
        <v>7221</v>
      </c>
      <c r="G91" s="499" t="s">
        <v>326</v>
      </c>
      <c r="H91" s="500" t="s">
        <v>6861</v>
      </c>
      <c r="I91" s="498" t="s">
        <v>6862</v>
      </c>
      <c r="J91" s="498" t="s">
        <v>6879</v>
      </c>
      <c r="K91" s="498" t="s">
        <v>2173</v>
      </c>
      <c r="L91" s="498" t="s">
        <v>855</v>
      </c>
      <c r="M91" s="498" t="s">
        <v>6864</v>
      </c>
      <c r="N91" s="498" t="s">
        <v>6865</v>
      </c>
      <c r="O91" s="498" t="s">
        <v>1194</v>
      </c>
      <c r="P91" s="498" t="s">
        <v>6971</v>
      </c>
      <c r="Q91" s="498" t="s">
        <v>6972</v>
      </c>
      <c r="R91" s="498" t="s">
        <v>6973</v>
      </c>
      <c r="S91" s="498" t="s">
        <v>6868</v>
      </c>
      <c r="T91" s="498" t="s">
        <v>7222</v>
      </c>
      <c r="U91" s="498"/>
      <c r="V91" s="498" t="s">
        <v>7079</v>
      </c>
      <c r="W91" s="498" t="s">
        <v>7150</v>
      </c>
      <c r="X91" s="498" t="s">
        <v>3582</v>
      </c>
      <c r="Y91" s="498" t="s">
        <v>6871</v>
      </c>
      <c r="Z91" s="498">
        <v>255</v>
      </c>
      <c r="AA91" s="498" t="s">
        <v>6906</v>
      </c>
      <c r="AB91" s="498" t="s">
        <v>3608</v>
      </c>
      <c r="AC91" s="498"/>
      <c r="AD91" s="498"/>
      <c r="AE91" s="498" t="s">
        <v>7199</v>
      </c>
      <c r="AF91" s="498" t="s">
        <v>7215</v>
      </c>
      <c r="AG91" s="498"/>
    </row>
    <row r="92" spans="2:33" hidden="1">
      <c r="B92" s="498" t="s">
        <v>6968</v>
      </c>
      <c r="C92" s="498" t="s">
        <v>7081</v>
      </c>
      <c r="D92" s="498" t="s">
        <v>7071</v>
      </c>
      <c r="E92" s="498" t="s">
        <v>26</v>
      </c>
      <c r="F92" s="498" t="s">
        <v>7223</v>
      </c>
      <c r="G92" s="499" t="s">
        <v>326</v>
      </c>
      <c r="H92" s="500" t="s">
        <v>6861</v>
      </c>
      <c r="I92" s="498" t="s">
        <v>6862</v>
      </c>
      <c r="J92" s="498" t="s">
        <v>2527</v>
      </c>
      <c r="K92" s="498" t="s">
        <v>2173</v>
      </c>
      <c r="L92" s="498" t="s">
        <v>855</v>
      </c>
      <c r="M92" s="498" t="s">
        <v>6864</v>
      </c>
      <c r="N92" s="498" t="s">
        <v>6865</v>
      </c>
      <c r="O92" s="498" t="s">
        <v>2101</v>
      </c>
      <c r="P92" s="498" t="s">
        <v>653</v>
      </c>
      <c r="Q92" s="498" t="s">
        <v>7083</v>
      </c>
      <c r="R92" s="498" t="s">
        <v>6920</v>
      </c>
      <c r="S92" s="498" t="s">
        <v>6868</v>
      </c>
      <c r="T92" s="498"/>
      <c r="U92" s="498"/>
      <c r="V92" s="498" t="s">
        <v>6905</v>
      </c>
      <c r="W92" s="498" t="s">
        <v>7074</v>
      </c>
      <c r="X92" s="498" t="s">
        <v>3608</v>
      </c>
      <c r="Y92" s="498" t="s">
        <v>6871</v>
      </c>
      <c r="Z92" s="498">
        <v>6</v>
      </c>
      <c r="AA92" s="498" t="s">
        <v>6872</v>
      </c>
      <c r="AB92" s="498"/>
      <c r="AC92" s="498"/>
      <c r="AD92" s="498"/>
      <c r="AE92" s="498" t="s">
        <v>855</v>
      </c>
      <c r="AF92" s="498" t="s">
        <v>6905</v>
      </c>
      <c r="AG92" s="498"/>
    </row>
    <row r="93" spans="2:33" hidden="1">
      <c r="B93" s="498" t="s">
        <v>6968</v>
      </c>
      <c r="C93" s="498" t="s">
        <v>7224</v>
      </c>
      <c r="D93" s="498" t="s">
        <v>7071</v>
      </c>
      <c r="E93" s="498" t="s">
        <v>26</v>
      </c>
      <c r="F93" s="498" t="s">
        <v>7225</v>
      </c>
      <c r="G93" s="499" t="s">
        <v>326</v>
      </c>
      <c r="H93" s="500" t="s">
        <v>6861</v>
      </c>
      <c r="I93" s="498" t="s">
        <v>6862</v>
      </c>
      <c r="J93" s="498" t="s">
        <v>2527</v>
      </c>
      <c r="K93" s="498" t="s">
        <v>2173</v>
      </c>
      <c r="L93" s="498" t="s">
        <v>855</v>
      </c>
      <c r="M93" s="498" t="s">
        <v>6864</v>
      </c>
      <c r="N93" s="498" t="s">
        <v>6865</v>
      </c>
      <c r="O93" s="498" t="s">
        <v>2101</v>
      </c>
      <c r="P93" s="498" t="s">
        <v>653</v>
      </c>
      <c r="Q93" s="498" t="s">
        <v>1716</v>
      </c>
      <c r="R93" s="498" t="s">
        <v>6920</v>
      </c>
      <c r="S93" s="498" t="s">
        <v>6868</v>
      </c>
      <c r="T93" s="498"/>
      <c r="U93" s="498"/>
      <c r="V93" s="498" t="s">
        <v>6905</v>
      </c>
      <c r="W93" s="498" t="s">
        <v>7074</v>
      </c>
      <c r="X93" s="498" t="s">
        <v>6936</v>
      </c>
      <c r="Y93" s="498" t="s">
        <v>6871</v>
      </c>
      <c r="Z93" s="498">
        <v>2</v>
      </c>
      <c r="AA93" s="498" t="s">
        <v>6872</v>
      </c>
      <c r="AB93" s="498"/>
      <c r="AC93" s="498"/>
      <c r="AD93" s="498"/>
      <c r="AE93" s="498" t="s">
        <v>855</v>
      </c>
      <c r="AF93" s="498" t="s">
        <v>6905</v>
      </c>
      <c r="AG93" s="498" t="s">
        <v>7226</v>
      </c>
    </row>
    <row r="94" spans="2:33" hidden="1">
      <c r="B94" s="498" t="s">
        <v>6858</v>
      </c>
      <c r="C94" s="498" t="s">
        <v>7224</v>
      </c>
      <c r="D94" s="498" t="s">
        <v>7071</v>
      </c>
      <c r="E94" s="498" t="s">
        <v>26</v>
      </c>
      <c r="F94" s="498" t="s">
        <v>7225</v>
      </c>
      <c r="G94" s="499" t="s">
        <v>326</v>
      </c>
      <c r="H94" s="500" t="s">
        <v>6861</v>
      </c>
      <c r="I94" s="498" t="s">
        <v>6862</v>
      </c>
      <c r="J94" s="498" t="s">
        <v>6934</v>
      </c>
      <c r="K94" s="498" t="s">
        <v>2173</v>
      </c>
      <c r="L94" s="498" t="s">
        <v>855</v>
      </c>
      <c r="M94" s="498" t="s">
        <v>6864</v>
      </c>
      <c r="N94" s="498" t="s">
        <v>6865</v>
      </c>
      <c r="O94" s="498" t="s">
        <v>2101</v>
      </c>
      <c r="P94" s="498" t="s">
        <v>653</v>
      </c>
      <c r="Q94" s="498" t="s">
        <v>1716</v>
      </c>
      <c r="R94" s="498" t="s">
        <v>6920</v>
      </c>
      <c r="S94" s="498" t="s">
        <v>6868</v>
      </c>
      <c r="T94" s="498"/>
      <c r="U94" s="498"/>
      <c r="V94" s="498" t="s">
        <v>6905</v>
      </c>
      <c r="W94" s="498" t="s">
        <v>7074</v>
      </c>
      <c r="X94" s="498" t="s">
        <v>6936</v>
      </c>
      <c r="Y94" s="498" t="s">
        <v>6871</v>
      </c>
      <c r="Z94" s="498">
        <v>2</v>
      </c>
      <c r="AA94" s="498" t="s">
        <v>6872</v>
      </c>
      <c r="AB94" s="498"/>
      <c r="AC94" s="498"/>
      <c r="AD94" s="498"/>
      <c r="AE94" s="498" t="s">
        <v>855</v>
      </c>
      <c r="AF94" s="498" t="s">
        <v>6905</v>
      </c>
      <c r="AG94" s="498"/>
    </row>
    <row r="95" spans="2:33" hidden="1">
      <c r="B95" s="498" t="s">
        <v>6968</v>
      </c>
      <c r="C95" s="498" t="s">
        <v>7227</v>
      </c>
      <c r="D95" s="498" t="s">
        <v>7071</v>
      </c>
      <c r="E95" s="498" t="s">
        <v>26</v>
      </c>
      <c r="F95" s="498" t="s">
        <v>7228</v>
      </c>
      <c r="G95" s="499" t="s">
        <v>326</v>
      </c>
      <c r="H95" s="500" t="s">
        <v>6861</v>
      </c>
      <c r="I95" s="498" t="s">
        <v>6862</v>
      </c>
      <c r="J95" s="498" t="s">
        <v>2527</v>
      </c>
      <c r="K95" s="498" t="s">
        <v>2173</v>
      </c>
      <c r="L95" s="498" t="s">
        <v>855</v>
      </c>
      <c r="M95" s="498" t="s">
        <v>6864</v>
      </c>
      <c r="N95" s="498" t="s">
        <v>6865</v>
      </c>
      <c r="O95" s="498" t="s">
        <v>2101</v>
      </c>
      <c r="P95" s="498" t="s">
        <v>7229</v>
      </c>
      <c r="Q95" s="498" t="s">
        <v>5826</v>
      </c>
      <c r="R95" s="498" t="s">
        <v>7230</v>
      </c>
      <c r="S95" s="498" t="s">
        <v>6868</v>
      </c>
      <c r="T95" s="498"/>
      <c r="U95" s="498"/>
      <c r="V95" s="498" t="s">
        <v>6905</v>
      </c>
      <c r="W95" s="498" t="s">
        <v>7074</v>
      </c>
      <c r="X95" s="498" t="s">
        <v>3608</v>
      </c>
      <c r="Y95" s="498" t="s">
        <v>6871</v>
      </c>
      <c r="Z95" s="498">
        <v>30</v>
      </c>
      <c r="AA95" s="498" t="s">
        <v>6872</v>
      </c>
      <c r="AB95" s="498"/>
      <c r="AC95" s="498"/>
      <c r="AD95" s="498"/>
      <c r="AE95" s="498" t="s">
        <v>855</v>
      </c>
      <c r="AF95" s="498" t="s">
        <v>6905</v>
      </c>
      <c r="AG95" s="498"/>
    </row>
    <row r="96" spans="2:33" hidden="1">
      <c r="B96" s="498" t="s">
        <v>6968</v>
      </c>
      <c r="C96" s="498" t="s">
        <v>7231</v>
      </c>
      <c r="D96" s="498" t="s">
        <v>7071</v>
      </c>
      <c r="E96" s="498" t="s">
        <v>26</v>
      </c>
      <c r="F96" s="498" t="s">
        <v>7232</v>
      </c>
      <c r="G96" s="499">
        <v>1</v>
      </c>
      <c r="H96" s="500" t="s">
        <v>7233</v>
      </c>
      <c r="I96" s="498" t="s">
        <v>7096</v>
      </c>
      <c r="J96" s="498" t="s">
        <v>6934</v>
      </c>
      <c r="K96" s="498" t="s">
        <v>7234</v>
      </c>
      <c r="L96" s="498" t="s">
        <v>7235</v>
      </c>
      <c r="M96" s="498" t="s">
        <v>7235</v>
      </c>
      <c r="N96" s="498" t="s">
        <v>7235</v>
      </c>
      <c r="O96" s="498" t="s">
        <v>7235</v>
      </c>
      <c r="P96" s="498" t="s">
        <v>7235</v>
      </c>
      <c r="Q96" s="498" t="s">
        <v>7235</v>
      </c>
      <c r="R96" s="498" t="s">
        <v>7235</v>
      </c>
      <c r="S96" s="498" t="s">
        <v>7235</v>
      </c>
      <c r="T96" s="498" t="s">
        <v>7235</v>
      </c>
      <c r="U96" s="498" t="s">
        <v>7236</v>
      </c>
      <c r="V96" s="498" t="s">
        <v>6869</v>
      </c>
      <c r="W96" s="498" t="s">
        <v>7237</v>
      </c>
      <c r="X96" s="498"/>
      <c r="Y96" s="498" t="s">
        <v>6871</v>
      </c>
      <c r="Z96" s="498"/>
      <c r="AA96" s="498"/>
      <c r="AB96" s="498"/>
      <c r="AC96" s="498"/>
      <c r="AD96" s="498"/>
      <c r="AE96" s="498"/>
      <c r="AF96" s="498" t="s">
        <v>6875</v>
      </c>
      <c r="AG96" s="498" t="s">
        <v>7238</v>
      </c>
    </row>
    <row r="97" spans="2:33" hidden="1">
      <c r="B97" s="498" t="s">
        <v>6858</v>
      </c>
      <c r="C97" s="498" t="s">
        <v>7231</v>
      </c>
      <c r="D97" s="498" t="s">
        <v>7071</v>
      </c>
      <c r="E97" s="498" t="s">
        <v>26</v>
      </c>
      <c r="F97" s="498" t="s">
        <v>7232</v>
      </c>
      <c r="G97" s="499">
        <v>1</v>
      </c>
      <c r="H97" s="500" t="s">
        <v>7233</v>
      </c>
      <c r="I97" s="498" t="s">
        <v>7096</v>
      </c>
      <c r="J97" s="498" t="s">
        <v>6934</v>
      </c>
      <c r="K97" s="498" t="s">
        <v>7234</v>
      </c>
      <c r="L97" s="498" t="s">
        <v>7235</v>
      </c>
      <c r="M97" s="498" t="s">
        <v>7235</v>
      </c>
      <c r="N97" s="498" t="s">
        <v>7235</v>
      </c>
      <c r="O97" s="498" t="s">
        <v>7235</v>
      </c>
      <c r="P97" s="498" t="s">
        <v>7235</v>
      </c>
      <c r="Q97" s="498" t="s">
        <v>7235</v>
      </c>
      <c r="R97" s="498" t="s">
        <v>7235</v>
      </c>
      <c r="S97" s="498" t="s">
        <v>7235</v>
      </c>
      <c r="T97" s="498" t="s">
        <v>7235</v>
      </c>
      <c r="U97" s="498" t="s">
        <v>7236</v>
      </c>
      <c r="V97" s="498" t="s">
        <v>6869</v>
      </c>
      <c r="W97" s="498"/>
      <c r="X97" s="498"/>
      <c r="Y97" s="498"/>
      <c r="Z97" s="498"/>
      <c r="AA97" s="498"/>
      <c r="AB97" s="498"/>
      <c r="AC97" s="498"/>
      <c r="AD97" s="498"/>
      <c r="AE97" s="498"/>
      <c r="AF97" s="498" t="s">
        <v>6875</v>
      </c>
      <c r="AG97" s="498" t="s">
        <v>7238</v>
      </c>
    </row>
    <row r="98" spans="2:33" hidden="1">
      <c r="B98" s="498" t="s">
        <v>6968</v>
      </c>
      <c r="C98" s="498" t="s">
        <v>7239</v>
      </c>
      <c r="D98" s="498" t="s">
        <v>7071</v>
      </c>
      <c r="E98" s="498" t="s">
        <v>26</v>
      </c>
      <c r="F98" s="498" t="s">
        <v>7240</v>
      </c>
      <c r="G98" s="499">
        <v>1</v>
      </c>
      <c r="H98" s="500" t="s">
        <v>7233</v>
      </c>
      <c r="I98" s="498" t="s">
        <v>7096</v>
      </c>
      <c r="J98" s="498" t="s">
        <v>6934</v>
      </c>
      <c r="K98" s="498" t="s">
        <v>7234</v>
      </c>
      <c r="L98" s="498" t="s">
        <v>7235</v>
      </c>
      <c r="M98" s="498" t="s">
        <v>7235</v>
      </c>
      <c r="N98" s="498" t="s">
        <v>7235</v>
      </c>
      <c r="O98" s="498" t="s">
        <v>7235</v>
      </c>
      <c r="P98" s="498" t="s">
        <v>7235</v>
      </c>
      <c r="Q98" s="498" t="s">
        <v>7235</v>
      </c>
      <c r="R98" s="498" t="s">
        <v>7235</v>
      </c>
      <c r="S98" s="498" t="s">
        <v>7235</v>
      </c>
      <c r="T98" s="498" t="s">
        <v>7235</v>
      </c>
      <c r="U98" s="498" t="s">
        <v>7236</v>
      </c>
      <c r="V98" s="498" t="s">
        <v>6869</v>
      </c>
      <c r="W98" s="498" t="s">
        <v>7237</v>
      </c>
      <c r="X98" s="498"/>
      <c r="Y98" s="498" t="s">
        <v>6871</v>
      </c>
      <c r="Z98" s="498"/>
      <c r="AA98" s="498"/>
      <c r="AB98" s="498"/>
      <c r="AC98" s="498"/>
      <c r="AD98" s="498"/>
      <c r="AE98" s="498"/>
      <c r="AF98" s="498" t="s">
        <v>6875</v>
      </c>
      <c r="AG98" s="498" t="s">
        <v>7238</v>
      </c>
    </row>
    <row r="99" spans="2:33" hidden="1">
      <c r="B99" s="498" t="s">
        <v>6858</v>
      </c>
      <c r="C99" s="498" t="s">
        <v>7239</v>
      </c>
      <c r="D99" s="498" t="s">
        <v>7071</v>
      </c>
      <c r="E99" s="498" t="s">
        <v>26</v>
      </c>
      <c r="F99" s="498" t="s">
        <v>7240</v>
      </c>
      <c r="G99" s="499">
        <v>1</v>
      </c>
      <c r="H99" s="500" t="s">
        <v>7233</v>
      </c>
      <c r="I99" s="498" t="s">
        <v>7096</v>
      </c>
      <c r="J99" s="498" t="s">
        <v>6934</v>
      </c>
      <c r="K99" s="498" t="s">
        <v>7234</v>
      </c>
      <c r="L99" s="498" t="s">
        <v>7235</v>
      </c>
      <c r="M99" s="498" t="s">
        <v>7235</v>
      </c>
      <c r="N99" s="498" t="s">
        <v>7235</v>
      </c>
      <c r="O99" s="498" t="s">
        <v>7235</v>
      </c>
      <c r="P99" s="498" t="s">
        <v>7235</v>
      </c>
      <c r="Q99" s="498" t="s">
        <v>7235</v>
      </c>
      <c r="R99" s="498" t="s">
        <v>7235</v>
      </c>
      <c r="S99" s="498" t="s">
        <v>7235</v>
      </c>
      <c r="T99" s="498" t="s">
        <v>7235</v>
      </c>
      <c r="U99" s="498" t="s">
        <v>7236</v>
      </c>
      <c r="V99" s="498" t="s">
        <v>6869</v>
      </c>
      <c r="W99" s="498"/>
      <c r="X99" s="498"/>
      <c r="Y99" s="498"/>
      <c r="Z99" s="498"/>
      <c r="AA99" s="498"/>
      <c r="AB99" s="498"/>
      <c r="AC99" s="498"/>
      <c r="AD99" s="498"/>
      <c r="AE99" s="498"/>
      <c r="AF99" s="498" t="s">
        <v>6875</v>
      </c>
      <c r="AG99" s="498" t="s">
        <v>7238</v>
      </c>
    </row>
    <row r="100" spans="2:33" hidden="1">
      <c r="B100" s="498" t="s">
        <v>6968</v>
      </c>
      <c r="C100" s="498" t="s">
        <v>7241</v>
      </c>
      <c r="D100" s="498" t="s">
        <v>7071</v>
      </c>
      <c r="E100" s="498" t="s">
        <v>26</v>
      </c>
      <c r="F100" s="498" t="s">
        <v>7242</v>
      </c>
      <c r="G100" s="499" t="s">
        <v>326</v>
      </c>
      <c r="H100" s="500" t="s">
        <v>6861</v>
      </c>
      <c r="I100" s="498" t="s">
        <v>6862</v>
      </c>
      <c r="J100" s="498" t="s">
        <v>2527</v>
      </c>
      <c r="K100" s="498" t="s">
        <v>2173</v>
      </c>
      <c r="L100" s="498" t="s">
        <v>855</v>
      </c>
      <c r="M100" s="498" t="s">
        <v>6864</v>
      </c>
      <c r="N100" s="498" t="s">
        <v>6865</v>
      </c>
      <c r="O100" s="498" t="s">
        <v>2101</v>
      </c>
      <c r="P100" s="498" t="s">
        <v>653</v>
      </c>
      <c r="Q100" s="498" t="s">
        <v>7243</v>
      </c>
      <c r="R100" s="498" t="s">
        <v>6920</v>
      </c>
      <c r="S100" s="498" t="s">
        <v>6868</v>
      </c>
      <c r="T100" s="498"/>
      <c r="U100" s="498"/>
      <c r="V100" s="498" t="s">
        <v>6905</v>
      </c>
      <c r="W100" s="498" t="s">
        <v>7074</v>
      </c>
      <c r="X100" s="498" t="s">
        <v>3608</v>
      </c>
      <c r="Y100" s="498" t="s">
        <v>6871</v>
      </c>
      <c r="Z100" s="498">
        <v>15</v>
      </c>
      <c r="AA100" s="498" t="s">
        <v>6872</v>
      </c>
      <c r="AB100" s="498"/>
      <c r="AC100" s="498"/>
      <c r="AD100" s="498"/>
      <c r="AE100" s="498" t="s">
        <v>7085</v>
      </c>
      <c r="AF100" s="498" t="s">
        <v>6905</v>
      </c>
      <c r="AG100" s="498"/>
    </row>
    <row r="101" spans="2:33" hidden="1">
      <c r="B101" s="498" t="s">
        <v>6858</v>
      </c>
      <c r="C101" s="498" t="s">
        <v>7241</v>
      </c>
      <c r="D101" s="498" t="s">
        <v>7071</v>
      </c>
      <c r="E101" s="498" t="s">
        <v>26</v>
      </c>
      <c r="F101" s="498" t="s">
        <v>7242</v>
      </c>
      <c r="G101" s="499" t="s">
        <v>326</v>
      </c>
      <c r="H101" s="500" t="s">
        <v>6861</v>
      </c>
      <c r="I101" s="498" t="s">
        <v>6862</v>
      </c>
      <c r="J101" s="498" t="s">
        <v>6934</v>
      </c>
      <c r="K101" s="498" t="s">
        <v>2173</v>
      </c>
      <c r="L101" s="498" t="s">
        <v>855</v>
      </c>
      <c r="M101" s="498" t="s">
        <v>6864</v>
      </c>
      <c r="N101" s="498" t="s">
        <v>6865</v>
      </c>
      <c r="O101" s="498" t="s">
        <v>2101</v>
      </c>
      <c r="P101" s="498" t="s">
        <v>653</v>
      </c>
      <c r="Q101" s="498" t="s">
        <v>7243</v>
      </c>
      <c r="R101" s="498" t="s">
        <v>6920</v>
      </c>
      <c r="S101" s="498" t="s">
        <v>6868</v>
      </c>
      <c r="T101" s="498"/>
      <c r="U101" s="498"/>
      <c r="V101" s="498" t="s">
        <v>6905</v>
      </c>
      <c r="W101" s="498" t="s">
        <v>7074</v>
      </c>
      <c r="X101" s="498" t="s">
        <v>3608</v>
      </c>
      <c r="Y101" s="498" t="s">
        <v>6871</v>
      </c>
      <c r="Z101" s="498">
        <v>15</v>
      </c>
      <c r="AA101" s="498" t="s">
        <v>6872</v>
      </c>
      <c r="AB101" s="498"/>
      <c r="AC101" s="498"/>
      <c r="AD101" s="498"/>
      <c r="AE101" s="498" t="s">
        <v>7085</v>
      </c>
      <c r="AF101" s="498" t="s">
        <v>6905</v>
      </c>
      <c r="AG101" s="498"/>
    </row>
    <row r="102" spans="2:33" hidden="1">
      <c r="B102" s="498" t="s">
        <v>6968</v>
      </c>
      <c r="C102" s="498" t="s">
        <v>7089</v>
      </c>
      <c r="D102" s="498" t="s">
        <v>7071</v>
      </c>
      <c r="E102" s="498" t="s">
        <v>26</v>
      </c>
      <c r="F102" s="498" t="s">
        <v>7244</v>
      </c>
      <c r="G102" s="499" t="s">
        <v>326</v>
      </c>
      <c r="H102" s="500" t="s">
        <v>6861</v>
      </c>
      <c r="I102" s="498" t="s">
        <v>6862</v>
      </c>
      <c r="J102" s="498" t="s">
        <v>2527</v>
      </c>
      <c r="K102" s="498" t="s">
        <v>2173</v>
      </c>
      <c r="L102" s="498" t="s">
        <v>855</v>
      </c>
      <c r="M102" s="498" t="s">
        <v>6864</v>
      </c>
      <c r="N102" s="498" t="s">
        <v>6865</v>
      </c>
      <c r="O102" s="498" t="s">
        <v>2101</v>
      </c>
      <c r="P102" s="498" t="s">
        <v>653</v>
      </c>
      <c r="Q102" s="498" t="s">
        <v>7091</v>
      </c>
      <c r="R102" s="498" t="s">
        <v>6920</v>
      </c>
      <c r="S102" s="498" t="s">
        <v>6868</v>
      </c>
      <c r="T102" s="498"/>
      <c r="U102" s="498"/>
      <c r="V102" s="498" t="s">
        <v>6905</v>
      </c>
      <c r="W102" s="498" t="s">
        <v>7074</v>
      </c>
      <c r="X102" s="498" t="s">
        <v>3608</v>
      </c>
      <c r="Y102" s="498" t="s">
        <v>6871</v>
      </c>
      <c r="Z102" s="498">
        <v>4</v>
      </c>
      <c r="AA102" s="498" t="s">
        <v>6872</v>
      </c>
      <c r="AB102" s="498"/>
      <c r="AC102" s="498"/>
      <c r="AD102" s="498"/>
      <c r="AE102" s="498" t="s">
        <v>855</v>
      </c>
      <c r="AF102" s="498" t="s">
        <v>6905</v>
      </c>
      <c r="AG102" s="498"/>
    </row>
    <row r="103" spans="2:33" hidden="1">
      <c r="B103" s="498" t="s">
        <v>6968</v>
      </c>
      <c r="C103" s="498" t="s">
        <v>4266</v>
      </c>
      <c r="D103" s="498" t="s">
        <v>7071</v>
      </c>
      <c r="E103" s="498" t="s">
        <v>26</v>
      </c>
      <c r="F103" s="498" t="s">
        <v>7245</v>
      </c>
      <c r="G103" s="499" t="s">
        <v>326</v>
      </c>
      <c r="H103" s="500" t="s">
        <v>6861</v>
      </c>
      <c r="I103" s="498" t="s">
        <v>6862</v>
      </c>
      <c r="J103" s="498" t="s">
        <v>2527</v>
      </c>
      <c r="K103" s="498" t="s">
        <v>2173</v>
      </c>
      <c r="L103" s="498" t="s">
        <v>855</v>
      </c>
      <c r="M103" s="498" t="s">
        <v>6864</v>
      </c>
      <c r="N103" s="498" t="s">
        <v>6865</v>
      </c>
      <c r="O103" s="498" t="s">
        <v>2101</v>
      </c>
      <c r="P103" s="498" t="s">
        <v>653</v>
      </c>
      <c r="Q103" s="498" t="s">
        <v>7246</v>
      </c>
      <c r="R103" s="498" t="s">
        <v>6920</v>
      </c>
      <c r="S103" s="498" t="s">
        <v>6868</v>
      </c>
      <c r="T103" s="498"/>
      <c r="U103" s="498"/>
      <c r="V103" s="498" t="s">
        <v>6905</v>
      </c>
      <c r="W103" s="498" t="s">
        <v>7074</v>
      </c>
      <c r="X103" s="498" t="s">
        <v>4271</v>
      </c>
      <c r="Y103" s="498" t="s">
        <v>6871</v>
      </c>
      <c r="Z103" s="498" t="s">
        <v>6884</v>
      </c>
      <c r="AA103" s="498" t="s">
        <v>6872</v>
      </c>
      <c r="AB103" s="498"/>
      <c r="AC103" s="498"/>
      <c r="AD103" s="498"/>
      <c r="AE103" s="498" t="s">
        <v>7085</v>
      </c>
      <c r="AF103" s="498" t="s">
        <v>6905</v>
      </c>
      <c r="AG103" s="498"/>
    </row>
    <row r="104" spans="2:33" hidden="1">
      <c r="B104" s="498" t="s">
        <v>6858</v>
      </c>
      <c r="C104" s="498" t="s">
        <v>4266</v>
      </c>
      <c r="D104" s="498" t="s">
        <v>7071</v>
      </c>
      <c r="E104" s="498" t="s">
        <v>26</v>
      </c>
      <c r="F104" s="498" t="s">
        <v>7245</v>
      </c>
      <c r="G104" s="499" t="s">
        <v>326</v>
      </c>
      <c r="H104" s="500" t="s">
        <v>6861</v>
      </c>
      <c r="I104" s="498" t="s">
        <v>6862</v>
      </c>
      <c r="J104" s="498" t="s">
        <v>6934</v>
      </c>
      <c r="K104" s="498" t="s">
        <v>2173</v>
      </c>
      <c r="L104" s="498" t="s">
        <v>855</v>
      </c>
      <c r="M104" s="498" t="s">
        <v>6864</v>
      </c>
      <c r="N104" s="498" t="s">
        <v>6865</v>
      </c>
      <c r="O104" s="498" t="s">
        <v>2101</v>
      </c>
      <c r="P104" s="498" t="s">
        <v>653</v>
      </c>
      <c r="Q104" s="498" t="s">
        <v>7246</v>
      </c>
      <c r="R104" s="498" t="s">
        <v>6920</v>
      </c>
      <c r="S104" s="498" t="s">
        <v>6868</v>
      </c>
      <c r="T104" s="498"/>
      <c r="U104" s="498"/>
      <c r="V104" s="498" t="s">
        <v>6905</v>
      </c>
      <c r="W104" s="498" t="s">
        <v>7074</v>
      </c>
      <c r="X104" s="498" t="s">
        <v>4271</v>
      </c>
      <c r="Y104" s="498" t="s">
        <v>6871</v>
      </c>
      <c r="Z104" s="498" t="s">
        <v>6884</v>
      </c>
      <c r="AA104" s="498" t="s">
        <v>6872</v>
      </c>
      <c r="AB104" s="498"/>
      <c r="AC104" s="498"/>
      <c r="AD104" s="498"/>
      <c r="AE104" s="498" t="s">
        <v>7085</v>
      </c>
      <c r="AF104" s="498" t="s">
        <v>6905</v>
      </c>
      <c r="AG104" s="498"/>
    </row>
    <row r="105" spans="2:33" hidden="1">
      <c r="B105" s="498" t="s">
        <v>6968</v>
      </c>
      <c r="C105" s="498" t="s">
        <v>7247</v>
      </c>
      <c r="D105" s="498" t="s">
        <v>7071</v>
      </c>
      <c r="E105" s="498" t="s">
        <v>26</v>
      </c>
      <c r="F105" s="498" t="s">
        <v>7248</v>
      </c>
      <c r="G105" s="499" t="s">
        <v>326</v>
      </c>
      <c r="H105" s="500" t="s">
        <v>6861</v>
      </c>
      <c r="I105" s="498" t="s">
        <v>6862</v>
      </c>
      <c r="J105" s="498" t="s">
        <v>2527</v>
      </c>
      <c r="K105" s="498" t="s">
        <v>2173</v>
      </c>
      <c r="L105" s="498" t="s">
        <v>855</v>
      </c>
      <c r="M105" s="498" t="s">
        <v>6864</v>
      </c>
      <c r="N105" s="498" t="s">
        <v>6865</v>
      </c>
      <c r="O105" s="498" t="s">
        <v>2101</v>
      </c>
      <c r="P105" s="498" t="s">
        <v>653</v>
      </c>
      <c r="Q105" s="498" t="s">
        <v>7249</v>
      </c>
      <c r="R105" s="498" t="s">
        <v>6920</v>
      </c>
      <c r="S105" s="498" t="s">
        <v>6868</v>
      </c>
      <c r="T105" s="498"/>
      <c r="U105" s="498"/>
      <c r="V105" s="498" t="s">
        <v>6905</v>
      </c>
      <c r="W105" s="498" t="s">
        <v>7074</v>
      </c>
      <c r="X105" s="498" t="s">
        <v>4271</v>
      </c>
      <c r="Y105" s="498" t="s">
        <v>6871</v>
      </c>
      <c r="Z105" s="498" t="s">
        <v>6884</v>
      </c>
      <c r="AA105" s="498" t="s">
        <v>6872</v>
      </c>
      <c r="AB105" s="498"/>
      <c r="AC105" s="498"/>
      <c r="AD105" s="498"/>
      <c r="AE105" s="498" t="s">
        <v>7085</v>
      </c>
      <c r="AF105" s="498" t="s">
        <v>6905</v>
      </c>
      <c r="AG105" s="498"/>
    </row>
    <row r="106" spans="2:33" hidden="1">
      <c r="B106" s="498" t="s">
        <v>6858</v>
      </c>
      <c r="C106" s="498" t="s">
        <v>7247</v>
      </c>
      <c r="D106" s="498" t="s">
        <v>7071</v>
      </c>
      <c r="E106" s="498" t="s">
        <v>26</v>
      </c>
      <c r="F106" s="498" t="s">
        <v>7248</v>
      </c>
      <c r="G106" s="499" t="s">
        <v>326</v>
      </c>
      <c r="H106" s="500" t="s">
        <v>6861</v>
      </c>
      <c r="I106" s="498" t="s">
        <v>6862</v>
      </c>
      <c r="J106" s="498" t="s">
        <v>6934</v>
      </c>
      <c r="K106" s="498" t="s">
        <v>2173</v>
      </c>
      <c r="L106" s="498" t="s">
        <v>855</v>
      </c>
      <c r="M106" s="498" t="s">
        <v>6864</v>
      </c>
      <c r="N106" s="498" t="s">
        <v>6865</v>
      </c>
      <c r="O106" s="498" t="s">
        <v>2101</v>
      </c>
      <c r="P106" s="498" t="s">
        <v>653</v>
      </c>
      <c r="Q106" s="498" t="s">
        <v>7249</v>
      </c>
      <c r="R106" s="498" t="s">
        <v>6920</v>
      </c>
      <c r="S106" s="498" t="s">
        <v>6868</v>
      </c>
      <c r="T106" s="498"/>
      <c r="U106" s="498"/>
      <c r="V106" s="498" t="s">
        <v>6905</v>
      </c>
      <c r="W106" s="498" t="s">
        <v>7074</v>
      </c>
      <c r="X106" s="498" t="s">
        <v>4271</v>
      </c>
      <c r="Y106" s="498" t="s">
        <v>6871</v>
      </c>
      <c r="Z106" s="498" t="s">
        <v>6884</v>
      </c>
      <c r="AA106" s="498" t="s">
        <v>6872</v>
      </c>
      <c r="AB106" s="498"/>
      <c r="AC106" s="498"/>
      <c r="AD106" s="498"/>
      <c r="AE106" s="498" t="s">
        <v>7085</v>
      </c>
      <c r="AF106" s="498" t="s">
        <v>6905</v>
      </c>
      <c r="AG106" s="498"/>
    </row>
    <row r="107" spans="2:33" hidden="1">
      <c r="B107" s="498" t="s">
        <v>6968</v>
      </c>
      <c r="C107" s="498" t="s">
        <v>7250</v>
      </c>
      <c r="D107" s="498" t="s">
        <v>7071</v>
      </c>
      <c r="E107" s="498" t="s">
        <v>26</v>
      </c>
      <c r="F107" s="498" t="s">
        <v>7251</v>
      </c>
      <c r="G107" s="499" t="s">
        <v>326</v>
      </c>
      <c r="H107" s="500" t="s">
        <v>6861</v>
      </c>
      <c r="I107" s="498" t="s">
        <v>6862</v>
      </c>
      <c r="J107" s="498" t="s">
        <v>2527</v>
      </c>
      <c r="K107" s="498" t="s">
        <v>2173</v>
      </c>
      <c r="L107" s="498" t="s">
        <v>855</v>
      </c>
      <c r="M107" s="498" t="s">
        <v>6864</v>
      </c>
      <c r="N107" s="498" t="s">
        <v>6865</v>
      </c>
      <c r="O107" s="498" t="s">
        <v>2101</v>
      </c>
      <c r="P107" s="498" t="s">
        <v>653</v>
      </c>
      <c r="Q107" s="498" t="s">
        <v>7252</v>
      </c>
      <c r="R107" s="498" t="s">
        <v>6920</v>
      </c>
      <c r="S107" s="498" t="s">
        <v>6868</v>
      </c>
      <c r="T107" s="498"/>
      <c r="U107" s="498"/>
      <c r="V107" s="498" t="s">
        <v>6905</v>
      </c>
      <c r="W107" s="498" t="s">
        <v>7074</v>
      </c>
      <c r="X107" s="498" t="s">
        <v>3608</v>
      </c>
      <c r="Y107" s="498" t="s">
        <v>6871</v>
      </c>
      <c r="Z107" s="498">
        <v>3</v>
      </c>
      <c r="AA107" s="498" t="s">
        <v>6872</v>
      </c>
      <c r="AB107" s="498"/>
      <c r="AC107" s="498"/>
      <c r="AD107" s="498"/>
      <c r="AE107" s="498" t="s">
        <v>7085</v>
      </c>
      <c r="AF107" s="498" t="s">
        <v>6905</v>
      </c>
      <c r="AG107" s="498"/>
    </row>
    <row r="108" spans="2:33" hidden="1">
      <c r="B108" s="498" t="s">
        <v>6858</v>
      </c>
      <c r="C108" s="498" t="s">
        <v>7250</v>
      </c>
      <c r="D108" s="498" t="s">
        <v>7071</v>
      </c>
      <c r="E108" s="498" t="s">
        <v>26</v>
      </c>
      <c r="F108" s="498" t="s">
        <v>7251</v>
      </c>
      <c r="G108" s="499" t="s">
        <v>326</v>
      </c>
      <c r="H108" s="500" t="s">
        <v>6861</v>
      </c>
      <c r="I108" s="498" t="s">
        <v>6862</v>
      </c>
      <c r="J108" s="498" t="s">
        <v>6934</v>
      </c>
      <c r="K108" s="498" t="s">
        <v>2173</v>
      </c>
      <c r="L108" s="498" t="s">
        <v>855</v>
      </c>
      <c r="M108" s="498" t="s">
        <v>6864</v>
      </c>
      <c r="N108" s="498" t="s">
        <v>6865</v>
      </c>
      <c r="O108" s="498" t="s">
        <v>2101</v>
      </c>
      <c r="P108" s="498" t="s">
        <v>653</v>
      </c>
      <c r="Q108" s="498" t="s">
        <v>7252</v>
      </c>
      <c r="R108" s="498" t="s">
        <v>6920</v>
      </c>
      <c r="S108" s="498" t="s">
        <v>6868</v>
      </c>
      <c r="T108" s="498"/>
      <c r="U108" s="498"/>
      <c r="V108" s="498" t="s">
        <v>6905</v>
      </c>
      <c r="W108" s="498" t="s">
        <v>7074</v>
      </c>
      <c r="X108" s="498" t="s">
        <v>3608</v>
      </c>
      <c r="Y108" s="498" t="s">
        <v>6871</v>
      </c>
      <c r="Z108" s="498">
        <v>3</v>
      </c>
      <c r="AA108" s="498" t="s">
        <v>6872</v>
      </c>
      <c r="AB108" s="498"/>
      <c r="AC108" s="498"/>
      <c r="AD108" s="498"/>
      <c r="AE108" s="498" t="s">
        <v>7085</v>
      </c>
      <c r="AF108" s="498" t="s">
        <v>6905</v>
      </c>
      <c r="AG108" s="498"/>
    </row>
    <row r="109" spans="2:33" hidden="1">
      <c r="B109" s="498" t="s">
        <v>6858</v>
      </c>
      <c r="C109" s="498" t="s">
        <v>7253</v>
      </c>
      <c r="D109" s="498" t="s">
        <v>7071</v>
      </c>
      <c r="E109" s="498" t="s">
        <v>26</v>
      </c>
      <c r="F109" s="498" t="s">
        <v>7254</v>
      </c>
      <c r="G109" s="499" t="s">
        <v>326</v>
      </c>
      <c r="H109" s="500" t="s">
        <v>6861</v>
      </c>
      <c r="I109" s="498" t="s">
        <v>6862</v>
      </c>
      <c r="J109" s="498" t="s">
        <v>6934</v>
      </c>
      <c r="K109" s="498" t="s">
        <v>2173</v>
      </c>
      <c r="L109" s="498" t="s">
        <v>855</v>
      </c>
      <c r="M109" s="498" t="s">
        <v>6864</v>
      </c>
      <c r="N109" s="498" t="s">
        <v>6865</v>
      </c>
      <c r="O109" s="498" t="s">
        <v>2101</v>
      </c>
      <c r="P109" s="498" t="s">
        <v>653</v>
      </c>
      <c r="Q109" s="498" t="s">
        <v>7087</v>
      </c>
      <c r="R109" s="498" t="s">
        <v>6920</v>
      </c>
      <c r="S109" s="498" t="s">
        <v>6868</v>
      </c>
      <c r="T109" s="498"/>
      <c r="U109" s="498"/>
      <c r="V109" s="498" t="s">
        <v>6905</v>
      </c>
      <c r="W109" s="498"/>
      <c r="X109" s="498" t="s">
        <v>3608</v>
      </c>
      <c r="Y109" s="498"/>
      <c r="Z109" s="498">
        <v>3</v>
      </c>
      <c r="AA109" s="498"/>
      <c r="AB109" s="498"/>
      <c r="AC109" s="498"/>
      <c r="AD109" s="498"/>
      <c r="AE109" s="498" t="s">
        <v>7085</v>
      </c>
      <c r="AF109" s="498" t="s">
        <v>6905</v>
      </c>
      <c r="AG109" s="498"/>
    </row>
    <row r="110" spans="2:33" hidden="1">
      <c r="B110" s="498" t="s">
        <v>6968</v>
      </c>
      <c r="C110" s="498" t="s">
        <v>7255</v>
      </c>
      <c r="D110" s="498" t="s">
        <v>7071</v>
      </c>
      <c r="E110" s="498" t="s">
        <v>26</v>
      </c>
      <c r="F110" s="498" t="s">
        <v>7256</v>
      </c>
      <c r="G110" s="499" t="s">
        <v>326</v>
      </c>
      <c r="H110" s="500" t="s">
        <v>6861</v>
      </c>
      <c r="I110" s="498" t="s">
        <v>6862</v>
      </c>
      <c r="J110" s="498" t="s">
        <v>2527</v>
      </c>
      <c r="K110" s="498" t="s">
        <v>2173</v>
      </c>
      <c r="L110" s="498" t="s">
        <v>855</v>
      </c>
      <c r="M110" s="498" t="s">
        <v>6864</v>
      </c>
      <c r="N110" s="498" t="s">
        <v>6865</v>
      </c>
      <c r="O110" s="498" t="s">
        <v>2101</v>
      </c>
      <c r="P110" s="498" t="s">
        <v>653</v>
      </c>
      <c r="Q110" s="498" t="s">
        <v>7257</v>
      </c>
      <c r="R110" s="498" t="s">
        <v>6920</v>
      </c>
      <c r="S110" s="498" t="s">
        <v>6868</v>
      </c>
      <c r="T110" s="498"/>
      <c r="U110" s="498"/>
      <c r="V110" s="498" t="s">
        <v>6905</v>
      </c>
      <c r="W110" s="498" t="s">
        <v>7074</v>
      </c>
      <c r="X110" s="498" t="s">
        <v>3608</v>
      </c>
      <c r="Y110" s="498" t="s">
        <v>6871</v>
      </c>
      <c r="Z110" s="498">
        <v>11</v>
      </c>
      <c r="AA110" s="498" t="s">
        <v>6872</v>
      </c>
      <c r="AB110" s="498"/>
      <c r="AC110" s="498"/>
      <c r="AD110" s="498"/>
      <c r="AE110" s="498" t="s">
        <v>7085</v>
      </c>
      <c r="AF110" s="498" t="s">
        <v>6905</v>
      </c>
      <c r="AG110" s="498"/>
    </row>
    <row r="111" spans="2:33" hidden="1">
      <c r="B111" s="498" t="s">
        <v>6858</v>
      </c>
      <c r="C111" s="498" t="s">
        <v>7255</v>
      </c>
      <c r="D111" s="498" t="s">
        <v>7071</v>
      </c>
      <c r="E111" s="498" t="s">
        <v>26</v>
      </c>
      <c r="F111" s="498" t="s">
        <v>7256</v>
      </c>
      <c r="G111" s="499" t="s">
        <v>326</v>
      </c>
      <c r="H111" s="500" t="s">
        <v>6861</v>
      </c>
      <c r="I111" s="498" t="s">
        <v>6862</v>
      </c>
      <c r="J111" s="498" t="s">
        <v>6934</v>
      </c>
      <c r="K111" s="498" t="s">
        <v>2173</v>
      </c>
      <c r="L111" s="498" t="s">
        <v>855</v>
      </c>
      <c r="M111" s="498" t="s">
        <v>6864</v>
      </c>
      <c r="N111" s="498" t="s">
        <v>6865</v>
      </c>
      <c r="O111" s="498" t="s">
        <v>2101</v>
      </c>
      <c r="P111" s="498" t="s">
        <v>653</v>
      </c>
      <c r="Q111" s="498" t="s">
        <v>7257</v>
      </c>
      <c r="R111" s="498" t="s">
        <v>6920</v>
      </c>
      <c r="S111" s="498" t="s">
        <v>6868</v>
      </c>
      <c r="T111" s="498"/>
      <c r="U111" s="498"/>
      <c r="V111" s="498" t="s">
        <v>6905</v>
      </c>
      <c r="W111" s="498" t="s">
        <v>7074</v>
      </c>
      <c r="X111" s="498" t="s">
        <v>3608</v>
      </c>
      <c r="Y111" s="498" t="s">
        <v>6871</v>
      </c>
      <c r="Z111" s="498">
        <v>11</v>
      </c>
      <c r="AA111" s="498" t="s">
        <v>6872</v>
      </c>
      <c r="AB111" s="498"/>
      <c r="AC111" s="498"/>
      <c r="AD111" s="498"/>
      <c r="AE111" s="498" t="s">
        <v>7085</v>
      </c>
      <c r="AF111" s="498" t="s">
        <v>6905</v>
      </c>
      <c r="AG111" s="498"/>
    </row>
    <row r="112" spans="2:33" hidden="1">
      <c r="B112" s="498" t="s">
        <v>6968</v>
      </c>
      <c r="C112" s="498" t="s">
        <v>7258</v>
      </c>
      <c r="D112" s="498" t="s">
        <v>7071</v>
      </c>
      <c r="E112" s="498" t="s">
        <v>26</v>
      </c>
      <c r="F112" s="498" t="s">
        <v>7259</v>
      </c>
      <c r="G112" s="499" t="s">
        <v>326</v>
      </c>
      <c r="H112" s="500" t="s">
        <v>6861</v>
      </c>
      <c r="I112" s="498" t="s">
        <v>6862</v>
      </c>
      <c r="J112" s="498" t="s">
        <v>2527</v>
      </c>
      <c r="K112" s="498" t="s">
        <v>2173</v>
      </c>
      <c r="L112" s="498" t="s">
        <v>855</v>
      </c>
      <c r="M112" s="498" t="s">
        <v>6864</v>
      </c>
      <c r="N112" s="498" t="s">
        <v>6865</v>
      </c>
      <c r="O112" s="498" t="s">
        <v>2101</v>
      </c>
      <c r="P112" s="498" t="s">
        <v>653</v>
      </c>
      <c r="Q112" s="498" t="s">
        <v>7260</v>
      </c>
      <c r="R112" s="498" t="s">
        <v>6920</v>
      </c>
      <c r="S112" s="498" t="s">
        <v>6868</v>
      </c>
      <c r="T112" s="498"/>
      <c r="U112" s="498"/>
      <c r="V112" s="498" t="s">
        <v>6905</v>
      </c>
      <c r="W112" s="498" t="s">
        <v>7074</v>
      </c>
      <c r="X112" s="498" t="s">
        <v>3608</v>
      </c>
      <c r="Y112" s="498" t="s">
        <v>6871</v>
      </c>
      <c r="Z112" s="498">
        <v>8</v>
      </c>
      <c r="AA112" s="498" t="s">
        <v>6872</v>
      </c>
      <c r="AB112" s="498"/>
      <c r="AC112" s="498"/>
      <c r="AD112" s="498"/>
      <c r="AE112" s="498" t="s">
        <v>7085</v>
      </c>
      <c r="AF112" s="498" t="s">
        <v>6905</v>
      </c>
      <c r="AG112" s="498"/>
    </row>
    <row r="113" spans="2:33" hidden="1">
      <c r="B113" s="498" t="s">
        <v>6858</v>
      </c>
      <c r="C113" s="498" t="s">
        <v>7258</v>
      </c>
      <c r="D113" s="498" t="s">
        <v>7071</v>
      </c>
      <c r="E113" s="498" t="s">
        <v>26</v>
      </c>
      <c r="F113" s="498" t="s">
        <v>7259</v>
      </c>
      <c r="G113" s="499" t="s">
        <v>326</v>
      </c>
      <c r="H113" s="500" t="s">
        <v>6861</v>
      </c>
      <c r="I113" s="498" t="s">
        <v>6862</v>
      </c>
      <c r="J113" s="498" t="s">
        <v>6934</v>
      </c>
      <c r="K113" s="498" t="s">
        <v>2173</v>
      </c>
      <c r="L113" s="498" t="s">
        <v>855</v>
      </c>
      <c r="M113" s="498" t="s">
        <v>6864</v>
      </c>
      <c r="N113" s="498" t="s">
        <v>6865</v>
      </c>
      <c r="O113" s="498" t="s">
        <v>2101</v>
      </c>
      <c r="P113" s="498" t="s">
        <v>653</v>
      </c>
      <c r="Q113" s="498" t="s">
        <v>7260</v>
      </c>
      <c r="R113" s="498" t="s">
        <v>6920</v>
      </c>
      <c r="S113" s="498" t="s">
        <v>6868</v>
      </c>
      <c r="T113" s="498"/>
      <c r="U113" s="498"/>
      <c r="V113" s="498" t="s">
        <v>6905</v>
      </c>
      <c r="W113" s="498" t="s">
        <v>7074</v>
      </c>
      <c r="X113" s="498" t="s">
        <v>3608</v>
      </c>
      <c r="Y113" s="498" t="s">
        <v>6871</v>
      </c>
      <c r="Z113" s="498">
        <v>8</v>
      </c>
      <c r="AA113" s="498" t="s">
        <v>6872</v>
      </c>
      <c r="AB113" s="498"/>
      <c r="AC113" s="498"/>
      <c r="AD113" s="498"/>
      <c r="AE113" s="498" t="s">
        <v>7085</v>
      </c>
      <c r="AF113" s="498" t="s">
        <v>6905</v>
      </c>
      <c r="AG113" s="498"/>
    </row>
    <row r="114" spans="2:33" hidden="1">
      <c r="B114" s="498" t="s">
        <v>6968</v>
      </c>
      <c r="C114" s="498" t="s">
        <v>7261</v>
      </c>
      <c r="D114" s="498" t="s">
        <v>7071</v>
      </c>
      <c r="E114" s="498" t="s">
        <v>26</v>
      </c>
      <c r="F114" s="498" t="s">
        <v>7262</v>
      </c>
      <c r="G114" s="499" t="s">
        <v>326</v>
      </c>
      <c r="H114" s="500" t="s">
        <v>6861</v>
      </c>
      <c r="I114" s="498" t="s">
        <v>6862</v>
      </c>
      <c r="J114" s="498" t="s">
        <v>2527</v>
      </c>
      <c r="K114" s="498" t="s">
        <v>2173</v>
      </c>
      <c r="L114" s="498" t="s">
        <v>855</v>
      </c>
      <c r="M114" s="498" t="s">
        <v>6864</v>
      </c>
      <c r="N114" s="498" t="s">
        <v>6865</v>
      </c>
      <c r="O114" s="498" t="s">
        <v>2101</v>
      </c>
      <c r="P114" s="498" t="s">
        <v>653</v>
      </c>
      <c r="Q114" s="498" t="s">
        <v>7263</v>
      </c>
      <c r="R114" s="498" t="s">
        <v>6920</v>
      </c>
      <c r="S114" s="498" t="s">
        <v>6868</v>
      </c>
      <c r="T114" s="498"/>
      <c r="U114" s="498"/>
      <c r="V114" s="498" t="s">
        <v>6905</v>
      </c>
      <c r="W114" s="498" t="s">
        <v>7074</v>
      </c>
      <c r="X114" s="498" t="s">
        <v>3608</v>
      </c>
      <c r="Y114" s="498" t="s">
        <v>6871</v>
      </c>
      <c r="Z114" s="498">
        <v>13</v>
      </c>
      <c r="AA114" s="498" t="s">
        <v>6872</v>
      </c>
      <c r="AB114" s="498"/>
      <c r="AC114" s="498"/>
      <c r="AD114" s="498"/>
      <c r="AE114" s="498" t="s">
        <v>7085</v>
      </c>
      <c r="AF114" s="498" t="s">
        <v>6905</v>
      </c>
      <c r="AG114" s="498"/>
    </row>
    <row r="115" spans="2:33" hidden="1">
      <c r="B115" s="498" t="s">
        <v>6858</v>
      </c>
      <c r="C115" s="498" t="s">
        <v>7261</v>
      </c>
      <c r="D115" s="498" t="s">
        <v>7071</v>
      </c>
      <c r="E115" s="498" t="s">
        <v>26</v>
      </c>
      <c r="F115" s="498" t="s">
        <v>7262</v>
      </c>
      <c r="G115" s="499" t="s">
        <v>326</v>
      </c>
      <c r="H115" s="500" t="s">
        <v>6861</v>
      </c>
      <c r="I115" s="498" t="s">
        <v>6862</v>
      </c>
      <c r="J115" s="498" t="s">
        <v>6934</v>
      </c>
      <c r="K115" s="498" t="s">
        <v>2173</v>
      </c>
      <c r="L115" s="498" t="s">
        <v>855</v>
      </c>
      <c r="M115" s="498" t="s">
        <v>6864</v>
      </c>
      <c r="N115" s="498" t="s">
        <v>6865</v>
      </c>
      <c r="O115" s="498" t="s">
        <v>2101</v>
      </c>
      <c r="P115" s="498" t="s">
        <v>653</v>
      </c>
      <c r="Q115" s="498" t="s">
        <v>7263</v>
      </c>
      <c r="R115" s="498" t="s">
        <v>6920</v>
      </c>
      <c r="S115" s="498" t="s">
        <v>6868</v>
      </c>
      <c r="T115" s="498"/>
      <c r="U115" s="498"/>
      <c r="V115" s="498" t="s">
        <v>6905</v>
      </c>
      <c r="W115" s="498" t="s">
        <v>7074</v>
      </c>
      <c r="X115" s="498" t="s">
        <v>3608</v>
      </c>
      <c r="Y115" s="498" t="s">
        <v>6871</v>
      </c>
      <c r="Z115" s="498">
        <v>13</v>
      </c>
      <c r="AA115" s="498" t="s">
        <v>6872</v>
      </c>
      <c r="AB115" s="498"/>
      <c r="AC115" s="498"/>
      <c r="AD115" s="498"/>
      <c r="AE115" s="498" t="s">
        <v>7085</v>
      </c>
      <c r="AF115" s="498" t="s">
        <v>6905</v>
      </c>
      <c r="AG115" s="498"/>
    </row>
    <row r="116" spans="2:33" hidden="1">
      <c r="B116" s="498" t="s">
        <v>6968</v>
      </c>
      <c r="C116" s="498" t="s">
        <v>2821</v>
      </c>
      <c r="D116" s="498" t="s">
        <v>7071</v>
      </c>
      <c r="E116" s="498" t="s">
        <v>26</v>
      </c>
      <c r="F116" s="498" t="s">
        <v>7264</v>
      </c>
      <c r="G116" s="499" t="s">
        <v>326</v>
      </c>
      <c r="H116" s="500" t="s">
        <v>6861</v>
      </c>
      <c r="I116" s="498" t="s">
        <v>6862</v>
      </c>
      <c r="J116" s="498" t="s">
        <v>2527</v>
      </c>
      <c r="K116" s="498" t="s">
        <v>2173</v>
      </c>
      <c r="L116" s="498" t="s">
        <v>855</v>
      </c>
      <c r="M116" s="498" t="s">
        <v>6864</v>
      </c>
      <c r="N116" s="498" t="s">
        <v>6865</v>
      </c>
      <c r="O116" s="498" t="s">
        <v>2101</v>
      </c>
      <c r="P116" s="498" t="s">
        <v>653</v>
      </c>
      <c r="Q116" s="498" t="s">
        <v>7265</v>
      </c>
      <c r="R116" s="498" t="s">
        <v>6920</v>
      </c>
      <c r="S116" s="498" t="s">
        <v>6868</v>
      </c>
      <c r="T116" s="498"/>
      <c r="U116" s="498"/>
      <c r="V116" s="498" t="s">
        <v>6905</v>
      </c>
      <c r="W116" s="498" t="s">
        <v>7074</v>
      </c>
      <c r="X116" s="498" t="s">
        <v>3608</v>
      </c>
      <c r="Y116" s="498" t="s">
        <v>6871</v>
      </c>
      <c r="Z116" s="498">
        <v>3</v>
      </c>
      <c r="AA116" s="498" t="s">
        <v>6872</v>
      </c>
      <c r="AB116" s="498"/>
      <c r="AC116" s="498"/>
      <c r="AD116" s="498"/>
      <c r="AE116" s="498" t="s">
        <v>7085</v>
      </c>
      <c r="AF116" s="498" t="s">
        <v>6905</v>
      </c>
      <c r="AG116" s="498"/>
    </row>
    <row r="117" spans="2:33" hidden="1">
      <c r="B117" s="498" t="s">
        <v>6968</v>
      </c>
      <c r="C117" s="498" t="s">
        <v>7054</v>
      </c>
      <c r="D117" s="498" t="s">
        <v>341</v>
      </c>
      <c r="E117" s="498" t="s">
        <v>26</v>
      </c>
      <c r="F117" s="498" t="s">
        <v>7055</v>
      </c>
      <c r="G117" s="499" t="s">
        <v>326</v>
      </c>
      <c r="H117" s="500" t="s">
        <v>6861</v>
      </c>
      <c r="I117" s="498" t="s">
        <v>6862</v>
      </c>
      <c r="J117" s="498" t="s">
        <v>6934</v>
      </c>
      <c r="K117" s="498" t="s">
        <v>2173</v>
      </c>
      <c r="L117" s="498" t="s">
        <v>855</v>
      </c>
      <c r="M117" s="498" t="s">
        <v>6864</v>
      </c>
      <c r="N117" s="498" t="s">
        <v>6865</v>
      </c>
      <c r="O117" s="498" t="s">
        <v>1194</v>
      </c>
      <c r="P117" s="498" t="s">
        <v>574</v>
      </c>
      <c r="Q117" s="498" t="s">
        <v>2352</v>
      </c>
      <c r="R117" s="498" t="s">
        <v>6957</v>
      </c>
      <c r="S117" s="498" t="s">
        <v>6868</v>
      </c>
      <c r="T117" s="498"/>
      <c r="U117" s="498"/>
      <c r="V117" s="498" t="s">
        <v>7079</v>
      </c>
      <c r="W117" s="498" t="s">
        <v>6870</v>
      </c>
      <c r="X117" s="498" t="s">
        <v>2207</v>
      </c>
      <c r="Y117" s="498"/>
      <c r="Z117" s="498"/>
      <c r="AA117" s="498"/>
      <c r="AB117" s="498"/>
      <c r="AC117" s="498"/>
      <c r="AD117" s="498"/>
      <c r="AE117" s="498" t="s">
        <v>6961</v>
      </c>
      <c r="AF117" s="498" t="s">
        <v>7266</v>
      </c>
      <c r="AG117" s="498" t="s">
        <v>7267</v>
      </c>
    </row>
    <row r="118" spans="2:33" hidden="1">
      <c r="B118" s="498" t="s">
        <v>6858</v>
      </c>
      <c r="C118" s="498" t="s">
        <v>7268</v>
      </c>
      <c r="D118" s="498" t="s">
        <v>7071</v>
      </c>
      <c r="E118" s="498" t="s">
        <v>26</v>
      </c>
      <c r="F118" s="498" t="s">
        <v>7269</v>
      </c>
      <c r="G118" s="499" t="s">
        <v>326</v>
      </c>
      <c r="H118" s="500" t="s">
        <v>6861</v>
      </c>
      <c r="I118" s="498" t="s">
        <v>6862</v>
      </c>
      <c r="J118" s="498" t="s">
        <v>6934</v>
      </c>
      <c r="K118" s="498" t="s">
        <v>2173</v>
      </c>
      <c r="L118" s="498" t="s">
        <v>855</v>
      </c>
      <c r="M118" s="498" t="s">
        <v>6864</v>
      </c>
      <c r="N118" s="498" t="s">
        <v>6865</v>
      </c>
      <c r="O118" s="498" t="s">
        <v>2101</v>
      </c>
      <c r="P118" s="498" t="s">
        <v>653</v>
      </c>
      <c r="Q118" s="498" t="s">
        <v>7270</v>
      </c>
      <c r="R118" s="498" t="s">
        <v>6920</v>
      </c>
      <c r="S118" s="498" t="s">
        <v>6868</v>
      </c>
      <c r="T118" s="498"/>
      <c r="U118" s="498"/>
      <c r="V118" s="498" t="s">
        <v>6905</v>
      </c>
      <c r="W118" s="498" t="s">
        <v>7074</v>
      </c>
      <c r="X118" s="498" t="s">
        <v>6936</v>
      </c>
      <c r="Y118" s="498"/>
      <c r="Z118" s="498">
        <v>2</v>
      </c>
      <c r="AA118" s="498"/>
      <c r="AB118" s="498"/>
      <c r="AC118" s="498"/>
      <c r="AD118" s="498"/>
      <c r="AE118" s="498" t="s">
        <v>7085</v>
      </c>
      <c r="AF118" s="498" t="s">
        <v>6905</v>
      </c>
      <c r="AG118" s="498"/>
    </row>
    <row r="119" spans="2:33" hidden="1">
      <c r="B119" s="498" t="s">
        <v>6858</v>
      </c>
      <c r="C119" s="498" t="s">
        <v>2343</v>
      </c>
      <c r="D119" s="498" t="s">
        <v>7071</v>
      </c>
      <c r="E119" s="498" t="s">
        <v>26</v>
      </c>
      <c r="F119" s="498" t="s">
        <v>7271</v>
      </c>
      <c r="G119" s="499" t="s">
        <v>326</v>
      </c>
      <c r="H119" s="500" t="s">
        <v>6861</v>
      </c>
      <c r="I119" s="498" t="s">
        <v>6862</v>
      </c>
      <c r="J119" s="498" t="s">
        <v>6934</v>
      </c>
      <c r="K119" s="498" t="s">
        <v>2173</v>
      </c>
      <c r="L119" s="498" t="s">
        <v>855</v>
      </c>
      <c r="M119" s="498" t="s">
        <v>6864</v>
      </c>
      <c r="N119" s="498" t="s">
        <v>6865</v>
      </c>
      <c r="O119" s="498" t="s">
        <v>2101</v>
      </c>
      <c r="P119" s="498" t="s">
        <v>653</v>
      </c>
      <c r="Q119" s="498" t="s">
        <v>2346</v>
      </c>
      <c r="R119" s="498" t="s">
        <v>6920</v>
      </c>
      <c r="S119" s="498" t="s">
        <v>6868</v>
      </c>
      <c r="T119" s="498"/>
      <c r="U119" s="498"/>
      <c r="V119" s="498" t="s">
        <v>6905</v>
      </c>
      <c r="W119" s="498" t="s">
        <v>7074</v>
      </c>
      <c r="X119" s="498" t="s">
        <v>4271</v>
      </c>
      <c r="Y119" s="498"/>
      <c r="Z119" s="498">
        <v>5</v>
      </c>
      <c r="AA119" s="498"/>
      <c r="AB119" s="498"/>
      <c r="AC119" s="498"/>
      <c r="AD119" s="498"/>
      <c r="AE119" s="498" t="s">
        <v>7085</v>
      </c>
      <c r="AF119" s="498" t="s">
        <v>6905</v>
      </c>
      <c r="AG119" s="498"/>
    </row>
    <row r="120" spans="2:33" hidden="1">
      <c r="B120" s="498" t="s">
        <v>6858</v>
      </c>
      <c r="C120" s="498" t="s">
        <v>7272</v>
      </c>
      <c r="D120" s="498" t="s">
        <v>7071</v>
      </c>
      <c r="E120" s="498" t="s">
        <v>26</v>
      </c>
      <c r="F120" s="498" t="s">
        <v>7273</v>
      </c>
      <c r="G120" s="499">
        <v>1</v>
      </c>
      <c r="H120" s="500" t="s">
        <v>7233</v>
      </c>
      <c r="I120" s="498" t="s">
        <v>7274</v>
      </c>
      <c r="J120" s="498" t="s">
        <v>6934</v>
      </c>
      <c r="K120" s="498" t="s">
        <v>7275</v>
      </c>
      <c r="L120" s="498" t="s">
        <v>7235</v>
      </c>
      <c r="M120" s="498" t="s">
        <v>7235</v>
      </c>
      <c r="N120" s="498"/>
      <c r="O120" s="498"/>
      <c r="P120" s="498"/>
      <c r="Q120" s="498"/>
      <c r="R120" s="498" t="s">
        <v>361</v>
      </c>
      <c r="S120" s="498"/>
      <c r="T120" s="498"/>
      <c r="U120" s="498"/>
      <c r="V120" s="498" t="s">
        <v>7276</v>
      </c>
      <c r="W120" s="498" t="s">
        <v>7074</v>
      </c>
      <c r="X120" s="498"/>
      <c r="Y120" s="498"/>
      <c r="Z120" s="498"/>
      <c r="AA120" s="498"/>
      <c r="AB120" s="498"/>
      <c r="AC120" s="498"/>
      <c r="AD120" s="498"/>
      <c r="AE120" s="498" t="s">
        <v>7085</v>
      </c>
      <c r="AF120" s="498" t="s">
        <v>7277</v>
      </c>
      <c r="AG120" s="498" t="s">
        <v>7278</v>
      </c>
    </row>
    <row r="121" spans="2:33" hidden="1">
      <c r="B121" s="498" t="s">
        <v>6858</v>
      </c>
      <c r="C121" s="498" t="s">
        <v>7279</v>
      </c>
      <c r="D121" s="498" t="s">
        <v>7071</v>
      </c>
      <c r="E121" s="498" t="s">
        <v>26</v>
      </c>
      <c r="F121" s="498" t="s">
        <v>7280</v>
      </c>
      <c r="G121" s="499" t="s">
        <v>326</v>
      </c>
      <c r="H121" s="500" t="s">
        <v>6861</v>
      </c>
      <c r="I121" s="498" t="s">
        <v>6862</v>
      </c>
      <c r="J121" s="498" t="s">
        <v>6934</v>
      </c>
      <c r="K121" s="498" t="s">
        <v>2173</v>
      </c>
      <c r="L121" s="498" t="s">
        <v>855</v>
      </c>
      <c r="M121" s="498" t="s">
        <v>6864</v>
      </c>
      <c r="N121" s="498" t="s">
        <v>6865</v>
      </c>
      <c r="O121" s="498" t="s">
        <v>2101</v>
      </c>
      <c r="P121" s="498" t="s">
        <v>7281</v>
      </c>
      <c r="Q121" s="498" t="s">
        <v>7130</v>
      </c>
      <c r="R121" s="498" t="s">
        <v>7282</v>
      </c>
      <c r="S121" s="498" t="s">
        <v>7283</v>
      </c>
      <c r="T121" s="498" t="s">
        <v>7284</v>
      </c>
      <c r="U121" s="498"/>
      <c r="V121" s="498" t="s">
        <v>2177</v>
      </c>
      <c r="W121" s="498" t="s">
        <v>7074</v>
      </c>
      <c r="X121" s="498" t="s">
        <v>7134</v>
      </c>
      <c r="Y121" s="498"/>
      <c r="Z121" s="498" t="s">
        <v>7285</v>
      </c>
      <c r="AA121" s="498"/>
      <c r="AB121" s="498"/>
      <c r="AC121" s="498"/>
      <c r="AD121" s="498"/>
      <c r="AE121" s="498" t="s">
        <v>7085</v>
      </c>
      <c r="AF121" s="498"/>
      <c r="AG121" s="498"/>
    </row>
    <row r="122" spans="2:33" hidden="1">
      <c r="B122" s="498" t="s">
        <v>6968</v>
      </c>
      <c r="C122" s="498" t="s">
        <v>7286</v>
      </c>
      <c r="D122" s="498" t="s">
        <v>7071</v>
      </c>
      <c r="E122" s="498" t="s">
        <v>26</v>
      </c>
      <c r="F122" s="498" t="s">
        <v>7287</v>
      </c>
      <c r="G122" s="499" t="s">
        <v>326</v>
      </c>
      <c r="H122" s="500" t="s">
        <v>6861</v>
      </c>
      <c r="I122" s="498" t="s">
        <v>6862</v>
      </c>
      <c r="J122" s="498" t="s">
        <v>2527</v>
      </c>
      <c r="K122" s="498" t="s">
        <v>2173</v>
      </c>
      <c r="L122" s="498" t="s">
        <v>855</v>
      </c>
      <c r="M122" s="498" t="s">
        <v>6864</v>
      </c>
      <c r="N122" s="498" t="s">
        <v>6865</v>
      </c>
      <c r="O122" s="498" t="s">
        <v>2101</v>
      </c>
      <c r="P122" s="498" t="s">
        <v>653</v>
      </c>
      <c r="Q122" s="498" t="s">
        <v>7288</v>
      </c>
      <c r="R122" s="498" t="s">
        <v>6920</v>
      </c>
      <c r="S122" s="498" t="s">
        <v>6868</v>
      </c>
      <c r="T122" s="498"/>
      <c r="U122" s="498"/>
      <c r="V122" s="498" t="s">
        <v>6905</v>
      </c>
      <c r="W122" s="498" t="s">
        <v>7074</v>
      </c>
      <c r="X122" s="498" t="s">
        <v>3608</v>
      </c>
      <c r="Y122" s="498" t="s">
        <v>6871</v>
      </c>
      <c r="Z122" s="498">
        <v>25</v>
      </c>
      <c r="AA122" s="498" t="s">
        <v>6872</v>
      </c>
      <c r="AB122" s="498"/>
      <c r="AC122" s="498"/>
      <c r="AD122" s="498"/>
      <c r="AE122" s="498" t="s">
        <v>7085</v>
      </c>
      <c r="AF122" s="498" t="s">
        <v>6905</v>
      </c>
      <c r="AG122" s="498"/>
    </row>
    <row r="123" spans="2:33" hidden="1">
      <c r="B123" s="498" t="s">
        <v>6858</v>
      </c>
      <c r="C123" s="498" t="s">
        <v>7286</v>
      </c>
      <c r="D123" s="498" t="s">
        <v>7071</v>
      </c>
      <c r="E123" s="498" t="s">
        <v>26</v>
      </c>
      <c r="F123" s="498" t="s">
        <v>7287</v>
      </c>
      <c r="G123" s="499" t="s">
        <v>326</v>
      </c>
      <c r="H123" s="500" t="s">
        <v>6861</v>
      </c>
      <c r="I123" s="498" t="s">
        <v>6862</v>
      </c>
      <c r="J123" s="498" t="s">
        <v>6934</v>
      </c>
      <c r="K123" s="498" t="s">
        <v>2173</v>
      </c>
      <c r="L123" s="498" t="s">
        <v>855</v>
      </c>
      <c r="M123" s="498" t="s">
        <v>6864</v>
      </c>
      <c r="N123" s="498" t="s">
        <v>6865</v>
      </c>
      <c r="O123" s="498" t="s">
        <v>2101</v>
      </c>
      <c r="P123" s="498" t="s">
        <v>653</v>
      </c>
      <c r="Q123" s="498" t="s">
        <v>7288</v>
      </c>
      <c r="R123" s="498" t="s">
        <v>6920</v>
      </c>
      <c r="S123" s="498" t="s">
        <v>6868</v>
      </c>
      <c r="T123" s="498"/>
      <c r="U123" s="498"/>
      <c r="V123" s="498" t="s">
        <v>6905</v>
      </c>
      <c r="W123" s="498" t="s">
        <v>7074</v>
      </c>
      <c r="X123" s="498" t="s">
        <v>3608</v>
      </c>
      <c r="Y123" s="498" t="s">
        <v>6871</v>
      </c>
      <c r="Z123" s="498">
        <v>25</v>
      </c>
      <c r="AA123" s="498" t="s">
        <v>6872</v>
      </c>
      <c r="AB123" s="498"/>
      <c r="AC123" s="498"/>
      <c r="AD123" s="498"/>
      <c r="AE123" s="498" t="s">
        <v>7085</v>
      </c>
      <c r="AF123" s="498" t="s">
        <v>6905</v>
      </c>
      <c r="AG123" s="498"/>
    </row>
    <row r="124" spans="2:33" hidden="1">
      <c r="B124" s="498" t="s">
        <v>6968</v>
      </c>
      <c r="C124" s="498" t="s">
        <v>7289</v>
      </c>
      <c r="D124" s="498" t="s">
        <v>7071</v>
      </c>
      <c r="E124" s="498" t="s">
        <v>26</v>
      </c>
      <c r="F124" s="498" t="s">
        <v>7290</v>
      </c>
      <c r="G124" s="499" t="s">
        <v>326</v>
      </c>
      <c r="H124" s="500" t="s">
        <v>6861</v>
      </c>
      <c r="I124" s="498" t="s">
        <v>6862</v>
      </c>
      <c r="J124" s="498" t="s">
        <v>2527</v>
      </c>
      <c r="K124" s="498" t="s">
        <v>2173</v>
      </c>
      <c r="L124" s="498" t="s">
        <v>855</v>
      </c>
      <c r="M124" s="498" t="s">
        <v>6864</v>
      </c>
      <c r="N124" s="498" t="s">
        <v>6865</v>
      </c>
      <c r="O124" s="498" t="s">
        <v>2101</v>
      </c>
      <c r="P124" s="498" t="s">
        <v>653</v>
      </c>
      <c r="Q124" s="498" t="s">
        <v>7291</v>
      </c>
      <c r="R124" s="498" t="s">
        <v>6920</v>
      </c>
      <c r="S124" s="498" t="s">
        <v>6868</v>
      </c>
      <c r="T124" s="498"/>
      <c r="U124" s="498"/>
      <c r="V124" s="498" t="s">
        <v>6905</v>
      </c>
      <c r="W124" s="498" t="s">
        <v>7074</v>
      </c>
      <c r="X124" s="498" t="s">
        <v>3608</v>
      </c>
      <c r="Y124" s="498"/>
      <c r="Z124" s="498">
        <v>12</v>
      </c>
      <c r="AA124" s="498" t="s">
        <v>6872</v>
      </c>
      <c r="AB124" s="498"/>
      <c r="AC124" s="498"/>
      <c r="AD124" s="498"/>
      <c r="AE124" s="498" t="s">
        <v>7085</v>
      </c>
      <c r="AF124" s="498" t="s">
        <v>6905</v>
      </c>
      <c r="AG124" s="498"/>
    </row>
    <row r="125" spans="2:33" hidden="1">
      <c r="B125" s="498" t="s">
        <v>6858</v>
      </c>
      <c r="C125" s="498" t="s">
        <v>7289</v>
      </c>
      <c r="D125" s="498" t="s">
        <v>7071</v>
      </c>
      <c r="E125" s="498" t="s">
        <v>26</v>
      </c>
      <c r="F125" s="498" t="s">
        <v>7290</v>
      </c>
      <c r="G125" s="499" t="s">
        <v>326</v>
      </c>
      <c r="H125" s="500" t="s">
        <v>6861</v>
      </c>
      <c r="I125" s="498" t="s">
        <v>6862</v>
      </c>
      <c r="J125" s="498" t="s">
        <v>6934</v>
      </c>
      <c r="K125" s="498" t="s">
        <v>2173</v>
      </c>
      <c r="L125" s="498" t="s">
        <v>855</v>
      </c>
      <c r="M125" s="498" t="s">
        <v>6864</v>
      </c>
      <c r="N125" s="498" t="s">
        <v>6865</v>
      </c>
      <c r="O125" s="498" t="s">
        <v>2101</v>
      </c>
      <c r="P125" s="498" t="s">
        <v>653</v>
      </c>
      <c r="Q125" s="498" t="s">
        <v>7291</v>
      </c>
      <c r="R125" s="498" t="s">
        <v>6920</v>
      </c>
      <c r="S125" s="498" t="s">
        <v>6868</v>
      </c>
      <c r="T125" s="498"/>
      <c r="U125" s="498"/>
      <c r="V125" s="498" t="s">
        <v>6905</v>
      </c>
      <c r="W125" s="498" t="s">
        <v>7074</v>
      </c>
      <c r="X125" s="498" t="s">
        <v>3608</v>
      </c>
      <c r="Y125" s="498"/>
      <c r="Z125" s="498">
        <v>12</v>
      </c>
      <c r="AA125" s="498" t="s">
        <v>6872</v>
      </c>
      <c r="AB125" s="498"/>
      <c r="AC125" s="498"/>
      <c r="AD125" s="498"/>
      <c r="AE125" s="498" t="s">
        <v>7085</v>
      </c>
      <c r="AF125" s="498" t="s">
        <v>6905</v>
      </c>
      <c r="AG125" s="498"/>
    </row>
    <row r="126" spans="2:33" hidden="1">
      <c r="B126" s="498" t="s">
        <v>6968</v>
      </c>
      <c r="C126" s="498" t="s">
        <v>7292</v>
      </c>
      <c r="D126" s="498" t="s">
        <v>7071</v>
      </c>
      <c r="E126" s="498" t="s">
        <v>26</v>
      </c>
      <c r="F126" s="498" t="s">
        <v>7293</v>
      </c>
      <c r="G126" s="499" t="s">
        <v>326</v>
      </c>
      <c r="H126" s="500" t="s">
        <v>6861</v>
      </c>
      <c r="I126" s="498" t="s">
        <v>6862</v>
      </c>
      <c r="J126" s="498" t="s">
        <v>2527</v>
      </c>
      <c r="K126" s="498" t="s">
        <v>2173</v>
      </c>
      <c r="L126" s="498" t="s">
        <v>855</v>
      </c>
      <c r="M126" s="498" t="s">
        <v>6864</v>
      </c>
      <c r="N126" s="498" t="s">
        <v>6865</v>
      </c>
      <c r="O126" s="498" t="s">
        <v>2101</v>
      </c>
      <c r="P126" s="498" t="s">
        <v>653</v>
      </c>
      <c r="Q126" s="498" t="s">
        <v>7294</v>
      </c>
      <c r="R126" s="498" t="s">
        <v>6920</v>
      </c>
      <c r="S126" s="498" t="s">
        <v>6868</v>
      </c>
      <c r="T126" s="498"/>
      <c r="U126" s="498"/>
      <c r="V126" s="498" t="s">
        <v>6905</v>
      </c>
      <c r="W126" s="498" t="s">
        <v>7074</v>
      </c>
      <c r="X126" s="498" t="s">
        <v>3608</v>
      </c>
      <c r="Y126" s="498" t="s">
        <v>6871</v>
      </c>
      <c r="Z126" s="498">
        <v>3</v>
      </c>
      <c r="AA126" s="498" t="s">
        <v>6872</v>
      </c>
      <c r="AB126" s="498"/>
      <c r="AC126" s="498"/>
      <c r="AD126" s="498"/>
      <c r="AE126" s="498" t="s">
        <v>7085</v>
      </c>
      <c r="AF126" s="498" t="s">
        <v>6905</v>
      </c>
      <c r="AG126" s="498"/>
    </row>
    <row r="127" spans="2:33" hidden="1">
      <c r="B127" s="498" t="s">
        <v>6858</v>
      </c>
      <c r="C127" s="498" t="s">
        <v>7292</v>
      </c>
      <c r="D127" s="498" t="s">
        <v>7071</v>
      </c>
      <c r="E127" s="498" t="s">
        <v>26</v>
      </c>
      <c r="F127" s="498" t="s">
        <v>7293</v>
      </c>
      <c r="G127" s="499" t="s">
        <v>326</v>
      </c>
      <c r="H127" s="500" t="s">
        <v>6861</v>
      </c>
      <c r="I127" s="498" t="s">
        <v>6862</v>
      </c>
      <c r="J127" s="498" t="s">
        <v>6934</v>
      </c>
      <c r="K127" s="498" t="s">
        <v>2173</v>
      </c>
      <c r="L127" s="498" t="s">
        <v>855</v>
      </c>
      <c r="M127" s="498" t="s">
        <v>6864</v>
      </c>
      <c r="N127" s="498" t="s">
        <v>6865</v>
      </c>
      <c r="O127" s="498" t="s">
        <v>2101</v>
      </c>
      <c r="P127" s="498" t="s">
        <v>653</v>
      </c>
      <c r="Q127" s="498" t="s">
        <v>7294</v>
      </c>
      <c r="R127" s="498" t="s">
        <v>6920</v>
      </c>
      <c r="S127" s="498" t="s">
        <v>6868</v>
      </c>
      <c r="T127" s="498"/>
      <c r="U127" s="498"/>
      <c r="V127" s="498" t="s">
        <v>6905</v>
      </c>
      <c r="W127" s="498" t="s">
        <v>7074</v>
      </c>
      <c r="X127" s="498" t="s">
        <v>3608</v>
      </c>
      <c r="Y127" s="498" t="s">
        <v>6871</v>
      </c>
      <c r="Z127" s="498">
        <v>3</v>
      </c>
      <c r="AA127" s="498" t="s">
        <v>6872</v>
      </c>
      <c r="AB127" s="498"/>
      <c r="AC127" s="498"/>
      <c r="AD127" s="498"/>
      <c r="AE127" s="498" t="s">
        <v>7085</v>
      </c>
      <c r="AF127" s="498" t="s">
        <v>6905</v>
      </c>
      <c r="AG127" s="498"/>
    </row>
    <row r="128" spans="2:33" hidden="1">
      <c r="B128" s="498" t="s">
        <v>6968</v>
      </c>
      <c r="C128" s="498" t="s">
        <v>159</v>
      </c>
      <c r="D128" s="498" t="s">
        <v>7071</v>
      </c>
      <c r="E128" s="498" t="s">
        <v>26</v>
      </c>
      <c r="F128" s="498" t="s">
        <v>7295</v>
      </c>
      <c r="G128" s="499">
        <v>1</v>
      </c>
      <c r="H128" s="500" t="s">
        <v>7233</v>
      </c>
      <c r="I128" s="498" t="s">
        <v>7274</v>
      </c>
      <c r="J128" s="498" t="s">
        <v>6934</v>
      </c>
      <c r="K128" s="498" t="s">
        <v>7275</v>
      </c>
      <c r="L128" s="498" t="s">
        <v>7235</v>
      </c>
      <c r="M128" s="498" t="s">
        <v>7235</v>
      </c>
      <c r="N128" s="498"/>
      <c r="O128" s="498"/>
      <c r="P128" s="498"/>
      <c r="Q128" s="498"/>
      <c r="R128" s="498" t="s">
        <v>361</v>
      </c>
      <c r="S128" s="498" t="s">
        <v>6868</v>
      </c>
      <c r="T128" s="498" t="s">
        <v>7296</v>
      </c>
      <c r="U128" s="498"/>
      <c r="V128" s="498" t="s">
        <v>7276</v>
      </c>
      <c r="W128" s="498" t="s">
        <v>7074</v>
      </c>
      <c r="X128" s="498"/>
      <c r="Y128" s="498" t="s">
        <v>6871</v>
      </c>
      <c r="Z128" s="498"/>
      <c r="AA128" s="498" t="s">
        <v>6872</v>
      </c>
      <c r="AB128" s="498"/>
      <c r="AC128" s="498"/>
      <c r="AD128" s="498"/>
      <c r="AE128" s="498" t="s">
        <v>7085</v>
      </c>
      <c r="AF128" s="498" t="s">
        <v>7297</v>
      </c>
      <c r="AG128" s="498" t="s">
        <v>7298</v>
      </c>
    </row>
    <row r="129" spans="2:33">
      <c r="B129" s="498" t="s">
        <v>6858</v>
      </c>
      <c r="C129" s="498" t="s">
        <v>159</v>
      </c>
      <c r="D129" s="498" t="s">
        <v>7071</v>
      </c>
      <c r="E129" s="498" t="s">
        <v>26</v>
      </c>
      <c r="F129" s="498" t="s">
        <v>7295</v>
      </c>
      <c r="G129" s="499">
        <v>1</v>
      </c>
      <c r="H129" s="500" t="s">
        <v>7233</v>
      </c>
      <c r="I129" s="498" t="s">
        <v>7274</v>
      </c>
      <c r="J129" s="498" t="s">
        <v>6934</v>
      </c>
      <c r="K129" s="498" t="s">
        <v>7275</v>
      </c>
      <c r="L129" s="498" t="s">
        <v>7235</v>
      </c>
      <c r="M129" s="498" t="s">
        <v>7235</v>
      </c>
      <c r="N129" s="498"/>
      <c r="O129" s="498"/>
      <c r="P129" s="498"/>
      <c r="Q129" s="498"/>
      <c r="R129" s="498" t="s">
        <v>361</v>
      </c>
      <c r="S129" s="498" t="s">
        <v>6868</v>
      </c>
      <c r="T129" s="498" t="s">
        <v>7296</v>
      </c>
      <c r="U129" s="498"/>
      <c r="V129" s="498" t="s">
        <v>7276</v>
      </c>
      <c r="W129" s="498" t="s">
        <v>7074</v>
      </c>
      <c r="X129" s="498"/>
      <c r="Y129" s="498" t="s">
        <v>6871</v>
      </c>
      <c r="Z129" s="498"/>
      <c r="AA129" s="498" t="s">
        <v>6872</v>
      </c>
      <c r="AB129" s="498"/>
      <c r="AC129" s="498"/>
      <c r="AD129" s="498"/>
      <c r="AE129" s="498" t="s">
        <v>7085</v>
      </c>
      <c r="AF129" s="498" t="s">
        <v>7297</v>
      </c>
      <c r="AG129" s="498" t="s">
        <v>7298</v>
      </c>
    </row>
    <row r="130" spans="2:33" hidden="1">
      <c r="B130" s="498" t="s">
        <v>6858</v>
      </c>
      <c r="C130" s="498" t="s">
        <v>7299</v>
      </c>
      <c r="D130" s="498" t="s">
        <v>7071</v>
      </c>
      <c r="E130" s="498" t="s">
        <v>26</v>
      </c>
      <c r="F130" s="498" t="s">
        <v>7300</v>
      </c>
      <c r="G130" s="499" t="s">
        <v>326</v>
      </c>
      <c r="H130" s="500" t="s">
        <v>6861</v>
      </c>
      <c r="I130" s="498" t="s">
        <v>6862</v>
      </c>
      <c r="J130" s="498" t="s">
        <v>6934</v>
      </c>
      <c r="K130" s="498" t="s">
        <v>2173</v>
      </c>
      <c r="L130" s="498" t="s">
        <v>855</v>
      </c>
      <c r="M130" s="498" t="s">
        <v>6864</v>
      </c>
      <c r="N130" s="498" t="s">
        <v>6865</v>
      </c>
      <c r="O130" s="498" t="s">
        <v>2101</v>
      </c>
      <c r="P130" s="498" t="s">
        <v>7301</v>
      </c>
      <c r="Q130" s="498" t="s">
        <v>7302</v>
      </c>
      <c r="R130" s="498" t="s">
        <v>7303</v>
      </c>
      <c r="S130" s="498" t="s">
        <v>6868</v>
      </c>
      <c r="T130" s="498"/>
      <c r="U130" s="498"/>
      <c r="V130" s="498" t="s">
        <v>6905</v>
      </c>
      <c r="W130" s="498" t="s">
        <v>7074</v>
      </c>
      <c r="X130" s="498" t="s">
        <v>3582</v>
      </c>
      <c r="Y130" s="498" t="s">
        <v>6871</v>
      </c>
      <c r="Z130" s="498">
        <v>25</v>
      </c>
      <c r="AA130" s="498" t="s">
        <v>6872</v>
      </c>
      <c r="AB130" s="498"/>
      <c r="AC130" s="498"/>
      <c r="AD130" s="498"/>
      <c r="AE130" s="498" t="s">
        <v>7085</v>
      </c>
      <c r="AF130" s="498" t="s">
        <v>6905</v>
      </c>
      <c r="AG130" s="498"/>
    </row>
    <row r="131" spans="2:33" hidden="1">
      <c r="B131" s="498" t="s">
        <v>6968</v>
      </c>
      <c r="C131" s="498" t="s">
        <v>4263</v>
      </c>
      <c r="D131" s="498" t="s">
        <v>7071</v>
      </c>
      <c r="E131" s="498" t="s">
        <v>26</v>
      </c>
      <c r="F131" s="498" t="s">
        <v>7304</v>
      </c>
      <c r="G131" s="499" t="s">
        <v>326</v>
      </c>
      <c r="H131" s="500" t="s">
        <v>6861</v>
      </c>
      <c r="I131" s="498" t="s">
        <v>6862</v>
      </c>
      <c r="J131" s="498" t="s">
        <v>2527</v>
      </c>
      <c r="K131" s="498" t="s">
        <v>2173</v>
      </c>
      <c r="L131" s="498" t="s">
        <v>855</v>
      </c>
      <c r="M131" s="498" t="s">
        <v>6864</v>
      </c>
      <c r="N131" s="498" t="s">
        <v>6865</v>
      </c>
      <c r="O131" s="498" t="s">
        <v>2101</v>
      </c>
      <c r="P131" s="498" t="s">
        <v>653</v>
      </c>
      <c r="Q131" s="498" t="s">
        <v>7305</v>
      </c>
      <c r="R131" s="498" t="s">
        <v>6920</v>
      </c>
      <c r="S131" s="498" t="s">
        <v>6868</v>
      </c>
      <c r="T131" s="498"/>
      <c r="U131" s="498"/>
      <c r="V131" s="498" t="s">
        <v>6905</v>
      </c>
      <c r="W131" s="498" t="s">
        <v>7074</v>
      </c>
      <c r="X131" s="498" t="s">
        <v>3608</v>
      </c>
      <c r="Y131" s="498" t="s">
        <v>6871</v>
      </c>
      <c r="Z131" s="498">
        <v>3</v>
      </c>
      <c r="AA131" s="498" t="s">
        <v>6872</v>
      </c>
      <c r="AB131" s="498"/>
      <c r="AC131" s="498"/>
      <c r="AD131" s="498"/>
      <c r="AE131" s="498" t="s">
        <v>7085</v>
      </c>
      <c r="AF131" s="498" t="s">
        <v>6905</v>
      </c>
      <c r="AG131" s="498"/>
    </row>
    <row r="132" spans="2:33" hidden="1">
      <c r="B132" s="498" t="s">
        <v>6858</v>
      </c>
      <c r="C132" s="498" t="s">
        <v>4263</v>
      </c>
      <c r="D132" s="498" t="s">
        <v>7071</v>
      </c>
      <c r="E132" s="498" t="s">
        <v>26</v>
      </c>
      <c r="F132" s="498" t="s">
        <v>7304</v>
      </c>
      <c r="G132" s="499" t="s">
        <v>326</v>
      </c>
      <c r="H132" s="500" t="s">
        <v>6861</v>
      </c>
      <c r="I132" s="498" t="s">
        <v>6862</v>
      </c>
      <c r="J132" s="498" t="s">
        <v>6934</v>
      </c>
      <c r="K132" s="498" t="s">
        <v>2173</v>
      </c>
      <c r="L132" s="498" t="s">
        <v>855</v>
      </c>
      <c r="M132" s="498" t="s">
        <v>6864</v>
      </c>
      <c r="N132" s="498" t="s">
        <v>6865</v>
      </c>
      <c r="O132" s="498" t="s">
        <v>2101</v>
      </c>
      <c r="P132" s="498" t="s">
        <v>653</v>
      </c>
      <c r="Q132" s="498" t="s">
        <v>7305</v>
      </c>
      <c r="R132" s="498" t="s">
        <v>6920</v>
      </c>
      <c r="S132" s="498" t="s">
        <v>6868</v>
      </c>
      <c r="T132" s="498"/>
      <c r="U132" s="498"/>
      <c r="V132" s="498" t="s">
        <v>6905</v>
      </c>
      <c r="W132" s="498" t="s">
        <v>7074</v>
      </c>
      <c r="X132" s="498" t="s">
        <v>3608</v>
      </c>
      <c r="Y132" s="498" t="s">
        <v>6871</v>
      </c>
      <c r="Z132" s="498">
        <v>3</v>
      </c>
      <c r="AA132" s="498" t="s">
        <v>6872</v>
      </c>
      <c r="AB132" s="498"/>
      <c r="AC132" s="498"/>
      <c r="AD132" s="498"/>
      <c r="AE132" s="498" t="s">
        <v>7085</v>
      </c>
      <c r="AF132" s="498" t="s">
        <v>6905</v>
      </c>
      <c r="AG132" s="498"/>
    </row>
    <row r="133" spans="2:33" hidden="1">
      <c r="B133" s="498" t="s">
        <v>6968</v>
      </c>
      <c r="C133" s="498" t="s">
        <v>7279</v>
      </c>
      <c r="D133" s="498" t="s">
        <v>7071</v>
      </c>
      <c r="E133" s="498" t="s">
        <v>26</v>
      </c>
      <c r="F133" s="498" t="s">
        <v>7306</v>
      </c>
      <c r="G133" s="499" t="s">
        <v>326</v>
      </c>
      <c r="H133" s="500" t="s">
        <v>6861</v>
      </c>
      <c r="I133" s="498" t="s">
        <v>6862</v>
      </c>
      <c r="J133" s="498" t="s">
        <v>2527</v>
      </c>
      <c r="K133" s="498" t="s">
        <v>2173</v>
      </c>
      <c r="L133" s="498" t="s">
        <v>855</v>
      </c>
      <c r="M133" s="498" t="s">
        <v>6864</v>
      </c>
      <c r="N133" s="498" t="s">
        <v>6865</v>
      </c>
      <c r="O133" s="498" t="s">
        <v>2101</v>
      </c>
      <c r="P133" s="498" t="s">
        <v>7281</v>
      </c>
      <c r="Q133" s="498" t="s">
        <v>7130</v>
      </c>
      <c r="R133" s="498" t="s">
        <v>7282</v>
      </c>
      <c r="S133" s="498" t="s">
        <v>7283</v>
      </c>
      <c r="T133" s="498" t="s">
        <v>7307</v>
      </c>
      <c r="U133" s="498"/>
      <c r="V133" s="498" t="s">
        <v>2177</v>
      </c>
      <c r="W133" s="498" t="s">
        <v>7074</v>
      </c>
      <c r="X133" s="498" t="s">
        <v>3582</v>
      </c>
      <c r="Y133" s="498" t="s">
        <v>6871</v>
      </c>
      <c r="Z133" s="498">
        <v>20</v>
      </c>
      <c r="AA133" s="498" t="s">
        <v>6872</v>
      </c>
      <c r="AB133" s="498" t="s">
        <v>3608</v>
      </c>
      <c r="AC133" s="498"/>
      <c r="AD133" s="498"/>
      <c r="AE133" s="498" t="s">
        <v>855</v>
      </c>
      <c r="AF133" s="498"/>
      <c r="AG133" s="498"/>
    </row>
    <row r="134" spans="2:33" hidden="1">
      <c r="B134" s="498" t="s">
        <v>6968</v>
      </c>
      <c r="C134" s="498" t="s">
        <v>4298</v>
      </c>
      <c r="D134" s="498" t="s">
        <v>7071</v>
      </c>
      <c r="E134" s="498" t="s">
        <v>26</v>
      </c>
      <c r="F134" s="498" t="s">
        <v>7308</v>
      </c>
      <c r="G134" s="499" t="s">
        <v>326</v>
      </c>
      <c r="H134" s="500" t="s">
        <v>6861</v>
      </c>
      <c r="I134" s="498" t="s">
        <v>6862</v>
      </c>
      <c r="J134" s="498" t="s">
        <v>2527</v>
      </c>
      <c r="K134" s="498" t="s">
        <v>2173</v>
      </c>
      <c r="L134" s="498" t="s">
        <v>855</v>
      </c>
      <c r="M134" s="498" t="s">
        <v>6864</v>
      </c>
      <c r="N134" s="498" t="s">
        <v>6865</v>
      </c>
      <c r="O134" s="498" t="s">
        <v>2101</v>
      </c>
      <c r="P134" s="498" t="s">
        <v>7309</v>
      </c>
      <c r="Q134" s="498" t="s">
        <v>7310</v>
      </c>
      <c r="R134" s="498" t="s">
        <v>7282</v>
      </c>
      <c r="S134" s="498" t="s">
        <v>6868</v>
      </c>
      <c r="T134" s="498" t="s">
        <v>7311</v>
      </c>
      <c r="U134" s="498"/>
      <c r="V134" s="498" t="s">
        <v>2177</v>
      </c>
      <c r="W134" s="498" t="s">
        <v>7074</v>
      </c>
      <c r="X134" s="498" t="s">
        <v>7312</v>
      </c>
      <c r="Y134" s="498" t="s">
        <v>6871</v>
      </c>
      <c r="Z134" s="498" t="s">
        <v>7313</v>
      </c>
      <c r="AA134" s="498" t="s">
        <v>6872</v>
      </c>
      <c r="AB134" s="498" t="s">
        <v>7314</v>
      </c>
      <c r="AC134" s="498"/>
      <c r="AD134" s="498"/>
      <c r="AE134" s="498" t="s">
        <v>7085</v>
      </c>
      <c r="AF134" s="498"/>
      <c r="AG134" s="498"/>
    </row>
    <row r="135" spans="2:33" hidden="1">
      <c r="B135" s="498" t="s">
        <v>6858</v>
      </c>
      <c r="C135" s="498" t="s">
        <v>4298</v>
      </c>
      <c r="D135" s="498" t="s">
        <v>7071</v>
      </c>
      <c r="E135" s="498" t="s">
        <v>26</v>
      </c>
      <c r="F135" s="498" t="s">
        <v>7308</v>
      </c>
      <c r="G135" s="499" t="s">
        <v>326</v>
      </c>
      <c r="H135" s="500" t="s">
        <v>6861</v>
      </c>
      <c r="I135" s="498" t="s">
        <v>6862</v>
      </c>
      <c r="J135" s="498" t="s">
        <v>6934</v>
      </c>
      <c r="K135" s="498" t="s">
        <v>2173</v>
      </c>
      <c r="L135" s="498" t="s">
        <v>855</v>
      </c>
      <c r="M135" s="498" t="s">
        <v>6864</v>
      </c>
      <c r="N135" s="498" t="s">
        <v>6865</v>
      </c>
      <c r="O135" s="498" t="s">
        <v>2101</v>
      </c>
      <c r="P135" s="498" t="s">
        <v>7309</v>
      </c>
      <c r="Q135" s="498" t="s">
        <v>7310</v>
      </c>
      <c r="R135" s="498" t="s">
        <v>7282</v>
      </c>
      <c r="S135" s="498" t="s">
        <v>6868</v>
      </c>
      <c r="T135" s="498" t="s">
        <v>7311</v>
      </c>
      <c r="U135" s="498"/>
      <c r="V135" s="498" t="s">
        <v>2177</v>
      </c>
      <c r="W135" s="498" t="s">
        <v>7074</v>
      </c>
      <c r="X135" s="498" t="s">
        <v>7312</v>
      </c>
      <c r="Y135" s="498" t="s">
        <v>6871</v>
      </c>
      <c r="Z135" s="498" t="s">
        <v>7313</v>
      </c>
      <c r="AA135" s="498" t="s">
        <v>6872</v>
      </c>
      <c r="AB135" s="498" t="s">
        <v>7314</v>
      </c>
      <c r="AC135" s="498"/>
      <c r="AD135" s="498"/>
      <c r="AE135" s="498" t="s">
        <v>7085</v>
      </c>
      <c r="AF135" s="498"/>
      <c r="AG135" s="498"/>
    </row>
    <row r="136" spans="2:33" hidden="1">
      <c r="B136" s="498" t="s">
        <v>6968</v>
      </c>
      <c r="C136" s="498" t="s">
        <v>7315</v>
      </c>
      <c r="D136" s="498" t="s">
        <v>341</v>
      </c>
      <c r="E136" s="498" t="s">
        <v>26</v>
      </c>
      <c r="F136" s="498" t="s">
        <v>7316</v>
      </c>
      <c r="G136" s="499" t="s">
        <v>326</v>
      </c>
      <c r="H136" s="500" t="s">
        <v>6861</v>
      </c>
      <c r="I136" s="498" t="s">
        <v>6862</v>
      </c>
      <c r="J136" s="498" t="s">
        <v>6934</v>
      </c>
      <c r="K136" s="498" t="s">
        <v>2173</v>
      </c>
      <c r="L136" s="498" t="s">
        <v>855</v>
      </c>
      <c r="M136" s="498" t="s">
        <v>6864</v>
      </c>
      <c r="N136" s="498" t="s">
        <v>6865</v>
      </c>
      <c r="O136" s="498" t="s">
        <v>2101</v>
      </c>
      <c r="P136" s="498" t="s">
        <v>7178</v>
      </c>
      <c r="Q136" s="498" t="s">
        <v>7317</v>
      </c>
      <c r="R136" s="498" t="s">
        <v>7179</v>
      </c>
      <c r="S136" s="498" t="s">
        <v>6868</v>
      </c>
      <c r="T136" s="498"/>
      <c r="U136" s="498"/>
      <c r="V136" s="498" t="s">
        <v>6905</v>
      </c>
      <c r="W136" s="498" t="s">
        <v>7318</v>
      </c>
      <c r="X136" s="498" t="s">
        <v>4271</v>
      </c>
      <c r="Y136" s="498" t="s">
        <v>6871</v>
      </c>
      <c r="Z136" s="498" t="s">
        <v>6884</v>
      </c>
      <c r="AA136" s="498" t="s">
        <v>6872</v>
      </c>
      <c r="AB136" s="498"/>
      <c r="AC136" s="498" t="s">
        <v>6871</v>
      </c>
      <c r="AD136" s="498"/>
      <c r="AE136" s="498" t="s">
        <v>7319</v>
      </c>
      <c r="AF136" s="498" t="s">
        <v>6905</v>
      </c>
      <c r="AG136" s="498"/>
    </row>
    <row r="137" spans="2:33" hidden="1">
      <c r="B137" s="498" t="s">
        <v>6968</v>
      </c>
      <c r="C137" s="498" t="s">
        <v>7320</v>
      </c>
      <c r="D137" s="498" t="s">
        <v>341</v>
      </c>
      <c r="E137" s="498" t="s">
        <v>26</v>
      </c>
      <c r="F137" s="498" t="s">
        <v>7321</v>
      </c>
      <c r="G137" s="499" t="s">
        <v>326</v>
      </c>
      <c r="H137" s="500" t="s">
        <v>6861</v>
      </c>
      <c r="I137" s="498" t="s">
        <v>6862</v>
      </c>
      <c r="J137" s="498" t="s">
        <v>6934</v>
      </c>
      <c r="K137" s="498" t="s">
        <v>2173</v>
      </c>
      <c r="L137" s="498" t="s">
        <v>855</v>
      </c>
      <c r="M137" s="498" t="s">
        <v>6864</v>
      </c>
      <c r="N137" s="498" t="s">
        <v>6865</v>
      </c>
      <c r="O137" s="498" t="s">
        <v>2101</v>
      </c>
      <c r="P137" s="498" t="s">
        <v>7178</v>
      </c>
      <c r="Q137" s="498" t="s">
        <v>7322</v>
      </c>
      <c r="R137" s="498" t="s">
        <v>7179</v>
      </c>
      <c r="S137" s="498" t="s">
        <v>6868</v>
      </c>
      <c r="T137" s="498"/>
      <c r="U137" s="498"/>
      <c r="V137" s="498" t="s">
        <v>6905</v>
      </c>
      <c r="W137" s="498" t="s">
        <v>7318</v>
      </c>
      <c r="X137" s="498" t="s">
        <v>4271</v>
      </c>
      <c r="Y137" s="498" t="s">
        <v>6871</v>
      </c>
      <c r="Z137" s="498">
        <v>4</v>
      </c>
      <c r="AA137" s="498" t="s">
        <v>7323</v>
      </c>
      <c r="AB137" s="498"/>
      <c r="AC137" s="498" t="s">
        <v>6871</v>
      </c>
      <c r="AD137" s="498"/>
      <c r="AE137" s="498" t="s">
        <v>7319</v>
      </c>
      <c r="AF137" s="498" t="s">
        <v>6905</v>
      </c>
      <c r="AG137" s="498"/>
    </row>
    <row r="138" spans="2:33" hidden="1">
      <c r="B138" s="498" t="s">
        <v>6968</v>
      </c>
      <c r="C138" s="498" t="s">
        <v>7324</v>
      </c>
      <c r="D138" s="498" t="s">
        <v>341</v>
      </c>
      <c r="E138" s="498" t="s">
        <v>26</v>
      </c>
      <c r="F138" s="498" t="s">
        <v>7325</v>
      </c>
      <c r="G138" s="499" t="s">
        <v>326</v>
      </c>
      <c r="H138" s="500" t="s">
        <v>6861</v>
      </c>
      <c r="I138" s="498" t="s">
        <v>6862</v>
      </c>
      <c r="J138" s="498" t="s">
        <v>6934</v>
      </c>
      <c r="K138" s="498" t="s">
        <v>2173</v>
      </c>
      <c r="L138" s="498" t="s">
        <v>855</v>
      </c>
      <c r="M138" s="498" t="s">
        <v>6864</v>
      </c>
      <c r="N138" s="498" t="s">
        <v>6865</v>
      </c>
      <c r="O138" s="498" t="s">
        <v>2101</v>
      </c>
      <c r="P138" s="498" t="s">
        <v>7178</v>
      </c>
      <c r="Q138" s="498" t="s">
        <v>7326</v>
      </c>
      <c r="R138" s="498" t="s">
        <v>7179</v>
      </c>
      <c r="S138" s="498" t="s">
        <v>6868</v>
      </c>
      <c r="T138" s="498"/>
      <c r="U138" s="498"/>
      <c r="V138" s="498" t="s">
        <v>6905</v>
      </c>
      <c r="W138" s="498" t="s">
        <v>7318</v>
      </c>
      <c r="X138" s="498" t="s">
        <v>4271</v>
      </c>
      <c r="Y138" s="498" t="s">
        <v>6871</v>
      </c>
      <c r="Z138" s="498" t="s">
        <v>6884</v>
      </c>
      <c r="AA138" s="498" t="s">
        <v>6872</v>
      </c>
      <c r="AB138" s="498"/>
      <c r="AC138" s="498" t="s">
        <v>6871</v>
      </c>
      <c r="AD138" s="498"/>
      <c r="AE138" s="498" t="s">
        <v>7319</v>
      </c>
      <c r="AF138" s="498" t="s">
        <v>6905</v>
      </c>
      <c r="AG138" s="498"/>
    </row>
    <row r="139" spans="2:33" hidden="1">
      <c r="B139" s="498" t="s">
        <v>6968</v>
      </c>
      <c r="C139" s="498" t="s">
        <v>7327</v>
      </c>
      <c r="D139" s="498" t="s">
        <v>341</v>
      </c>
      <c r="E139" s="498" t="s">
        <v>26</v>
      </c>
      <c r="F139" s="498" t="s">
        <v>7328</v>
      </c>
      <c r="G139" s="499" t="s">
        <v>326</v>
      </c>
      <c r="H139" s="500" t="s">
        <v>6861</v>
      </c>
      <c r="I139" s="498" t="s">
        <v>6862</v>
      </c>
      <c r="J139" s="498" t="s">
        <v>6934</v>
      </c>
      <c r="K139" s="498" t="s">
        <v>2173</v>
      </c>
      <c r="L139" s="498" t="s">
        <v>855</v>
      </c>
      <c r="M139" s="498" t="s">
        <v>6864</v>
      </c>
      <c r="N139" s="498" t="s">
        <v>6865</v>
      </c>
      <c r="O139" s="498" t="s">
        <v>2101</v>
      </c>
      <c r="P139" s="498" t="s">
        <v>7178</v>
      </c>
      <c r="Q139" s="498" t="s">
        <v>7329</v>
      </c>
      <c r="R139" s="498" t="s">
        <v>7179</v>
      </c>
      <c r="S139" s="498" t="s">
        <v>6868</v>
      </c>
      <c r="T139" s="498"/>
      <c r="U139" s="498"/>
      <c r="V139" s="498" t="s">
        <v>6905</v>
      </c>
      <c r="W139" s="498" t="s">
        <v>7318</v>
      </c>
      <c r="X139" s="498" t="s">
        <v>4271</v>
      </c>
      <c r="Y139" s="498" t="s">
        <v>6871</v>
      </c>
      <c r="Z139" s="498">
        <v>4</v>
      </c>
      <c r="AA139" s="498" t="s">
        <v>6872</v>
      </c>
      <c r="AB139" s="498"/>
      <c r="AC139" s="498" t="s">
        <v>6871</v>
      </c>
      <c r="AD139" s="498"/>
      <c r="AE139" s="498" t="s">
        <v>7319</v>
      </c>
      <c r="AF139" s="498" t="s">
        <v>6905</v>
      </c>
      <c r="AG139" s="498"/>
    </row>
    <row r="140" spans="2:33" hidden="1">
      <c r="B140" s="498" t="s">
        <v>6858</v>
      </c>
      <c r="C140" s="498" t="s">
        <v>7330</v>
      </c>
      <c r="D140" s="498" t="s">
        <v>7331</v>
      </c>
      <c r="E140" s="498" t="s">
        <v>26</v>
      </c>
      <c r="F140" s="498" t="s">
        <v>7332</v>
      </c>
      <c r="G140" s="499">
        <v>6</v>
      </c>
      <c r="H140" s="500" t="s">
        <v>7333</v>
      </c>
      <c r="I140" s="498" t="s">
        <v>7334</v>
      </c>
      <c r="J140" s="498" t="s">
        <v>2527</v>
      </c>
      <c r="K140" s="498" t="s">
        <v>7275</v>
      </c>
      <c r="L140" s="498" t="s">
        <v>261</v>
      </c>
      <c r="M140" s="498" t="s">
        <v>7235</v>
      </c>
      <c r="N140" s="498"/>
      <c r="O140" s="498"/>
      <c r="P140" s="498"/>
      <c r="Q140" s="498"/>
      <c r="R140" s="498" t="s">
        <v>361</v>
      </c>
      <c r="S140" s="498"/>
      <c r="T140" s="498"/>
      <c r="U140" s="498"/>
      <c r="V140" s="498" t="s">
        <v>7276</v>
      </c>
      <c r="W140" s="498"/>
      <c r="X140" s="498"/>
      <c r="Y140" s="498"/>
      <c r="Z140" s="498"/>
      <c r="AA140" s="498"/>
      <c r="AB140" s="498"/>
      <c r="AC140" s="498"/>
      <c r="AD140" s="498"/>
      <c r="AE140" s="498" t="s">
        <v>7335</v>
      </c>
      <c r="AF140" s="498" t="s">
        <v>7277</v>
      </c>
      <c r="AG140" s="498" t="s">
        <v>7336</v>
      </c>
    </row>
    <row r="141" spans="2:33" hidden="1">
      <c r="B141" s="498" t="s">
        <v>6858</v>
      </c>
      <c r="C141" s="498" t="s">
        <v>7337</v>
      </c>
      <c r="D141" s="498" t="s">
        <v>7331</v>
      </c>
      <c r="E141" s="498" t="s">
        <v>26</v>
      </c>
      <c r="F141" s="498" t="s">
        <v>7338</v>
      </c>
      <c r="G141" s="499">
        <v>6</v>
      </c>
      <c r="H141" s="500" t="s">
        <v>7333</v>
      </c>
      <c r="I141" s="498" t="s">
        <v>7334</v>
      </c>
      <c r="J141" s="498" t="s">
        <v>2527</v>
      </c>
      <c r="K141" s="498" t="s">
        <v>7275</v>
      </c>
      <c r="L141" s="498" t="s">
        <v>261</v>
      </c>
      <c r="M141" s="498" t="s">
        <v>7235</v>
      </c>
      <c r="N141" s="498"/>
      <c r="O141" s="498"/>
      <c r="P141" s="498"/>
      <c r="Q141" s="498"/>
      <c r="R141" s="498" t="s">
        <v>361</v>
      </c>
      <c r="S141" s="498"/>
      <c r="T141" s="498"/>
      <c r="U141" s="498"/>
      <c r="V141" s="498" t="s">
        <v>7276</v>
      </c>
      <c r="W141" s="498"/>
      <c r="X141" s="498"/>
      <c r="Y141" s="498"/>
      <c r="Z141" s="498"/>
      <c r="AA141" s="498"/>
      <c r="AB141" s="498"/>
      <c r="AC141" s="498"/>
      <c r="AD141" s="498"/>
      <c r="AE141" s="498" t="s">
        <v>7335</v>
      </c>
      <c r="AF141" s="498" t="s">
        <v>7277</v>
      </c>
      <c r="AG141" s="498" t="s">
        <v>7336</v>
      </c>
    </row>
    <row r="142" spans="2:33" hidden="1">
      <c r="B142" s="498" t="s">
        <v>6858</v>
      </c>
      <c r="C142" s="498" t="s">
        <v>7339</v>
      </c>
      <c r="D142" s="498" t="s">
        <v>7331</v>
      </c>
      <c r="E142" s="498" t="s">
        <v>26</v>
      </c>
      <c r="F142" s="498" t="s">
        <v>7340</v>
      </c>
      <c r="G142" s="499">
        <v>6</v>
      </c>
      <c r="H142" s="500" t="s">
        <v>7333</v>
      </c>
      <c r="I142" s="498" t="s">
        <v>7334</v>
      </c>
      <c r="J142" s="498" t="s">
        <v>2527</v>
      </c>
      <c r="K142" s="498" t="s">
        <v>7275</v>
      </c>
      <c r="L142" s="498" t="s">
        <v>261</v>
      </c>
      <c r="M142" s="498" t="s">
        <v>7235</v>
      </c>
      <c r="N142" s="498"/>
      <c r="O142" s="498"/>
      <c r="P142" s="498"/>
      <c r="Q142" s="498"/>
      <c r="R142" s="498" t="s">
        <v>361</v>
      </c>
      <c r="S142" s="498"/>
      <c r="T142" s="498"/>
      <c r="U142" s="498"/>
      <c r="V142" s="498" t="s">
        <v>7276</v>
      </c>
      <c r="W142" s="498"/>
      <c r="X142" s="498"/>
      <c r="Y142" s="498"/>
      <c r="Z142" s="498"/>
      <c r="AA142" s="498"/>
      <c r="AB142" s="498"/>
      <c r="AC142" s="498"/>
      <c r="AD142" s="498"/>
      <c r="AE142" s="498" t="s">
        <v>7335</v>
      </c>
      <c r="AF142" s="498" t="s">
        <v>7277</v>
      </c>
      <c r="AG142" s="498" t="s">
        <v>7336</v>
      </c>
    </row>
    <row r="143" spans="2:33" hidden="1">
      <c r="B143" s="498" t="s">
        <v>6858</v>
      </c>
      <c r="C143" s="498" t="s">
        <v>7341</v>
      </c>
      <c r="D143" s="498" t="s">
        <v>7331</v>
      </c>
      <c r="E143" s="498" t="s">
        <v>26</v>
      </c>
      <c r="F143" s="498" t="s">
        <v>7342</v>
      </c>
      <c r="G143" s="499">
        <v>6</v>
      </c>
      <c r="H143" s="500" t="s">
        <v>7333</v>
      </c>
      <c r="I143" s="498" t="s">
        <v>7334</v>
      </c>
      <c r="J143" s="498" t="s">
        <v>2527</v>
      </c>
      <c r="K143" s="498" t="s">
        <v>7275</v>
      </c>
      <c r="L143" s="498" t="s">
        <v>261</v>
      </c>
      <c r="M143" s="498" t="s">
        <v>7235</v>
      </c>
      <c r="N143" s="498"/>
      <c r="O143" s="498"/>
      <c r="P143" s="498"/>
      <c r="Q143" s="498"/>
      <c r="R143" s="498" t="s">
        <v>361</v>
      </c>
      <c r="S143" s="498"/>
      <c r="T143" s="498"/>
      <c r="U143" s="498"/>
      <c r="V143" s="498" t="s">
        <v>7276</v>
      </c>
      <c r="W143" s="498"/>
      <c r="X143" s="498"/>
      <c r="Y143" s="498"/>
      <c r="Z143" s="498"/>
      <c r="AA143" s="498"/>
      <c r="AB143" s="498"/>
      <c r="AC143" s="498"/>
      <c r="AD143" s="498"/>
      <c r="AE143" s="498" t="s">
        <v>7335</v>
      </c>
      <c r="AF143" s="498" t="s">
        <v>7277</v>
      </c>
      <c r="AG143" s="498" t="s">
        <v>7336</v>
      </c>
    </row>
    <row r="144" spans="2:33" hidden="1">
      <c r="B144" s="498" t="s">
        <v>6858</v>
      </c>
      <c r="C144" s="498" t="s">
        <v>7343</v>
      </c>
      <c r="D144" s="498" t="s">
        <v>7331</v>
      </c>
      <c r="E144" s="498" t="s">
        <v>26</v>
      </c>
      <c r="F144" s="498" t="s">
        <v>7344</v>
      </c>
      <c r="G144" s="499">
        <v>6</v>
      </c>
      <c r="H144" s="500" t="s">
        <v>7333</v>
      </c>
      <c r="I144" s="498" t="s">
        <v>7334</v>
      </c>
      <c r="J144" s="498" t="s">
        <v>2527</v>
      </c>
      <c r="K144" s="498" t="s">
        <v>7275</v>
      </c>
      <c r="L144" s="498" t="s">
        <v>261</v>
      </c>
      <c r="M144" s="498" t="s">
        <v>7235</v>
      </c>
      <c r="N144" s="498"/>
      <c r="O144" s="498"/>
      <c r="P144" s="498"/>
      <c r="Q144" s="498"/>
      <c r="R144" s="498" t="s">
        <v>361</v>
      </c>
      <c r="S144" s="498"/>
      <c r="T144" s="498"/>
      <c r="U144" s="498"/>
      <c r="V144" s="498" t="s">
        <v>7276</v>
      </c>
      <c r="W144" s="498"/>
      <c r="X144" s="498"/>
      <c r="Y144" s="498"/>
      <c r="Z144" s="498"/>
      <c r="AA144" s="498"/>
      <c r="AB144" s="498"/>
      <c r="AC144" s="498"/>
      <c r="AD144" s="498"/>
      <c r="AE144" s="498" t="s">
        <v>7335</v>
      </c>
      <c r="AF144" s="498" t="s">
        <v>7277</v>
      </c>
      <c r="AG144" s="498" t="s">
        <v>7336</v>
      </c>
    </row>
    <row r="145" spans="2:33" hidden="1">
      <c r="B145" s="498" t="s">
        <v>6858</v>
      </c>
      <c r="C145" s="498" t="s">
        <v>7345</v>
      </c>
      <c r="D145" s="498" t="s">
        <v>7331</v>
      </c>
      <c r="E145" s="498" t="s">
        <v>26</v>
      </c>
      <c r="F145" s="498" t="s">
        <v>7346</v>
      </c>
      <c r="G145" s="499">
        <v>6</v>
      </c>
      <c r="H145" s="500" t="s">
        <v>7333</v>
      </c>
      <c r="I145" s="498" t="s">
        <v>7334</v>
      </c>
      <c r="J145" s="498" t="s">
        <v>2527</v>
      </c>
      <c r="K145" s="498" t="s">
        <v>7275</v>
      </c>
      <c r="L145" s="498" t="s">
        <v>261</v>
      </c>
      <c r="M145" s="498" t="s">
        <v>7235</v>
      </c>
      <c r="N145" s="498"/>
      <c r="O145" s="498"/>
      <c r="P145" s="498"/>
      <c r="Q145" s="498"/>
      <c r="R145" s="498" t="s">
        <v>361</v>
      </c>
      <c r="S145" s="498"/>
      <c r="T145" s="498"/>
      <c r="U145" s="498"/>
      <c r="V145" s="498" t="s">
        <v>7276</v>
      </c>
      <c r="W145" s="498"/>
      <c r="X145" s="498"/>
      <c r="Y145" s="498"/>
      <c r="Z145" s="498"/>
      <c r="AA145" s="498"/>
      <c r="AB145" s="498"/>
      <c r="AC145" s="498"/>
      <c r="AD145" s="498"/>
      <c r="AE145" s="498" t="s">
        <v>7335</v>
      </c>
      <c r="AF145" s="498" t="s">
        <v>7277</v>
      </c>
      <c r="AG145" s="498" t="s">
        <v>7336</v>
      </c>
    </row>
    <row r="146" spans="2:33" hidden="1">
      <c r="B146" s="498" t="s">
        <v>6858</v>
      </c>
      <c r="C146" s="498" t="s">
        <v>7347</v>
      </c>
      <c r="D146" s="498" t="s">
        <v>7331</v>
      </c>
      <c r="E146" s="498" t="s">
        <v>26</v>
      </c>
      <c r="F146" s="498" t="s">
        <v>7348</v>
      </c>
      <c r="G146" s="499">
        <v>6</v>
      </c>
      <c r="H146" s="500" t="s">
        <v>7333</v>
      </c>
      <c r="I146" s="498" t="s">
        <v>7334</v>
      </c>
      <c r="J146" s="498" t="s">
        <v>2527</v>
      </c>
      <c r="K146" s="498" t="s">
        <v>7275</v>
      </c>
      <c r="L146" s="498" t="s">
        <v>261</v>
      </c>
      <c r="M146" s="498" t="s">
        <v>7235</v>
      </c>
      <c r="N146" s="498"/>
      <c r="O146" s="498"/>
      <c r="P146" s="498"/>
      <c r="Q146" s="498"/>
      <c r="R146" s="498" t="s">
        <v>361</v>
      </c>
      <c r="S146" s="498"/>
      <c r="T146" s="498"/>
      <c r="U146" s="498"/>
      <c r="V146" s="498" t="s">
        <v>7276</v>
      </c>
      <c r="W146" s="498"/>
      <c r="X146" s="498"/>
      <c r="Y146" s="498"/>
      <c r="Z146" s="498"/>
      <c r="AA146" s="498"/>
      <c r="AB146" s="498"/>
      <c r="AC146" s="498"/>
      <c r="AD146" s="498"/>
      <c r="AE146" s="498" t="s">
        <v>7335</v>
      </c>
      <c r="AF146" s="498" t="s">
        <v>7277</v>
      </c>
      <c r="AG146" s="498" t="s">
        <v>7336</v>
      </c>
    </row>
    <row r="147" spans="2:33" hidden="1">
      <c r="B147" s="498" t="s">
        <v>6858</v>
      </c>
      <c r="C147" s="498" t="s">
        <v>7349</v>
      </c>
      <c r="D147" s="498" t="s">
        <v>7331</v>
      </c>
      <c r="E147" s="498" t="s">
        <v>26</v>
      </c>
      <c r="F147" s="498" t="s">
        <v>7350</v>
      </c>
      <c r="G147" s="499">
        <v>6</v>
      </c>
      <c r="H147" s="500" t="s">
        <v>7333</v>
      </c>
      <c r="I147" s="498" t="s">
        <v>7334</v>
      </c>
      <c r="J147" s="498" t="s">
        <v>2527</v>
      </c>
      <c r="K147" s="498" t="s">
        <v>7275</v>
      </c>
      <c r="L147" s="498" t="s">
        <v>261</v>
      </c>
      <c r="M147" s="498" t="s">
        <v>7235</v>
      </c>
      <c r="N147" s="498"/>
      <c r="O147" s="498"/>
      <c r="P147" s="498"/>
      <c r="Q147" s="498"/>
      <c r="R147" s="498" t="s">
        <v>361</v>
      </c>
      <c r="S147" s="498"/>
      <c r="T147" s="498"/>
      <c r="U147" s="498"/>
      <c r="V147" s="498" t="s">
        <v>7276</v>
      </c>
      <c r="W147" s="498"/>
      <c r="X147" s="498"/>
      <c r="Y147" s="498"/>
      <c r="Z147" s="498"/>
      <c r="AA147" s="498"/>
      <c r="AB147" s="498"/>
      <c r="AC147" s="498"/>
      <c r="AD147" s="498"/>
      <c r="AE147" s="498" t="s">
        <v>7335</v>
      </c>
      <c r="AF147" s="498" t="s">
        <v>7277</v>
      </c>
      <c r="AG147" s="498" t="s">
        <v>7336</v>
      </c>
    </row>
    <row r="148" spans="2:33" hidden="1">
      <c r="B148" s="498" t="s">
        <v>6858</v>
      </c>
      <c r="C148" s="498" t="s">
        <v>7351</v>
      </c>
      <c r="D148" s="498" t="s">
        <v>7331</v>
      </c>
      <c r="E148" s="498" t="s">
        <v>26</v>
      </c>
      <c r="F148" s="498" t="s">
        <v>7352</v>
      </c>
      <c r="G148" s="499">
        <v>6</v>
      </c>
      <c r="H148" s="500" t="s">
        <v>7333</v>
      </c>
      <c r="I148" s="498" t="s">
        <v>7334</v>
      </c>
      <c r="J148" s="498" t="s">
        <v>2527</v>
      </c>
      <c r="K148" s="498" t="s">
        <v>7275</v>
      </c>
      <c r="L148" s="498" t="s">
        <v>261</v>
      </c>
      <c r="M148" s="498" t="s">
        <v>7235</v>
      </c>
      <c r="N148" s="498"/>
      <c r="O148" s="498"/>
      <c r="P148" s="498"/>
      <c r="Q148" s="498"/>
      <c r="R148" s="498" t="s">
        <v>361</v>
      </c>
      <c r="S148" s="498"/>
      <c r="T148" s="498"/>
      <c r="U148" s="498"/>
      <c r="V148" s="498" t="s">
        <v>7276</v>
      </c>
      <c r="W148" s="498"/>
      <c r="X148" s="498"/>
      <c r="Y148" s="498"/>
      <c r="Z148" s="498"/>
      <c r="AA148" s="498"/>
      <c r="AB148" s="498"/>
      <c r="AC148" s="498"/>
      <c r="AD148" s="498"/>
      <c r="AE148" s="498" t="s">
        <v>7335</v>
      </c>
      <c r="AF148" s="498" t="s">
        <v>7277</v>
      </c>
      <c r="AG148" s="498" t="s">
        <v>7336</v>
      </c>
    </row>
    <row r="149" spans="2:33" hidden="1">
      <c r="B149" s="498" t="s">
        <v>6858</v>
      </c>
      <c r="C149" s="498" t="s">
        <v>7353</v>
      </c>
      <c r="D149" s="498" t="s">
        <v>7331</v>
      </c>
      <c r="E149" s="498" t="s">
        <v>26</v>
      </c>
      <c r="F149" s="498" t="s">
        <v>7354</v>
      </c>
      <c r="G149" s="499">
        <v>6</v>
      </c>
      <c r="H149" s="500" t="s">
        <v>7333</v>
      </c>
      <c r="I149" s="498" t="s">
        <v>7334</v>
      </c>
      <c r="J149" s="498" t="s">
        <v>2527</v>
      </c>
      <c r="K149" s="498" t="s">
        <v>7275</v>
      </c>
      <c r="L149" s="498" t="s">
        <v>261</v>
      </c>
      <c r="M149" s="498" t="s">
        <v>7235</v>
      </c>
      <c r="N149" s="498"/>
      <c r="O149" s="498"/>
      <c r="P149" s="498"/>
      <c r="Q149" s="498"/>
      <c r="R149" s="498" t="s">
        <v>361</v>
      </c>
      <c r="S149" s="498"/>
      <c r="T149" s="498"/>
      <c r="U149" s="498"/>
      <c r="V149" s="498" t="s">
        <v>7276</v>
      </c>
      <c r="W149" s="498"/>
      <c r="X149" s="498"/>
      <c r="Y149" s="498"/>
      <c r="Z149" s="498"/>
      <c r="AA149" s="498"/>
      <c r="AB149" s="498"/>
      <c r="AC149" s="498"/>
      <c r="AD149" s="498"/>
      <c r="AE149" s="498" t="s">
        <v>7335</v>
      </c>
      <c r="AF149" s="498" t="s">
        <v>7277</v>
      </c>
      <c r="AG149" s="498" t="s">
        <v>7336</v>
      </c>
    </row>
    <row r="150" spans="2:33" hidden="1">
      <c r="B150" s="498" t="s">
        <v>6858</v>
      </c>
      <c r="C150" s="498" t="s">
        <v>7355</v>
      </c>
      <c r="D150" s="498" t="s">
        <v>4497</v>
      </c>
      <c r="E150" s="498" t="s">
        <v>26</v>
      </c>
      <c r="F150" s="498" t="s">
        <v>7356</v>
      </c>
      <c r="G150" s="499" t="s">
        <v>326</v>
      </c>
      <c r="H150" s="500" t="s">
        <v>6861</v>
      </c>
      <c r="I150" s="498" t="s">
        <v>6862</v>
      </c>
      <c r="J150" s="498" t="s">
        <v>6934</v>
      </c>
      <c r="K150" s="498" t="s">
        <v>2173</v>
      </c>
      <c r="L150" s="498" t="s">
        <v>855</v>
      </c>
      <c r="M150" s="498" t="s">
        <v>6864</v>
      </c>
      <c r="N150" s="498" t="s">
        <v>6865</v>
      </c>
      <c r="O150" s="498" t="s">
        <v>7357</v>
      </c>
      <c r="P150" s="498" t="s">
        <v>7358</v>
      </c>
      <c r="Q150" s="498" t="s">
        <v>7359</v>
      </c>
      <c r="R150" s="498" t="s">
        <v>6867</v>
      </c>
      <c r="S150" s="498" t="s">
        <v>6868</v>
      </c>
      <c r="T150" s="498" t="s">
        <v>7360</v>
      </c>
      <c r="U150" s="498"/>
      <c r="V150" s="498" t="s">
        <v>2177</v>
      </c>
      <c r="W150" s="498"/>
      <c r="X150" s="498" t="s">
        <v>7361</v>
      </c>
      <c r="Y150" s="498"/>
      <c r="Z150" s="498" t="s">
        <v>7362</v>
      </c>
      <c r="AA150" s="498" t="s">
        <v>7363</v>
      </c>
      <c r="AB150" s="498"/>
      <c r="AC150" s="498"/>
      <c r="AD150" s="498"/>
      <c r="AE150" s="498" t="s">
        <v>7364</v>
      </c>
      <c r="AF150" s="498"/>
      <c r="AG150" s="498" t="s">
        <v>6876</v>
      </c>
    </row>
    <row r="151" spans="2:33" hidden="1">
      <c r="B151" s="498" t="s">
        <v>6858</v>
      </c>
      <c r="C151" s="498" t="s">
        <v>5416</v>
      </c>
      <c r="D151" s="498" t="s">
        <v>7365</v>
      </c>
      <c r="E151" s="498" t="s">
        <v>26</v>
      </c>
      <c r="F151" s="498" t="s">
        <v>7366</v>
      </c>
      <c r="G151" s="499" t="s">
        <v>326</v>
      </c>
      <c r="H151" s="500" t="s">
        <v>6861</v>
      </c>
      <c r="I151" s="498" t="s">
        <v>7367</v>
      </c>
      <c r="J151" s="498" t="s">
        <v>6934</v>
      </c>
      <c r="K151" s="498" t="s">
        <v>7275</v>
      </c>
      <c r="L151" s="498" t="s">
        <v>261</v>
      </c>
      <c r="M151" s="498" t="s">
        <v>7365</v>
      </c>
      <c r="N151" s="498" t="s">
        <v>6865</v>
      </c>
      <c r="O151" s="498" t="s">
        <v>1194</v>
      </c>
      <c r="P151" s="498" t="s">
        <v>656</v>
      </c>
      <c r="Q151" s="498" t="s">
        <v>7368</v>
      </c>
      <c r="R151" s="498" t="s">
        <v>361</v>
      </c>
      <c r="S151" s="498" t="s">
        <v>6868</v>
      </c>
      <c r="T151" s="498" t="s">
        <v>7369</v>
      </c>
      <c r="U151" s="498"/>
      <c r="V151" s="498" t="s">
        <v>7079</v>
      </c>
      <c r="W151" s="498" t="s">
        <v>7074</v>
      </c>
      <c r="X151" s="498"/>
      <c r="Y151" s="498" t="s">
        <v>6871</v>
      </c>
      <c r="Z151" s="498"/>
      <c r="AA151" s="498" t="s">
        <v>7363</v>
      </c>
      <c r="AB151" s="498"/>
      <c r="AC151" s="498"/>
      <c r="AD151" s="498"/>
      <c r="AE151" s="498" t="s">
        <v>7370</v>
      </c>
      <c r="AF151" s="498" t="s">
        <v>7371</v>
      </c>
      <c r="AG151" s="498"/>
    </row>
    <row r="152" spans="2:33" hidden="1">
      <c r="B152" s="498" t="s">
        <v>6858</v>
      </c>
      <c r="C152" s="498" t="s">
        <v>5789</v>
      </c>
      <c r="D152" s="498" t="s">
        <v>7365</v>
      </c>
      <c r="E152" s="498" t="s">
        <v>26</v>
      </c>
      <c r="F152" s="498" t="s">
        <v>7372</v>
      </c>
      <c r="G152" s="499" t="s">
        <v>326</v>
      </c>
      <c r="H152" s="500" t="s">
        <v>6861</v>
      </c>
      <c r="I152" s="498" t="s">
        <v>7367</v>
      </c>
      <c r="J152" s="498" t="s">
        <v>6934</v>
      </c>
      <c r="K152" s="498" t="s">
        <v>7275</v>
      </c>
      <c r="L152" s="498" t="s">
        <v>261</v>
      </c>
      <c r="M152" s="498" t="s">
        <v>7365</v>
      </c>
      <c r="N152" s="498" t="s">
        <v>6865</v>
      </c>
      <c r="O152" s="498" t="s">
        <v>1194</v>
      </c>
      <c r="P152" s="498" t="s">
        <v>656</v>
      </c>
      <c r="Q152" s="498" t="s">
        <v>7373</v>
      </c>
      <c r="R152" s="498" t="s">
        <v>361</v>
      </c>
      <c r="S152" s="498" t="s">
        <v>6868</v>
      </c>
      <c r="T152" s="498" t="s">
        <v>7369</v>
      </c>
      <c r="U152" s="498"/>
      <c r="V152" s="498" t="s">
        <v>7079</v>
      </c>
      <c r="W152" s="498" t="s">
        <v>7074</v>
      </c>
      <c r="X152" s="498"/>
      <c r="Y152" s="498" t="s">
        <v>6871</v>
      </c>
      <c r="Z152" s="498"/>
      <c r="AA152" s="498" t="s">
        <v>431</v>
      </c>
      <c r="AB152" s="498"/>
      <c r="AC152" s="498"/>
      <c r="AD152" s="498"/>
      <c r="AE152" s="498" t="s">
        <v>7370</v>
      </c>
      <c r="AF152" s="498" t="s">
        <v>7371</v>
      </c>
      <c r="AG152" s="498"/>
    </row>
    <row r="153" spans="2:33" hidden="1">
      <c r="B153" s="498" t="s">
        <v>6858</v>
      </c>
      <c r="C153" s="498" t="s">
        <v>7374</v>
      </c>
      <c r="D153" s="498" t="s">
        <v>7365</v>
      </c>
      <c r="E153" s="498" t="s">
        <v>26</v>
      </c>
      <c r="F153" s="498" t="s">
        <v>7375</v>
      </c>
      <c r="G153" s="499" t="s">
        <v>326</v>
      </c>
      <c r="H153" s="500" t="s">
        <v>6861</v>
      </c>
      <c r="I153" s="498" t="s">
        <v>7367</v>
      </c>
      <c r="J153" s="498" t="s">
        <v>6934</v>
      </c>
      <c r="K153" s="498" t="s">
        <v>7275</v>
      </c>
      <c r="L153" s="498" t="s">
        <v>261</v>
      </c>
      <c r="M153" s="498" t="s">
        <v>7365</v>
      </c>
      <c r="N153" s="498" t="s">
        <v>6865</v>
      </c>
      <c r="O153" s="498" t="s">
        <v>1194</v>
      </c>
      <c r="P153" s="498" t="s">
        <v>656</v>
      </c>
      <c r="Q153" s="498" t="s">
        <v>7376</v>
      </c>
      <c r="R153" s="498" t="s">
        <v>361</v>
      </c>
      <c r="S153" s="498" t="s">
        <v>6868</v>
      </c>
      <c r="T153" s="498" t="s">
        <v>7369</v>
      </c>
      <c r="U153" s="498"/>
      <c r="V153" s="498" t="s">
        <v>7079</v>
      </c>
      <c r="W153" s="498" t="s">
        <v>7074</v>
      </c>
      <c r="X153" s="498"/>
      <c r="Y153" s="498" t="s">
        <v>6871</v>
      </c>
      <c r="Z153" s="498"/>
      <c r="AA153" s="498" t="s">
        <v>431</v>
      </c>
      <c r="AB153" s="498"/>
      <c r="AC153" s="498"/>
      <c r="AD153" s="498"/>
      <c r="AE153" s="498" t="s">
        <v>7370</v>
      </c>
      <c r="AF153" s="498" t="s">
        <v>7371</v>
      </c>
      <c r="AG153" s="498"/>
    </row>
    <row r="154" spans="2:33" hidden="1">
      <c r="B154" s="498" t="s">
        <v>6858</v>
      </c>
      <c r="C154" s="498" t="s">
        <v>7377</v>
      </c>
      <c r="D154" s="498" t="s">
        <v>7365</v>
      </c>
      <c r="E154" s="498" t="s">
        <v>26</v>
      </c>
      <c r="F154" s="498" t="s">
        <v>7378</v>
      </c>
      <c r="G154" s="499" t="s">
        <v>326</v>
      </c>
      <c r="H154" s="500" t="s">
        <v>6861</v>
      </c>
      <c r="I154" s="498" t="s">
        <v>7367</v>
      </c>
      <c r="J154" s="498" t="s">
        <v>6934</v>
      </c>
      <c r="K154" s="498" t="s">
        <v>7275</v>
      </c>
      <c r="L154" s="498" t="s">
        <v>261</v>
      </c>
      <c r="M154" s="498" t="s">
        <v>7365</v>
      </c>
      <c r="N154" s="498" t="s">
        <v>6865</v>
      </c>
      <c r="O154" s="498" t="s">
        <v>1194</v>
      </c>
      <c r="P154" s="498" t="s">
        <v>656</v>
      </c>
      <c r="Q154" s="498" t="s">
        <v>7379</v>
      </c>
      <c r="R154" s="498" t="s">
        <v>361</v>
      </c>
      <c r="S154" s="498" t="s">
        <v>6868</v>
      </c>
      <c r="T154" s="498" t="s">
        <v>7369</v>
      </c>
      <c r="U154" s="498"/>
      <c r="V154" s="498" t="s">
        <v>7079</v>
      </c>
      <c r="W154" s="498" t="s">
        <v>7074</v>
      </c>
      <c r="X154" s="498"/>
      <c r="Y154" s="498" t="s">
        <v>6871</v>
      </c>
      <c r="Z154" s="498"/>
      <c r="AA154" s="498" t="s">
        <v>7363</v>
      </c>
      <c r="AB154" s="498"/>
      <c r="AC154" s="498"/>
      <c r="AD154" s="498"/>
      <c r="AE154" s="498" t="s">
        <v>7370</v>
      </c>
      <c r="AF154" s="498" t="s">
        <v>7371</v>
      </c>
      <c r="AG154" s="498"/>
    </row>
    <row r="155" spans="2:33" hidden="1">
      <c r="B155" s="498" t="s">
        <v>6858</v>
      </c>
      <c r="C155" s="498" t="s">
        <v>4298</v>
      </c>
      <c r="D155" s="498" t="s">
        <v>7365</v>
      </c>
      <c r="E155" s="498" t="s">
        <v>26</v>
      </c>
      <c r="F155" s="498" t="s">
        <v>7380</v>
      </c>
      <c r="G155" s="499" t="s">
        <v>326</v>
      </c>
      <c r="H155" s="500" t="s">
        <v>6861</v>
      </c>
      <c r="I155" s="498" t="s">
        <v>7367</v>
      </c>
      <c r="J155" s="498" t="s">
        <v>6934</v>
      </c>
      <c r="K155" s="498" t="s">
        <v>7275</v>
      </c>
      <c r="L155" s="498" t="s">
        <v>261</v>
      </c>
      <c r="M155" s="498" t="s">
        <v>7365</v>
      </c>
      <c r="N155" s="498" t="s">
        <v>6865</v>
      </c>
      <c r="O155" s="498" t="s">
        <v>1194</v>
      </c>
      <c r="P155" s="498" t="s">
        <v>7381</v>
      </c>
      <c r="Q155" s="498" t="s">
        <v>7382</v>
      </c>
      <c r="R155" s="498" t="s">
        <v>7383</v>
      </c>
      <c r="S155" s="498" t="s">
        <v>7384</v>
      </c>
      <c r="T155" s="498" t="s">
        <v>7369</v>
      </c>
      <c r="U155" s="498"/>
      <c r="V155" s="498" t="s">
        <v>7079</v>
      </c>
      <c r="W155" s="498" t="s">
        <v>7074</v>
      </c>
      <c r="X155" s="498" t="s">
        <v>3608</v>
      </c>
      <c r="Y155" s="498" t="s">
        <v>6871</v>
      </c>
      <c r="Z155" s="498">
        <v>40</v>
      </c>
      <c r="AA155" s="498" t="s">
        <v>431</v>
      </c>
      <c r="AB155" s="498" t="s">
        <v>3608</v>
      </c>
      <c r="AC155" s="498"/>
      <c r="AD155" s="498"/>
      <c r="AE155" s="498" t="s">
        <v>7370</v>
      </c>
      <c r="AF155" s="498" t="s">
        <v>7371</v>
      </c>
      <c r="AG155" s="498"/>
    </row>
    <row r="156" spans="2:33" hidden="1">
      <c r="B156" s="498" t="s">
        <v>6858</v>
      </c>
      <c r="C156" s="498" t="s">
        <v>4242</v>
      </c>
      <c r="D156" s="498" t="s">
        <v>7365</v>
      </c>
      <c r="E156" s="498" t="s">
        <v>26</v>
      </c>
      <c r="F156" s="498" t="s">
        <v>7385</v>
      </c>
      <c r="G156" s="499" t="s">
        <v>326</v>
      </c>
      <c r="H156" s="500" t="s">
        <v>6861</v>
      </c>
      <c r="I156" s="498" t="s">
        <v>7367</v>
      </c>
      <c r="J156" s="498" t="s">
        <v>6934</v>
      </c>
      <c r="K156" s="498" t="s">
        <v>7275</v>
      </c>
      <c r="L156" s="498" t="s">
        <v>261</v>
      </c>
      <c r="M156" s="498" t="s">
        <v>7365</v>
      </c>
      <c r="N156" s="498" t="s">
        <v>6865</v>
      </c>
      <c r="O156" s="498" t="s">
        <v>1194</v>
      </c>
      <c r="P156" s="498" t="s">
        <v>656</v>
      </c>
      <c r="Q156" s="498" t="s">
        <v>7386</v>
      </c>
      <c r="R156" s="498" t="s">
        <v>361</v>
      </c>
      <c r="S156" s="498" t="s">
        <v>6868</v>
      </c>
      <c r="T156" s="498" t="s">
        <v>7369</v>
      </c>
      <c r="U156" s="498"/>
      <c r="V156" s="498" t="s">
        <v>7079</v>
      </c>
      <c r="W156" s="498" t="s">
        <v>7074</v>
      </c>
      <c r="X156" s="498"/>
      <c r="Y156" s="498" t="s">
        <v>6871</v>
      </c>
      <c r="Z156" s="498"/>
      <c r="AA156" s="498" t="s">
        <v>431</v>
      </c>
      <c r="AB156" s="498"/>
      <c r="AC156" s="498"/>
      <c r="AD156" s="498"/>
      <c r="AE156" s="498" t="s">
        <v>7370</v>
      </c>
      <c r="AF156" s="498" t="s">
        <v>7371</v>
      </c>
      <c r="AG156" s="498"/>
    </row>
    <row r="157" spans="2:33" hidden="1">
      <c r="B157" s="498" t="s">
        <v>6858</v>
      </c>
      <c r="C157" s="498" t="s">
        <v>7387</v>
      </c>
      <c r="D157" s="498" t="s">
        <v>341</v>
      </c>
      <c r="E157" s="498" t="s">
        <v>26</v>
      </c>
      <c r="F157" s="498" t="s">
        <v>7388</v>
      </c>
      <c r="G157" s="499" t="s">
        <v>326</v>
      </c>
      <c r="H157" s="500" t="s">
        <v>6861</v>
      </c>
      <c r="I157" s="498" t="s">
        <v>6862</v>
      </c>
      <c r="J157" s="498" t="s">
        <v>7031</v>
      </c>
      <c r="K157" s="498" t="s">
        <v>2173</v>
      </c>
      <c r="L157" s="498" t="s">
        <v>855</v>
      </c>
      <c r="M157" s="498" t="s">
        <v>6864</v>
      </c>
      <c r="N157" s="498" t="s">
        <v>6865</v>
      </c>
      <c r="O157" s="498" t="s">
        <v>1194</v>
      </c>
      <c r="P157" s="498" t="s">
        <v>620</v>
      </c>
      <c r="Q157" s="498" t="s">
        <v>7389</v>
      </c>
      <c r="R157" s="498" t="s">
        <v>6867</v>
      </c>
      <c r="S157" s="498" t="s">
        <v>6868</v>
      </c>
      <c r="T157" s="498" t="s">
        <v>7390</v>
      </c>
      <c r="U157" s="498"/>
      <c r="V157" s="498" t="s">
        <v>2177</v>
      </c>
      <c r="W157" s="498" t="s">
        <v>6883</v>
      </c>
      <c r="X157" s="498" t="s">
        <v>4271</v>
      </c>
      <c r="Y157" s="498" t="s">
        <v>6871</v>
      </c>
      <c r="Z157" s="498" t="s">
        <v>6884</v>
      </c>
      <c r="AA157" s="498" t="s">
        <v>6885</v>
      </c>
      <c r="AB157" s="498"/>
      <c r="AC157" s="498" t="s">
        <v>6871</v>
      </c>
      <c r="AD157" s="498"/>
      <c r="AE157" s="498" t="s">
        <v>6961</v>
      </c>
      <c r="AF157" s="498"/>
      <c r="AG157" s="498"/>
    </row>
    <row r="158" spans="2:33" hidden="1">
      <c r="B158" s="498" t="s">
        <v>6858</v>
      </c>
      <c r="C158" s="498" t="s">
        <v>7391</v>
      </c>
      <c r="D158" s="498" t="s">
        <v>4497</v>
      </c>
      <c r="E158" s="498" t="s">
        <v>26</v>
      </c>
      <c r="F158" s="498" t="s">
        <v>7388</v>
      </c>
      <c r="G158" s="499" t="s">
        <v>326</v>
      </c>
      <c r="H158" s="500" t="s">
        <v>6861</v>
      </c>
      <c r="I158" s="498" t="s">
        <v>6862</v>
      </c>
      <c r="J158" s="498" t="s">
        <v>6934</v>
      </c>
      <c r="K158" s="498" t="s">
        <v>2173</v>
      </c>
      <c r="L158" s="498" t="s">
        <v>855</v>
      </c>
      <c r="M158" s="498" t="s">
        <v>6864</v>
      </c>
      <c r="N158" s="498" t="s">
        <v>6865</v>
      </c>
      <c r="O158" s="498" t="s">
        <v>1194</v>
      </c>
      <c r="P158" s="498" t="s">
        <v>620</v>
      </c>
      <c r="Q158" s="498" t="s">
        <v>7389</v>
      </c>
      <c r="R158" s="498" t="s">
        <v>6867</v>
      </c>
      <c r="S158" s="498" t="s">
        <v>6868</v>
      </c>
      <c r="T158" s="498"/>
      <c r="U158" s="498"/>
      <c r="V158" s="498" t="s">
        <v>6905</v>
      </c>
      <c r="W158" s="498" t="s">
        <v>6883</v>
      </c>
      <c r="X158" s="498" t="s">
        <v>4271</v>
      </c>
      <c r="Y158" s="498" t="s">
        <v>6871</v>
      </c>
      <c r="Z158" s="498" t="s">
        <v>6884</v>
      </c>
      <c r="AA158" s="498" t="s">
        <v>6872</v>
      </c>
      <c r="AB158" s="498"/>
      <c r="AC158" s="498"/>
      <c r="AD158" s="498"/>
      <c r="AE158" s="498" t="s">
        <v>6961</v>
      </c>
      <c r="AF158" s="498" t="s">
        <v>6905</v>
      </c>
      <c r="AG158" s="498"/>
    </row>
    <row r="159" spans="2:33" hidden="1">
      <c r="B159" s="498" t="s">
        <v>6858</v>
      </c>
      <c r="C159" s="498" t="s">
        <v>7392</v>
      </c>
      <c r="D159" s="498" t="s">
        <v>3919</v>
      </c>
      <c r="E159" s="498" t="s">
        <v>26</v>
      </c>
      <c r="F159" s="498" t="s">
        <v>7393</v>
      </c>
      <c r="G159" s="499" t="s">
        <v>326</v>
      </c>
      <c r="H159" s="500" t="s">
        <v>6861</v>
      </c>
      <c r="I159" s="498" t="s">
        <v>6862</v>
      </c>
      <c r="J159" s="498" t="s">
        <v>6879</v>
      </c>
      <c r="K159" s="498" t="s">
        <v>2173</v>
      </c>
      <c r="L159" s="498" t="s">
        <v>855</v>
      </c>
      <c r="M159" s="498" t="s">
        <v>6864</v>
      </c>
      <c r="N159" s="498" t="s">
        <v>6865</v>
      </c>
      <c r="O159" s="498" t="s">
        <v>1194</v>
      </c>
      <c r="P159" s="498" t="s">
        <v>6971</v>
      </c>
      <c r="Q159" s="498" t="s">
        <v>6972</v>
      </c>
      <c r="R159" s="498" t="s">
        <v>6973</v>
      </c>
      <c r="S159" s="498" t="s">
        <v>6868</v>
      </c>
      <c r="T159" s="498" t="s">
        <v>7394</v>
      </c>
      <c r="U159" s="498"/>
      <c r="V159" s="498" t="s">
        <v>2177</v>
      </c>
      <c r="W159" s="498" t="s">
        <v>6982</v>
      </c>
      <c r="X159" s="498" t="s">
        <v>3582</v>
      </c>
      <c r="Y159" s="498"/>
      <c r="Z159" s="498">
        <v>255</v>
      </c>
      <c r="AA159" s="498"/>
      <c r="AB159" s="498" t="s">
        <v>3608</v>
      </c>
      <c r="AC159" s="498"/>
      <c r="AD159" s="498"/>
      <c r="AE159" s="498" t="s">
        <v>7395</v>
      </c>
      <c r="AF159" s="498"/>
      <c r="AG159" s="498"/>
    </row>
    <row r="160" spans="2:33" hidden="1">
      <c r="B160" s="498" t="s">
        <v>6858</v>
      </c>
      <c r="C160" s="498" t="s">
        <v>7396</v>
      </c>
      <c r="D160" s="498" t="s">
        <v>3919</v>
      </c>
      <c r="E160" s="498" t="s">
        <v>26</v>
      </c>
      <c r="F160" s="498" t="s">
        <v>7397</v>
      </c>
      <c r="G160" s="499" t="s">
        <v>326</v>
      </c>
      <c r="H160" s="500" t="s">
        <v>6861</v>
      </c>
      <c r="I160" s="498" t="s">
        <v>6862</v>
      </c>
      <c r="J160" s="498" t="s">
        <v>6879</v>
      </c>
      <c r="K160" s="498" t="s">
        <v>2173</v>
      </c>
      <c r="L160" s="498" t="s">
        <v>855</v>
      </c>
      <c r="M160" s="498" t="s">
        <v>6864</v>
      </c>
      <c r="N160" s="498" t="s">
        <v>6865</v>
      </c>
      <c r="O160" s="498" t="s">
        <v>1194</v>
      </c>
      <c r="P160" s="498" t="s">
        <v>6971</v>
      </c>
      <c r="Q160" s="498" t="s">
        <v>6972</v>
      </c>
      <c r="R160" s="498" t="s">
        <v>6973</v>
      </c>
      <c r="S160" s="498" t="s">
        <v>6868</v>
      </c>
      <c r="T160" s="498" t="s">
        <v>7398</v>
      </c>
      <c r="U160" s="498"/>
      <c r="V160" s="498" t="s">
        <v>2177</v>
      </c>
      <c r="W160" s="498" t="s">
        <v>6982</v>
      </c>
      <c r="X160" s="498" t="s">
        <v>3582</v>
      </c>
      <c r="Y160" s="498">
        <v>255</v>
      </c>
      <c r="Z160" s="498">
        <v>255</v>
      </c>
      <c r="AA160" s="498"/>
      <c r="AB160" s="498" t="s">
        <v>3608</v>
      </c>
      <c r="AC160" s="498"/>
      <c r="AD160" s="498"/>
      <c r="AE160" s="498" t="s">
        <v>7395</v>
      </c>
      <c r="AF160" s="498"/>
      <c r="AG160" s="498"/>
    </row>
    <row r="161" spans="2:33" hidden="1">
      <c r="B161" s="498" t="s">
        <v>6858</v>
      </c>
      <c r="C161" s="498" t="s">
        <v>7399</v>
      </c>
      <c r="D161" s="498" t="s">
        <v>3919</v>
      </c>
      <c r="E161" s="498" t="s">
        <v>26</v>
      </c>
      <c r="F161" s="498" t="s">
        <v>7400</v>
      </c>
      <c r="G161" s="499" t="s">
        <v>326</v>
      </c>
      <c r="H161" s="500" t="s">
        <v>6861</v>
      </c>
      <c r="I161" s="498" t="s">
        <v>6862</v>
      </c>
      <c r="J161" s="498" t="s">
        <v>6879</v>
      </c>
      <c r="K161" s="498" t="s">
        <v>2173</v>
      </c>
      <c r="L161" s="498" t="s">
        <v>855</v>
      </c>
      <c r="M161" s="498" t="s">
        <v>6864</v>
      </c>
      <c r="N161" s="498" t="s">
        <v>6865</v>
      </c>
      <c r="O161" s="498" t="s">
        <v>1194</v>
      </c>
      <c r="P161" s="498" t="s">
        <v>6971</v>
      </c>
      <c r="Q161" s="498" t="s">
        <v>6972</v>
      </c>
      <c r="R161" s="498" t="s">
        <v>6973</v>
      </c>
      <c r="S161" s="498" t="s">
        <v>6868</v>
      </c>
      <c r="T161" s="498" t="s">
        <v>7401</v>
      </c>
      <c r="U161" s="498"/>
      <c r="V161" s="498" t="s">
        <v>2177</v>
      </c>
      <c r="W161" s="498" t="s">
        <v>6982</v>
      </c>
      <c r="X161" s="498" t="s">
        <v>3582</v>
      </c>
      <c r="Y161" s="498">
        <v>255</v>
      </c>
      <c r="Z161" s="498">
        <v>255</v>
      </c>
      <c r="AA161" s="498"/>
      <c r="AB161" s="498" t="s">
        <v>3608</v>
      </c>
      <c r="AC161" s="498"/>
      <c r="AD161" s="498"/>
      <c r="AE161" s="498" t="s">
        <v>7395</v>
      </c>
      <c r="AF161" s="498"/>
      <c r="AG161" s="498"/>
    </row>
    <row r="162" spans="2:33" hidden="1">
      <c r="B162" s="498" t="s">
        <v>6858</v>
      </c>
      <c r="C162" s="498" t="s">
        <v>7402</v>
      </c>
      <c r="D162" s="498" t="s">
        <v>3919</v>
      </c>
      <c r="E162" s="498" t="s">
        <v>26</v>
      </c>
      <c r="F162" s="498" t="s">
        <v>7403</v>
      </c>
      <c r="G162" s="499" t="s">
        <v>326</v>
      </c>
      <c r="H162" s="500" t="s">
        <v>6861</v>
      </c>
      <c r="I162" s="498" t="s">
        <v>6862</v>
      </c>
      <c r="J162" s="498" t="s">
        <v>6879</v>
      </c>
      <c r="K162" s="498" t="s">
        <v>2173</v>
      </c>
      <c r="L162" s="498" t="s">
        <v>855</v>
      </c>
      <c r="M162" s="498" t="s">
        <v>6864</v>
      </c>
      <c r="N162" s="498" t="s">
        <v>6865</v>
      </c>
      <c r="O162" s="498" t="s">
        <v>1194</v>
      </c>
      <c r="P162" s="498" t="s">
        <v>6971</v>
      </c>
      <c r="Q162" s="498" t="s">
        <v>6972</v>
      </c>
      <c r="R162" s="498" t="s">
        <v>6973</v>
      </c>
      <c r="S162" s="498" t="s">
        <v>6868</v>
      </c>
      <c r="T162" s="498" t="s">
        <v>7404</v>
      </c>
      <c r="U162" s="498"/>
      <c r="V162" s="498" t="s">
        <v>2177</v>
      </c>
      <c r="W162" s="498" t="s">
        <v>6982</v>
      </c>
      <c r="X162" s="498" t="s">
        <v>3582</v>
      </c>
      <c r="Y162" s="498">
        <v>255</v>
      </c>
      <c r="Z162" s="498">
        <v>255</v>
      </c>
      <c r="AA162" s="498"/>
      <c r="AB162" s="498" t="s">
        <v>3608</v>
      </c>
      <c r="AC162" s="498"/>
      <c r="AD162" s="498"/>
      <c r="AE162" s="498" t="s">
        <v>7395</v>
      </c>
      <c r="AF162" s="498"/>
      <c r="AG162" s="498"/>
    </row>
    <row r="163" spans="2:33" hidden="1">
      <c r="B163" s="498" t="s">
        <v>6858</v>
      </c>
      <c r="C163" s="498" t="s">
        <v>7405</v>
      </c>
      <c r="D163" s="498" t="s">
        <v>3919</v>
      </c>
      <c r="E163" s="498" t="s">
        <v>26</v>
      </c>
      <c r="F163" s="498" t="s">
        <v>7406</v>
      </c>
      <c r="G163" s="499" t="s">
        <v>326</v>
      </c>
      <c r="H163" s="500" t="s">
        <v>6861</v>
      </c>
      <c r="I163" s="498" t="s">
        <v>6862</v>
      </c>
      <c r="J163" s="498" t="s">
        <v>6879</v>
      </c>
      <c r="K163" s="498" t="s">
        <v>2173</v>
      </c>
      <c r="L163" s="498" t="s">
        <v>855</v>
      </c>
      <c r="M163" s="498" t="s">
        <v>6864</v>
      </c>
      <c r="N163" s="498" t="s">
        <v>6865</v>
      </c>
      <c r="O163" s="498" t="s">
        <v>1194</v>
      </c>
      <c r="P163" s="498" t="s">
        <v>6971</v>
      </c>
      <c r="Q163" s="498" t="s">
        <v>6972</v>
      </c>
      <c r="R163" s="498" t="s">
        <v>6973</v>
      </c>
      <c r="S163" s="498" t="s">
        <v>6868</v>
      </c>
      <c r="T163" s="498" t="s">
        <v>7407</v>
      </c>
      <c r="U163" s="498"/>
      <c r="V163" s="498" t="s">
        <v>2177</v>
      </c>
      <c r="W163" s="498" t="s">
        <v>6982</v>
      </c>
      <c r="X163" s="498" t="s">
        <v>3582</v>
      </c>
      <c r="Y163" s="498">
        <v>255</v>
      </c>
      <c r="Z163" s="498">
        <v>255</v>
      </c>
      <c r="AA163" s="498"/>
      <c r="AB163" s="498" t="s">
        <v>3608</v>
      </c>
      <c r="AC163" s="498"/>
      <c r="AD163" s="498"/>
      <c r="AE163" s="498" t="s">
        <v>7395</v>
      </c>
      <c r="AF163" s="498"/>
      <c r="AG163" s="498"/>
    </row>
    <row r="164" spans="2:33" hidden="1">
      <c r="B164" s="498" t="s">
        <v>6858</v>
      </c>
      <c r="C164" s="498" t="s">
        <v>7408</v>
      </c>
      <c r="D164" s="498" t="s">
        <v>3919</v>
      </c>
      <c r="E164" s="498" t="s">
        <v>26</v>
      </c>
      <c r="F164" s="498" t="s">
        <v>7409</v>
      </c>
      <c r="G164" s="499" t="s">
        <v>326</v>
      </c>
      <c r="H164" s="500" t="s">
        <v>6861</v>
      </c>
      <c r="I164" s="498" t="s">
        <v>6862</v>
      </c>
      <c r="J164" s="498" t="s">
        <v>6879</v>
      </c>
      <c r="K164" s="498" t="s">
        <v>2173</v>
      </c>
      <c r="L164" s="498" t="s">
        <v>855</v>
      </c>
      <c r="M164" s="498" t="s">
        <v>6864</v>
      </c>
      <c r="N164" s="498" t="s">
        <v>6865</v>
      </c>
      <c r="O164" s="498" t="s">
        <v>1194</v>
      </c>
      <c r="P164" s="498" t="s">
        <v>6971</v>
      </c>
      <c r="Q164" s="498" t="s">
        <v>6972</v>
      </c>
      <c r="R164" s="498" t="s">
        <v>6973</v>
      </c>
      <c r="S164" s="498" t="s">
        <v>6868</v>
      </c>
      <c r="T164" s="498" t="s">
        <v>7410</v>
      </c>
      <c r="U164" s="498"/>
      <c r="V164" s="498" t="s">
        <v>2177</v>
      </c>
      <c r="W164" s="498" t="s">
        <v>6982</v>
      </c>
      <c r="X164" s="498" t="s">
        <v>3582</v>
      </c>
      <c r="Y164" s="498">
        <v>255</v>
      </c>
      <c r="Z164" s="498">
        <v>255</v>
      </c>
      <c r="AA164" s="498"/>
      <c r="AB164" s="498" t="s">
        <v>3608</v>
      </c>
      <c r="AC164" s="498"/>
      <c r="AD164" s="498"/>
      <c r="AE164" s="498" t="s">
        <v>7395</v>
      </c>
      <c r="AF164" s="498"/>
      <c r="AG164" s="498"/>
    </row>
    <row r="165" spans="2:33" hidden="1">
      <c r="B165" s="498" t="s">
        <v>6858</v>
      </c>
      <c r="C165" s="498" t="s">
        <v>7411</v>
      </c>
      <c r="D165" s="498" t="s">
        <v>3919</v>
      </c>
      <c r="E165" s="498" t="s">
        <v>26</v>
      </c>
      <c r="F165" s="498" t="s">
        <v>7412</v>
      </c>
      <c r="G165" s="499" t="s">
        <v>326</v>
      </c>
      <c r="H165" s="500" t="s">
        <v>6861</v>
      </c>
      <c r="I165" s="498" t="s">
        <v>6862</v>
      </c>
      <c r="J165" s="498" t="s">
        <v>6879</v>
      </c>
      <c r="K165" s="498" t="s">
        <v>2173</v>
      </c>
      <c r="L165" s="498" t="s">
        <v>855</v>
      </c>
      <c r="M165" s="498" t="s">
        <v>6864</v>
      </c>
      <c r="N165" s="498" t="s">
        <v>6865</v>
      </c>
      <c r="O165" s="498" t="s">
        <v>1194</v>
      </c>
      <c r="P165" s="498" t="s">
        <v>6971</v>
      </c>
      <c r="Q165" s="498" t="s">
        <v>6972</v>
      </c>
      <c r="R165" s="498" t="s">
        <v>6973</v>
      </c>
      <c r="S165" s="498" t="s">
        <v>6868</v>
      </c>
      <c r="T165" s="498" t="s">
        <v>7413</v>
      </c>
      <c r="U165" s="498"/>
      <c r="V165" s="498" t="s">
        <v>2177</v>
      </c>
      <c r="W165" s="498"/>
      <c r="X165" s="498" t="s">
        <v>3582</v>
      </c>
      <c r="Y165" s="498"/>
      <c r="Z165" s="498">
        <v>255</v>
      </c>
      <c r="AA165" s="498"/>
      <c r="AB165" s="498" t="s">
        <v>3608</v>
      </c>
      <c r="AC165" s="498"/>
      <c r="AD165" s="498"/>
      <c r="AE165" s="498" t="s">
        <v>7395</v>
      </c>
      <c r="AF165" s="498"/>
      <c r="AG165" s="498" t="s">
        <v>7414</v>
      </c>
    </row>
    <row r="166" spans="2:33" hidden="1">
      <c r="B166" s="498" t="s">
        <v>6858</v>
      </c>
      <c r="C166" s="498" t="s">
        <v>7415</v>
      </c>
      <c r="D166" s="498" t="s">
        <v>3919</v>
      </c>
      <c r="E166" s="498" t="s">
        <v>26</v>
      </c>
      <c r="F166" s="498" t="s">
        <v>7416</v>
      </c>
      <c r="G166" s="499" t="s">
        <v>326</v>
      </c>
      <c r="H166" s="500" t="s">
        <v>6861</v>
      </c>
      <c r="I166" s="498" t="s">
        <v>6862</v>
      </c>
      <c r="J166" s="498" t="s">
        <v>6879</v>
      </c>
      <c r="K166" s="498" t="s">
        <v>2173</v>
      </c>
      <c r="L166" s="498" t="s">
        <v>855</v>
      </c>
      <c r="M166" s="498" t="s">
        <v>6864</v>
      </c>
      <c r="N166" s="498" t="s">
        <v>6865</v>
      </c>
      <c r="O166" s="498" t="s">
        <v>1194</v>
      </c>
      <c r="P166" s="498" t="s">
        <v>6971</v>
      </c>
      <c r="Q166" s="498" t="s">
        <v>6972</v>
      </c>
      <c r="R166" s="498" t="s">
        <v>6973</v>
      </c>
      <c r="S166" s="498" t="s">
        <v>6868</v>
      </c>
      <c r="T166" s="498" t="s">
        <v>7417</v>
      </c>
      <c r="U166" s="498"/>
      <c r="V166" s="498" t="s">
        <v>2177</v>
      </c>
      <c r="W166" s="498"/>
      <c r="X166" s="498" t="s">
        <v>3582</v>
      </c>
      <c r="Y166" s="498"/>
      <c r="Z166" s="498">
        <v>255</v>
      </c>
      <c r="AA166" s="498"/>
      <c r="AB166" s="498" t="s">
        <v>3608</v>
      </c>
      <c r="AC166" s="498"/>
      <c r="AD166" s="498"/>
      <c r="AE166" s="498" t="s">
        <v>7395</v>
      </c>
      <c r="AF166" s="498"/>
      <c r="AG166" s="498" t="s">
        <v>7414</v>
      </c>
    </row>
    <row r="167" spans="2:33" hidden="1">
      <c r="B167" s="498" t="s">
        <v>6858</v>
      </c>
      <c r="C167" s="498" t="s">
        <v>7418</v>
      </c>
      <c r="D167" s="498" t="s">
        <v>3919</v>
      </c>
      <c r="E167" s="498" t="s">
        <v>26</v>
      </c>
      <c r="F167" s="498" t="s">
        <v>7419</v>
      </c>
      <c r="G167" s="499" t="s">
        <v>326</v>
      </c>
      <c r="H167" s="500" t="s">
        <v>6861</v>
      </c>
      <c r="I167" s="498" t="s">
        <v>6862</v>
      </c>
      <c r="J167" s="498" t="s">
        <v>6879</v>
      </c>
      <c r="K167" s="498" t="s">
        <v>2173</v>
      </c>
      <c r="L167" s="498" t="s">
        <v>855</v>
      </c>
      <c r="M167" s="498" t="s">
        <v>6864</v>
      </c>
      <c r="N167" s="498" t="s">
        <v>6865</v>
      </c>
      <c r="O167" s="498" t="s">
        <v>1194</v>
      </c>
      <c r="P167" s="498" t="s">
        <v>6971</v>
      </c>
      <c r="Q167" s="498" t="s">
        <v>6972</v>
      </c>
      <c r="R167" s="498" t="s">
        <v>6973</v>
      </c>
      <c r="S167" s="498" t="s">
        <v>6868</v>
      </c>
      <c r="T167" s="498" t="s">
        <v>7420</v>
      </c>
      <c r="U167" s="498"/>
      <c r="V167" s="498" t="s">
        <v>2177</v>
      </c>
      <c r="W167" s="498"/>
      <c r="X167" s="498" t="s">
        <v>3582</v>
      </c>
      <c r="Y167" s="498"/>
      <c r="Z167" s="498">
        <v>255</v>
      </c>
      <c r="AA167" s="498"/>
      <c r="AB167" s="498" t="s">
        <v>3608</v>
      </c>
      <c r="AC167" s="498"/>
      <c r="AD167" s="498"/>
      <c r="AE167" s="498" t="s">
        <v>7395</v>
      </c>
      <c r="AF167" s="498"/>
      <c r="AG167" s="498" t="s">
        <v>7414</v>
      </c>
    </row>
    <row r="168" spans="2:33" hidden="1">
      <c r="B168" s="498" t="s">
        <v>6858</v>
      </c>
      <c r="C168" s="498" t="s">
        <v>7421</v>
      </c>
      <c r="D168" s="498" t="s">
        <v>3919</v>
      </c>
      <c r="E168" s="498" t="s">
        <v>26</v>
      </c>
      <c r="F168" s="498" t="s">
        <v>7422</v>
      </c>
      <c r="G168" s="499" t="s">
        <v>326</v>
      </c>
      <c r="H168" s="500" t="s">
        <v>6861</v>
      </c>
      <c r="I168" s="498" t="s">
        <v>6862</v>
      </c>
      <c r="J168" s="498" t="s">
        <v>6879</v>
      </c>
      <c r="K168" s="498" t="s">
        <v>2173</v>
      </c>
      <c r="L168" s="498" t="s">
        <v>855</v>
      </c>
      <c r="M168" s="498" t="s">
        <v>6864</v>
      </c>
      <c r="N168" s="498" t="s">
        <v>6865</v>
      </c>
      <c r="O168" s="498" t="s">
        <v>1194</v>
      </c>
      <c r="P168" s="498" t="s">
        <v>6971</v>
      </c>
      <c r="Q168" s="498" t="s">
        <v>6972</v>
      </c>
      <c r="R168" s="498" t="s">
        <v>6973</v>
      </c>
      <c r="S168" s="498" t="s">
        <v>6868</v>
      </c>
      <c r="T168" s="498" t="s">
        <v>7423</v>
      </c>
      <c r="U168" s="498"/>
      <c r="V168" s="498" t="s">
        <v>2177</v>
      </c>
      <c r="W168" s="498"/>
      <c r="X168" s="498" t="s">
        <v>3582</v>
      </c>
      <c r="Y168" s="498"/>
      <c r="Z168" s="498">
        <v>255</v>
      </c>
      <c r="AA168" s="498"/>
      <c r="AB168" s="498" t="s">
        <v>3608</v>
      </c>
      <c r="AC168" s="498"/>
      <c r="AD168" s="498"/>
      <c r="AE168" s="498" t="s">
        <v>7395</v>
      </c>
      <c r="AF168" s="498"/>
      <c r="AG168" s="498" t="s">
        <v>7414</v>
      </c>
    </row>
    <row r="169" spans="2:33" hidden="1">
      <c r="B169" s="498" t="s">
        <v>6858</v>
      </c>
      <c r="C169" s="498" t="s">
        <v>7424</v>
      </c>
      <c r="D169" s="498" t="s">
        <v>3919</v>
      </c>
      <c r="E169" s="498" t="s">
        <v>26</v>
      </c>
      <c r="F169" s="498" t="s">
        <v>7425</v>
      </c>
      <c r="G169" s="499" t="s">
        <v>326</v>
      </c>
      <c r="H169" s="500" t="s">
        <v>6861</v>
      </c>
      <c r="I169" s="498" t="s">
        <v>6862</v>
      </c>
      <c r="J169" s="498" t="s">
        <v>6879</v>
      </c>
      <c r="K169" s="498" t="s">
        <v>2173</v>
      </c>
      <c r="L169" s="498" t="s">
        <v>855</v>
      </c>
      <c r="M169" s="498" t="s">
        <v>6864</v>
      </c>
      <c r="N169" s="498" t="s">
        <v>6865</v>
      </c>
      <c r="O169" s="498" t="s">
        <v>1194</v>
      </c>
      <c r="P169" s="498" t="s">
        <v>6971</v>
      </c>
      <c r="Q169" s="498" t="s">
        <v>6972</v>
      </c>
      <c r="R169" s="498" t="s">
        <v>6973</v>
      </c>
      <c r="S169" s="498" t="s">
        <v>6868</v>
      </c>
      <c r="T169" s="498" t="s">
        <v>7404</v>
      </c>
      <c r="U169" s="498"/>
      <c r="V169" s="498" t="s">
        <v>7079</v>
      </c>
      <c r="W169" s="498"/>
      <c r="X169" s="498" t="s">
        <v>3582</v>
      </c>
      <c r="Y169" s="498"/>
      <c r="Z169" s="498">
        <v>255</v>
      </c>
      <c r="AA169" s="498"/>
      <c r="AB169" s="498" t="s">
        <v>3608</v>
      </c>
      <c r="AC169" s="498"/>
      <c r="AD169" s="498"/>
      <c r="AE169" s="498" t="s">
        <v>7395</v>
      </c>
      <c r="AF169" s="498" t="s">
        <v>7426</v>
      </c>
      <c r="AG169" s="498" t="s">
        <v>6876</v>
      </c>
    </row>
    <row r="170" spans="2:33" hidden="1">
      <c r="B170" s="498" t="s">
        <v>6858</v>
      </c>
      <c r="C170" s="498" t="s">
        <v>7427</v>
      </c>
      <c r="D170" s="498" t="s">
        <v>3919</v>
      </c>
      <c r="E170" s="498" t="s">
        <v>26</v>
      </c>
      <c r="F170" s="498" t="s">
        <v>7428</v>
      </c>
      <c r="G170" s="499" t="s">
        <v>326</v>
      </c>
      <c r="H170" s="500" t="s">
        <v>6861</v>
      </c>
      <c r="I170" s="498" t="s">
        <v>6862</v>
      </c>
      <c r="J170" s="498" t="s">
        <v>6879</v>
      </c>
      <c r="K170" s="498" t="s">
        <v>2173</v>
      </c>
      <c r="L170" s="498" t="s">
        <v>855</v>
      </c>
      <c r="M170" s="498" t="s">
        <v>6864</v>
      </c>
      <c r="N170" s="498" t="s">
        <v>6865</v>
      </c>
      <c r="O170" s="498" t="s">
        <v>1194</v>
      </c>
      <c r="P170" s="498" t="s">
        <v>6971</v>
      </c>
      <c r="Q170" s="498" t="s">
        <v>6972</v>
      </c>
      <c r="R170" s="498" t="s">
        <v>6973</v>
      </c>
      <c r="S170" s="498" t="s">
        <v>6868</v>
      </c>
      <c r="T170" s="498" t="s">
        <v>7429</v>
      </c>
      <c r="U170" s="498"/>
      <c r="V170" s="498" t="s">
        <v>7079</v>
      </c>
      <c r="W170" s="498"/>
      <c r="X170" s="498" t="s">
        <v>3582</v>
      </c>
      <c r="Y170" s="498"/>
      <c r="Z170" s="498">
        <v>255</v>
      </c>
      <c r="AA170" s="498"/>
      <c r="AB170" s="498" t="s">
        <v>3608</v>
      </c>
      <c r="AC170" s="498"/>
      <c r="AD170" s="498"/>
      <c r="AE170" s="498" t="s">
        <v>7395</v>
      </c>
      <c r="AF170" s="498" t="s">
        <v>7426</v>
      </c>
      <c r="AG170" s="498" t="s">
        <v>6876</v>
      </c>
    </row>
    <row r="171" spans="2:33" hidden="1">
      <c r="B171" s="498" t="s">
        <v>6858</v>
      </c>
      <c r="C171" s="498" t="s">
        <v>7430</v>
      </c>
      <c r="D171" s="498" t="s">
        <v>3919</v>
      </c>
      <c r="E171" s="498" t="s">
        <v>26</v>
      </c>
      <c r="F171" s="498" t="s">
        <v>7431</v>
      </c>
      <c r="G171" s="499" t="s">
        <v>326</v>
      </c>
      <c r="H171" s="500" t="s">
        <v>6861</v>
      </c>
      <c r="I171" s="498" t="s">
        <v>6862</v>
      </c>
      <c r="J171" s="498" t="s">
        <v>6879</v>
      </c>
      <c r="K171" s="498" t="s">
        <v>2173</v>
      </c>
      <c r="L171" s="498" t="s">
        <v>855</v>
      </c>
      <c r="M171" s="498" t="s">
        <v>6864</v>
      </c>
      <c r="N171" s="498" t="s">
        <v>6865</v>
      </c>
      <c r="O171" s="498" t="s">
        <v>1194</v>
      </c>
      <c r="P171" s="498" t="s">
        <v>6971</v>
      </c>
      <c r="Q171" s="498" t="s">
        <v>6972</v>
      </c>
      <c r="R171" s="498" t="s">
        <v>6973</v>
      </c>
      <c r="S171" s="498" t="s">
        <v>6868</v>
      </c>
      <c r="T171" s="498" t="s">
        <v>7432</v>
      </c>
      <c r="U171" s="498"/>
      <c r="V171" s="498" t="s">
        <v>7079</v>
      </c>
      <c r="W171" s="498"/>
      <c r="X171" s="498" t="s">
        <v>3582</v>
      </c>
      <c r="Y171" s="498"/>
      <c r="Z171" s="498">
        <v>255</v>
      </c>
      <c r="AA171" s="498"/>
      <c r="AB171" s="498" t="s">
        <v>3608</v>
      </c>
      <c r="AC171" s="498"/>
      <c r="AD171" s="498"/>
      <c r="AE171" s="498" t="s">
        <v>7395</v>
      </c>
      <c r="AF171" s="498" t="s">
        <v>7426</v>
      </c>
      <c r="AG171" s="498" t="s">
        <v>6876</v>
      </c>
    </row>
    <row r="172" spans="2:33" hidden="1">
      <c r="B172" s="498" t="s">
        <v>6858</v>
      </c>
      <c r="C172" s="498" t="s">
        <v>7433</v>
      </c>
      <c r="D172" s="498" t="s">
        <v>3919</v>
      </c>
      <c r="E172" s="498" t="s">
        <v>26</v>
      </c>
      <c r="F172" s="498" t="s">
        <v>7434</v>
      </c>
      <c r="G172" s="499" t="s">
        <v>326</v>
      </c>
      <c r="H172" s="500" t="s">
        <v>6861</v>
      </c>
      <c r="I172" s="498" t="s">
        <v>6862</v>
      </c>
      <c r="J172" s="498" t="s">
        <v>6879</v>
      </c>
      <c r="K172" s="498" t="s">
        <v>2173</v>
      </c>
      <c r="L172" s="498" t="s">
        <v>855</v>
      </c>
      <c r="M172" s="498" t="s">
        <v>6864</v>
      </c>
      <c r="N172" s="498" t="s">
        <v>6865</v>
      </c>
      <c r="O172" s="498" t="s">
        <v>1194</v>
      </c>
      <c r="P172" s="498" t="s">
        <v>620</v>
      </c>
      <c r="Q172" s="498" t="s">
        <v>7435</v>
      </c>
      <c r="R172" s="498" t="s">
        <v>6867</v>
      </c>
      <c r="S172" s="498" t="s">
        <v>6868</v>
      </c>
      <c r="T172" s="498" t="s">
        <v>7436</v>
      </c>
      <c r="U172" s="498"/>
      <c r="V172" s="498" t="s">
        <v>6900</v>
      </c>
      <c r="W172" s="498" t="s">
        <v>6883</v>
      </c>
      <c r="X172" s="498" t="s">
        <v>3608</v>
      </c>
      <c r="Y172" s="498"/>
      <c r="Z172" s="498">
        <v>12</v>
      </c>
      <c r="AA172" s="498"/>
      <c r="AB172" s="498" t="s">
        <v>3608</v>
      </c>
      <c r="AC172" s="498"/>
      <c r="AD172" s="498"/>
      <c r="AE172" s="498" t="s">
        <v>855</v>
      </c>
      <c r="AF172" s="498" t="s">
        <v>6901</v>
      </c>
      <c r="AG172" s="498"/>
    </row>
    <row r="173" spans="2:33" hidden="1">
      <c r="B173" s="498" t="s">
        <v>6858</v>
      </c>
      <c r="C173" s="498" t="s">
        <v>7437</v>
      </c>
      <c r="D173" s="498" t="s">
        <v>4497</v>
      </c>
      <c r="E173" s="498" t="s">
        <v>26</v>
      </c>
      <c r="F173" s="498" t="s">
        <v>7438</v>
      </c>
      <c r="G173" s="499" t="s">
        <v>326</v>
      </c>
      <c r="H173" s="500" t="s">
        <v>6861</v>
      </c>
      <c r="I173" s="498" t="s">
        <v>6862</v>
      </c>
      <c r="J173" s="498" t="s">
        <v>7031</v>
      </c>
      <c r="K173" s="498" t="s">
        <v>2173</v>
      </c>
      <c r="L173" s="498" t="s">
        <v>855</v>
      </c>
      <c r="M173" s="498" t="s">
        <v>6864</v>
      </c>
      <c r="N173" s="498" t="s">
        <v>6865</v>
      </c>
      <c r="O173" s="498" t="s">
        <v>1194</v>
      </c>
      <c r="P173" s="498" t="s">
        <v>620</v>
      </c>
      <c r="Q173" s="498" t="s">
        <v>7439</v>
      </c>
      <c r="R173" s="498" t="s">
        <v>6867</v>
      </c>
      <c r="S173" s="498" t="s">
        <v>6868</v>
      </c>
      <c r="T173" s="498"/>
      <c r="U173" s="498"/>
      <c r="V173" s="498" t="s">
        <v>6905</v>
      </c>
      <c r="W173" s="498" t="s">
        <v>6883</v>
      </c>
      <c r="X173" s="498" t="s">
        <v>4271</v>
      </c>
      <c r="Y173" s="498"/>
      <c r="Z173" s="498" t="s">
        <v>6884</v>
      </c>
      <c r="AA173" s="498" t="s">
        <v>6872</v>
      </c>
      <c r="AB173" s="498"/>
      <c r="AC173" s="498"/>
      <c r="AD173" s="498"/>
      <c r="AE173" s="498" t="s">
        <v>6961</v>
      </c>
      <c r="AF173" s="498" t="s">
        <v>6905</v>
      </c>
      <c r="AG173" s="498"/>
    </row>
    <row r="174" spans="2:33" hidden="1">
      <c r="B174" s="498" t="s">
        <v>6858</v>
      </c>
      <c r="C174" s="498" t="s">
        <v>7440</v>
      </c>
      <c r="D174" s="498" t="s">
        <v>4497</v>
      </c>
      <c r="E174" s="498" t="s">
        <v>26</v>
      </c>
      <c r="F174" s="498" t="s">
        <v>7441</v>
      </c>
      <c r="G174" s="499" t="s">
        <v>326</v>
      </c>
      <c r="H174" s="500" t="s">
        <v>6861</v>
      </c>
      <c r="I174" s="498" t="s">
        <v>6862</v>
      </c>
      <c r="J174" s="498" t="s">
        <v>6879</v>
      </c>
      <c r="K174" s="498" t="s">
        <v>2173</v>
      </c>
      <c r="L174" s="498" t="s">
        <v>855</v>
      </c>
      <c r="M174" s="498" t="s">
        <v>6864</v>
      </c>
      <c r="N174" s="498" t="s">
        <v>6865</v>
      </c>
      <c r="O174" s="498" t="s">
        <v>1194</v>
      </c>
      <c r="P174" s="498" t="s">
        <v>620</v>
      </c>
      <c r="Q174" s="498" t="s">
        <v>7442</v>
      </c>
      <c r="R174" s="498" t="s">
        <v>6867</v>
      </c>
      <c r="S174" s="498" t="s">
        <v>6868</v>
      </c>
      <c r="T174" s="498"/>
      <c r="U174" s="498"/>
      <c r="V174" s="498" t="s">
        <v>6905</v>
      </c>
      <c r="W174" s="498" t="s">
        <v>6883</v>
      </c>
      <c r="X174" s="498" t="s">
        <v>4271</v>
      </c>
      <c r="Y174" s="498"/>
      <c r="Z174" s="498" t="s">
        <v>6884</v>
      </c>
      <c r="AA174" s="498" t="s">
        <v>6872</v>
      </c>
      <c r="AB174" s="498"/>
      <c r="AC174" s="498"/>
      <c r="AD174" s="498"/>
      <c r="AE174" s="498" t="s">
        <v>6961</v>
      </c>
      <c r="AF174" s="498" t="s">
        <v>6905</v>
      </c>
      <c r="AG174" s="498"/>
    </row>
    <row r="175" spans="2:33" hidden="1">
      <c r="B175" s="498" t="s">
        <v>6858</v>
      </c>
      <c r="C175" s="498" t="s">
        <v>7443</v>
      </c>
      <c r="D175" s="498" t="s">
        <v>4497</v>
      </c>
      <c r="E175" s="498" t="s">
        <v>26</v>
      </c>
      <c r="F175" s="498" t="s">
        <v>7444</v>
      </c>
      <c r="G175" s="499" t="s">
        <v>326</v>
      </c>
      <c r="H175" s="500" t="s">
        <v>6861</v>
      </c>
      <c r="I175" s="498" t="s">
        <v>6862</v>
      </c>
      <c r="J175" s="498" t="s">
        <v>7031</v>
      </c>
      <c r="K175" s="498" t="s">
        <v>2173</v>
      </c>
      <c r="L175" s="498" t="s">
        <v>855</v>
      </c>
      <c r="M175" s="498" t="s">
        <v>6864</v>
      </c>
      <c r="N175" s="498" t="s">
        <v>6865</v>
      </c>
      <c r="O175" s="498" t="s">
        <v>1194</v>
      </c>
      <c r="P175" s="498" t="s">
        <v>620</v>
      </c>
      <c r="Q175" s="498" t="s">
        <v>7445</v>
      </c>
      <c r="R175" s="498" t="s">
        <v>6867</v>
      </c>
      <c r="S175" s="498" t="s">
        <v>6868</v>
      </c>
      <c r="T175" s="498"/>
      <c r="U175" s="498"/>
      <c r="V175" s="498" t="s">
        <v>6905</v>
      </c>
      <c r="W175" s="498" t="s">
        <v>6883</v>
      </c>
      <c r="X175" s="498" t="s">
        <v>4271</v>
      </c>
      <c r="Y175" s="498"/>
      <c r="Z175" s="498" t="s">
        <v>6884</v>
      </c>
      <c r="AA175" s="498" t="s">
        <v>6885</v>
      </c>
      <c r="AB175" s="498"/>
      <c r="AC175" s="498"/>
      <c r="AD175" s="498"/>
      <c r="AE175" s="498" t="s">
        <v>6961</v>
      </c>
      <c r="AF175" s="498" t="s">
        <v>6905</v>
      </c>
      <c r="AG175" s="498" t="s">
        <v>7446</v>
      </c>
    </row>
    <row r="176" spans="2:33" hidden="1">
      <c r="B176" s="498" t="s">
        <v>6858</v>
      </c>
      <c r="C176" s="498" t="s">
        <v>7447</v>
      </c>
      <c r="D176" s="498" t="s">
        <v>341</v>
      </c>
      <c r="E176" s="498" t="s">
        <v>26</v>
      </c>
      <c r="F176" s="498" t="s">
        <v>7448</v>
      </c>
      <c r="G176" s="499" t="s">
        <v>326</v>
      </c>
      <c r="H176" s="500" t="s">
        <v>6861</v>
      </c>
      <c r="I176" s="498" t="s">
        <v>6862</v>
      </c>
      <c r="J176" s="498" t="s">
        <v>7031</v>
      </c>
      <c r="K176" s="498" t="s">
        <v>2173</v>
      </c>
      <c r="L176" s="498" t="s">
        <v>855</v>
      </c>
      <c r="M176" s="498" t="s">
        <v>6864</v>
      </c>
      <c r="N176" s="498" t="s">
        <v>6865</v>
      </c>
      <c r="O176" s="498" t="s">
        <v>1194</v>
      </c>
      <c r="P176" s="498" t="s">
        <v>7449</v>
      </c>
      <c r="Q176" s="498" t="s">
        <v>7450</v>
      </c>
      <c r="R176" s="498" t="s">
        <v>7451</v>
      </c>
      <c r="S176" s="498" t="s">
        <v>6868</v>
      </c>
      <c r="T176" s="498" t="s">
        <v>7452</v>
      </c>
      <c r="U176" s="498"/>
      <c r="V176" s="498" t="s">
        <v>2177</v>
      </c>
      <c r="W176" s="498" t="s">
        <v>6883</v>
      </c>
      <c r="X176" s="498" t="s">
        <v>7453</v>
      </c>
      <c r="Y176" s="498" t="s">
        <v>6871</v>
      </c>
      <c r="Z176" s="498" t="s">
        <v>7454</v>
      </c>
      <c r="AA176" s="498" t="s">
        <v>6872</v>
      </c>
      <c r="AB176" s="498" t="s">
        <v>3608</v>
      </c>
      <c r="AC176" s="498"/>
      <c r="AD176" s="498"/>
      <c r="AE176" s="498" t="s">
        <v>6961</v>
      </c>
      <c r="AF176" s="498"/>
      <c r="AG176" s="498"/>
    </row>
    <row r="177" spans="2:33" hidden="1">
      <c r="B177" s="498" t="s">
        <v>6858</v>
      </c>
      <c r="C177" s="498" t="s">
        <v>343</v>
      </c>
      <c r="D177" s="498" t="s">
        <v>341</v>
      </c>
      <c r="E177" s="498" t="s">
        <v>26</v>
      </c>
      <c r="F177" s="498" t="s">
        <v>7455</v>
      </c>
      <c r="G177" s="499" t="s">
        <v>326</v>
      </c>
      <c r="H177" s="500" t="s">
        <v>6861</v>
      </c>
      <c r="I177" s="498" t="s">
        <v>6862</v>
      </c>
      <c r="J177" s="498" t="s">
        <v>7031</v>
      </c>
      <c r="K177" s="498" t="s">
        <v>2173</v>
      </c>
      <c r="L177" s="498" t="s">
        <v>855</v>
      </c>
      <c r="M177" s="498" t="s">
        <v>6864</v>
      </c>
      <c r="N177" s="498" t="s">
        <v>6865</v>
      </c>
      <c r="O177" s="498" t="s">
        <v>1194</v>
      </c>
      <c r="P177" s="498" t="s">
        <v>634</v>
      </c>
      <c r="Q177" s="498" t="s">
        <v>7456</v>
      </c>
      <c r="R177" s="498" t="s">
        <v>7457</v>
      </c>
      <c r="S177" s="498" t="s">
        <v>6868</v>
      </c>
      <c r="T177" s="498" t="s">
        <v>7458</v>
      </c>
      <c r="U177" s="498"/>
      <c r="V177" s="498" t="s">
        <v>2177</v>
      </c>
      <c r="W177" s="498" t="s">
        <v>6883</v>
      </c>
      <c r="X177" s="498" t="s">
        <v>7134</v>
      </c>
      <c r="Y177" s="498" t="s">
        <v>6871</v>
      </c>
      <c r="Z177" s="498">
        <v>30255</v>
      </c>
      <c r="AA177" s="498" t="s">
        <v>6872</v>
      </c>
      <c r="AB177" s="498" t="s">
        <v>7110</v>
      </c>
      <c r="AC177" s="498"/>
      <c r="AD177" s="498"/>
      <c r="AE177" s="498" t="s">
        <v>855</v>
      </c>
      <c r="AF177" s="498"/>
      <c r="AG177" s="498"/>
    </row>
    <row r="178" spans="2:33" hidden="1">
      <c r="B178" s="498" t="s">
        <v>6968</v>
      </c>
      <c r="C178" s="498" t="s">
        <v>7459</v>
      </c>
      <c r="D178" s="498" t="s">
        <v>341</v>
      </c>
      <c r="E178" s="498" t="s">
        <v>26</v>
      </c>
      <c r="F178" s="498" t="s">
        <v>7460</v>
      </c>
      <c r="G178" s="499" t="s">
        <v>326</v>
      </c>
      <c r="H178" s="500" t="s">
        <v>6861</v>
      </c>
      <c r="I178" s="498" t="s">
        <v>6862</v>
      </c>
      <c r="J178" s="498" t="s">
        <v>7461</v>
      </c>
      <c r="K178" s="498" t="s">
        <v>2173</v>
      </c>
      <c r="L178" s="498" t="s">
        <v>855</v>
      </c>
      <c r="M178" s="498" t="s">
        <v>6864</v>
      </c>
      <c r="N178" s="498" t="s">
        <v>6865</v>
      </c>
      <c r="O178" s="498" t="s">
        <v>1194</v>
      </c>
      <c r="P178" s="437" t="s">
        <v>574</v>
      </c>
      <c r="Q178" s="498" t="s">
        <v>6866</v>
      </c>
      <c r="R178" s="498" t="s">
        <v>6867</v>
      </c>
      <c r="S178" s="498" t="s">
        <v>6868</v>
      </c>
      <c r="T178" s="501" t="s">
        <v>7462</v>
      </c>
      <c r="U178" s="498"/>
      <c r="V178" s="498" t="s">
        <v>6905</v>
      </c>
      <c r="W178" s="498" t="s">
        <v>6870</v>
      </c>
      <c r="X178" s="498" t="s">
        <v>3608</v>
      </c>
      <c r="Y178" s="498"/>
      <c r="Z178" s="498">
        <v>4</v>
      </c>
      <c r="AA178" s="498"/>
      <c r="AB178" s="498"/>
      <c r="AC178" s="498"/>
      <c r="AD178" s="498"/>
      <c r="AE178" s="498" t="s">
        <v>6961</v>
      </c>
      <c r="AF178" s="498" t="s">
        <v>6905</v>
      </c>
      <c r="AG178" s="498"/>
    </row>
    <row r="179" spans="2:33" hidden="1">
      <c r="B179" s="498" t="s">
        <v>6858</v>
      </c>
      <c r="C179" s="498" t="s">
        <v>7459</v>
      </c>
      <c r="D179" s="498" t="s">
        <v>341</v>
      </c>
      <c r="E179" s="498" t="s">
        <v>26</v>
      </c>
      <c r="F179" s="498" t="s">
        <v>7460</v>
      </c>
      <c r="G179" s="499" t="s">
        <v>326</v>
      </c>
      <c r="H179" s="500" t="s">
        <v>6861</v>
      </c>
      <c r="I179" s="498" t="s">
        <v>6862</v>
      </c>
      <c r="J179" s="498" t="s">
        <v>6863</v>
      </c>
      <c r="K179" s="498" t="s">
        <v>2173</v>
      </c>
      <c r="L179" s="498" t="s">
        <v>855</v>
      </c>
      <c r="M179" s="498" t="s">
        <v>6864</v>
      </c>
      <c r="N179" s="498" t="s">
        <v>6865</v>
      </c>
      <c r="O179" s="498" t="s">
        <v>1194</v>
      </c>
      <c r="P179" s="498" t="s">
        <v>6955</v>
      </c>
      <c r="Q179" s="498" t="s">
        <v>7463</v>
      </c>
      <c r="R179" s="498" t="s">
        <v>6957</v>
      </c>
      <c r="S179" s="498" t="s">
        <v>6868</v>
      </c>
      <c r="T179" s="501" t="s">
        <v>7462</v>
      </c>
      <c r="U179" s="498"/>
      <c r="V179" s="498" t="s">
        <v>2177</v>
      </c>
      <c r="W179" s="498" t="s">
        <v>6883</v>
      </c>
      <c r="X179" s="498" t="s">
        <v>7464</v>
      </c>
      <c r="Y179" s="498" t="s">
        <v>6871</v>
      </c>
      <c r="Z179" s="498" t="s">
        <v>7037</v>
      </c>
      <c r="AA179" s="498" t="s">
        <v>6872</v>
      </c>
      <c r="AB179" s="498" t="s">
        <v>3608</v>
      </c>
      <c r="AC179" s="498"/>
      <c r="AD179" s="498"/>
      <c r="AE179" s="498" t="s">
        <v>6961</v>
      </c>
      <c r="AF179" s="498"/>
      <c r="AG179" s="498" t="s">
        <v>7267</v>
      </c>
    </row>
    <row r="180" spans="2:33" hidden="1">
      <c r="B180" s="498" t="s">
        <v>6858</v>
      </c>
      <c r="C180" s="498" t="s">
        <v>7465</v>
      </c>
      <c r="D180" s="498" t="s">
        <v>7466</v>
      </c>
      <c r="E180" s="498" t="s">
        <v>26</v>
      </c>
      <c r="F180" s="498" t="s">
        <v>7467</v>
      </c>
      <c r="G180" s="499" t="s">
        <v>326</v>
      </c>
      <c r="H180" s="500" t="s">
        <v>6861</v>
      </c>
      <c r="I180" s="498" t="s">
        <v>7468</v>
      </c>
      <c r="J180" s="498" t="s">
        <v>6879</v>
      </c>
      <c r="K180" s="498" t="s">
        <v>7275</v>
      </c>
      <c r="L180" s="498" t="s">
        <v>261</v>
      </c>
      <c r="M180" s="498" t="s">
        <v>7469</v>
      </c>
      <c r="N180" s="498"/>
      <c r="O180" s="498"/>
      <c r="P180" s="498" t="s">
        <v>7470</v>
      </c>
      <c r="Q180" s="498" t="s">
        <v>7470</v>
      </c>
      <c r="R180" s="498" t="s">
        <v>7471</v>
      </c>
      <c r="S180" s="498" t="s">
        <v>6868</v>
      </c>
      <c r="T180" s="498" t="s">
        <v>7472</v>
      </c>
      <c r="U180" s="498"/>
      <c r="V180" s="498" t="s">
        <v>6900</v>
      </c>
      <c r="W180" s="498" t="s">
        <v>6883</v>
      </c>
      <c r="X180" s="498"/>
      <c r="Y180" s="498"/>
      <c r="Z180" s="498"/>
      <c r="AA180" s="498" t="s">
        <v>6885</v>
      </c>
      <c r="AB180" s="498"/>
      <c r="AC180" s="498"/>
      <c r="AD180" s="498"/>
      <c r="AE180" s="498"/>
      <c r="AF180" s="498" t="s">
        <v>7473</v>
      </c>
      <c r="AG180" s="498"/>
    </row>
    <row r="181" spans="2:33" hidden="1">
      <c r="B181" s="498" t="s">
        <v>6858</v>
      </c>
      <c r="C181" s="498" t="s">
        <v>7474</v>
      </c>
      <c r="D181" s="498" t="s">
        <v>7466</v>
      </c>
      <c r="E181" s="498" t="s">
        <v>26</v>
      </c>
      <c r="F181" s="498" t="s">
        <v>7475</v>
      </c>
      <c r="G181" s="499" t="s">
        <v>326</v>
      </c>
      <c r="H181" s="500" t="s">
        <v>6861</v>
      </c>
      <c r="I181" s="498" t="s">
        <v>6862</v>
      </c>
      <c r="J181" s="498" t="s">
        <v>6879</v>
      </c>
      <c r="K181" s="498" t="s">
        <v>2173</v>
      </c>
      <c r="L181" s="498" t="s">
        <v>855</v>
      </c>
      <c r="M181" s="498" t="s">
        <v>6864</v>
      </c>
      <c r="N181" s="498" t="s">
        <v>6865</v>
      </c>
      <c r="O181" s="498" t="s">
        <v>1194</v>
      </c>
      <c r="P181" s="498" t="s">
        <v>7476</v>
      </c>
      <c r="Q181" s="498" t="s">
        <v>7477</v>
      </c>
      <c r="R181" s="498" t="s">
        <v>7478</v>
      </c>
      <c r="S181" s="498" t="s">
        <v>6868</v>
      </c>
      <c r="T181" s="498"/>
      <c r="U181" s="498"/>
      <c r="V181" s="498" t="s">
        <v>6905</v>
      </c>
      <c r="W181" s="498" t="s">
        <v>6883</v>
      </c>
      <c r="X181" s="498" t="s">
        <v>4271</v>
      </c>
      <c r="Y181" s="498"/>
      <c r="Z181" s="498" t="s">
        <v>6884</v>
      </c>
      <c r="AA181" s="498" t="s">
        <v>6885</v>
      </c>
      <c r="AB181" s="498"/>
      <c r="AC181" s="498"/>
      <c r="AD181" s="498"/>
      <c r="AE181" s="498" t="s">
        <v>7479</v>
      </c>
      <c r="AF181" s="498" t="s">
        <v>6905</v>
      </c>
      <c r="AG181" s="498"/>
    </row>
    <row r="182" spans="2:33" hidden="1">
      <c r="B182" s="498" t="s">
        <v>6858</v>
      </c>
      <c r="C182" s="498" t="s">
        <v>7480</v>
      </c>
      <c r="D182" s="498" t="s">
        <v>7466</v>
      </c>
      <c r="E182" s="498" t="s">
        <v>26</v>
      </c>
      <c r="F182" s="498" t="s">
        <v>7481</v>
      </c>
      <c r="G182" s="499" t="s">
        <v>326</v>
      </c>
      <c r="H182" s="500" t="s">
        <v>6861</v>
      </c>
      <c r="I182" s="498" t="s">
        <v>6862</v>
      </c>
      <c r="J182" s="498" t="s">
        <v>6879</v>
      </c>
      <c r="K182" s="498" t="s">
        <v>2173</v>
      </c>
      <c r="L182" s="498" t="s">
        <v>855</v>
      </c>
      <c r="M182" s="498" t="s">
        <v>6864</v>
      </c>
      <c r="N182" s="498" t="s">
        <v>6865</v>
      </c>
      <c r="O182" s="498" t="s">
        <v>1194</v>
      </c>
      <c r="P182" s="498" t="s">
        <v>7476</v>
      </c>
      <c r="Q182" s="498" t="s">
        <v>7482</v>
      </c>
      <c r="R182" s="498" t="s">
        <v>7478</v>
      </c>
      <c r="S182" s="498" t="s">
        <v>6868</v>
      </c>
      <c r="T182" s="498"/>
      <c r="U182" s="498"/>
      <c r="V182" s="498" t="s">
        <v>6905</v>
      </c>
      <c r="W182" s="498" t="s">
        <v>6883</v>
      </c>
      <c r="X182" s="498" t="s">
        <v>4271</v>
      </c>
      <c r="Y182" s="498"/>
      <c r="Z182" s="498" t="s">
        <v>6884</v>
      </c>
      <c r="AA182" s="498" t="s">
        <v>6885</v>
      </c>
      <c r="AB182" s="498"/>
      <c r="AC182" s="498"/>
      <c r="AD182" s="498"/>
      <c r="AE182" s="498" t="s">
        <v>7479</v>
      </c>
      <c r="AF182" s="498" t="s">
        <v>6905</v>
      </c>
      <c r="AG182" s="498"/>
    </row>
    <row r="183" spans="2:33" hidden="1">
      <c r="B183" s="498" t="s">
        <v>6858</v>
      </c>
      <c r="C183" s="498" t="s">
        <v>7483</v>
      </c>
      <c r="D183" s="498" t="s">
        <v>7484</v>
      </c>
      <c r="E183" s="498" t="s">
        <v>26</v>
      </c>
      <c r="F183" s="498" t="s">
        <v>7485</v>
      </c>
      <c r="G183" s="499" t="s">
        <v>326</v>
      </c>
      <c r="H183" s="500" t="s">
        <v>6861</v>
      </c>
      <c r="I183" s="498" t="s">
        <v>6862</v>
      </c>
      <c r="J183" s="498" t="s">
        <v>6879</v>
      </c>
      <c r="K183" s="498" t="s">
        <v>2173</v>
      </c>
      <c r="L183" s="498" t="s">
        <v>855</v>
      </c>
      <c r="M183" s="498" t="s">
        <v>6864</v>
      </c>
      <c r="N183" s="498" t="s">
        <v>6865</v>
      </c>
      <c r="O183" s="498" t="s">
        <v>1194</v>
      </c>
      <c r="P183" s="498" t="s">
        <v>7486</v>
      </c>
      <c r="Q183" s="498" t="s">
        <v>7487</v>
      </c>
      <c r="R183" s="498" t="s">
        <v>7488</v>
      </c>
      <c r="S183" s="498" t="s">
        <v>7489</v>
      </c>
      <c r="T183" s="498"/>
      <c r="U183" s="498"/>
      <c r="V183" s="498" t="s">
        <v>6905</v>
      </c>
      <c r="W183" s="498" t="s">
        <v>7074</v>
      </c>
      <c r="X183" s="498" t="s">
        <v>2207</v>
      </c>
      <c r="Y183" s="498"/>
      <c r="Z183" s="498"/>
      <c r="AA183" s="498" t="s">
        <v>6906</v>
      </c>
      <c r="AB183" s="498"/>
      <c r="AC183" s="498"/>
      <c r="AD183" s="498"/>
      <c r="AE183" s="498" t="s">
        <v>7490</v>
      </c>
      <c r="AF183" s="498" t="s">
        <v>6905</v>
      </c>
      <c r="AG183" s="498"/>
    </row>
    <row r="184" spans="2:33" hidden="1">
      <c r="B184" s="498" t="s">
        <v>6858</v>
      </c>
      <c r="C184" s="498" t="s">
        <v>5416</v>
      </c>
      <c r="D184" s="498" t="s">
        <v>7484</v>
      </c>
      <c r="E184" s="498" t="s">
        <v>26</v>
      </c>
      <c r="F184" s="498" t="s">
        <v>7491</v>
      </c>
      <c r="G184" s="499" t="s">
        <v>326</v>
      </c>
      <c r="H184" s="500" t="s">
        <v>6861</v>
      </c>
      <c r="I184" s="498" t="s">
        <v>6862</v>
      </c>
      <c r="J184" s="498" t="s">
        <v>6879</v>
      </c>
      <c r="K184" s="498" t="s">
        <v>2173</v>
      </c>
      <c r="L184" s="498" t="s">
        <v>855</v>
      </c>
      <c r="M184" s="498" t="s">
        <v>6864</v>
      </c>
      <c r="N184" s="498" t="s">
        <v>6865</v>
      </c>
      <c r="O184" s="498" t="s">
        <v>1194</v>
      </c>
      <c r="P184" s="498" t="s">
        <v>7486</v>
      </c>
      <c r="Q184" s="498" t="s">
        <v>7492</v>
      </c>
      <c r="R184" s="498" t="s">
        <v>7488</v>
      </c>
      <c r="S184" s="498" t="s">
        <v>7489</v>
      </c>
      <c r="T184" s="498"/>
      <c r="U184" s="498"/>
      <c r="V184" s="498" t="s">
        <v>6905</v>
      </c>
      <c r="W184" s="498" t="s">
        <v>7074</v>
      </c>
      <c r="X184" s="498" t="s">
        <v>4271</v>
      </c>
      <c r="Y184" s="498"/>
      <c r="Z184" s="498" t="s">
        <v>6884</v>
      </c>
      <c r="AA184" s="498" t="s">
        <v>6872</v>
      </c>
      <c r="AB184" s="498"/>
      <c r="AC184" s="498"/>
      <c r="AD184" s="498"/>
      <c r="AE184" s="498" t="s">
        <v>7490</v>
      </c>
      <c r="AF184" s="498" t="s">
        <v>6905</v>
      </c>
      <c r="AG184" s="498"/>
    </row>
    <row r="185" spans="2:33" hidden="1">
      <c r="B185" s="498" t="s">
        <v>6858</v>
      </c>
      <c r="C185" s="498" t="s">
        <v>440</v>
      </c>
      <c r="D185" s="498" t="s">
        <v>7484</v>
      </c>
      <c r="E185" s="498" t="s">
        <v>26</v>
      </c>
      <c r="F185" s="498" t="s">
        <v>7493</v>
      </c>
      <c r="G185" s="499" t="s">
        <v>326</v>
      </c>
      <c r="H185" s="500" t="s">
        <v>6861</v>
      </c>
      <c r="I185" s="498" t="s">
        <v>6862</v>
      </c>
      <c r="J185" s="498" t="s">
        <v>6879</v>
      </c>
      <c r="K185" s="498" t="s">
        <v>2173</v>
      </c>
      <c r="L185" s="498" t="s">
        <v>855</v>
      </c>
      <c r="M185" s="498" t="s">
        <v>6864</v>
      </c>
      <c r="N185" s="498" t="s">
        <v>6865</v>
      </c>
      <c r="O185" s="498" t="s">
        <v>1194</v>
      </c>
      <c r="P185" s="498" t="s">
        <v>7486</v>
      </c>
      <c r="Q185" s="498" t="s">
        <v>7494</v>
      </c>
      <c r="R185" s="498" t="s">
        <v>7488</v>
      </c>
      <c r="S185" s="498" t="s">
        <v>7489</v>
      </c>
      <c r="T185" s="498"/>
      <c r="U185" s="498"/>
      <c r="V185" s="498" t="s">
        <v>6905</v>
      </c>
      <c r="W185" s="498" t="s">
        <v>7074</v>
      </c>
      <c r="X185" s="498" t="s">
        <v>3582</v>
      </c>
      <c r="Y185" s="498"/>
      <c r="Z185" s="498">
        <v>250</v>
      </c>
      <c r="AA185" s="498" t="s">
        <v>6872</v>
      </c>
      <c r="AB185" s="498" t="s">
        <v>3608</v>
      </c>
      <c r="AC185" s="498"/>
      <c r="AD185" s="498"/>
      <c r="AE185" s="498" t="s">
        <v>7490</v>
      </c>
      <c r="AF185" s="498" t="s">
        <v>6905</v>
      </c>
      <c r="AG185" s="498"/>
    </row>
    <row r="186" spans="2:33" hidden="1">
      <c r="B186" s="498" t="s">
        <v>6858</v>
      </c>
      <c r="C186" s="498" t="s">
        <v>7495</v>
      </c>
      <c r="D186" s="498" t="s">
        <v>7484</v>
      </c>
      <c r="E186" s="498" t="s">
        <v>26</v>
      </c>
      <c r="F186" s="498" t="s">
        <v>7496</v>
      </c>
      <c r="G186" s="499" t="s">
        <v>326</v>
      </c>
      <c r="H186" s="500" t="s">
        <v>6861</v>
      </c>
      <c r="I186" s="498" t="s">
        <v>6862</v>
      </c>
      <c r="J186" s="498" t="s">
        <v>6879</v>
      </c>
      <c r="K186" s="498" t="s">
        <v>2173</v>
      </c>
      <c r="L186" s="498" t="s">
        <v>855</v>
      </c>
      <c r="M186" s="498" t="s">
        <v>6864</v>
      </c>
      <c r="N186" s="498" t="s">
        <v>6865</v>
      </c>
      <c r="O186" s="498" t="s">
        <v>1194</v>
      </c>
      <c r="P186" s="498" t="s">
        <v>7486</v>
      </c>
      <c r="Q186" s="498" t="s">
        <v>7497</v>
      </c>
      <c r="R186" s="498" t="s">
        <v>7488</v>
      </c>
      <c r="S186" s="498" t="s">
        <v>7489</v>
      </c>
      <c r="T186" s="498"/>
      <c r="U186" s="498"/>
      <c r="V186" s="498" t="s">
        <v>6905</v>
      </c>
      <c r="W186" s="498" t="s">
        <v>7074</v>
      </c>
      <c r="X186" s="498" t="s">
        <v>2207</v>
      </c>
      <c r="Y186" s="498"/>
      <c r="Z186" s="498"/>
      <c r="AA186" s="498" t="s">
        <v>6906</v>
      </c>
      <c r="AB186" s="498"/>
      <c r="AC186" s="498"/>
      <c r="AD186" s="498"/>
      <c r="AE186" s="498" t="s">
        <v>7490</v>
      </c>
      <c r="AF186" s="498" t="s">
        <v>6905</v>
      </c>
      <c r="AG186" s="498"/>
    </row>
    <row r="187" spans="2:33" hidden="1">
      <c r="B187" s="498" t="s">
        <v>6858</v>
      </c>
      <c r="C187" s="498" t="s">
        <v>7498</v>
      </c>
      <c r="D187" s="498" t="s">
        <v>7484</v>
      </c>
      <c r="E187" s="498" t="s">
        <v>26</v>
      </c>
      <c r="F187" s="498" t="s">
        <v>7499</v>
      </c>
      <c r="G187" s="499" t="s">
        <v>326</v>
      </c>
      <c r="H187" s="500" t="s">
        <v>6861</v>
      </c>
      <c r="I187" s="498" t="s">
        <v>6862</v>
      </c>
      <c r="J187" s="498" t="s">
        <v>6879</v>
      </c>
      <c r="K187" s="498" t="s">
        <v>2173</v>
      </c>
      <c r="L187" s="498" t="s">
        <v>855</v>
      </c>
      <c r="M187" s="498" t="s">
        <v>6864</v>
      </c>
      <c r="N187" s="498" t="s">
        <v>6865</v>
      </c>
      <c r="O187" s="498" t="s">
        <v>1194</v>
      </c>
      <c r="P187" s="498" t="s">
        <v>7486</v>
      </c>
      <c r="Q187" s="498" t="s">
        <v>7500</v>
      </c>
      <c r="R187" s="498" t="s">
        <v>7488</v>
      </c>
      <c r="S187" s="498" t="s">
        <v>7489</v>
      </c>
      <c r="T187" s="498"/>
      <c r="U187" s="498"/>
      <c r="V187" s="498" t="s">
        <v>6905</v>
      </c>
      <c r="W187" s="498" t="s">
        <v>7074</v>
      </c>
      <c r="X187" s="498" t="s">
        <v>3608</v>
      </c>
      <c r="Y187" s="498"/>
      <c r="Z187" s="498">
        <v>5</v>
      </c>
      <c r="AA187" s="498" t="s">
        <v>6872</v>
      </c>
      <c r="AB187" s="498"/>
      <c r="AC187" s="498"/>
      <c r="AD187" s="498"/>
      <c r="AE187" s="498" t="s">
        <v>7490</v>
      </c>
      <c r="AF187" s="498" t="s">
        <v>6905</v>
      </c>
      <c r="AG187" s="498"/>
    </row>
    <row r="188" spans="2:33" hidden="1">
      <c r="B188" s="498" t="s">
        <v>6858</v>
      </c>
      <c r="C188" s="498" t="s">
        <v>2343</v>
      </c>
      <c r="D188" s="498" t="s">
        <v>7484</v>
      </c>
      <c r="E188" s="498" t="s">
        <v>26</v>
      </c>
      <c r="F188" s="498" t="s">
        <v>7501</v>
      </c>
      <c r="G188" s="499" t="s">
        <v>326</v>
      </c>
      <c r="H188" s="500" t="s">
        <v>6861</v>
      </c>
      <c r="I188" s="498" t="s">
        <v>6862</v>
      </c>
      <c r="J188" s="498" t="s">
        <v>6879</v>
      </c>
      <c r="K188" s="498" t="s">
        <v>2173</v>
      </c>
      <c r="L188" s="498" t="s">
        <v>855</v>
      </c>
      <c r="M188" s="498" t="s">
        <v>6864</v>
      </c>
      <c r="N188" s="498" t="s">
        <v>6865</v>
      </c>
      <c r="O188" s="498" t="s">
        <v>1194</v>
      </c>
      <c r="P188" s="498" t="s">
        <v>7486</v>
      </c>
      <c r="Q188" s="498" t="s">
        <v>7502</v>
      </c>
      <c r="R188" s="498" t="s">
        <v>7488</v>
      </c>
      <c r="S188" s="498" t="s">
        <v>7489</v>
      </c>
      <c r="T188" s="498"/>
      <c r="U188" s="498"/>
      <c r="V188" s="498" t="s">
        <v>6905</v>
      </c>
      <c r="W188" s="498" t="s">
        <v>7074</v>
      </c>
      <c r="X188" s="498" t="s">
        <v>3608</v>
      </c>
      <c r="Y188" s="498"/>
      <c r="Z188" s="498">
        <v>4</v>
      </c>
      <c r="AA188" s="498" t="s">
        <v>6872</v>
      </c>
      <c r="AB188" s="498"/>
      <c r="AC188" s="498"/>
      <c r="AD188" s="498"/>
      <c r="AE188" s="498" t="s">
        <v>7490</v>
      </c>
      <c r="AF188" s="498" t="s">
        <v>6905</v>
      </c>
      <c r="AG188" s="498"/>
    </row>
    <row r="189" spans="2:33" hidden="1">
      <c r="B189" s="498" t="s">
        <v>6858</v>
      </c>
      <c r="C189" s="498" t="s">
        <v>159</v>
      </c>
      <c r="D189" s="498" t="s">
        <v>7484</v>
      </c>
      <c r="E189" s="498" t="s">
        <v>26</v>
      </c>
      <c r="F189" s="498" t="s">
        <v>7503</v>
      </c>
      <c r="G189" s="499" t="s">
        <v>326</v>
      </c>
      <c r="H189" s="500" t="s">
        <v>6861</v>
      </c>
      <c r="I189" s="498" t="s">
        <v>6862</v>
      </c>
      <c r="J189" s="498" t="s">
        <v>6879</v>
      </c>
      <c r="K189" s="498" t="s">
        <v>2173</v>
      </c>
      <c r="L189" s="498" t="s">
        <v>855</v>
      </c>
      <c r="M189" s="498" t="s">
        <v>6864</v>
      </c>
      <c r="N189" s="498" t="s">
        <v>6865</v>
      </c>
      <c r="O189" s="498" t="s">
        <v>1194</v>
      </c>
      <c r="P189" s="498" t="s">
        <v>7486</v>
      </c>
      <c r="Q189" s="498" t="s">
        <v>7504</v>
      </c>
      <c r="R189" s="498" t="s">
        <v>7488</v>
      </c>
      <c r="S189" s="498" t="s">
        <v>7489</v>
      </c>
      <c r="T189" s="498"/>
      <c r="U189" s="498"/>
      <c r="V189" s="498" t="s">
        <v>6905</v>
      </c>
      <c r="W189" s="498" t="s">
        <v>7074</v>
      </c>
      <c r="X189" s="498" t="s">
        <v>3608</v>
      </c>
      <c r="Y189" s="498"/>
      <c r="Z189" s="498">
        <v>4</v>
      </c>
      <c r="AA189" s="498" t="s">
        <v>6872</v>
      </c>
      <c r="AB189" s="498"/>
      <c r="AC189" s="498"/>
      <c r="AD189" s="498"/>
      <c r="AE189" s="498" t="s">
        <v>7490</v>
      </c>
      <c r="AF189" s="498" t="s">
        <v>6905</v>
      </c>
      <c r="AG189" s="498"/>
    </row>
    <row r="190" spans="2:33" hidden="1">
      <c r="B190" s="498" t="s">
        <v>6858</v>
      </c>
      <c r="C190" s="498" t="s">
        <v>7505</v>
      </c>
      <c r="D190" s="498" t="s">
        <v>7484</v>
      </c>
      <c r="E190" s="498" t="s">
        <v>26</v>
      </c>
      <c r="F190" s="498" t="s">
        <v>7506</v>
      </c>
      <c r="G190" s="499" t="s">
        <v>326</v>
      </c>
      <c r="H190" s="500" t="s">
        <v>6861</v>
      </c>
      <c r="I190" s="498" t="s">
        <v>6862</v>
      </c>
      <c r="J190" s="498" t="s">
        <v>6879</v>
      </c>
      <c r="K190" s="498" t="s">
        <v>2173</v>
      </c>
      <c r="L190" s="498" t="s">
        <v>855</v>
      </c>
      <c r="M190" s="498" t="s">
        <v>6864</v>
      </c>
      <c r="N190" s="498" t="s">
        <v>6865</v>
      </c>
      <c r="O190" s="498" t="s">
        <v>1194</v>
      </c>
      <c r="P190" s="498" t="s">
        <v>7486</v>
      </c>
      <c r="Q190" s="498" t="s">
        <v>7507</v>
      </c>
      <c r="R190" s="498" t="s">
        <v>7488</v>
      </c>
      <c r="S190" s="498" t="s">
        <v>7489</v>
      </c>
      <c r="T190" s="498"/>
      <c r="U190" s="498"/>
      <c r="V190" s="498" t="s">
        <v>6905</v>
      </c>
      <c r="W190" s="498" t="s">
        <v>7074</v>
      </c>
      <c r="X190" s="498" t="s">
        <v>4271</v>
      </c>
      <c r="Y190" s="498"/>
      <c r="Z190" s="498">
        <v>3</v>
      </c>
      <c r="AA190" s="498" t="s">
        <v>6872</v>
      </c>
      <c r="AB190" s="498"/>
      <c r="AC190" s="498"/>
      <c r="AD190" s="498"/>
      <c r="AE190" s="498" t="s">
        <v>7490</v>
      </c>
      <c r="AF190" s="498" t="s">
        <v>6905</v>
      </c>
      <c r="AG190" s="498"/>
    </row>
    <row r="191" spans="2:33" hidden="1">
      <c r="B191" s="498" t="s">
        <v>6858</v>
      </c>
      <c r="C191" s="498" t="s">
        <v>7508</v>
      </c>
      <c r="D191" s="498" t="s">
        <v>7466</v>
      </c>
      <c r="E191" s="498" t="s">
        <v>26</v>
      </c>
      <c r="F191" s="498" t="s">
        <v>7509</v>
      </c>
      <c r="G191" s="499" t="s">
        <v>326</v>
      </c>
      <c r="H191" s="500" t="s">
        <v>6861</v>
      </c>
      <c r="I191" s="498" t="s">
        <v>6862</v>
      </c>
      <c r="J191" s="498" t="s">
        <v>6879</v>
      </c>
      <c r="K191" s="498" t="s">
        <v>2173</v>
      </c>
      <c r="L191" s="498" t="s">
        <v>855</v>
      </c>
      <c r="M191" s="498" t="s">
        <v>6864</v>
      </c>
      <c r="N191" s="498" t="s">
        <v>6865</v>
      </c>
      <c r="O191" s="498" t="s">
        <v>1194</v>
      </c>
      <c r="P191" s="498" t="s">
        <v>7510</v>
      </c>
      <c r="Q191" s="498" t="s">
        <v>7507</v>
      </c>
      <c r="R191" s="498" t="s">
        <v>7488</v>
      </c>
      <c r="S191" s="498" t="s">
        <v>7489</v>
      </c>
      <c r="T191" s="498" t="s">
        <v>7511</v>
      </c>
      <c r="U191" s="498"/>
      <c r="V191" s="498" t="s">
        <v>6900</v>
      </c>
      <c r="W191" s="498" t="s">
        <v>6883</v>
      </c>
      <c r="X191" s="498" t="s">
        <v>4271</v>
      </c>
      <c r="Y191" s="498"/>
      <c r="Z191" s="498">
        <v>3</v>
      </c>
      <c r="AA191" s="498" t="s">
        <v>6872</v>
      </c>
      <c r="AB191" s="498"/>
      <c r="AC191" s="498"/>
      <c r="AD191" s="498"/>
      <c r="AE191" s="498" t="s">
        <v>855</v>
      </c>
      <c r="AF191" s="498" t="s">
        <v>6901</v>
      </c>
      <c r="AG191" s="498"/>
    </row>
    <row r="192" spans="2:33" hidden="1">
      <c r="B192" s="498" t="s">
        <v>6858</v>
      </c>
      <c r="C192" s="498" t="s">
        <v>7512</v>
      </c>
      <c r="D192" s="498" t="s">
        <v>7466</v>
      </c>
      <c r="E192" s="498" t="s">
        <v>26</v>
      </c>
      <c r="F192" s="498" t="s">
        <v>7513</v>
      </c>
      <c r="G192" s="499" t="s">
        <v>326</v>
      </c>
      <c r="H192" s="500" t="s">
        <v>6861</v>
      </c>
      <c r="I192" s="498" t="s">
        <v>6862</v>
      </c>
      <c r="J192" s="498" t="s">
        <v>6879</v>
      </c>
      <c r="K192" s="498" t="s">
        <v>2173</v>
      </c>
      <c r="L192" s="498" t="s">
        <v>855</v>
      </c>
      <c r="M192" s="498" t="s">
        <v>6864</v>
      </c>
      <c r="N192" s="498" t="s">
        <v>6865</v>
      </c>
      <c r="O192" s="498" t="s">
        <v>1194</v>
      </c>
      <c r="P192" s="498" t="s">
        <v>7476</v>
      </c>
      <c r="Q192" s="498" t="s">
        <v>7514</v>
      </c>
      <c r="R192" s="498" t="s">
        <v>7515</v>
      </c>
      <c r="S192" s="498" t="s">
        <v>6868</v>
      </c>
      <c r="T192" s="498"/>
      <c r="U192" s="498"/>
      <c r="V192" s="498" t="s">
        <v>6905</v>
      </c>
      <c r="W192" s="498" t="s">
        <v>7074</v>
      </c>
      <c r="X192" s="498" t="s">
        <v>4271</v>
      </c>
      <c r="Y192" s="498"/>
      <c r="Z192" s="498" t="s">
        <v>6884</v>
      </c>
      <c r="AA192" s="498" t="s">
        <v>6872</v>
      </c>
      <c r="AB192" s="498"/>
      <c r="AC192" s="498"/>
      <c r="AD192" s="498"/>
      <c r="AE192" s="498" t="s">
        <v>855</v>
      </c>
      <c r="AF192" s="498" t="s">
        <v>6905</v>
      </c>
      <c r="AG192" s="498"/>
    </row>
    <row r="193" spans="2:33" hidden="1">
      <c r="B193" s="498" t="s">
        <v>6858</v>
      </c>
      <c r="C193" s="498" t="s">
        <v>7516</v>
      </c>
      <c r="D193" s="498" t="s">
        <v>7466</v>
      </c>
      <c r="E193" s="498" t="s">
        <v>26</v>
      </c>
      <c r="F193" s="498" t="s">
        <v>7517</v>
      </c>
      <c r="G193" s="499" t="s">
        <v>326</v>
      </c>
      <c r="H193" s="500" t="s">
        <v>6861</v>
      </c>
      <c r="I193" s="498" t="s">
        <v>6862</v>
      </c>
      <c r="J193" s="498" t="s">
        <v>6879</v>
      </c>
      <c r="K193" s="498" t="s">
        <v>2173</v>
      </c>
      <c r="L193" s="498" t="s">
        <v>855</v>
      </c>
      <c r="M193" s="498" t="s">
        <v>6864</v>
      </c>
      <c r="N193" s="498" t="s">
        <v>6865</v>
      </c>
      <c r="O193" s="498" t="s">
        <v>1194</v>
      </c>
      <c r="P193" s="498" t="s">
        <v>7476</v>
      </c>
      <c r="Q193" s="498" t="s">
        <v>7518</v>
      </c>
      <c r="R193" s="498" t="s">
        <v>7515</v>
      </c>
      <c r="S193" s="498" t="s">
        <v>6868</v>
      </c>
      <c r="T193" s="498" t="s">
        <v>7519</v>
      </c>
      <c r="U193" s="498"/>
      <c r="V193" s="498" t="s">
        <v>2177</v>
      </c>
      <c r="W193" s="498" t="s">
        <v>7074</v>
      </c>
      <c r="X193" s="498" t="s">
        <v>7520</v>
      </c>
      <c r="Y193" s="498"/>
      <c r="Z193" s="498">
        <v>5</v>
      </c>
      <c r="AA193" s="498" t="s">
        <v>6872</v>
      </c>
      <c r="AB193" s="498"/>
      <c r="AC193" s="498"/>
      <c r="AD193" s="498"/>
      <c r="AE193" s="498" t="s">
        <v>855</v>
      </c>
      <c r="AF193" s="498"/>
      <c r="AG193" s="498"/>
    </row>
    <row r="194" spans="2:33" hidden="1">
      <c r="B194" s="498" t="s">
        <v>6858</v>
      </c>
      <c r="C194" s="498" t="s">
        <v>4348</v>
      </c>
      <c r="D194" s="498" t="s">
        <v>7466</v>
      </c>
      <c r="E194" s="498" t="s">
        <v>26</v>
      </c>
      <c r="F194" s="498" t="s">
        <v>7521</v>
      </c>
      <c r="G194" s="499" t="s">
        <v>326</v>
      </c>
      <c r="H194" s="500" t="s">
        <v>6861</v>
      </c>
      <c r="I194" s="498" t="s">
        <v>6862</v>
      </c>
      <c r="J194" s="498" t="s">
        <v>6879</v>
      </c>
      <c r="K194" s="498" t="s">
        <v>2173</v>
      </c>
      <c r="L194" s="498" t="s">
        <v>855</v>
      </c>
      <c r="M194" s="498" t="s">
        <v>6864</v>
      </c>
      <c r="N194" s="498" t="s">
        <v>6865</v>
      </c>
      <c r="O194" s="498" t="s">
        <v>1194</v>
      </c>
      <c r="P194" s="498" t="s">
        <v>7522</v>
      </c>
      <c r="Q194" s="498"/>
      <c r="R194" s="498" t="s">
        <v>7515</v>
      </c>
      <c r="S194" s="498" t="s">
        <v>7489</v>
      </c>
      <c r="T194" s="498" t="s">
        <v>7523</v>
      </c>
      <c r="U194" s="498"/>
      <c r="V194" s="498" t="s">
        <v>6900</v>
      </c>
      <c r="W194" s="498" t="s">
        <v>7074</v>
      </c>
      <c r="X194" s="498" t="s">
        <v>2207</v>
      </c>
      <c r="Y194" s="498"/>
      <c r="Z194" s="498"/>
      <c r="AA194" s="498" t="s">
        <v>6872</v>
      </c>
      <c r="AB194" s="498"/>
      <c r="AC194" s="498"/>
      <c r="AD194" s="498"/>
      <c r="AE194" s="498" t="s">
        <v>855</v>
      </c>
      <c r="AF194" s="498" t="s">
        <v>6901</v>
      </c>
      <c r="AG194" s="498"/>
    </row>
    <row r="195" spans="2:33" hidden="1">
      <c r="B195" s="498" t="s">
        <v>6858</v>
      </c>
      <c r="C195" s="498" t="s">
        <v>7524</v>
      </c>
      <c r="D195" s="498" t="s">
        <v>7466</v>
      </c>
      <c r="E195" s="498" t="s">
        <v>26</v>
      </c>
      <c r="F195" s="498" t="s">
        <v>7525</v>
      </c>
      <c r="G195" s="499" t="s">
        <v>326</v>
      </c>
      <c r="H195" s="500" t="s">
        <v>6861</v>
      </c>
      <c r="I195" s="498" t="s">
        <v>6862</v>
      </c>
      <c r="J195" s="498" t="s">
        <v>6879</v>
      </c>
      <c r="K195" s="498" t="s">
        <v>2173</v>
      </c>
      <c r="L195" s="498" t="s">
        <v>855</v>
      </c>
      <c r="M195" s="498" t="s">
        <v>6864</v>
      </c>
      <c r="N195" s="498" t="s">
        <v>6865</v>
      </c>
      <c r="O195" s="498" t="s">
        <v>1194</v>
      </c>
      <c r="P195" s="498" t="s">
        <v>7476</v>
      </c>
      <c r="Q195" s="498" t="s">
        <v>7526</v>
      </c>
      <c r="R195" s="498" t="s">
        <v>7515</v>
      </c>
      <c r="S195" s="498" t="s">
        <v>6868</v>
      </c>
      <c r="T195" s="498"/>
      <c r="U195" s="498"/>
      <c r="V195" s="498" t="s">
        <v>7079</v>
      </c>
      <c r="W195" s="498" t="s">
        <v>6883</v>
      </c>
      <c r="X195" s="498" t="s">
        <v>4271</v>
      </c>
      <c r="Y195" s="498"/>
      <c r="Z195" s="498" t="s">
        <v>6884</v>
      </c>
      <c r="AA195" s="498" t="s">
        <v>6885</v>
      </c>
      <c r="AB195" s="498"/>
      <c r="AC195" s="498"/>
      <c r="AD195" s="498"/>
      <c r="AE195" s="498" t="s">
        <v>7479</v>
      </c>
      <c r="AF195" s="498" t="s">
        <v>7527</v>
      </c>
      <c r="AG195" s="498"/>
    </row>
    <row r="196" spans="2:33" hidden="1">
      <c r="B196" s="498" t="s">
        <v>6858</v>
      </c>
      <c r="C196" s="498" t="s">
        <v>7528</v>
      </c>
      <c r="D196" s="498" t="s">
        <v>7466</v>
      </c>
      <c r="E196" s="498" t="s">
        <v>26</v>
      </c>
      <c r="F196" s="498" t="s">
        <v>7529</v>
      </c>
      <c r="G196" s="499" t="s">
        <v>326</v>
      </c>
      <c r="H196" s="500" t="s">
        <v>6861</v>
      </c>
      <c r="I196" s="498" t="s">
        <v>6862</v>
      </c>
      <c r="J196" s="498" t="s">
        <v>6879</v>
      </c>
      <c r="K196" s="498" t="s">
        <v>2173</v>
      </c>
      <c r="L196" s="498" t="s">
        <v>855</v>
      </c>
      <c r="M196" s="498" t="s">
        <v>6864</v>
      </c>
      <c r="N196" s="498" t="s">
        <v>6865</v>
      </c>
      <c r="O196" s="498" t="s">
        <v>1194</v>
      </c>
      <c r="P196" s="498" t="s">
        <v>7476</v>
      </c>
      <c r="Q196" s="498" t="s">
        <v>1718</v>
      </c>
      <c r="R196" s="498" t="s">
        <v>7515</v>
      </c>
      <c r="S196" s="498" t="s">
        <v>6868</v>
      </c>
      <c r="T196" s="498"/>
      <c r="U196" s="498"/>
      <c r="V196" s="498" t="s">
        <v>6905</v>
      </c>
      <c r="W196" s="498"/>
      <c r="X196" s="498" t="s">
        <v>3608</v>
      </c>
      <c r="Y196" s="498"/>
      <c r="Z196" s="498">
        <v>25</v>
      </c>
      <c r="AA196" s="498"/>
      <c r="AB196" s="498"/>
      <c r="AC196" s="498"/>
      <c r="AD196" s="498"/>
      <c r="AE196" s="498" t="s">
        <v>855</v>
      </c>
      <c r="AF196" s="498" t="s">
        <v>6905</v>
      </c>
      <c r="AG196" s="498" t="s">
        <v>7530</v>
      </c>
    </row>
    <row r="197" spans="2:33" hidden="1">
      <c r="B197" s="498" t="s">
        <v>6858</v>
      </c>
      <c r="C197" s="498" t="s">
        <v>7531</v>
      </c>
      <c r="D197" s="498" t="s">
        <v>7466</v>
      </c>
      <c r="E197" s="498" t="s">
        <v>26</v>
      </c>
      <c r="F197" s="498" t="s">
        <v>7532</v>
      </c>
      <c r="G197" s="499" t="s">
        <v>326</v>
      </c>
      <c r="H197" s="500" t="s">
        <v>6861</v>
      </c>
      <c r="I197" s="498" t="s">
        <v>6862</v>
      </c>
      <c r="J197" s="498" t="s">
        <v>6879</v>
      </c>
      <c r="K197" s="498" t="s">
        <v>2173</v>
      </c>
      <c r="L197" s="498" t="s">
        <v>855</v>
      </c>
      <c r="M197" s="498" t="s">
        <v>6864</v>
      </c>
      <c r="N197" s="498" t="s">
        <v>6865</v>
      </c>
      <c r="O197" s="498" t="s">
        <v>1194</v>
      </c>
      <c r="P197" s="498" t="s">
        <v>7476</v>
      </c>
      <c r="Q197" s="498" t="s">
        <v>7533</v>
      </c>
      <c r="R197" s="498" t="s">
        <v>7515</v>
      </c>
      <c r="S197" s="498" t="s">
        <v>6868</v>
      </c>
      <c r="T197" s="498"/>
      <c r="U197" s="498"/>
      <c r="V197" s="498" t="s">
        <v>6905</v>
      </c>
      <c r="W197" s="498" t="s">
        <v>6883</v>
      </c>
      <c r="X197" s="498" t="s">
        <v>3608</v>
      </c>
      <c r="Y197" s="498"/>
      <c r="Z197" s="498">
        <v>6</v>
      </c>
      <c r="AA197" s="498" t="s">
        <v>6872</v>
      </c>
      <c r="AB197" s="498"/>
      <c r="AC197" s="498"/>
      <c r="AD197" s="498"/>
      <c r="AE197" s="498" t="s">
        <v>7479</v>
      </c>
      <c r="AF197" s="498" t="s">
        <v>6905</v>
      </c>
      <c r="AG197" s="498"/>
    </row>
    <row r="198" spans="2:33" hidden="1">
      <c r="B198" s="498" t="s">
        <v>6858</v>
      </c>
      <c r="C198" s="498" t="s">
        <v>7534</v>
      </c>
      <c r="D198" s="498" t="s">
        <v>7466</v>
      </c>
      <c r="E198" s="498" t="s">
        <v>26</v>
      </c>
      <c r="F198" s="498" t="s">
        <v>7535</v>
      </c>
      <c r="G198" s="499" t="s">
        <v>326</v>
      </c>
      <c r="H198" s="500" t="s">
        <v>6861</v>
      </c>
      <c r="I198" s="498" t="s">
        <v>6862</v>
      </c>
      <c r="J198" s="498" t="s">
        <v>6879</v>
      </c>
      <c r="K198" s="498" t="s">
        <v>2173</v>
      </c>
      <c r="L198" s="498" t="s">
        <v>855</v>
      </c>
      <c r="M198" s="498" t="s">
        <v>6864</v>
      </c>
      <c r="N198" s="498" t="s">
        <v>6865</v>
      </c>
      <c r="O198" s="498" t="s">
        <v>1194</v>
      </c>
      <c r="P198" s="498" t="s">
        <v>7476</v>
      </c>
      <c r="Q198" s="498" t="s">
        <v>7536</v>
      </c>
      <c r="R198" s="498" t="s">
        <v>7515</v>
      </c>
      <c r="S198" s="498" t="s">
        <v>6868</v>
      </c>
      <c r="T198" s="498" t="s">
        <v>7537</v>
      </c>
      <c r="U198" s="498"/>
      <c r="V198" s="498" t="s">
        <v>2177</v>
      </c>
      <c r="W198" s="498" t="s">
        <v>6883</v>
      </c>
      <c r="X198" s="498" t="s">
        <v>4271</v>
      </c>
      <c r="Y198" s="498"/>
      <c r="Z198" s="498">
        <v>5</v>
      </c>
      <c r="AA198" s="498" t="s">
        <v>6872</v>
      </c>
      <c r="AB198" s="498"/>
      <c r="AC198" s="498"/>
      <c r="AD198" s="498"/>
      <c r="AE198" s="498" t="s">
        <v>7479</v>
      </c>
      <c r="AF198" s="498"/>
      <c r="AG198" s="498"/>
    </row>
    <row r="199" spans="2:33" hidden="1">
      <c r="B199" s="498" t="s">
        <v>6858</v>
      </c>
      <c r="C199" s="498" t="s">
        <v>7538</v>
      </c>
      <c r="D199" s="498" t="s">
        <v>7466</v>
      </c>
      <c r="E199" s="498" t="s">
        <v>26</v>
      </c>
      <c r="F199" s="498" t="s">
        <v>7539</v>
      </c>
      <c r="G199" s="499" t="s">
        <v>326</v>
      </c>
      <c r="H199" s="500" t="s">
        <v>6861</v>
      </c>
      <c r="I199" s="498" t="s">
        <v>6862</v>
      </c>
      <c r="J199" s="498" t="s">
        <v>6879</v>
      </c>
      <c r="K199" s="498" t="s">
        <v>2173</v>
      </c>
      <c r="L199" s="498" t="s">
        <v>855</v>
      </c>
      <c r="M199" s="498" t="s">
        <v>6864</v>
      </c>
      <c r="N199" s="498" t="s">
        <v>6865</v>
      </c>
      <c r="O199" s="498" t="s">
        <v>1194</v>
      </c>
      <c r="P199" s="498" t="s">
        <v>7476</v>
      </c>
      <c r="Q199" s="498" t="s">
        <v>7540</v>
      </c>
      <c r="R199" s="498" t="s">
        <v>7515</v>
      </c>
      <c r="S199" s="498" t="s">
        <v>6868</v>
      </c>
      <c r="T199" s="498"/>
      <c r="U199" s="498"/>
      <c r="V199" s="498" t="s">
        <v>6905</v>
      </c>
      <c r="W199" s="498" t="s">
        <v>6883</v>
      </c>
      <c r="X199" s="498" t="s">
        <v>2207</v>
      </c>
      <c r="Y199" s="498"/>
      <c r="Z199" s="498"/>
      <c r="AA199" s="498" t="s">
        <v>7541</v>
      </c>
      <c r="AB199" s="498"/>
      <c r="AC199" s="498"/>
      <c r="AD199" s="498"/>
      <c r="AE199" s="498" t="s">
        <v>7479</v>
      </c>
      <c r="AF199" s="498" t="s">
        <v>6905</v>
      </c>
      <c r="AG199" s="498"/>
    </row>
    <row r="200" spans="2:33" hidden="1">
      <c r="B200" s="498" t="s">
        <v>6858</v>
      </c>
      <c r="C200" s="498" t="s">
        <v>7542</v>
      </c>
      <c r="D200" s="498" t="s">
        <v>7466</v>
      </c>
      <c r="E200" s="498" t="s">
        <v>26</v>
      </c>
      <c r="F200" s="498" t="s">
        <v>7543</v>
      </c>
      <c r="G200" s="499" t="s">
        <v>326</v>
      </c>
      <c r="H200" s="500" t="s">
        <v>6861</v>
      </c>
      <c r="I200" s="498" t="s">
        <v>6862</v>
      </c>
      <c r="J200" s="498" t="s">
        <v>6879</v>
      </c>
      <c r="K200" s="498" t="s">
        <v>2173</v>
      </c>
      <c r="L200" s="498" t="s">
        <v>855</v>
      </c>
      <c r="M200" s="498" t="s">
        <v>6864</v>
      </c>
      <c r="N200" s="498" t="s">
        <v>6865</v>
      </c>
      <c r="O200" s="498" t="s">
        <v>1194</v>
      </c>
      <c r="P200" s="498" t="s">
        <v>7476</v>
      </c>
      <c r="Q200" s="498" t="s">
        <v>1212</v>
      </c>
      <c r="R200" s="498" t="s">
        <v>7515</v>
      </c>
      <c r="S200" s="498" t="s">
        <v>6868</v>
      </c>
      <c r="T200" s="498" t="s">
        <v>7544</v>
      </c>
      <c r="U200" s="498"/>
      <c r="V200" s="498" t="s">
        <v>7079</v>
      </c>
      <c r="W200" s="498" t="s">
        <v>7545</v>
      </c>
      <c r="X200" s="498"/>
      <c r="Y200" s="498"/>
      <c r="Z200" s="498"/>
      <c r="AA200" s="498"/>
      <c r="AB200" s="498"/>
      <c r="AC200" s="498"/>
      <c r="AD200" s="498"/>
      <c r="AE200" s="498" t="s">
        <v>7479</v>
      </c>
      <c r="AF200" s="498" t="s">
        <v>7546</v>
      </c>
      <c r="AG200" s="498"/>
    </row>
    <row r="201" spans="2:33" hidden="1">
      <c r="B201" s="498" t="s">
        <v>6858</v>
      </c>
      <c r="C201" s="498" t="s">
        <v>440</v>
      </c>
      <c r="D201" s="498" t="s">
        <v>7466</v>
      </c>
      <c r="E201" s="498" t="s">
        <v>26</v>
      </c>
      <c r="F201" s="498" t="s">
        <v>7547</v>
      </c>
      <c r="G201" s="499" t="s">
        <v>326</v>
      </c>
      <c r="H201" s="500" t="s">
        <v>6861</v>
      </c>
      <c r="I201" s="498" t="s">
        <v>6862</v>
      </c>
      <c r="J201" s="498" t="s">
        <v>6879</v>
      </c>
      <c r="K201" s="498" t="s">
        <v>2173</v>
      </c>
      <c r="L201" s="498" t="s">
        <v>855</v>
      </c>
      <c r="M201" s="498" t="s">
        <v>6864</v>
      </c>
      <c r="N201" s="498" t="s">
        <v>6865</v>
      </c>
      <c r="O201" s="498" t="s">
        <v>1194</v>
      </c>
      <c r="P201" s="498" t="s">
        <v>7548</v>
      </c>
      <c r="Q201" s="498" t="s">
        <v>5826</v>
      </c>
      <c r="R201" s="498" t="s">
        <v>7549</v>
      </c>
      <c r="S201" s="498" t="s">
        <v>6868</v>
      </c>
      <c r="T201" s="498"/>
      <c r="U201" s="498"/>
      <c r="V201" s="498" t="s">
        <v>6905</v>
      </c>
      <c r="W201" s="498" t="s">
        <v>7074</v>
      </c>
      <c r="X201" s="498" t="s">
        <v>3582</v>
      </c>
      <c r="Y201" s="498"/>
      <c r="Z201" s="498">
        <v>250</v>
      </c>
      <c r="AA201" s="498"/>
      <c r="AB201" s="498" t="s">
        <v>3608</v>
      </c>
      <c r="AC201" s="498"/>
      <c r="AD201" s="498"/>
      <c r="AE201" s="498" t="s">
        <v>855</v>
      </c>
      <c r="AF201" s="498" t="s">
        <v>6905</v>
      </c>
      <c r="AG201" s="498"/>
    </row>
    <row r="202" spans="2:33" hidden="1">
      <c r="B202" s="498" t="s">
        <v>6858</v>
      </c>
      <c r="C202" s="498" t="s">
        <v>7550</v>
      </c>
      <c r="D202" s="498" t="s">
        <v>7466</v>
      </c>
      <c r="E202" s="498" t="s">
        <v>26</v>
      </c>
      <c r="F202" s="498" t="s">
        <v>7551</v>
      </c>
      <c r="G202" s="499" t="s">
        <v>326</v>
      </c>
      <c r="H202" s="500" t="s">
        <v>6861</v>
      </c>
      <c r="I202" s="498" t="s">
        <v>6862</v>
      </c>
      <c r="J202" s="498" t="s">
        <v>6879</v>
      </c>
      <c r="K202" s="498" t="s">
        <v>2173</v>
      </c>
      <c r="L202" s="498" t="s">
        <v>855</v>
      </c>
      <c r="M202" s="498" t="s">
        <v>6864</v>
      </c>
      <c r="N202" s="498" t="s">
        <v>6865</v>
      </c>
      <c r="O202" s="498" t="s">
        <v>1194</v>
      </c>
      <c r="P202" s="498" t="s">
        <v>7476</v>
      </c>
      <c r="Q202" s="498" t="s">
        <v>7552</v>
      </c>
      <c r="R202" s="498" t="s">
        <v>7515</v>
      </c>
      <c r="S202" s="498" t="s">
        <v>6868</v>
      </c>
      <c r="T202" s="498" t="s">
        <v>7553</v>
      </c>
      <c r="U202" s="498"/>
      <c r="V202" s="498" t="s">
        <v>2177</v>
      </c>
      <c r="W202" s="498" t="s">
        <v>7074</v>
      </c>
      <c r="X202" s="498" t="s">
        <v>7554</v>
      </c>
      <c r="Y202" s="498"/>
      <c r="Z202" s="498" t="s">
        <v>7555</v>
      </c>
      <c r="AA202" s="498"/>
      <c r="AB202" s="498"/>
      <c r="AC202" s="498"/>
      <c r="AD202" s="498"/>
      <c r="AE202" s="498" t="s">
        <v>855</v>
      </c>
      <c r="AF202" s="498"/>
      <c r="AG202" s="498"/>
    </row>
    <row r="203" spans="2:33" hidden="1">
      <c r="B203" s="498" t="s">
        <v>6858</v>
      </c>
      <c r="C203" s="498" t="s">
        <v>7286</v>
      </c>
      <c r="D203" s="498" t="s">
        <v>7466</v>
      </c>
      <c r="E203" s="498" t="s">
        <v>26</v>
      </c>
      <c r="F203" s="498" t="s">
        <v>7556</v>
      </c>
      <c r="G203" s="499" t="s">
        <v>326</v>
      </c>
      <c r="H203" s="500" t="s">
        <v>6861</v>
      </c>
      <c r="I203" s="498" t="s">
        <v>6862</v>
      </c>
      <c r="J203" s="498" t="s">
        <v>6879</v>
      </c>
      <c r="K203" s="498" t="s">
        <v>2173</v>
      </c>
      <c r="L203" s="498" t="s">
        <v>855</v>
      </c>
      <c r="M203" s="498" t="s">
        <v>6864</v>
      </c>
      <c r="N203" s="498" t="s">
        <v>6865</v>
      </c>
      <c r="O203" s="498" t="s">
        <v>1194</v>
      </c>
      <c r="P203" s="498" t="s">
        <v>7476</v>
      </c>
      <c r="Q203" s="498" t="s">
        <v>7557</v>
      </c>
      <c r="R203" s="498" t="s">
        <v>7515</v>
      </c>
      <c r="S203" s="498" t="s">
        <v>6868</v>
      </c>
      <c r="T203" s="498"/>
      <c r="U203" s="498"/>
      <c r="V203" s="498" t="s">
        <v>6905</v>
      </c>
      <c r="W203" s="498" t="s">
        <v>7074</v>
      </c>
      <c r="X203" s="498" t="s">
        <v>3608</v>
      </c>
      <c r="Y203" s="498"/>
      <c r="Z203" s="498">
        <v>25</v>
      </c>
      <c r="AA203" s="498"/>
      <c r="AB203" s="498" t="s">
        <v>3608</v>
      </c>
      <c r="AC203" s="498"/>
      <c r="AD203" s="498"/>
      <c r="AE203" s="498" t="s">
        <v>855</v>
      </c>
      <c r="AF203" s="498" t="s">
        <v>6905</v>
      </c>
      <c r="AG203" s="498"/>
    </row>
    <row r="204" spans="2:33" hidden="1">
      <c r="B204" s="498" t="s">
        <v>6858</v>
      </c>
      <c r="C204" s="498" t="s">
        <v>7558</v>
      </c>
      <c r="D204" s="498" t="s">
        <v>7466</v>
      </c>
      <c r="E204" s="498" t="s">
        <v>26</v>
      </c>
      <c r="F204" s="498" t="s">
        <v>7559</v>
      </c>
      <c r="G204" s="499" t="s">
        <v>326</v>
      </c>
      <c r="H204" s="500" t="s">
        <v>6861</v>
      </c>
      <c r="I204" s="498" t="s">
        <v>6862</v>
      </c>
      <c r="J204" s="498" t="s">
        <v>6879</v>
      </c>
      <c r="K204" s="498" t="s">
        <v>2173</v>
      </c>
      <c r="L204" s="498" t="s">
        <v>855</v>
      </c>
      <c r="M204" s="498" t="s">
        <v>6864</v>
      </c>
      <c r="N204" s="498" t="s">
        <v>6865</v>
      </c>
      <c r="O204" s="498" t="s">
        <v>1194</v>
      </c>
      <c r="P204" s="498" t="s">
        <v>7476</v>
      </c>
      <c r="Q204" s="498" t="s">
        <v>7560</v>
      </c>
      <c r="R204" s="498" t="s">
        <v>7515</v>
      </c>
      <c r="S204" s="498" t="s">
        <v>6868</v>
      </c>
      <c r="T204" s="498"/>
      <c r="U204" s="498"/>
      <c r="V204" s="498" t="s">
        <v>6905</v>
      </c>
      <c r="W204" s="498" t="s">
        <v>7074</v>
      </c>
      <c r="X204" s="498" t="s">
        <v>4271</v>
      </c>
      <c r="Y204" s="498"/>
      <c r="Z204" s="498" t="s">
        <v>6884</v>
      </c>
      <c r="AA204" s="498"/>
      <c r="AB204" s="498"/>
      <c r="AC204" s="498"/>
      <c r="AD204" s="498"/>
      <c r="AE204" s="498" t="s">
        <v>855</v>
      </c>
      <c r="AF204" s="498" t="s">
        <v>6905</v>
      </c>
      <c r="AG204" s="498"/>
    </row>
    <row r="205" spans="2:33" hidden="1">
      <c r="B205" s="498" t="s">
        <v>6858</v>
      </c>
      <c r="C205" s="498" t="s">
        <v>7377</v>
      </c>
      <c r="D205" s="498" t="s">
        <v>7466</v>
      </c>
      <c r="E205" s="498" t="s">
        <v>26</v>
      </c>
      <c r="F205" s="498" t="s">
        <v>7561</v>
      </c>
      <c r="G205" s="499" t="s">
        <v>326</v>
      </c>
      <c r="H205" s="500" t="s">
        <v>6861</v>
      </c>
      <c r="I205" s="498" t="s">
        <v>6862</v>
      </c>
      <c r="J205" s="498" t="s">
        <v>6879</v>
      </c>
      <c r="K205" s="498" t="s">
        <v>2173</v>
      </c>
      <c r="L205" s="498" t="s">
        <v>855</v>
      </c>
      <c r="M205" s="498" t="s">
        <v>6864</v>
      </c>
      <c r="N205" s="498" t="s">
        <v>6865</v>
      </c>
      <c r="O205" s="498" t="s">
        <v>1194</v>
      </c>
      <c r="P205" s="498" t="s">
        <v>7476</v>
      </c>
      <c r="Q205" s="498" t="s">
        <v>7562</v>
      </c>
      <c r="R205" s="498" t="s">
        <v>7515</v>
      </c>
      <c r="S205" s="498" t="s">
        <v>6868</v>
      </c>
      <c r="T205" s="498"/>
      <c r="U205" s="498"/>
      <c r="V205" s="498" t="s">
        <v>6905</v>
      </c>
      <c r="W205" s="498" t="s">
        <v>7074</v>
      </c>
      <c r="X205" s="498" t="s">
        <v>4271</v>
      </c>
      <c r="Y205" s="498"/>
      <c r="Z205" s="498" t="s">
        <v>6884</v>
      </c>
      <c r="AA205" s="498"/>
      <c r="AB205" s="498"/>
      <c r="AC205" s="498"/>
      <c r="AD205" s="498"/>
      <c r="AE205" s="498" t="s">
        <v>855</v>
      </c>
      <c r="AF205" s="498" t="s">
        <v>6905</v>
      </c>
      <c r="AG205" s="498"/>
    </row>
    <row r="206" spans="2:33" hidden="1">
      <c r="B206" s="498" t="s">
        <v>6858</v>
      </c>
      <c r="C206" s="498" t="s">
        <v>4345</v>
      </c>
      <c r="D206" s="498" t="s">
        <v>7466</v>
      </c>
      <c r="E206" s="498" t="s">
        <v>26</v>
      </c>
      <c r="F206" s="498" t="s">
        <v>7563</v>
      </c>
      <c r="G206" s="499" t="s">
        <v>326</v>
      </c>
      <c r="H206" s="500" t="s">
        <v>6861</v>
      </c>
      <c r="I206" s="498" t="s">
        <v>6862</v>
      </c>
      <c r="J206" s="498" t="s">
        <v>6879</v>
      </c>
      <c r="K206" s="498" t="s">
        <v>2173</v>
      </c>
      <c r="L206" s="498" t="s">
        <v>855</v>
      </c>
      <c r="M206" s="498" t="s">
        <v>6864</v>
      </c>
      <c r="N206" s="498" t="s">
        <v>6865</v>
      </c>
      <c r="O206" s="498" t="s">
        <v>1194</v>
      </c>
      <c r="P206" s="498" t="s">
        <v>7476</v>
      </c>
      <c r="Q206" s="498" t="s">
        <v>7564</v>
      </c>
      <c r="R206" s="498" t="s">
        <v>7515</v>
      </c>
      <c r="S206" s="498" t="s">
        <v>6868</v>
      </c>
      <c r="T206" s="498"/>
      <c r="U206" s="498"/>
      <c r="V206" s="498" t="s">
        <v>6905</v>
      </c>
      <c r="W206" s="498" t="s">
        <v>7074</v>
      </c>
      <c r="X206" s="498" t="s">
        <v>2207</v>
      </c>
      <c r="Y206" s="498"/>
      <c r="Z206" s="498"/>
      <c r="AA206" s="498"/>
      <c r="AB206" s="498"/>
      <c r="AC206" s="498"/>
      <c r="AD206" s="498"/>
      <c r="AE206" s="498" t="s">
        <v>855</v>
      </c>
      <c r="AF206" s="498" t="s">
        <v>6905</v>
      </c>
      <c r="AG206" s="498"/>
    </row>
    <row r="207" spans="2:33" hidden="1">
      <c r="B207" s="498" t="s">
        <v>6858</v>
      </c>
      <c r="C207" s="498" t="s">
        <v>159</v>
      </c>
      <c r="D207" s="498" t="s">
        <v>7466</v>
      </c>
      <c r="E207" s="498" t="s">
        <v>26</v>
      </c>
      <c r="F207" s="498" t="s">
        <v>7565</v>
      </c>
      <c r="G207" s="499" t="s">
        <v>326</v>
      </c>
      <c r="H207" s="500" t="s">
        <v>6861</v>
      </c>
      <c r="I207" s="498" t="s">
        <v>6862</v>
      </c>
      <c r="J207" s="498" t="s">
        <v>6879</v>
      </c>
      <c r="K207" s="498" t="s">
        <v>2173</v>
      </c>
      <c r="L207" s="498" t="s">
        <v>855</v>
      </c>
      <c r="M207" s="498" t="s">
        <v>6864</v>
      </c>
      <c r="N207" s="498" t="s">
        <v>6865</v>
      </c>
      <c r="O207" s="498" t="s">
        <v>1194</v>
      </c>
      <c r="P207" s="498" t="s">
        <v>7476</v>
      </c>
      <c r="Q207" s="498" t="s">
        <v>2307</v>
      </c>
      <c r="R207" s="498" t="s">
        <v>7515</v>
      </c>
      <c r="S207" s="498" t="s">
        <v>6868</v>
      </c>
      <c r="T207" s="498"/>
      <c r="U207" s="498"/>
      <c r="V207" s="498" t="s">
        <v>6905</v>
      </c>
      <c r="W207" s="498" t="s">
        <v>7074</v>
      </c>
      <c r="X207" s="498" t="s">
        <v>3608</v>
      </c>
      <c r="Y207" s="498"/>
      <c r="Z207" s="498">
        <v>4</v>
      </c>
      <c r="AA207" s="498"/>
      <c r="AB207" s="498"/>
      <c r="AC207" s="498"/>
      <c r="AD207" s="498"/>
      <c r="AE207" s="498" t="s">
        <v>855</v>
      </c>
      <c r="AF207" s="498" t="s">
        <v>6905</v>
      </c>
      <c r="AG207" s="498"/>
    </row>
    <row r="208" spans="2:33" hidden="1">
      <c r="B208" s="498" t="s">
        <v>6858</v>
      </c>
      <c r="C208" s="498" t="s">
        <v>7566</v>
      </c>
      <c r="D208" s="498" t="s">
        <v>7466</v>
      </c>
      <c r="E208" s="498" t="s">
        <v>26</v>
      </c>
      <c r="F208" s="498" t="s">
        <v>7567</v>
      </c>
      <c r="G208" s="499" t="s">
        <v>326</v>
      </c>
      <c r="H208" s="500" t="s">
        <v>6861</v>
      </c>
      <c r="I208" s="498" t="s">
        <v>6862</v>
      </c>
      <c r="J208" s="498" t="s">
        <v>6879</v>
      </c>
      <c r="K208" s="498" t="s">
        <v>2173</v>
      </c>
      <c r="L208" s="498" t="s">
        <v>855</v>
      </c>
      <c r="M208" s="498" t="s">
        <v>6864</v>
      </c>
      <c r="N208" s="498" t="s">
        <v>6865</v>
      </c>
      <c r="O208" s="498" t="s">
        <v>1194</v>
      </c>
      <c r="P208" s="498" t="s">
        <v>7476</v>
      </c>
      <c r="Q208" s="498" t="s">
        <v>7568</v>
      </c>
      <c r="R208" s="498" t="s">
        <v>7515</v>
      </c>
      <c r="S208" s="498" t="s">
        <v>6868</v>
      </c>
      <c r="T208" s="498"/>
      <c r="U208" s="498"/>
      <c r="V208" s="498" t="s">
        <v>6905</v>
      </c>
      <c r="W208" s="498" t="s">
        <v>7074</v>
      </c>
      <c r="X208" s="498" t="s">
        <v>4271</v>
      </c>
      <c r="Y208" s="498"/>
      <c r="Z208" s="498">
        <v>5</v>
      </c>
      <c r="AA208" s="498"/>
      <c r="AB208" s="498"/>
      <c r="AC208" s="498"/>
      <c r="AD208" s="498"/>
      <c r="AE208" s="498" t="s">
        <v>855</v>
      </c>
      <c r="AF208" s="498" t="s">
        <v>6905</v>
      </c>
      <c r="AG208" s="498"/>
    </row>
    <row r="209" spans="2:33" hidden="1">
      <c r="B209" s="498" t="s">
        <v>6968</v>
      </c>
      <c r="C209" s="498" t="s">
        <v>7569</v>
      </c>
      <c r="D209" s="498" t="s">
        <v>341</v>
      </c>
      <c r="E209" s="498" t="s">
        <v>26</v>
      </c>
      <c r="F209" s="498" t="s">
        <v>7570</v>
      </c>
      <c r="G209" s="499" t="s">
        <v>326</v>
      </c>
      <c r="H209" s="500" t="s">
        <v>6861</v>
      </c>
      <c r="I209" s="498" t="s">
        <v>6862</v>
      </c>
      <c r="J209" s="498" t="s">
        <v>7461</v>
      </c>
      <c r="K209" s="498" t="s">
        <v>2173</v>
      </c>
      <c r="L209" s="498" t="s">
        <v>855</v>
      </c>
      <c r="M209" s="498" t="s">
        <v>6864</v>
      </c>
      <c r="N209" s="498" t="s">
        <v>6865</v>
      </c>
      <c r="O209" s="498" t="s">
        <v>1194</v>
      </c>
      <c r="P209" s="498" t="s">
        <v>620</v>
      </c>
      <c r="Q209" s="498" t="s">
        <v>6965</v>
      </c>
      <c r="R209" s="498" t="s">
        <v>6867</v>
      </c>
      <c r="S209" s="498" t="s">
        <v>6868</v>
      </c>
      <c r="T209" s="498"/>
      <c r="U209" s="498"/>
      <c r="V209" s="498" t="s">
        <v>7079</v>
      </c>
      <c r="W209" s="498" t="s">
        <v>6870</v>
      </c>
      <c r="X209" s="498" t="s">
        <v>3608</v>
      </c>
      <c r="Y209" s="498"/>
      <c r="Z209" s="498">
        <v>25</v>
      </c>
      <c r="AA209" s="498"/>
      <c r="AB209" s="498"/>
      <c r="AC209" s="498"/>
      <c r="AD209" s="498"/>
      <c r="AE209" s="498" t="s">
        <v>6961</v>
      </c>
      <c r="AF209" s="498" t="s">
        <v>7571</v>
      </c>
      <c r="AG209" s="498" t="s">
        <v>7572</v>
      </c>
    </row>
    <row r="210" spans="2:33" hidden="1">
      <c r="B210" s="498" t="s">
        <v>6858</v>
      </c>
      <c r="C210" s="498" t="s">
        <v>7573</v>
      </c>
      <c r="D210" s="498" t="s">
        <v>3919</v>
      </c>
      <c r="E210" s="498" t="s">
        <v>26</v>
      </c>
      <c r="F210" s="498" t="s">
        <v>7570</v>
      </c>
      <c r="G210" s="499" t="s">
        <v>326</v>
      </c>
      <c r="H210" s="500" t="s">
        <v>6861</v>
      </c>
      <c r="I210" s="498" t="s">
        <v>6862</v>
      </c>
      <c r="J210" s="498" t="s">
        <v>7031</v>
      </c>
      <c r="K210" s="498" t="s">
        <v>2173</v>
      </c>
      <c r="L210" s="498" t="s">
        <v>855</v>
      </c>
      <c r="M210" s="498" t="s">
        <v>6864</v>
      </c>
      <c r="N210" s="498" t="s">
        <v>6865</v>
      </c>
      <c r="O210" s="498" t="s">
        <v>1194</v>
      </c>
      <c r="P210" s="498" t="s">
        <v>620</v>
      </c>
      <c r="Q210" s="498" t="s">
        <v>6965</v>
      </c>
      <c r="R210" s="498" t="s">
        <v>6867</v>
      </c>
      <c r="S210" s="498" t="s">
        <v>6868</v>
      </c>
      <c r="T210" s="498"/>
      <c r="U210" s="498"/>
      <c r="V210" s="498" t="s">
        <v>7079</v>
      </c>
      <c r="W210" s="498" t="s">
        <v>6870</v>
      </c>
      <c r="X210" s="498" t="s">
        <v>3608</v>
      </c>
      <c r="Y210" s="498"/>
      <c r="Z210" s="498">
        <v>25</v>
      </c>
      <c r="AA210" s="498"/>
      <c r="AB210" s="498"/>
      <c r="AC210" s="498"/>
      <c r="AD210" s="498"/>
      <c r="AE210" s="498" t="s">
        <v>6961</v>
      </c>
      <c r="AF210" s="498" t="s">
        <v>7571</v>
      </c>
      <c r="AG210" s="498" t="s">
        <v>7572</v>
      </c>
    </row>
    <row r="211" spans="2:33" hidden="1">
      <c r="B211" s="498" t="s">
        <v>6968</v>
      </c>
      <c r="C211" s="498" t="s">
        <v>343</v>
      </c>
      <c r="D211" s="498" t="s">
        <v>341</v>
      </c>
      <c r="E211" s="498" t="s">
        <v>26</v>
      </c>
      <c r="F211" s="498" t="s">
        <v>7574</v>
      </c>
      <c r="G211" s="499" t="s">
        <v>326</v>
      </c>
      <c r="H211" s="500" t="s">
        <v>6861</v>
      </c>
      <c r="I211" s="498" t="s">
        <v>6862</v>
      </c>
      <c r="J211" s="498" t="s">
        <v>7461</v>
      </c>
      <c r="K211" s="498" t="s">
        <v>2173</v>
      </c>
      <c r="L211" s="498" t="s">
        <v>855</v>
      </c>
      <c r="M211" s="498" t="s">
        <v>6864</v>
      </c>
      <c r="N211" s="498" t="s">
        <v>6865</v>
      </c>
      <c r="O211" s="498" t="s">
        <v>1194</v>
      </c>
      <c r="P211" s="498" t="s">
        <v>634</v>
      </c>
      <c r="Q211" s="498" t="s">
        <v>7575</v>
      </c>
      <c r="R211" s="498" t="s">
        <v>7457</v>
      </c>
      <c r="S211" s="498" t="s">
        <v>6868</v>
      </c>
      <c r="T211" s="498"/>
      <c r="U211" s="498"/>
      <c r="V211" s="498" t="s">
        <v>6905</v>
      </c>
      <c r="W211" s="498" t="s">
        <v>7576</v>
      </c>
      <c r="X211" s="498" t="s">
        <v>7577</v>
      </c>
      <c r="Y211" s="498" t="s">
        <v>6871</v>
      </c>
      <c r="Z211" s="498" t="s">
        <v>7578</v>
      </c>
      <c r="AA211" s="498" t="s">
        <v>6872</v>
      </c>
      <c r="AB211" s="498" t="s">
        <v>3608</v>
      </c>
      <c r="AC211" s="498" t="s">
        <v>6871</v>
      </c>
      <c r="AD211" s="498"/>
      <c r="AE211" s="498" t="s">
        <v>6961</v>
      </c>
      <c r="AF211" s="498" t="s">
        <v>6905</v>
      </c>
      <c r="AG211" s="498"/>
    </row>
    <row r="212" spans="2:33" hidden="1">
      <c r="B212" s="498" t="s">
        <v>6858</v>
      </c>
      <c r="C212" s="498" t="s">
        <v>7579</v>
      </c>
      <c r="D212" s="498" t="s">
        <v>3919</v>
      </c>
      <c r="E212" s="498" t="s">
        <v>26</v>
      </c>
      <c r="F212" s="498" t="s">
        <v>7580</v>
      </c>
      <c r="G212" s="499" t="s">
        <v>326</v>
      </c>
      <c r="H212" s="500" t="s">
        <v>6861</v>
      </c>
      <c r="I212" s="498" t="s">
        <v>6862</v>
      </c>
      <c r="J212" s="498" t="s">
        <v>6879</v>
      </c>
      <c r="K212" s="498" t="s">
        <v>2173</v>
      </c>
      <c r="L212" s="498" t="s">
        <v>855</v>
      </c>
      <c r="M212" s="498" t="s">
        <v>6864</v>
      </c>
      <c r="N212" s="498" t="s">
        <v>6865</v>
      </c>
      <c r="O212" s="498" t="s">
        <v>1194</v>
      </c>
      <c r="P212" s="498" t="s">
        <v>7581</v>
      </c>
      <c r="Q212" s="498" t="s">
        <v>5826</v>
      </c>
      <c r="R212" s="498" t="s">
        <v>7582</v>
      </c>
      <c r="S212" s="498" t="s">
        <v>6868</v>
      </c>
      <c r="T212" s="498"/>
      <c r="U212" s="498"/>
      <c r="V212" s="498" t="s">
        <v>6905</v>
      </c>
      <c r="W212" s="498" t="s">
        <v>7576</v>
      </c>
      <c r="X212" s="498" t="s">
        <v>3608</v>
      </c>
      <c r="Y212" s="498"/>
      <c r="Z212" s="498">
        <v>40</v>
      </c>
      <c r="AA212" s="498" t="s">
        <v>6872</v>
      </c>
      <c r="AB212" s="498" t="s">
        <v>3608</v>
      </c>
      <c r="AC212" s="498"/>
      <c r="AD212" s="498"/>
      <c r="AE212" s="498" t="s">
        <v>855</v>
      </c>
      <c r="AF212" s="498" t="s">
        <v>6905</v>
      </c>
      <c r="AG212" s="498"/>
    </row>
    <row r="213" spans="2:33" hidden="1">
      <c r="B213" s="498" t="s">
        <v>6858</v>
      </c>
      <c r="C213" s="498" t="s">
        <v>7391</v>
      </c>
      <c r="D213" s="498" t="s">
        <v>341</v>
      </c>
      <c r="E213" s="498" t="s">
        <v>26</v>
      </c>
      <c r="F213" s="498" t="s">
        <v>7583</v>
      </c>
      <c r="G213" s="499" t="s">
        <v>326</v>
      </c>
      <c r="H213" s="500" t="s">
        <v>6861</v>
      </c>
      <c r="I213" s="498" t="s">
        <v>6862</v>
      </c>
      <c r="J213" s="498" t="s">
        <v>6879</v>
      </c>
      <c r="K213" s="498" t="s">
        <v>2173</v>
      </c>
      <c r="L213" s="498" t="s">
        <v>855</v>
      </c>
      <c r="M213" s="498" t="s">
        <v>6864</v>
      </c>
      <c r="N213" s="498" t="s">
        <v>6865</v>
      </c>
      <c r="O213" s="498" t="s">
        <v>1194</v>
      </c>
      <c r="P213" s="498" t="s">
        <v>620</v>
      </c>
      <c r="Q213" s="498" t="s">
        <v>7389</v>
      </c>
      <c r="R213" s="498" t="s">
        <v>6867</v>
      </c>
      <c r="S213" s="498" t="s">
        <v>6868</v>
      </c>
      <c r="T213" s="498" t="s">
        <v>7390</v>
      </c>
      <c r="U213" s="498"/>
      <c r="V213" s="498" t="s">
        <v>2177</v>
      </c>
      <c r="W213" s="498" t="s">
        <v>6883</v>
      </c>
      <c r="X213" s="498" t="s">
        <v>4271</v>
      </c>
      <c r="Y213" s="498" t="s">
        <v>6871</v>
      </c>
      <c r="Z213" s="498" t="s">
        <v>6884</v>
      </c>
      <c r="AA213" s="498" t="s">
        <v>6885</v>
      </c>
      <c r="AB213" s="498"/>
      <c r="AC213" s="498" t="s">
        <v>6871</v>
      </c>
      <c r="AD213" s="498"/>
      <c r="AE213" s="498" t="s">
        <v>6961</v>
      </c>
      <c r="AF213" s="498"/>
      <c r="AG213" s="498"/>
    </row>
    <row r="214" spans="2:33" hidden="1">
      <c r="B214" s="498" t="s">
        <v>6858</v>
      </c>
      <c r="C214" s="498" t="s">
        <v>7584</v>
      </c>
      <c r="D214" s="498" t="s">
        <v>4497</v>
      </c>
      <c r="E214" s="498" t="s">
        <v>26</v>
      </c>
      <c r="F214" s="498" t="s">
        <v>7585</v>
      </c>
      <c r="G214" s="499" t="s">
        <v>326</v>
      </c>
      <c r="H214" s="500" t="s">
        <v>6861</v>
      </c>
      <c r="I214" s="498" t="s">
        <v>6862</v>
      </c>
      <c r="J214" s="498" t="s">
        <v>6934</v>
      </c>
      <c r="K214" s="498" t="s">
        <v>2173</v>
      </c>
      <c r="L214" s="498" t="s">
        <v>855</v>
      </c>
      <c r="M214" s="498" t="s">
        <v>6864</v>
      </c>
      <c r="N214" s="498" t="s">
        <v>6865</v>
      </c>
      <c r="O214" s="498" t="s">
        <v>1194</v>
      </c>
      <c r="P214" s="498" t="s">
        <v>7586</v>
      </c>
      <c r="Q214" s="498" t="s">
        <v>1728</v>
      </c>
      <c r="R214" s="498" t="s">
        <v>7587</v>
      </c>
      <c r="S214" s="498" t="s">
        <v>6868</v>
      </c>
      <c r="T214" s="498"/>
      <c r="U214" s="498"/>
      <c r="V214" s="498" t="s">
        <v>6905</v>
      </c>
      <c r="W214" s="498" t="s">
        <v>6870</v>
      </c>
      <c r="X214" s="498" t="s">
        <v>2207</v>
      </c>
      <c r="Y214" s="498"/>
      <c r="Z214" s="498"/>
      <c r="AA214" s="498" t="s">
        <v>6906</v>
      </c>
      <c r="AB214" s="498"/>
      <c r="AC214" s="498"/>
      <c r="AD214" s="498"/>
      <c r="AE214" s="498" t="s">
        <v>7588</v>
      </c>
      <c r="AF214" s="498" t="s">
        <v>6905</v>
      </c>
      <c r="AG214" s="498"/>
    </row>
    <row r="215" spans="2:33" hidden="1">
      <c r="B215" s="498" t="s">
        <v>6858</v>
      </c>
      <c r="C215" s="498" t="s">
        <v>7589</v>
      </c>
      <c r="D215" s="498" t="s">
        <v>4497</v>
      </c>
      <c r="E215" s="498" t="s">
        <v>26</v>
      </c>
      <c r="F215" s="498" t="s">
        <v>7589</v>
      </c>
      <c r="G215" s="499" t="s">
        <v>326</v>
      </c>
      <c r="H215" s="500" t="s">
        <v>6861</v>
      </c>
      <c r="I215" s="498" t="s">
        <v>6862</v>
      </c>
      <c r="J215" s="498" t="s">
        <v>6934</v>
      </c>
      <c r="K215" s="498" t="s">
        <v>2173</v>
      </c>
      <c r="L215" s="498" t="s">
        <v>855</v>
      </c>
      <c r="M215" s="498" t="s">
        <v>6864</v>
      </c>
      <c r="N215" s="498" t="s">
        <v>6865</v>
      </c>
      <c r="O215" s="498" t="s">
        <v>1194</v>
      </c>
      <c r="P215" s="498" t="s">
        <v>7586</v>
      </c>
      <c r="Q215" s="498" t="s">
        <v>7590</v>
      </c>
      <c r="R215" s="498" t="s">
        <v>7587</v>
      </c>
      <c r="S215" s="498" t="s">
        <v>6868</v>
      </c>
      <c r="T215" s="498"/>
      <c r="U215" s="498"/>
      <c r="V215" s="498" t="s">
        <v>6905</v>
      </c>
      <c r="W215" s="498" t="s">
        <v>6870</v>
      </c>
      <c r="X215" s="498" t="s">
        <v>4271</v>
      </c>
      <c r="Y215" s="498"/>
      <c r="Z215" s="498" t="s">
        <v>6884</v>
      </c>
      <c r="AA215" s="498" t="s">
        <v>7591</v>
      </c>
      <c r="AB215" s="498"/>
      <c r="AC215" s="498"/>
      <c r="AD215" s="498"/>
      <c r="AE215" s="498" t="s">
        <v>7592</v>
      </c>
      <c r="AF215" s="498" t="s">
        <v>6905</v>
      </c>
      <c r="AG215" s="498"/>
    </row>
    <row r="216" spans="2:33" hidden="1">
      <c r="B216" s="498" t="s">
        <v>6858</v>
      </c>
      <c r="C216" s="498" t="s">
        <v>5416</v>
      </c>
      <c r="D216" s="498" t="s">
        <v>7593</v>
      </c>
      <c r="E216" s="498" t="s">
        <v>26</v>
      </c>
      <c r="F216" s="498" t="s">
        <v>7594</v>
      </c>
      <c r="G216" s="499">
        <v>7</v>
      </c>
      <c r="H216" s="500" t="s">
        <v>7333</v>
      </c>
      <c r="I216" s="498" t="s">
        <v>7274</v>
      </c>
      <c r="J216" s="498" t="s">
        <v>2527</v>
      </c>
      <c r="K216" s="498" t="s">
        <v>7275</v>
      </c>
      <c r="L216" s="498" t="s">
        <v>7235</v>
      </c>
      <c r="M216" s="498" t="s">
        <v>7235</v>
      </c>
      <c r="N216" s="498"/>
      <c r="O216" s="498" t="s">
        <v>1194</v>
      </c>
      <c r="P216" s="498" t="s">
        <v>656</v>
      </c>
      <c r="Q216" s="498" t="s">
        <v>7368</v>
      </c>
      <c r="R216" s="498" t="s">
        <v>361</v>
      </c>
      <c r="S216" s="498" t="s">
        <v>6868</v>
      </c>
      <c r="T216" s="498" t="s">
        <v>7369</v>
      </c>
      <c r="U216" s="498"/>
      <c r="V216" s="498" t="s">
        <v>7079</v>
      </c>
      <c r="W216" s="498" t="s">
        <v>7074</v>
      </c>
      <c r="X216" s="498"/>
      <c r="Y216" s="498"/>
      <c r="Z216" s="498"/>
      <c r="AA216" s="498" t="s">
        <v>6872</v>
      </c>
      <c r="AB216" s="498"/>
      <c r="AC216" s="498"/>
      <c r="AD216" s="498"/>
      <c r="AE216" s="498" t="s">
        <v>7370</v>
      </c>
      <c r="AF216" s="498" t="s">
        <v>7595</v>
      </c>
      <c r="AG216" s="498" t="s">
        <v>7596</v>
      </c>
    </row>
    <row r="217" spans="2:33" hidden="1">
      <c r="B217" s="498" t="s">
        <v>6858</v>
      </c>
      <c r="C217" s="498" t="s">
        <v>5789</v>
      </c>
      <c r="D217" s="498" t="s">
        <v>7593</v>
      </c>
      <c r="E217" s="498" t="s">
        <v>26</v>
      </c>
      <c r="F217" s="498" t="s">
        <v>7597</v>
      </c>
      <c r="G217" s="499">
        <v>7</v>
      </c>
      <c r="H217" s="500" t="s">
        <v>7333</v>
      </c>
      <c r="I217" s="498" t="s">
        <v>7274</v>
      </c>
      <c r="J217" s="498" t="s">
        <v>2527</v>
      </c>
      <c r="K217" s="498" t="s">
        <v>7275</v>
      </c>
      <c r="L217" s="498" t="s">
        <v>7235</v>
      </c>
      <c r="M217" s="498" t="s">
        <v>7235</v>
      </c>
      <c r="N217" s="498"/>
      <c r="O217" s="498" t="s">
        <v>1194</v>
      </c>
      <c r="P217" s="498" t="s">
        <v>656</v>
      </c>
      <c r="Q217" s="498" t="s">
        <v>7373</v>
      </c>
      <c r="R217" s="498" t="s">
        <v>361</v>
      </c>
      <c r="S217" s="498" t="s">
        <v>6868</v>
      </c>
      <c r="T217" s="498" t="s">
        <v>7369</v>
      </c>
      <c r="U217" s="498"/>
      <c r="V217" s="498" t="s">
        <v>7079</v>
      </c>
      <c r="W217" s="498" t="s">
        <v>7074</v>
      </c>
      <c r="X217" s="498"/>
      <c r="Y217" s="498"/>
      <c r="Z217" s="498"/>
      <c r="AA217" s="498" t="s">
        <v>6872</v>
      </c>
      <c r="AB217" s="498"/>
      <c r="AC217" s="498"/>
      <c r="AD217" s="498"/>
      <c r="AE217" s="498" t="s">
        <v>7370</v>
      </c>
      <c r="AF217" s="498" t="s">
        <v>7595</v>
      </c>
      <c r="AG217" s="498" t="s">
        <v>7596</v>
      </c>
    </row>
    <row r="218" spans="2:33" hidden="1">
      <c r="B218" s="498" t="s">
        <v>6858</v>
      </c>
      <c r="C218" s="498" t="s">
        <v>7374</v>
      </c>
      <c r="D218" s="498" t="s">
        <v>7593</v>
      </c>
      <c r="E218" s="498" t="s">
        <v>26</v>
      </c>
      <c r="F218" s="498" t="s">
        <v>7598</v>
      </c>
      <c r="G218" s="499">
        <v>7</v>
      </c>
      <c r="H218" s="500" t="s">
        <v>7333</v>
      </c>
      <c r="I218" s="498" t="s">
        <v>7274</v>
      </c>
      <c r="J218" s="498" t="s">
        <v>2527</v>
      </c>
      <c r="K218" s="498" t="s">
        <v>7275</v>
      </c>
      <c r="L218" s="498" t="s">
        <v>7235</v>
      </c>
      <c r="M218" s="498" t="s">
        <v>7235</v>
      </c>
      <c r="N218" s="498"/>
      <c r="O218" s="498" t="s">
        <v>1194</v>
      </c>
      <c r="P218" s="498" t="s">
        <v>656</v>
      </c>
      <c r="Q218" s="498" t="s">
        <v>7376</v>
      </c>
      <c r="R218" s="498" t="s">
        <v>361</v>
      </c>
      <c r="S218" s="498" t="s">
        <v>6868</v>
      </c>
      <c r="T218" s="498" t="s">
        <v>7369</v>
      </c>
      <c r="U218" s="498"/>
      <c r="V218" s="498" t="s">
        <v>7079</v>
      </c>
      <c r="W218" s="498" t="s">
        <v>7074</v>
      </c>
      <c r="X218" s="498"/>
      <c r="Y218" s="498"/>
      <c r="Z218" s="498"/>
      <c r="AA218" s="498" t="s">
        <v>6872</v>
      </c>
      <c r="AB218" s="498"/>
      <c r="AC218" s="498"/>
      <c r="AD218" s="498"/>
      <c r="AE218" s="498" t="s">
        <v>7370</v>
      </c>
      <c r="AF218" s="498" t="s">
        <v>7595</v>
      </c>
      <c r="AG218" s="498" t="s">
        <v>7596</v>
      </c>
    </row>
    <row r="219" spans="2:33" hidden="1">
      <c r="B219" s="498" t="s">
        <v>6858</v>
      </c>
      <c r="C219" s="498" t="s">
        <v>7377</v>
      </c>
      <c r="D219" s="498" t="s">
        <v>7593</v>
      </c>
      <c r="E219" s="498" t="s">
        <v>26</v>
      </c>
      <c r="F219" s="498" t="s">
        <v>7599</v>
      </c>
      <c r="G219" s="499">
        <v>7</v>
      </c>
      <c r="H219" s="500" t="s">
        <v>7333</v>
      </c>
      <c r="I219" s="498" t="s">
        <v>7274</v>
      </c>
      <c r="J219" s="498" t="s">
        <v>2527</v>
      </c>
      <c r="K219" s="498" t="s">
        <v>7275</v>
      </c>
      <c r="L219" s="498" t="s">
        <v>7235</v>
      </c>
      <c r="M219" s="498" t="s">
        <v>7235</v>
      </c>
      <c r="N219" s="498"/>
      <c r="O219" s="498" t="s">
        <v>1194</v>
      </c>
      <c r="P219" s="498" t="s">
        <v>656</v>
      </c>
      <c r="Q219" s="498" t="s">
        <v>7379</v>
      </c>
      <c r="R219" s="498" t="s">
        <v>361</v>
      </c>
      <c r="S219" s="498" t="s">
        <v>6868</v>
      </c>
      <c r="T219" s="498" t="s">
        <v>7369</v>
      </c>
      <c r="U219" s="498"/>
      <c r="V219" s="498" t="s">
        <v>7079</v>
      </c>
      <c r="W219" s="498" t="s">
        <v>7074</v>
      </c>
      <c r="X219" s="498"/>
      <c r="Y219" s="498"/>
      <c r="Z219" s="498"/>
      <c r="AA219" s="498" t="s">
        <v>6872</v>
      </c>
      <c r="AB219" s="498"/>
      <c r="AC219" s="498"/>
      <c r="AD219" s="498"/>
      <c r="AE219" s="498" t="s">
        <v>7370</v>
      </c>
      <c r="AF219" s="498" t="s">
        <v>7595</v>
      </c>
      <c r="AG219" s="498" t="s">
        <v>7596</v>
      </c>
    </row>
    <row r="220" spans="2:33" hidden="1">
      <c r="B220" s="498" t="s">
        <v>6858</v>
      </c>
      <c r="C220" s="498" t="s">
        <v>4298</v>
      </c>
      <c r="D220" s="498" t="s">
        <v>7593</v>
      </c>
      <c r="E220" s="498" t="s">
        <v>26</v>
      </c>
      <c r="F220" s="498" t="s">
        <v>7600</v>
      </c>
      <c r="G220" s="499">
        <v>7</v>
      </c>
      <c r="H220" s="500" t="s">
        <v>7333</v>
      </c>
      <c r="I220" s="498" t="s">
        <v>7274</v>
      </c>
      <c r="J220" s="498" t="s">
        <v>2527</v>
      </c>
      <c r="K220" s="498" t="s">
        <v>7275</v>
      </c>
      <c r="L220" s="498" t="s">
        <v>7235</v>
      </c>
      <c r="M220" s="498" t="s">
        <v>7235</v>
      </c>
      <c r="N220" s="498" t="s">
        <v>6865</v>
      </c>
      <c r="O220" s="498" t="s">
        <v>1194</v>
      </c>
      <c r="P220" s="498" t="s">
        <v>7381</v>
      </c>
      <c r="Q220" s="498" t="s">
        <v>7382</v>
      </c>
      <c r="R220" s="498" t="s">
        <v>7383</v>
      </c>
      <c r="S220" s="498" t="s">
        <v>7384</v>
      </c>
      <c r="T220" s="498" t="s">
        <v>7369</v>
      </c>
      <c r="U220" s="498"/>
      <c r="V220" s="498" t="s">
        <v>7079</v>
      </c>
      <c r="W220" s="498" t="s">
        <v>7074</v>
      </c>
      <c r="X220" s="498"/>
      <c r="Y220" s="498"/>
      <c r="Z220" s="498"/>
      <c r="AA220" s="498" t="s">
        <v>6872</v>
      </c>
      <c r="AB220" s="498"/>
      <c r="AC220" s="498"/>
      <c r="AD220" s="498"/>
      <c r="AE220" s="498" t="s">
        <v>7370</v>
      </c>
      <c r="AF220" s="498" t="s">
        <v>7595</v>
      </c>
      <c r="AG220" s="498" t="s">
        <v>7596</v>
      </c>
    </row>
    <row r="221" spans="2:33" hidden="1">
      <c r="B221" s="498" t="s">
        <v>6858</v>
      </c>
      <c r="C221" s="498" t="s">
        <v>4242</v>
      </c>
      <c r="D221" s="498" t="s">
        <v>7593</v>
      </c>
      <c r="E221" s="498" t="s">
        <v>26</v>
      </c>
      <c r="F221" s="498" t="s">
        <v>7601</v>
      </c>
      <c r="G221" s="499">
        <v>7</v>
      </c>
      <c r="H221" s="500" t="s">
        <v>7333</v>
      </c>
      <c r="I221" s="498" t="s">
        <v>7274</v>
      </c>
      <c r="J221" s="498" t="s">
        <v>2527</v>
      </c>
      <c r="K221" s="498" t="s">
        <v>7275</v>
      </c>
      <c r="L221" s="498" t="s">
        <v>7235</v>
      </c>
      <c r="M221" s="498" t="s">
        <v>7235</v>
      </c>
      <c r="N221" s="498"/>
      <c r="O221" s="498" t="s">
        <v>1194</v>
      </c>
      <c r="P221" s="498" t="s">
        <v>656</v>
      </c>
      <c r="Q221" s="498" t="s">
        <v>7386</v>
      </c>
      <c r="R221" s="498" t="s">
        <v>361</v>
      </c>
      <c r="S221" s="498" t="s">
        <v>6868</v>
      </c>
      <c r="T221" s="498" t="s">
        <v>7369</v>
      </c>
      <c r="U221" s="498"/>
      <c r="V221" s="498" t="s">
        <v>7079</v>
      </c>
      <c r="W221" s="498" t="s">
        <v>7074</v>
      </c>
      <c r="X221" s="498"/>
      <c r="Y221" s="498"/>
      <c r="Z221" s="498"/>
      <c r="AA221" s="498" t="s">
        <v>6872</v>
      </c>
      <c r="AB221" s="498"/>
      <c r="AC221" s="498"/>
      <c r="AD221" s="498"/>
      <c r="AE221" s="498" t="s">
        <v>7370</v>
      </c>
      <c r="AF221" s="498" t="s">
        <v>7595</v>
      </c>
      <c r="AG221" s="498" t="s">
        <v>7596</v>
      </c>
    </row>
    <row r="222" spans="2:33" hidden="1">
      <c r="B222" s="498" t="s">
        <v>6858</v>
      </c>
      <c r="C222" s="498" t="s">
        <v>858</v>
      </c>
      <c r="D222" s="498" t="s">
        <v>4238</v>
      </c>
      <c r="E222" s="498" t="s">
        <v>26</v>
      </c>
      <c r="F222" s="498" t="s">
        <v>7602</v>
      </c>
      <c r="G222" s="499" t="s">
        <v>326</v>
      </c>
      <c r="H222" s="500" t="s">
        <v>6861</v>
      </c>
      <c r="I222" s="498" t="s">
        <v>6862</v>
      </c>
      <c r="J222" s="498" t="s">
        <v>6879</v>
      </c>
      <c r="K222" s="498" t="s">
        <v>2173</v>
      </c>
      <c r="L222" s="498" t="s">
        <v>855</v>
      </c>
      <c r="M222" s="498" t="s">
        <v>6864</v>
      </c>
      <c r="N222" s="498" t="s">
        <v>6865</v>
      </c>
      <c r="O222" s="498" t="s">
        <v>1194</v>
      </c>
      <c r="P222" s="498" t="s">
        <v>7603</v>
      </c>
      <c r="Q222" s="498" t="s">
        <v>7604</v>
      </c>
      <c r="R222" s="498" t="s">
        <v>7605</v>
      </c>
      <c r="S222" s="498" t="s">
        <v>6868</v>
      </c>
      <c r="T222" s="498"/>
      <c r="U222" s="498"/>
      <c r="V222" s="498" t="s">
        <v>6905</v>
      </c>
      <c r="W222" s="498" t="s">
        <v>7606</v>
      </c>
      <c r="X222" s="498" t="s">
        <v>3582</v>
      </c>
      <c r="Y222" s="498"/>
      <c r="Z222" s="498">
        <v>50</v>
      </c>
      <c r="AA222" s="498"/>
      <c r="AB222" s="498" t="s">
        <v>3608</v>
      </c>
      <c r="AC222" s="498"/>
      <c r="AD222" s="498"/>
      <c r="AE222" s="498" t="s">
        <v>855</v>
      </c>
      <c r="AF222" s="498" t="s">
        <v>6905</v>
      </c>
      <c r="AG222" s="498" t="s">
        <v>7607</v>
      </c>
    </row>
    <row r="223" spans="2:33" hidden="1">
      <c r="B223" s="498" t="s">
        <v>6858</v>
      </c>
      <c r="C223" s="498" t="s">
        <v>4266</v>
      </c>
      <c r="D223" s="498" t="s">
        <v>4238</v>
      </c>
      <c r="E223" s="498" t="s">
        <v>26</v>
      </c>
      <c r="F223" s="498" t="s">
        <v>7608</v>
      </c>
      <c r="G223" s="499" t="s">
        <v>326</v>
      </c>
      <c r="H223" s="500" t="s">
        <v>6861</v>
      </c>
      <c r="I223" s="498" t="s">
        <v>6862</v>
      </c>
      <c r="J223" s="498" t="s">
        <v>6879</v>
      </c>
      <c r="K223" s="498" t="s">
        <v>2173</v>
      </c>
      <c r="L223" s="498" t="s">
        <v>855</v>
      </c>
      <c r="M223" s="498" t="s">
        <v>6864</v>
      </c>
      <c r="N223" s="498" t="s">
        <v>6865</v>
      </c>
      <c r="O223" s="498" t="s">
        <v>1194</v>
      </c>
      <c r="P223" s="498" t="s">
        <v>7609</v>
      </c>
      <c r="Q223" s="498" t="s">
        <v>7610</v>
      </c>
      <c r="R223" s="498" t="s">
        <v>7611</v>
      </c>
      <c r="S223" s="498" t="s">
        <v>6868</v>
      </c>
      <c r="T223" s="498" t="s">
        <v>7612</v>
      </c>
      <c r="U223" s="498"/>
      <c r="V223" s="498" t="s">
        <v>2177</v>
      </c>
      <c r="W223" s="498" t="s">
        <v>7606</v>
      </c>
      <c r="X223" s="498" t="s">
        <v>7613</v>
      </c>
      <c r="Y223" s="498"/>
      <c r="Z223" s="498" t="s">
        <v>7614</v>
      </c>
      <c r="AA223" s="498"/>
      <c r="AB223" s="498"/>
      <c r="AC223" s="498"/>
      <c r="AD223" s="498"/>
      <c r="AE223" s="498" t="s">
        <v>855</v>
      </c>
      <c r="AF223" s="498"/>
      <c r="AG223" s="498"/>
    </row>
    <row r="224" spans="2:33" hidden="1">
      <c r="B224" s="498" t="s">
        <v>6858</v>
      </c>
      <c r="C224" s="498" t="s">
        <v>7615</v>
      </c>
      <c r="D224" s="498" t="s">
        <v>4238</v>
      </c>
      <c r="E224" s="498" t="s">
        <v>26</v>
      </c>
      <c r="F224" s="498" t="s">
        <v>7616</v>
      </c>
      <c r="G224" s="499" t="s">
        <v>326</v>
      </c>
      <c r="H224" s="500" t="s">
        <v>6861</v>
      </c>
      <c r="I224" s="498" t="s">
        <v>6862</v>
      </c>
      <c r="J224" s="498" t="s">
        <v>6879</v>
      </c>
      <c r="K224" s="498" t="s">
        <v>2173</v>
      </c>
      <c r="L224" s="498" t="s">
        <v>855</v>
      </c>
      <c r="M224" s="498" t="s">
        <v>6864</v>
      </c>
      <c r="N224" s="498" t="s">
        <v>6865</v>
      </c>
      <c r="O224" s="498" t="s">
        <v>1194</v>
      </c>
      <c r="P224" s="498" t="s">
        <v>7586</v>
      </c>
      <c r="Q224" s="498" t="s">
        <v>1728</v>
      </c>
      <c r="R224" s="498" t="s">
        <v>7587</v>
      </c>
      <c r="S224" s="498" t="s">
        <v>6868</v>
      </c>
      <c r="T224" s="498"/>
      <c r="U224" s="498"/>
      <c r="V224" s="498" t="s">
        <v>6905</v>
      </c>
      <c r="W224" s="498" t="s">
        <v>7606</v>
      </c>
      <c r="X224" s="498" t="s">
        <v>2207</v>
      </c>
      <c r="Y224" s="498"/>
      <c r="Z224" s="498"/>
      <c r="AA224" s="498"/>
      <c r="AB224" s="498"/>
      <c r="AC224" s="498"/>
      <c r="AD224" s="498"/>
      <c r="AE224" s="498" t="s">
        <v>855</v>
      </c>
      <c r="AF224" s="498" t="s">
        <v>6905</v>
      </c>
      <c r="AG224" s="498"/>
    </row>
    <row r="225" spans="2:33" hidden="1">
      <c r="B225" s="498" t="s">
        <v>6858</v>
      </c>
      <c r="C225" s="498" t="s">
        <v>4298</v>
      </c>
      <c r="D225" s="498" t="s">
        <v>4238</v>
      </c>
      <c r="E225" s="498" t="s">
        <v>26</v>
      </c>
      <c r="F225" s="498" t="s">
        <v>7617</v>
      </c>
      <c r="G225" s="499" t="s">
        <v>326</v>
      </c>
      <c r="H225" s="500" t="s">
        <v>6861</v>
      </c>
      <c r="I225" s="498" t="s">
        <v>6862</v>
      </c>
      <c r="J225" s="498" t="s">
        <v>6879</v>
      </c>
      <c r="K225" s="498" t="s">
        <v>2173</v>
      </c>
      <c r="L225" s="498" t="s">
        <v>855</v>
      </c>
      <c r="M225" s="498" t="s">
        <v>6864</v>
      </c>
      <c r="N225" s="498" t="s">
        <v>6865</v>
      </c>
      <c r="O225" s="498" t="s">
        <v>1194</v>
      </c>
      <c r="P225" s="498" t="s">
        <v>7618</v>
      </c>
      <c r="Q225" s="498" t="s">
        <v>7619</v>
      </c>
      <c r="R225" s="498" t="s">
        <v>7587</v>
      </c>
      <c r="S225" s="498" t="s">
        <v>6868</v>
      </c>
      <c r="T225" s="498" t="s">
        <v>7620</v>
      </c>
      <c r="U225" s="498"/>
      <c r="V225" s="498" t="s">
        <v>6900</v>
      </c>
      <c r="W225" s="498" t="s">
        <v>6935</v>
      </c>
      <c r="X225" s="498" t="s">
        <v>3608</v>
      </c>
      <c r="Y225" s="498"/>
      <c r="Z225" s="498">
        <v>4</v>
      </c>
      <c r="AA225" s="498"/>
      <c r="AB225" s="498"/>
      <c r="AC225" s="498"/>
      <c r="AD225" s="498"/>
      <c r="AE225" s="498" t="s">
        <v>855</v>
      </c>
      <c r="AF225" s="498" t="s">
        <v>6901</v>
      </c>
      <c r="AG225" s="498"/>
    </row>
    <row r="226" spans="2:33" hidden="1">
      <c r="B226" s="498" t="s">
        <v>6858</v>
      </c>
      <c r="C226" s="498" t="s">
        <v>7289</v>
      </c>
      <c r="D226" s="498" t="s">
        <v>4238</v>
      </c>
      <c r="E226" s="498" t="s">
        <v>26</v>
      </c>
      <c r="F226" s="498" t="s">
        <v>7621</v>
      </c>
      <c r="G226" s="499" t="s">
        <v>326</v>
      </c>
      <c r="H226" s="500" t="s">
        <v>6861</v>
      </c>
      <c r="I226" s="498" t="s">
        <v>6862</v>
      </c>
      <c r="J226" s="498" t="s">
        <v>6879</v>
      </c>
      <c r="K226" s="498" t="s">
        <v>2173</v>
      </c>
      <c r="L226" s="498" t="s">
        <v>855</v>
      </c>
      <c r="M226" s="498" t="s">
        <v>6864</v>
      </c>
      <c r="N226" s="498" t="s">
        <v>6865</v>
      </c>
      <c r="O226" s="498" t="s">
        <v>1194</v>
      </c>
      <c r="P226" s="498" t="s">
        <v>7622</v>
      </c>
      <c r="Q226" s="498" t="s">
        <v>7291</v>
      </c>
      <c r="R226" s="498" t="s">
        <v>7623</v>
      </c>
      <c r="S226" s="498" t="s">
        <v>6868</v>
      </c>
      <c r="T226" s="498"/>
      <c r="U226" s="498"/>
      <c r="V226" s="498" t="s">
        <v>6905</v>
      </c>
      <c r="W226" s="498" t="s">
        <v>7624</v>
      </c>
      <c r="X226" s="498" t="s">
        <v>3608</v>
      </c>
      <c r="Y226" s="498"/>
      <c r="Z226" s="498">
        <v>12</v>
      </c>
      <c r="AA226" s="498"/>
      <c r="AB226" s="498"/>
      <c r="AC226" s="498"/>
      <c r="AD226" s="498"/>
      <c r="AE226" s="498" t="s">
        <v>855</v>
      </c>
      <c r="AF226" s="498" t="s">
        <v>6905</v>
      </c>
      <c r="AG226" s="498"/>
    </row>
    <row r="227" spans="2:33" hidden="1">
      <c r="B227" s="498" t="s">
        <v>6858</v>
      </c>
      <c r="C227" s="498" t="s">
        <v>7625</v>
      </c>
      <c r="D227" s="498" t="s">
        <v>4238</v>
      </c>
      <c r="E227" s="498" t="s">
        <v>26</v>
      </c>
      <c r="F227" s="498" t="s">
        <v>7626</v>
      </c>
      <c r="G227" s="499" t="s">
        <v>326</v>
      </c>
      <c r="H227" s="500" t="s">
        <v>6861</v>
      </c>
      <c r="I227" s="498" t="s">
        <v>6862</v>
      </c>
      <c r="J227" s="498" t="s">
        <v>6879</v>
      </c>
      <c r="K227" s="498" t="s">
        <v>2173</v>
      </c>
      <c r="L227" s="498" t="s">
        <v>855</v>
      </c>
      <c r="M227" s="498" t="s">
        <v>6864</v>
      </c>
      <c r="N227" s="498" t="s">
        <v>6865</v>
      </c>
      <c r="O227" s="498" t="s">
        <v>1194</v>
      </c>
      <c r="P227" s="498" t="s">
        <v>7627</v>
      </c>
      <c r="Q227" s="498" t="s">
        <v>7628</v>
      </c>
      <c r="R227" s="498" t="s">
        <v>7629</v>
      </c>
      <c r="S227" s="498" t="s">
        <v>6868</v>
      </c>
      <c r="T227" s="498"/>
      <c r="U227" s="498"/>
      <c r="V227" s="498" t="s">
        <v>6905</v>
      </c>
      <c r="W227" s="498" t="s">
        <v>7624</v>
      </c>
      <c r="X227" s="498" t="s">
        <v>3608</v>
      </c>
      <c r="Y227" s="498"/>
      <c r="Z227" s="498">
        <v>40</v>
      </c>
      <c r="AA227" s="498"/>
      <c r="AB227" s="498" t="s">
        <v>3608</v>
      </c>
      <c r="AC227" s="498"/>
      <c r="AD227" s="498"/>
      <c r="AE227" s="498" t="s">
        <v>855</v>
      </c>
      <c r="AF227" s="498" t="s">
        <v>6905</v>
      </c>
      <c r="AG227" s="498"/>
    </row>
    <row r="228" spans="2:33" hidden="1">
      <c r="B228" s="498" t="s">
        <v>6858</v>
      </c>
      <c r="C228" s="498" t="s">
        <v>7630</v>
      </c>
      <c r="D228" s="498" t="s">
        <v>4238</v>
      </c>
      <c r="E228" s="498" t="s">
        <v>26</v>
      </c>
      <c r="F228" s="498" t="s">
        <v>7631</v>
      </c>
      <c r="G228" s="499" t="s">
        <v>326</v>
      </c>
      <c r="H228" s="500" t="s">
        <v>6861</v>
      </c>
      <c r="I228" s="498" t="s">
        <v>6862</v>
      </c>
      <c r="J228" s="498" t="s">
        <v>6879</v>
      </c>
      <c r="K228" s="498" t="s">
        <v>2173</v>
      </c>
      <c r="L228" s="498" t="s">
        <v>855</v>
      </c>
      <c r="M228" s="498" t="s">
        <v>6864</v>
      </c>
      <c r="N228" s="498" t="s">
        <v>6865</v>
      </c>
      <c r="O228" s="498" t="s">
        <v>1194</v>
      </c>
      <c r="P228" s="498" t="s">
        <v>7622</v>
      </c>
      <c r="Q228" s="498" t="s">
        <v>7257</v>
      </c>
      <c r="R228" s="498" t="s">
        <v>7623</v>
      </c>
      <c r="S228" s="498" t="s">
        <v>6868</v>
      </c>
      <c r="T228" s="498"/>
      <c r="U228" s="498"/>
      <c r="V228" s="498" t="s">
        <v>6905</v>
      </c>
      <c r="W228" s="498" t="s">
        <v>7624</v>
      </c>
      <c r="X228" s="498" t="s">
        <v>3608</v>
      </c>
      <c r="Y228" s="498"/>
      <c r="Z228" s="498">
        <v>8</v>
      </c>
      <c r="AA228" s="498"/>
      <c r="AB228" s="498" t="s">
        <v>3608</v>
      </c>
      <c r="AC228" s="498"/>
      <c r="AD228" s="498"/>
      <c r="AE228" s="498" t="s">
        <v>855</v>
      </c>
      <c r="AF228" s="498" t="s">
        <v>6905</v>
      </c>
      <c r="AG228" s="498"/>
    </row>
    <row r="229" spans="2:33" hidden="1">
      <c r="B229" s="498" t="s">
        <v>6858</v>
      </c>
      <c r="C229" s="498" t="s">
        <v>7247</v>
      </c>
      <c r="D229" s="498" t="s">
        <v>4238</v>
      </c>
      <c r="E229" s="498" t="s">
        <v>26</v>
      </c>
      <c r="F229" s="498" t="s">
        <v>7632</v>
      </c>
      <c r="G229" s="499" t="s">
        <v>326</v>
      </c>
      <c r="H229" s="500" t="s">
        <v>6861</v>
      </c>
      <c r="I229" s="498" t="s">
        <v>6862</v>
      </c>
      <c r="J229" s="498" t="s">
        <v>6879</v>
      </c>
      <c r="K229" s="498" t="s">
        <v>2173</v>
      </c>
      <c r="L229" s="498" t="s">
        <v>855</v>
      </c>
      <c r="M229" s="498" t="s">
        <v>6864</v>
      </c>
      <c r="N229" s="498" t="s">
        <v>6865</v>
      </c>
      <c r="O229" s="498" t="s">
        <v>1194</v>
      </c>
      <c r="P229" s="498" t="s">
        <v>7586</v>
      </c>
      <c r="Q229" s="498" t="s">
        <v>7249</v>
      </c>
      <c r="R229" s="498" t="s">
        <v>7587</v>
      </c>
      <c r="S229" s="498" t="s">
        <v>6868</v>
      </c>
      <c r="T229" s="498"/>
      <c r="U229" s="498"/>
      <c r="V229" s="498" t="s">
        <v>6905</v>
      </c>
      <c r="W229" s="498" t="s">
        <v>7624</v>
      </c>
      <c r="X229" s="498" t="s">
        <v>4271</v>
      </c>
      <c r="Y229" s="498"/>
      <c r="Z229" s="498" t="s">
        <v>6884</v>
      </c>
      <c r="AA229" s="498"/>
      <c r="AB229" s="498"/>
      <c r="AC229" s="498"/>
      <c r="AD229" s="498"/>
      <c r="AE229" s="498" t="s">
        <v>855</v>
      </c>
      <c r="AF229" s="498" t="s">
        <v>6905</v>
      </c>
      <c r="AG229" s="498"/>
    </row>
    <row r="230" spans="2:33" hidden="1">
      <c r="B230" s="498" t="s">
        <v>6858</v>
      </c>
      <c r="C230" s="498" t="s">
        <v>7633</v>
      </c>
      <c r="D230" s="498" t="s">
        <v>4238</v>
      </c>
      <c r="E230" s="498" t="s">
        <v>26</v>
      </c>
      <c r="F230" s="498" t="s">
        <v>7634</v>
      </c>
      <c r="G230" s="499" t="s">
        <v>326</v>
      </c>
      <c r="H230" s="500" t="s">
        <v>6861</v>
      </c>
      <c r="I230" s="498" t="s">
        <v>6862</v>
      </c>
      <c r="J230" s="498" t="s">
        <v>6879</v>
      </c>
      <c r="K230" s="498" t="s">
        <v>2173</v>
      </c>
      <c r="L230" s="498" t="s">
        <v>855</v>
      </c>
      <c r="M230" s="498" t="s">
        <v>6864</v>
      </c>
      <c r="N230" s="498" t="s">
        <v>6865</v>
      </c>
      <c r="O230" s="498" t="s">
        <v>1194</v>
      </c>
      <c r="P230" s="498" t="s">
        <v>7586</v>
      </c>
      <c r="Q230" s="498" t="s">
        <v>7635</v>
      </c>
      <c r="R230" s="498" t="s">
        <v>7587</v>
      </c>
      <c r="S230" s="498" t="s">
        <v>6868</v>
      </c>
      <c r="T230" s="498"/>
      <c r="U230" s="498"/>
      <c r="V230" s="498" t="s">
        <v>6905</v>
      </c>
      <c r="W230" s="498" t="s">
        <v>7624</v>
      </c>
      <c r="X230" s="498" t="s">
        <v>4271</v>
      </c>
      <c r="Y230" s="498"/>
      <c r="Z230" s="498" t="s">
        <v>6884</v>
      </c>
      <c r="AA230" s="498"/>
      <c r="AB230" s="498"/>
      <c r="AC230" s="498"/>
      <c r="AD230" s="498"/>
      <c r="AE230" s="498" t="s">
        <v>855</v>
      </c>
      <c r="AF230" s="498" t="s">
        <v>6905</v>
      </c>
      <c r="AG230" s="498"/>
    </row>
    <row r="231" spans="2:33" hidden="1">
      <c r="B231" s="498" t="s">
        <v>6858</v>
      </c>
      <c r="C231" s="498" t="s">
        <v>7636</v>
      </c>
      <c r="D231" s="498" t="s">
        <v>4238</v>
      </c>
      <c r="E231" s="498" t="s">
        <v>26</v>
      </c>
      <c r="F231" s="498" t="s">
        <v>7637</v>
      </c>
      <c r="G231" s="499" t="s">
        <v>326</v>
      </c>
      <c r="H231" s="500" t="s">
        <v>6861</v>
      </c>
      <c r="I231" s="498" t="s">
        <v>6862</v>
      </c>
      <c r="J231" s="498" t="s">
        <v>6879</v>
      </c>
      <c r="K231" s="498" t="s">
        <v>2173</v>
      </c>
      <c r="L231" s="498" t="s">
        <v>855</v>
      </c>
      <c r="M231" s="498" t="s">
        <v>6864</v>
      </c>
      <c r="N231" s="498" t="s">
        <v>6865</v>
      </c>
      <c r="O231" s="498" t="s">
        <v>1194</v>
      </c>
      <c r="P231" s="498" t="s">
        <v>7586</v>
      </c>
      <c r="Q231" s="498" t="s">
        <v>7638</v>
      </c>
      <c r="R231" s="498" t="s">
        <v>7587</v>
      </c>
      <c r="S231" s="498" t="s">
        <v>6868</v>
      </c>
      <c r="T231" s="498"/>
      <c r="U231" s="498"/>
      <c r="V231" s="498" t="s">
        <v>6905</v>
      </c>
      <c r="W231" s="498" t="s">
        <v>7624</v>
      </c>
      <c r="X231" s="498" t="s">
        <v>4271</v>
      </c>
      <c r="Y231" s="498"/>
      <c r="Z231" s="498" t="s">
        <v>6884</v>
      </c>
      <c r="AA231" s="498"/>
      <c r="AB231" s="498"/>
      <c r="AC231" s="498"/>
      <c r="AD231" s="498"/>
      <c r="AE231" s="498" t="s">
        <v>855</v>
      </c>
      <c r="AF231" s="498" t="s">
        <v>6905</v>
      </c>
      <c r="AG231" s="498"/>
    </row>
    <row r="232" spans="2:33" hidden="1">
      <c r="B232" s="498" t="s">
        <v>6858</v>
      </c>
      <c r="C232" s="498" t="s">
        <v>7639</v>
      </c>
      <c r="D232" s="498" t="s">
        <v>4238</v>
      </c>
      <c r="E232" s="498" t="s">
        <v>26</v>
      </c>
      <c r="F232" s="498" t="s">
        <v>7640</v>
      </c>
      <c r="G232" s="499" t="s">
        <v>326</v>
      </c>
      <c r="H232" s="500" t="s">
        <v>6861</v>
      </c>
      <c r="I232" s="498" t="s">
        <v>6862</v>
      </c>
      <c r="J232" s="498" t="s">
        <v>6879</v>
      </c>
      <c r="K232" s="498" t="s">
        <v>2173</v>
      </c>
      <c r="L232" s="498" t="s">
        <v>855</v>
      </c>
      <c r="M232" s="498" t="s">
        <v>6864</v>
      </c>
      <c r="N232" s="498" t="s">
        <v>6865</v>
      </c>
      <c r="O232" s="498" t="s">
        <v>1194</v>
      </c>
      <c r="P232" s="498" t="s">
        <v>7622</v>
      </c>
      <c r="Q232" s="498" t="s">
        <v>7641</v>
      </c>
      <c r="R232" s="498" t="s">
        <v>7623</v>
      </c>
      <c r="S232" s="498" t="s">
        <v>6868</v>
      </c>
      <c r="T232" s="498"/>
      <c r="U232" s="498"/>
      <c r="V232" s="498" t="s">
        <v>6905</v>
      </c>
      <c r="W232" s="498" t="s">
        <v>7624</v>
      </c>
      <c r="X232" s="498"/>
      <c r="Y232" s="498"/>
      <c r="Z232" s="498"/>
      <c r="AA232" s="498"/>
      <c r="AB232" s="498"/>
      <c r="AC232" s="498"/>
      <c r="AD232" s="498"/>
      <c r="AE232" s="498" t="s">
        <v>855</v>
      </c>
      <c r="AF232" s="498" t="s">
        <v>6905</v>
      </c>
      <c r="AG232" s="498" t="s">
        <v>7642</v>
      </c>
    </row>
    <row r="233" spans="2:33" hidden="1">
      <c r="B233" s="498" t="s">
        <v>6858</v>
      </c>
      <c r="C233" s="498" t="s">
        <v>7286</v>
      </c>
      <c r="D233" s="498" t="s">
        <v>4238</v>
      </c>
      <c r="E233" s="498" t="s">
        <v>26</v>
      </c>
      <c r="F233" s="498" t="s">
        <v>7643</v>
      </c>
      <c r="G233" s="499" t="s">
        <v>326</v>
      </c>
      <c r="H233" s="500" t="s">
        <v>6861</v>
      </c>
      <c r="I233" s="498" t="s">
        <v>6862</v>
      </c>
      <c r="J233" s="498" t="s">
        <v>6879</v>
      </c>
      <c r="K233" s="498" t="s">
        <v>2173</v>
      </c>
      <c r="L233" s="498" t="s">
        <v>855</v>
      </c>
      <c r="M233" s="498" t="s">
        <v>6864</v>
      </c>
      <c r="N233" s="498" t="s">
        <v>6865</v>
      </c>
      <c r="O233" s="498" t="s">
        <v>1194</v>
      </c>
      <c r="P233" s="498" t="s">
        <v>7622</v>
      </c>
      <c r="Q233" s="498" t="s">
        <v>7288</v>
      </c>
      <c r="R233" s="498" t="s">
        <v>7623</v>
      </c>
      <c r="S233" s="498" t="s">
        <v>6868</v>
      </c>
      <c r="T233" s="498"/>
      <c r="U233" s="498"/>
      <c r="V233" s="498" t="s">
        <v>6905</v>
      </c>
      <c r="W233" s="498" t="s">
        <v>7624</v>
      </c>
      <c r="X233" s="498" t="s">
        <v>3608</v>
      </c>
      <c r="Y233" s="498"/>
      <c r="Z233" s="498">
        <v>25</v>
      </c>
      <c r="AA233" s="498"/>
      <c r="AB233" s="498" t="s">
        <v>3608</v>
      </c>
      <c r="AC233" s="498"/>
      <c r="AD233" s="498"/>
      <c r="AE233" s="498" t="s">
        <v>855</v>
      </c>
      <c r="AF233" s="498" t="s">
        <v>6905</v>
      </c>
      <c r="AG233" s="498"/>
    </row>
    <row r="234" spans="2:33" hidden="1">
      <c r="B234" s="498" t="s">
        <v>6858</v>
      </c>
      <c r="C234" s="498" t="s">
        <v>7644</v>
      </c>
      <c r="D234" s="498" t="s">
        <v>4238</v>
      </c>
      <c r="E234" s="498" t="s">
        <v>26</v>
      </c>
      <c r="F234" s="498" t="s">
        <v>7645</v>
      </c>
      <c r="G234" s="499" t="s">
        <v>326</v>
      </c>
      <c r="H234" s="500" t="s">
        <v>6861</v>
      </c>
      <c r="I234" s="498" t="s">
        <v>6862</v>
      </c>
      <c r="J234" s="498" t="s">
        <v>6879</v>
      </c>
      <c r="K234" s="498" t="s">
        <v>2173</v>
      </c>
      <c r="L234" s="498" t="s">
        <v>855</v>
      </c>
      <c r="M234" s="498" t="s">
        <v>6864</v>
      </c>
      <c r="N234" s="498" t="s">
        <v>6865</v>
      </c>
      <c r="O234" s="498" t="s">
        <v>1194</v>
      </c>
      <c r="P234" s="498" t="s">
        <v>7622</v>
      </c>
      <c r="Q234" s="498" t="s">
        <v>7243</v>
      </c>
      <c r="R234" s="498" t="s">
        <v>7623</v>
      </c>
      <c r="S234" s="498" t="s">
        <v>6868</v>
      </c>
      <c r="T234" s="498"/>
      <c r="U234" s="498"/>
      <c r="V234" s="498" t="s">
        <v>6905</v>
      </c>
      <c r="W234" s="498" t="s">
        <v>7624</v>
      </c>
      <c r="X234" s="498" t="s">
        <v>3608</v>
      </c>
      <c r="Y234" s="498"/>
      <c r="Z234" s="498">
        <v>15</v>
      </c>
      <c r="AA234" s="498"/>
      <c r="AB234" s="498" t="s">
        <v>3608</v>
      </c>
      <c r="AC234" s="498"/>
      <c r="AD234" s="498"/>
      <c r="AE234" s="498" t="s">
        <v>855</v>
      </c>
      <c r="AF234" s="498" t="s">
        <v>6905</v>
      </c>
      <c r="AG234" s="498"/>
    </row>
    <row r="235" spans="2:33" hidden="1">
      <c r="B235" s="498" t="s">
        <v>6858</v>
      </c>
      <c r="C235" s="498" t="s">
        <v>7081</v>
      </c>
      <c r="D235" s="498" t="s">
        <v>4238</v>
      </c>
      <c r="E235" s="498" t="s">
        <v>26</v>
      </c>
      <c r="F235" s="498" t="s">
        <v>7646</v>
      </c>
      <c r="G235" s="499" t="s">
        <v>326</v>
      </c>
      <c r="H235" s="500" t="s">
        <v>6861</v>
      </c>
      <c r="I235" s="498" t="s">
        <v>6862</v>
      </c>
      <c r="J235" s="498" t="s">
        <v>6879</v>
      </c>
      <c r="K235" s="498" t="s">
        <v>2173</v>
      </c>
      <c r="L235" s="498" t="s">
        <v>855</v>
      </c>
      <c r="M235" s="498" t="s">
        <v>6864</v>
      </c>
      <c r="N235" s="498" t="s">
        <v>6865</v>
      </c>
      <c r="O235" s="498" t="s">
        <v>1194</v>
      </c>
      <c r="P235" s="498" t="s">
        <v>7622</v>
      </c>
      <c r="Q235" s="498" t="s">
        <v>7083</v>
      </c>
      <c r="R235" s="498" t="s">
        <v>7623</v>
      </c>
      <c r="S235" s="498" t="s">
        <v>6868</v>
      </c>
      <c r="T235" s="498"/>
      <c r="U235" s="498"/>
      <c r="V235" s="498" t="s">
        <v>6905</v>
      </c>
      <c r="W235" s="498" t="s">
        <v>7624</v>
      </c>
      <c r="X235" s="498" t="s">
        <v>3608</v>
      </c>
      <c r="Y235" s="498"/>
      <c r="Z235" s="498">
        <v>6</v>
      </c>
      <c r="AA235" s="498"/>
      <c r="AB235" s="498"/>
      <c r="AC235" s="498"/>
      <c r="AD235" s="498"/>
      <c r="AE235" s="498" t="s">
        <v>855</v>
      </c>
      <c r="AF235" s="498" t="s">
        <v>6905</v>
      </c>
      <c r="AG235" s="498"/>
    </row>
    <row r="236" spans="2:33" hidden="1">
      <c r="B236" s="498" t="s">
        <v>6858</v>
      </c>
      <c r="C236" s="498" t="s">
        <v>7647</v>
      </c>
      <c r="D236" s="498" t="s">
        <v>4238</v>
      </c>
      <c r="E236" s="498" t="s">
        <v>26</v>
      </c>
      <c r="F236" s="498" t="s">
        <v>7648</v>
      </c>
      <c r="G236" s="499" t="s">
        <v>326</v>
      </c>
      <c r="H236" s="500" t="s">
        <v>6861</v>
      </c>
      <c r="I236" s="498" t="s">
        <v>6862</v>
      </c>
      <c r="J236" s="498" t="s">
        <v>6879</v>
      </c>
      <c r="K236" s="498" t="s">
        <v>2173</v>
      </c>
      <c r="L236" s="498" t="s">
        <v>855</v>
      </c>
      <c r="M236" s="498" t="s">
        <v>6864</v>
      </c>
      <c r="N236" s="498" t="s">
        <v>6865</v>
      </c>
      <c r="O236" s="498" t="s">
        <v>1194</v>
      </c>
      <c r="P236" s="498" t="s">
        <v>7622</v>
      </c>
      <c r="Q236" s="498" t="s">
        <v>7263</v>
      </c>
      <c r="R236" s="498" t="s">
        <v>7623</v>
      </c>
      <c r="S236" s="498" t="s">
        <v>6868</v>
      </c>
      <c r="T236" s="498"/>
      <c r="U236" s="498"/>
      <c r="V236" s="498" t="s">
        <v>6905</v>
      </c>
      <c r="W236" s="498" t="s">
        <v>7624</v>
      </c>
      <c r="X236" s="498" t="s">
        <v>3608</v>
      </c>
      <c r="Y236" s="498"/>
      <c r="Z236" s="498">
        <v>13</v>
      </c>
      <c r="AA236" s="498"/>
      <c r="AB236" s="498" t="s">
        <v>3608</v>
      </c>
      <c r="AC236" s="498"/>
      <c r="AD236" s="498"/>
      <c r="AE236" s="498" t="s">
        <v>855</v>
      </c>
      <c r="AF236" s="498" t="s">
        <v>6905</v>
      </c>
      <c r="AG236" s="498"/>
    </row>
    <row r="237" spans="2:33" hidden="1">
      <c r="B237" s="498" t="s">
        <v>6858</v>
      </c>
      <c r="C237" s="498" t="s">
        <v>2821</v>
      </c>
      <c r="D237" s="498" t="s">
        <v>4238</v>
      </c>
      <c r="E237" s="498" t="s">
        <v>26</v>
      </c>
      <c r="F237" s="498" t="s">
        <v>7649</v>
      </c>
      <c r="G237" s="499" t="s">
        <v>326</v>
      </c>
      <c r="H237" s="500" t="s">
        <v>6861</v>
      </c>
      <c r="I237" s="498" t="s">
        <v>6862</v>
      </c>
      <c r="J237" s="498" t="s">
        <v>6879</v>
      </c>
      <c r="K237" s="498" t="s">
        <v>2173</v>
      </c>
      <c r="L237" s="498" t="s">
        <v>855</v>
      </c>
      <c r="M237" s="498" t="s">
        <v>6864</v>
      </c>
      <c r="N237" s="498" t="s">
        <v>6865</v>
      </c>
      <c r="O237" s="498" t="s">
        <v>1194</v>
      </c>
      <c r="P237" s="498" t="s">
        <v>7622</v>
      </c>
      <c r="Q237" s="498" t="s">
        <v>7265</v>
      </c>
      <c r="R237" s="498" t="s">
        <v>7623</v>
      </c>
      <c r="S237" s="498" t="s">
        <v>6868</v>
      </c>
      <c r="T237" s="498"/>
      <c r="U237" s="498"/>
      <c r="V237" s="498" t="s">
        <v>6905</v>
      </c>
      <c r="W237" s="498" t="s">
        <v>7624</v>
      </c>
      <c r="X237" s="498" t="s">
        <v>3608</v>
      </c>
      <c r="Y237" s="498"/>
      <c r="Z237" s="498">
        <v>3</v>
      </c>
      <c r="AA237" s="498"/>
      <c r="AB237" s="498"/>
      <c r="AC237" s="498"/>
      <c r="AD237" s="498"/>
      <c r="AE237" s="498" t="s">
        <v>855</v>
      </c>
      <c r="AF237" s="498" t="s">
        <v>6905</v>
      </c>
      <c r="AG237" s="498"/>
    </row>
    <row r="238" spans="2:33" hidden="1">
      <c r="B238" s="498" t="s">
        <v>6858</v>
      </c>
      <c r="C238" s="498" t="s">
        <v>7650</v>
      </c>
      <c r="D238" s="498" t="s">
        <v>4238</v>
      </c>
      <c r="E238" s="498" t="s">
        <v>26</v>
      </c>
      <c r="F238" s="498" t="s">
        <v>7651</v>
      </c>
      <c r="G238" s="499" t="s">
        <v>326</v>
      </c>
      <c r="H238" s="500" t="s">
        <v>6861</v>
      </c>
      <c r="I238" s="498" t="s">
        <v>6862</v>
      </c>
      <c r="J238" s="498" t="s">
        <v>2527</v>
      </c>
      <c r="K238" s="498" t="s">
        <v>2173</v>
      </c>
      <c r="L238" s="498" t="s">
        <v>855</v>
      </c>
      <c r="M238" s="498" t="s">
        <v>6864</v>
      </c>
      <c r="N238" s="498" t="s">
        <v>6865</v>
      </c>
      <c r="O238" s="498" t="s">
        <v>1194</v>
      </c>
      <c r="P238" s="498" t="s">
        <v>7586</v>
      </c>
      <c r="Q238" s="498" t="s">
        <v>7652</v>
      </c>
      <c r="R238" s="498" t="s">
        <v>7587</v>
      </c>
      <c r="S238" s="498" t="s">
        <v>6868</v>
      </c>
      <c r="T238" s="498"/>
      <c r="U238" s="498"/>
      <c r="V238" s="498" t="s">
        <v>6905</v>
      </c>
      <c r="W238" s="498" t="s">
        <v>7624</v>
      </c>
      <c r="X238" s="498" t="s">
        <v>4271</v>
      </c>
      <c r="Y238" s="498"/>
      <c r="Z238" s="498" t="s">
        <v>7653</v>
      </c>
      <c r="AA238" s="498"/>
      <c r="AB238" s="498"/>
      <c r="AC238" s="498"/>
      <c r="AD238" s="498"/>
      <c r="AE238" s="498" t="s">
        <v>855</v>
      </c>
      <c r="AF238" s="498" t="s">
        <v>6905</v>
      </c>
      <c r="AG238" s="498"/>
    </row>
    <row r="239" spans="2:33" hidden="1">
      <c r="B239" s="498" t="s">
        <v>6858</v>
      </c>
      <c r="C239" s="498" t="s">
        <v>7654</v>
      </c>
      <c r="D239" s="498" t="s">
        <v>4238</v>
      </c>
      <c r="E239" s="498" t="s">
        <v>26</v>
      </c>
      <c r="F239" s="498" t="s">
        <v>7655</v>
      </c>
      <c r="G239" s="499" t="s">
        <v>326</v>
      </c>
      <c r="H239" s="500" t="s">
        <v>6861</v>
      </c>
      <c r="I239" s="498" t="s">
        <v>6862</v>
      </c>
      <c r="J239" s="498" t="s">
        <v>6879</v>
      </c>
      <c r="K239" s="498" t="s">
        <v>2173</v>
      </c>
      <c r="L239" s="498" t="s">
        <v>855</v>
      </c>
      <c r="M239" s="498" t="s">
        <v>6864</v>
      </c>
      <c r="N239" s="498" t="s">
        <v>6865</v>
      </c>
      <c r="O239" s="498" t="s">
        <v>1194</v>
      </c>
      <c r="P239" s="498" t="s">
        <v>7622</v>
      </c>
      <c r="Q239" s="498" t="s">
        <v>7656</v>
      </c>
      <c r="R239" s="498" t="s">
        <v>7623</v>
      </c>
      <c r="S239" s="498" t="s">
        <v>6868</v>
      </c>
      <c r="T239" s="498" t="s">
        <v>7657</v>
      </c>
      <c r="U239" s="498"/>
      <c r="V239" s="498" t="s">
        <v>7276</v>
      </c>
      <c r="W239" s="498" t="s">
        <v>7624</v>
      </c>
      <c r="X239" s="498"/>
      <c r="Y239" s="498"/>
      <c r="Z239" s="498"/>
      <c r="AA239" s="498"/>
      <c r="AB239" s="498"/>
      <c r="AC239" s="498"/>
      <c r="AD239" s="498"/>
      <c r="AE239" s="498" t="s">
        <v>855</v>
      </c>
      <c r="AF239" s="498" t="s">
        <v>7658</v>
      </c>
      <c r="AG239" s="498"/>
    </row>
    <row r="240" spans="2:33" hidden="1">
      <c r="B240" s="498" t="s">
        <v>6858</v>
      </c>
      <c r="C240" s="498" t="s">
        <v>159</v>
      </c>
      <c r="D240" s="498" t="s">
        <v>4238</v>
      </c>
      <c r="E240" s="498" t="s">
        <v>26</v>
      </c>
      <c r="F240" s="498" t="s">
        <v>7659</v>
      </c>
      <c r="G240" s="499" t="s">
        <v>326</v>
      </c>
      <c r="H240" s="500" t="s">
        <v>6861</v>
      </c>
      <c r="I240" s="498" t="s">
        <v>6862</v>
      </c>
      <c r="J240" s="498" t="s">
        <v>6879</v>
      </c>
      <c r="K240" s="498" t="s">
        <v>2173</v>
      </c>
      <c r="L240" s="498" t="s">
        <v>855</v>
      </c>
      <c r="M240" s="498" t="s">
        <v>6864</v>
      </c>
      <c r="N240" s="498" t="s">
        <v>6865</v>
      </c>
      <c r="O240" s="498" t="s">
        <v>1194</v>
      </c>
      <c r="P240" s="498" t="s">
        <v>7660</v>
      </c>
      <c r="Q240" s="498" t="s">
        <v>7661</v>
      </c>
      <c r="R240" s="498" t="s">
        <v>7662</v>
      </c>
      <c r="S240" s="498" t="s">
        <v>6868</v>
      </c>
      <c r="T240" s="498"/>
      <c r="U240" s="498"/>
      <c r="V240" s="498" t="s">
        <v>6905</v>
      </c>
      <c r="W240" s="498" t="s">
        <v>7624</v>
      </c>
      <c r="X240" s="498" t="s">
        <v>6959</v>
      </c>
      <c r="Y240" s="498"/>
      <c r="Z240" s="498" t="s">
        <v>7037</v>
      </c>
      <c r="AA240" s="498"/>
      <c r="AB240" s="498" t="s">
        <v>3608</v>
      </c>
      <c r="AC240" s="498"/>
      <c r="AD240" s="498"/>
      <c r="AE240" s="498" t="s">
        <v>855</v>
      </c>
      <c r="AF240" s="498" t="s">
        <v>6905</v>
      </c>
      <c r="AG240" s="498"/>
    </row>
    <row r="241" spans="2:33" hidden="1">
      <c r="B241" s="498" t="s">
        <v>6858</v>
      </c>
      <c r="C241" s="498" t="s">
        <v>7663</v>
      </c>
      <c r="D241" s="498" t="s">
        <v>4238</v>
      </c>
      <c r="E241" s="498" t="s">
        <v>26</v>
      </c>
      <c r="F241" s="498" t="s">
        <v>7664</v>
      </c>
      <c r="G241" s="499" t="s">
        <v>326</v>
      </c>
      <c r="H241" s="500" t="s">
        <v>6861</v>
      </c>
      <c r="I241" s="498" t="s">
        <v>6862</v>
      </c>
      <c r="J241" s="498" t="s">
        <v>6879</v>
      </c>
      <c r="K241" s="498" t="s">
        <v>2173</v>
      </c>
      <c r="L241" s="498" t="s">
        <v>855</v>
      </c>
      <c r="M241" s="498" t="s">
        <v>6864</v>
      </c>
      <c r="N241" s="498" t="s">
        <v>6865</v>
      </c>
      <c r="O241" s="498" t="s">
        <v>1194</v>
      </c>
      <c r="P241" s="498" t="s">
        <v>7586</v>
      </c>
      <c r="Q241" s="498" t="s">
        <v>7665</v>
      </c>
      <c r="R241" s="498" t="s">
        <v>7587</v>
      </c>
      <c r="S241" s="498" t="s">
        <v>6868</v>
      </c>
      <c r="T241" s="498"/>
      <c r="U241" s="498"/>
      <c r="V241" s="498" t="s">
        <v>6905</v>
      </c>
      <c r="W241" s="498" t="s">
        <v>7624</v>
      </c>
      <c r="X241" s="498" t="s">
        <v>3608</v>
      </c>
      <c r="Y241" s="498"/>
      <c r="Z241" s="498">
        <v>11</v>
      </c>
      <c r="AA241" s="498"/>
      <c r="AB241" s="498" t="s">
        <v>3608</v>
      </c>
      <c r="AC241" s="498"/>
      <c r="AD241" s="498"/>
      <c r="AE241" s="498" t="s">
        <v>855</v>
      </c>
      <c r="AF241" s="498" t="s">
        <v>6905</v>
      </c>
      <c r="AG241" s="498"/>
    </row>
    <row r="242" spans="2:33" hidden="1">
      <c r="B242" s="498" t="s">
        <v>6858</v>
      </c>
      <c r="C242" s="498" t="s">
        <v>7666</v>
      </c>
      <c r="D242" s="498" t="s">
        <v>4238</v>
      </c>
      <c r="E242" s="498" t="s">
        <v>26</v>
      </c>
      <c r="F242" s="498" t="s">
        <v>7667</v>
      </c>
      <c r="G242" s="499" t="s">
        <v>326</v>
      </c>
      <c r="H242" s="500" t="s">
        <v>6861</v>
      </c>
      <c r="I242" s="498" t="s">
        <v>6862</v>
      </c>
      <c r="J242" s="498" t="s">
        <v>6879</v>
      </c>
      <c r="K242" s="498" t="s">
        <v>2173</v>
      </c>
      <c r="L242" s="498" t="s">
        <v>855</v>
      </c>
      <c r="M242" s="498" t="s">
        <v>6864</v>
      </c>
      <c r="N242" s="498" t="s">
        <v>6865</v>
      </c>
      <c r="O242" s="498" t="s">
        <v>1194</v>
      </c>
      <c r="P242" s="498" t="s">
        <v>7627</v>
      </c>
      <c r="Q242" s="498" t="s">
        <v>7628</v>
      </c>
      <c r="R242" s="498" t="s">
        <v>7668</v>
      </c>
      <c r="S242" s="498" t="s">
        <v>7669</v>
      </c>
      <c r="T242" s="498" t="s">
        <v>7670</v>
      </c>
      <c r="U242" s="498"/>
      <c r="V242" s="498" t="s">
        <v>2177</v>
      </c>
      <c r="W242" s="498" t="s">
        <v>7624</v>
      </c>
      <c r="X242" s="498" t="s">
        <v>3608</v>
      </c>
      <c r="Y242" s="498"/>
      <c r="Z242" s="498">
        <v>40</v>
      </c>
      <c r="AA242" s="498"/>
      <c r="AB242" s="498" t="s">
        <v>3608</v>
      </c>
      <c r="AC242" s="498"/>
      <c r="AD242" s="498"/>
      <c r="AE242" s="498" t="s">
        <v>855</v>
      </c>
      <c r="AF242" s="498"/>
      <c r="AG242" s="498"/>
    </row>
    <row r="243" spans="2:33" hidden="1">
      <c r="B243" s="498" t="s">
        <v>6858</v>
      </c>
      <c r="C243" s="498" t="s">
        <v>7671</v>
      </c>
      <c r="D243" s="498" t="s">
        <v>4238</v>
      </c>
      <c r="E243" s="498" t="s">
        <v>26</v>
      </c>
      <c r="F243" s="498" t="s">
        <v>7672</v>
      </c>
      <c r="G243" s="499" t="s">
        <v>326</v>
      </c>
      <c r="H243" s="500" t="s">
        <v>6861</v>
      </c>
      <c r="I243" s="498" t="s">
        <v>6862</v>
      </c>
      <c r="J243" s="498" t="s">
        <v>6879</v>
      </c>
      <c r="K243" s="498" t="s">
        <v>2173</v>
      </c>
      <c r="L243" s="498" t="s">
        <v>855</v>
      </c>
      <c r="M243" s="498" t="s">
        <v>6864</v>
      </c>
      <c r="N243" s="498" t="s">
        <v>6865</v>
      </c>
      <c r="O243" s="498" t="s">
        <v>1194</v>
      </c>
      <c r="P243" s="498" t="s">
        <v>7627</v>
      </c>
      <c r="Q243" s="498" t="s">
        <v>7628</v>
      </c>
      <c r="R243" s="498" t="s">
        <v>7673</v>
      </c>
      <c r="S243" s="498" t="s">
        <v>7674</v>
      </c>
      <c r="T243" s="498" t="s">
        <v>7675</v>
      </c>
      <c r="U243" s="498"/>
      <c r="V243" s="498" t="s">
        <v>2177</v>
      </c>
      <c r="W243" s="498" t="s">
        <v>7624</v>
      </c>
      <c r="X243" s="498" t="s">
        <v>3608</v>
      </c>
      <c r="Y243" s="498"/>
      <c r="Z243" s="498">
        <v>40</v>
      </c>
      <c r="AA243" s="498"/>
      <c r="AB243" s="498" t="s">
        <v>3608</v>
      </c>
      <c r="AC243" s="498"/>
      <c r="AD243" s="498"/>
      <c r="AE243" s="498" t="s">
        <v>855</v>
      </c>
      <c r="AF243" s="498"/>
      <c r="AG243" s="498"/>
    </row>
    <row r="244" spans="2:33" hidden="1">
      <c r="B244" s="498" t="s">
        <v>6858</v>
      </c>
      <c r="C244" s="498" t="s">
        <v>2669</v>
      </c>
      <c r="D244" s="498" t="s">
        <v>4238</v>
      </c>
      <c r="E244" s="498" t="s">
        <v>26</v>
      </c>
      <c r="F244" s="498" t="s">
        <v>7676</v>
      </c>
      <c r="G244" s="499" t="s">
        <v>326</v>
      </c>
      <c r="H244" s="500" t="s">
        <v>6861</v>
      </c>
      <c r="I244" s="498" t="s">
        <v>6862</v>
      </c>
      <c r="J244" s="498" t="s">
        <v>6879</v>
      </c>
      <c r="K244" s="498" t="s">
        <v>2173</v>
      </c>
      <c r="L244" s="498" t="s">
        <v>855</v>
      </c>
      <c r="M244" s="498" t="s">
        <v>6864</v>
      </c>
      <c r="N244" s="498" t="s">
        <v>6865</v>
      </c>
      <c r="O244" s="498" t="s">
        <v>1194</v>
      </c>
      <c r="P244" s="498" t="s">
        <v>7586</v>
      </c>
      <c r="Q244" s="498" t="s">
        <v>7305</v>
      </c>
      <c r="R244" s="498" t="s">
        <v>7587</v>
      </c>
      <c r="S244" s="498" t="s">
        <v>6868</v>
      </c>
      <c r="T244" s="498"/>
      <c r="U244" s="498"/>
      <c r="V244" s="498" t="s">
        <v>6905</v>
      </c>
      <c r="W244" s="498"/>
      <c r="X244" s="498" t="s">
        <v>3608</v>
      </c>
      <c r="Y244" s="498"/>
      <c r="Z244" s="498">
        <v>3</v>
      </c>
      <c r="AA244" s="498"/>
      <c r="AB244" s="498"/>
      <c r="AC244" s="498"/>
      <c r="AD244" s="498"/>
      <c r="AE244" s="498" t="s">
        <v>855</v>
      </c>
      <c r="AF244" s="498" t="s">
        <v>6905</v>
      </c>
      <c r="AG244" s="498"/>
    </row>
    <row r="245" spans="2:33" hidden="1">
      <c r="B245" s="498" t="s">
        <v>6858</v>
      </c>
      <c r="C245" s="498" t="s">
        <v>7677</v>
      </c>
      <c r="D245" s="498" t="s">
        <v>7678</v>
      </c>
      <c r="E245" s="498" t="s">
        <v>26</v>
      </c>
      <c r="F245" s="498" t="s">
        <v>7679</v>
      </c>
      <c r="G245" s="499" t="s">
        <v>326</v>
      </c>
      <c r="H245" s="500" t="s">
        <v>6861</v>
      </c>
      <c r="I245" s="498" t="s">
        <v>6862</v>
      </c>
      <c r="J245" s="498" t="s">
        <v>6879</v>
      </c>
      <c r="K245" s="498" t="s">
        <v>2173</v>
      </c>
      <c r="L245" s="498" t="s">
        <v>855</v>
      </c>
      <c r="M245" s="498" t="s">
        <v>6864</v>
      </c>
      <c r="N245" s="498" t="s">
        <v>1193</v>
      </c>
      <c r="O245" s="498" t="s">
        <v>7680</v>
      </c>
      <c r="P245" s="498" t="s">
        <v>7681</v>
      </c>
      <c r="Q245" s="498" t="s">
        <v>7682</v>
      </c>
      <c r="R245" s="498" t="s">
        <v>6881</v>
      </c>
      <c r="S245" s="498" t="s">
        <v>6868</v>
      </c>
      <c r="T245" s="498"/>
      <c r="U245" s="498"/>
      <c r="V245" s="498" t="s">
        <v>6869</v>
      </c>
      <c r="W245" s="498"/>
      <c r="X245" s="498"/>
      <c r="Y245" s="498"/>
      <c r="Z245" s="498"/>
      <c r="AA245" s="498"/>
      <c r="AB245" s="498"/>
      <c r="AC245" s="498"/>
      <c r="AD245" s="498"/>
      <c r="AE245" s="498"/>
      <c r="AF245" s="498" t="s">
        <v>6875</v>
      </c>
      <c r="AG245" s="498" t="s">
        <v>7683</v>
      </c>
    </row>
    <row r="246" spans="2:33" hidden="1">
      <c r="B246" s="498" t="s">
        <v>6858</v>
      </c>
      <c r="C246" s="498" t="s">
        <v>7684</v>
      </c>
      <c r="D246" s="498" t="s">
        <v>7678</v>
      </c>
      <c r="E246" s="498" t="s">
        <v>26</v>
      </c>
      <c r="F246" s="498" t="s">
        <v>7685</v>
      </c>
      <c r="G246" s="499">
        <v>4</v>
      </c>
      <c r="H246" s="500" t="s">
        <v>7333</v>
      </c>
      <c r="I246" s="498" t="s">
        <v>7096</v>
      </c>
      <c r="J246" s="498" t="s">
        <v>2527</v>
      </c>
      <c r="K246" s="498" t="s">
        <v>7234</v>
      </c>
      <c r="L246" s="498" t="s">
        <v>7235</v>
      </c>
      <c r="M246" s="498" t="s">
        <v>7235</v>
      </c>
      <c r="N246" s="498" t="s">
        <v>7235</v>
      </c>
      <c r="O246" s="498" t="s">
        <v>7235</v>
      </c>
      <c r="P246" s="498" t="s">
        <v>7235</v>
      </c>
      <c r="Q246" s="498" t="s">
        <v>7235</v>
      </c>
      <c r="R246" s="498" t="s">
        <v>7235</v>
      </c>
      <c r="S246" s="498" t="s">
        <v>7235</v>
      </c>
      <c r="T246" s="498" t="s">
        <v>7235</v>
      </c>
      <c r="U246" s="498"/>
      <c r="V246" s="498" t="s">
        <v>6869</v>
      </c>
      <c r="W246" s="498"/>
      <c r="X246" s="498"/>
      <c r="Y246" s="498"/>
      <c r="Z246" s="498"/>
      <c r="AA246" s="498"/>
      <c r="AB246" s="498"/>
      <c r="AC246" s="498"/>
      <c r="AD246" s="498"/>
      <c r="AE246" s="498"/>
      <c r="AF246" s="498" t="s">
        <v>6875</v>
      </c>
      <c r="AG246" s="498" t="s">
        <v>7686</v>
      </c>
    </row>
    <row r="247" spans="2:33" hidden="1">
      <c r="B247" s="498" t="s">
        <v>6858</v>
      </c>
      <c r="C247" s="498" t="s">
        <v>7687</v>
      </c>
      <c r="D247" s="498" t="s">
        <v>7678</v>
      </c>
      <c r="E247" s="498" t="s">
        <v>26</v>
      </c>
      <c r="F247" s="498" t="s">
        <v>7688</v>
      </c>
      <c r="G247" s="499" t="s">
        <v>326</v>
      </c>
      <c r="H247" s="500" t="s">
        <v>6861</v>
      </c>
      <c r="I247" s="498" t="s">
        <v>6862</v>
      </c>
      <c r="J247" s="498" t="s">
        <v>6879</v>
      </c>
      <c r="K247" s="498" t="s">
        <v>2173</v>
      </c>
      <c r="L247" s="498" t="s">
        <v>855</v>
      </c>
      <c r="M247" s="498" t="s">
        <v>6864</v>
      </c>
      <c r="N247" s="498" t="s">
        <v>6865</v>
      </c>
      <c r="O247" s="498" t="s">
        <v>1194</v>
      </c>
      <c r="P247" s="498" t="s">
        <v>643</v>
      </c>
      <c r="Q247" s="498" t="s">
        <v>7689</v>
      </c>
      <c r="R247" s="498" t="s">
        <v>6881</v>
      </c>
      <c r="S247" s="498" t="s">
        <v>6868</v>
      </c>
      <c r="T247" s="498" t="s">
        <v>7690</v>
      </c>
      <c r="U247" s="498"/>
      <c r="V247" s="498" t="s">
        <v>2177</v>
      </c>
      <c r="W247" s="498" t="s">
        <v>6883</v>
      </c>
      <c r="X247" s="498" t="s">
        <v>4271</v>
      </c>
      <c r="Y247" s="498"/>
      <c r="Z247" s="498" t="s">
        <v>6884</v>
      </c>
      <c r="AA247" s="498" t="s">
        <v>6872</v>
      </c>
      <c r="AB247" s="498"/>
      <c r="AC247" s="498"/>
      <c r="AD247" s="498"/>
      <c r="AE247" s="498" t="s">
        <v>6886</v>
      </c>
      <c r="AF247" s="498"/>
      <c r="AG247" s="498"/>
    </row>
    <row r="248" spans="2:33" hidden="1">
      <c r="B248" s="498" t="s">
        <v>6858</v>
      </c>
      <c r="C248" s="498" t="s">
        <v>7691</v>
      </c>
      <c r="D248" s="498" t="s">
        <v>7678</v>
      </c>
      <c r="E248" s="498" t="s">
        <v>26</v>
      </c>
      <c r="F248" s="498" t="s">
        <v>7692</v>
      </c>
      <c r="G248" s="499" t="s">
        <v>326</v>
      </c>
      <c r="H248" s="500" t="s">
        <v>6861</v>
      </c>
      <c r="I248" s="498" t="s">
        <v>6862</v>
      </c>
      <c r="J248" s="498" t="s">
        <v>6879</v>
      </c>
      <c r="K248" s="498" t="s">
        <v>2173</v>
      </c>
      <c r="L248" s="498" t="s">
        <v>855</v>
      </c>
      <c r="M248" s="498" t="s">
        <v>6864</v>
      </c>
      <c r="N248" s="498" t="s">
        <v>6865</v>
      </c>
      <c r="O248" s="498" t="s">
        <v>1194</v>
      </c>
      <c r="P248" s="498"/>
      <c r="Q248" s="498"/>
      <c r="R248" s="498" t="s">
        <v>361</v>
      </c>
      <c r="S248" s="498" t="s">
        <v>6868</v>
      </c>
      <c r="T248" s="498" t="s">
        <v>7693</v>
      </c>
      <c r="U248" s="498"/>
      <c r="V248" s="498" t="s">
        <v>2177</v>
      </c>
      <c r="W248" s="498" t="s">
        <v>6883</v>
      </c>
      <c r="X248" s="498"/>
      <c r="Y248" s="498"/>
      <c r="Z248" s="498"/>
      <c r="AA248" s="498" t="s">
        <v>6872</v>
      </c>
      <c r="AB248" s="498"/>
      <c r="AC248" s="498"/>
      <c r="AD248" s="498"/>
      <c r="AE248" s="498" t="s">
        <v>6886</v>
      </c>
      <c r="AF248" s="498"/>
      <c r="AG248" s="498" t="s">
        <v>7694</v>
      </c>
    </row>
    <row r="249" spans="2:33" hidden="1">
      <c r="B249" s="498" t="s">
        <v>6858</v>
      </c>
      <c r="C249" s="498" t="s">
        <v>7695</v>
      </c>
      <c r="D249" s="498" t="s">
        <v>7678</v>
      </c>
      <c r="E249" s="498" t="s">
        <v>26</v>
      </c>
      <c r="F249" s="498" t="s">
        <v>7696</v>
      </c>
      <c r="G249" s="499" t="s">
        <v>326</v>
      </c>
      <c r="H249" s="500" t="s">
        <v>6861</v>
      </c>
      <c r="I249" s="498" t="s">
        <v>6862</v>
      </c>
      <c r="J249" s="498" t="s">
        <v>6879</v>
      </c>
      <c r="K249" s="498" t="s">
        <v>2173</v>
      </c>
      <c r="L249" s="498" t="s">
        <v>855</v>
      </c>
      <c r="M249" s="498" t="s">
        <v>6864</v>
      </c>
      <c r="N249" s="498" t="s">
        <v>6865</v>
      </c>
      <c r="O249" s="498" t="s">
        <v>1194</v>
      </c>
      <c r="P249" s="498" t="s">
        <v>643</v>
      </c>
      <c r="Q249" s="498" t="s">
        <v>7697</v>
      </c>
      <c r="R249" s="498" t="s">
        <v>6881</v>
      </c>
      <c r="S249" s="498" t="s">
        <v>6868</v>
      </c>
      <c r="T249" s="498" t="s">
        <v>7698</v>
      </c>
      <c r="U249" s="498"/>
      <c r="V249" s="498" t="s">
        <v>2177</v>
      </c>
      <c r="W249" s="498" t="s">
        <v>6883</v>
      </c>
      <c r="X249" s="498" t="s">
        <v>4271</v>
      </c>
      <c r="Y249" s="498"/>
      <c r="Z249" s="498" t="s">
        <v>6884</v>
      </c>
      <c r="AA249" s="498" t="s">
        <v>6872</v>
      </c>
      <c r="AB249" s="498"/>
      <c r="AC249" s="498"/>
      <c r="AD249" s="498"/>
      <c r="AE249" s="498" t="s">
        <v>6886</v>
      </c>
      <c r="AF249" s="498"/>
      <c r="AG249" s="498"/>
    </row>
    <row r="250" spans="2:33" hidden="1">
      <c r="B250" s="498" t="s">
        <v>6858</v>
      </c>
      <c r="C250" s="498" t="s">
        <v>7699</v>
      </c>
      <c r="D250" s="498" t="s">
        <v>7678</v>
      </c>
      <c r="E250" s="498" t="s">
        <v>26</v>
      </c>
      <c r="F250" s="498" t="s">
        <v>7700</v>
      </c>
      <c r="G250" s="499" t="s">
        <v>326</v>
      </c>
      <c r="H250" s="500" t="s">
        <v>6861</v>
      </c>
      <c r="I250" s="498" t="s">
        <v>6862</v>
      </c>
      <c r="J250" s="498" t="s">
        <v>6879</v>
      </c>
      <c r="K250" s="498" t="s">
        <v>2173</v>
      </c>
      <c r="L250" s="498" t="s">
        <v>855</v>
      </c>
      <c r="M250" s="498" t="s">
        <v>6864</v>
      </c>
      <c r="N250" s="498" t="s">
        <v>6865</v>
      </c>
      <c r="O250" s="498" t="s">
        <v>1194</v>
      </c>
      <c r="P250" s="498"/>
      <c r="Q250" s="498"/>
      <c r="R250" s="498" t="s">
        <v>361</v>
      </c>
      <c r="S250" s="498" t="s">
        <v>6868</v>
      </c>
      <c r="T250" s="498" t="s">
        <v>7701</v>
      </c>
      <c r="U250" s="498"/>
      <c r="V250" s="498" t="s">
        <v>2177</v>
      </c>
      <c r="W250" s="498" t="s">
        <v>6883</v>
      </c>
      <c r="X250" s="498"/>
      <c r="Y250" s="498"/>
      <c r="Z250" s="498"/>
      <c r="AA250" s="498" t="s">
        <v>6872</v>
      </c>
      <c r="AB250" s="498"/>
      <c r="AC250" s="498"/>
      <c r="AD250" s="498"/>
      <c r="AE250" s="498" t="s">
        <v>6886</v>
      </c>
      <c r="AF250" s="498"/>
      <c r="AG250" s="498" t="s">
        <v>7694</v>
      </c>
    </row>
    <row r="251" spans="2:33" hidden="1">
      <c r="B251" s="498" t="s">
        <v>6858</v>
      </c>
      <c r="C251" s="498" t="s">
        <v>7702</v>
      </c>
      <c r="D251" s="498" t="s">
        <v>7678</v>
      </c>
      <c r="E251" s="498" t="s">
        <v>26</v>
      </c>
      <c r="F251" s="498" t="s">
        <v>7703</v>
      </c>
      <c r="G251" s="499" t="s">
        <v>326</v>
      </c>
      <c r="H251" s="500" t="s">
        <v>6861</v>
      </c>
      <c r="I251" s="498" t="s">
        <v>6862</v>
      </c>
      <c r="J251" s="498" t="s">
        <v>6879</v>
      </c>
      <c r="K251" s="498" t="s">
        <v>2173</v>
      </c>
      <c r="L251" s="498" t="s">
        <v>855</v>
      </c>
      <c r="M251" s="498" t="s">
        <v>6864</v>
      </c>
      <c r="N251" s="498" t="s">
        <v>6865</v>
      </c>
      <c r="O251" s="498" t="s">
        <v>1194</v>
      </c>
      <c r="P251" s="498" t="s">
        <v>643</v>
      </c>
      <c r="Q251" s="498" t="s">
        <v>6880</v>
      </c>
      <c r="R251" s="498" t="s">
        <v>6881</v>
      </c>
      <c r="S251" s="498" t="s">
        <v>6868</v>
      </c>
      <c r="T251" s="498"/>
      <c r="U251" s="498"/>
      <c r="V251" s="498" t="s">
        <v>6905</v>
      </c>
      <c r="W251" s="498" t="s">
        <v>6883</v>
      </c>
      <c r="X251" s="498" t="s">
        <v>4271</v>
      </c>
      <c r="Y251" s="498"/>
      <c r="Z251" s="498" t="s">
        <v>6884</v>
      </c>
      <c r="AA251" s="498" t="s">
        <v>6872</v>
      </c>
      <c r="AB251" s="498"/>
      <c r="AC251" s="498"/>
      <c r="AD251" s="498"/>
      <c r="AE251" s="498" t="s">
        <v>6886</v>
      </c>
      <c r="AF251" s="498" t="s">
        <v>6905</v>
      </c>
      <c r="AG251" s="498"/>
    </row>
    <row r="252" spans="2:33" hidden="1">
      <c r="B252" s="498" t="s">
        <v>6858</v>
      </c>
      <c r="C252" s="498" t="s">
        <v>7704</v>
      </c>
      <c r="D252" s="498" t="s">
        <v>7678</v>
      </c>
      <c r="E252" s="498" t="s">
        <v>26</v>
      </c>
      <c r="F252" s="498" t="s">
        <v>7705</v>
      </c>
      <c r="G252" s="499" t="s">
        <v>326</v>
      </c>
      <c r="H252" s="500" t="s">
        <v>6861</v>
      </c>
      <c r="I252" s="498" t="s">
        <v>6862</v>
      </c>
      <c r="J252" s="498" t="s">
        <v>6879</v>
      </c>
      <c r="K252" s="498" t="s">
        <v>2173</v>
      </c>
      <c r="L252" s="498" t="s">
        <v>855</v>
      </c>
      <c r="M252" s="498" t="s">
        <v>6864</v>
      </c>
      <c r="N252" s="498" t="s">
        <v>6865</v>
      </c>
      <c r="O252" s="498" t="s">
        <v>1194</v>
      </c>
      <c r="P252" s="498" t="s">
        <v>643</v>
      </c>
      <c r="Q252" s="498" t="s">
        <v>6889</v>
      </c>
      <c r="R252" s="498" t="s">
        <v>6881</v>
      </c>
      <c r="S252" s="498" t="s">
        <v>6868</v>
      </c>
      <c r="T252" s="498"/>
      <c r="U252" s="498"/>
      <c r="V252" s="498" t="s">
        <v>6905</v>
      </c>
      <c r="W252" s="498" t="s">
        <v>6883</v>
      </c>
      <c r="X252" s="498" t="s">
        <v>4271</v>
      </c>
      <c r="Y252" s="498"/>
      <c r="Z252" s="498" t="s">
        <v>6884</v>
      </c>
      <c r="AA252" s="498" t="s">
        <v>6872</v>
      </c>
      <c r="AB252" s="498"/>
      <c r="AC252" s="498"/>
      <c r="AD252" s="498"/>
      <c r="AE252" s="498" t="s">
        <v>6886</v>
      </c>
      <c r="AF252" s="498" t="s">
        <v>6905</v>
      </c>
      <c r="AG252" s="498"/>
    </row>
    <row r="253" spans="2:33" hidden="1">
      <c r="B253" s="498" t="s">
        <v>6858</v>
      </c>
      <c r="C253" s="498" t="s">
        <v>7706</v>
      </c>
      <c r="D253" s="498" t="s">
        <v>7678</v>
      </c>
      <c r="E253" s="498" t="s">
        <v>26</v>
      </c>
      <c r="F253" s="498" t="s">
        <v>7707</v>
      </c>
      <c r="G253" s="499" t="s">
        <v>326</v>
      </c>
      <c r="H253" s="500" t="s">
        <v>6861</v>
      </c>
      <c r="I253" s="498" t="s">
        <v>6862</v>
      </c>
      <c r="J253" s="498" t="s">
        <v>6879</v>
      </c>
      <c r="K253" s="498" t="s">
        <v>2173</v>
      </c>
      <c r="L253" s="498" t="s">
        <v>855</v>
      </c>
      <c r="M253" s="498" t="s">
        <v>6864</v>
      </c>
      <c r="N253" s="498" t="s">
        <v>6865</v>
      </c>
      <c r="O253" s="498" t="s">
        <v>1194</v>
      </c>
      <c r="P253" s="498" t="s">
        <v>643</v>
      </c>
      <c r="Q253" s="498" t="s">
        <v>7708</v>
      </c>
      <c r="R253" s="498" t="s">
        <v>6881</v>
      </c>
      <c r="S253" s="498" t="s">
        <v>6868</v>
      </c>
      <c r="T253" s="498"/>
      <c r="U253" s="498"/>
      <c r="V253" s="498" t="s">
        <v>6905</v>
      </c>
      <c r="W253" s="498" t="s">
        <v>6883</v>
      </c>
      <c r="X253" s="498" t="s">
        <v>2207</v>
      </c>
      <c r="Y253" s="498"/>
      <c r="Z253" s="498"/>
      <c r="AA253" s="498" t="s">
        <v>6872</v>
      </c>
      <c r="AB253" s="498"/>
      <c r="AC253" s="498"/>
      <c r="AD253" s="498"/>
      <c r="AE253" s="498" t="s">
        <v>6886</v>
      </c>
      <c r="AF253" s="498" t="s">
        <v>6905</v>
      </c>
      <c r="AG253" s="498"/>
    </row>
    <row r="254" spans="2:33" hidden="1">
      <c r="B254" s="498" t="s">
        <v>6858</v>
      </c>
      <c r="C254" s="498" t="s">
        <v>7709</v>
      </c>
      <c r="D254" s="498" t="s">
        <v>7678</v>
      </c>
      <c r="E254" s="498" t="s">
        <v>26</v>
      </c>
      <c r="F254" s="498" t="s">
        <v>7710</v>
      </c>
      <c r="G254" s="499" t="s">
        <v>326</v>
      </c>
      <c r="H254" s="500" t="s">
        <v>6861</v>
      </c>
      <c r="I254" s="498" t="s">
        <v>6862</v>
      </c>
      <c r="J254" s="498" t="s">
        <v>6879</v>
      </c>
      <c r="K254" s="498" t="s">
        <v>2173</v>
      </c>
      <c r="L254" s="498" t="s">
        <v>855</v>
      </c>
      <c r="M254" s="498" t="s">
        <v>6864</v>
      </c>
      <c r="N254" s="498" t="s">
        <v>6865</v>
      </c>
      <c r="O254" s="498" t="s">
        <v>1194</v>
      </c>
      <c r="P254" s="498" t="s">
        <v>643</v>
      </c>
      <c r="Q254" s="498" t="s">
        <v>7689</v>
      </c>
      <c r="R254" s="498" t="s">
        <v>6881</v>
      </c>
      <c r="S254" s="498" t="s">
        <v>6868</v>
      </c>
      <c r="T254" s="498" t="s">
        <v>7711</v>
      </c>
      <c r="U254" s="498"/>
      <c r="V254" s="498" t="s">
        <v>2177</v>
      </c>
      <c r="W254" s="498" t="s">
        <v>6883</v>
      </c>
      <c r="X254" s="498" t="s">
        <v>4271</v>
      </c>
      <c r="Y254" s="498"/>
      <c r="Z254" s="498" t="s">
        <v>6884</v>
      </c>
      <c r="AA254" s="498" t="s">
        <v>6885</v>
      </c>
      <c r="AB254" s="498"/>
      <c r="AC254" s="498"/>
      <c r="AD254" s="498"/>
      <c r="AE254" s="498" t="s">
        <v>6886</v>
      </c>
      <c r="AF254" s="498"/>
      <c r="AG254" s="498"/>
    </row>
    <row r="255" spans="2:33" hidden="1">
      <c r="B255" s="498" t="s">
        <v>6858</v>
      </c>
      <c r="C255" s="498" t="s">
        <v>6877</v>
      </c>
      <c r="D255" s="498" t="s">
        <v>7678</v>
      </c>
      <c r="E255" s="498" t="s">
        <v>26</v>
      </c>
      <c r="F255" s="498" t="s">
        <v>7712</v>
      </c>
      <c r="G255" s="499" t="s">
        <v>326</v>
      </c>
      <c r="H255" s="500" t="s">
        <v>6861</v>
      </c>
      <c r="I255" s="498" t="s">
        <v>6862</v>
      </c>
      <c r="J255" s="498" t="s">
        <v>6879</v>
      </c>
      <c r="K255" s="498" t="s">
        <v>2173</v>
      </c>
      <c r="L255" s="498" t="s">
        <v>855</v>
      </c>
      <c r="M255" s="498" t="s">
        <v>6864</v>
      </c>
      <c r="N255" s="498" t="s">
        <v>6865</v>
      </c>
      <c r="O255" s="498" t="s">
        <v>1194</v>
      </c>
      <c r="P255" s="498" t="s">
        <v>643</v>
      </c>
      <c r="Q255" s="498" t="s">
        <v>7713</v>
      </c>
      <c r="R255" s="498" t="s">
        <v>6881</v>
      </c>
      <c r="S255" s="498" t="s">
        <v>6868</v>
      </c>
      <c r="T255" s="498"/>
      <c r="U255" s="498"/>
      <c r="V255" s="498" t="s">
        <v>6905</v>
      </c>
      <c r="W255" s="498" t="s">
        <v>6883</v>
      </c>
      <c r="X255" s="498" t="s">
        <v>4271</v>
      </c>
      <c r="Y255" s="498"/>
      <c r="Z255" s="498" t="s">
        <v>6884</v>
      </c>
      <c r="AA255" s="498" t="s">
        <v>6872</v>
      </c>
      <c r="AB255" s="498"/>
      <c r="AC255" s="498"/>
      <c r="AD255" s="498"/>
      <c r="AE255" s="498" t="s">
        <v>6886</v>
      </c>
      <c r="AF255" s="498" t="s">
        <v>6905</v>
      </c>
      <c r="AG255" s="498"/>
    </row>
    <row r="256" spans="2:33" hidden="1">
      <c r="B256" s="498" t="s">
        <v>6858</v>
      </c>
      <c r="C256" s="498" t="s">
        <v>6887</v>
      </c>
      <c r="D256" s="498" t="s">
        <v>7678</v>
      </c>
      <c r="E256" s="498" t="s">
        <v>26</v>
      </c>
      <c r="F256" s="498" t="s">
        <v>7714</v>
      </c>
      <c r="G256" s="499" t="s">
        <v>326</v>
      </c>
      <c r="H256" s="500" t="s">
        <v>6861</v>
      </c>
      <c r="I256" s="498" t="s">
        <v>6862</v>
      </c>
      <c r="J256" s="498" t="s">
        <v>6879</v>
      </c>
      <c r="K256" s="498" t="s">
        <v>2173</v>
      </c>
      <c r="L256" s="498" t="s">
        <v>855</v>
      </c>
      <c r="M256" s="498" t="s">
        <v>6864</v>
      </c>
      <c r="N256" s="498" t="s">
        <v>6865</v>
      </c>
      <c r="O256" s="498" t="s">
        <v>1194</v>
      </c>
      <c r="P256" s="498" t="s">
        <v>643</v>
      </c>
      <c r="Q256" s="498" t="s">
        <v>7715</v>
      </c>
      <c r="R256" s="498" t="s">
        <v>6881</v>
      </c>
      <c r="S256" s="498" t="s">
        <v>6868</v>
      </c>
      <c r="T256" s="498"/>
      <c r="U256" s="498"/>
      <c r="V256" s="498" t="s">
        <v>6905</v>
      </c>
      <c r="W256" s="498" t="s">
        <v>6883</v>
      </c>
      <c r="X256" s="498" t="s">
        <v>4271</v>
      </c>
      <c r="Y256" s="498"/>
      <c r="Z256" s="498" t="s">
        <v>6884</v>
      </c>
      <c r="AA256" s="498" t="s">
        <v>6872</v>
      </c>
      <c r="AB256" s="498"/>
      <c r="AC256" s="498"/>
      <c r="AD256" s="498"/>
      <c r="AE256" s="498" t="s">
        <v>6886</v>
      </c>
      <c r="AF256" s="498" t="s">
        <v>6905</v>
      </c>
      <c r="AG256" s="498"/>
    </row>
    <row r="257" spans="2:33" hidden="1">
      <c r="B257" s="498" t="s">
        <v>6858</v>
      </c>
      <c r="C257" s="498" t="s">
        <v>7716</v>
      </c>
      <c r="D257" s="498" t="s">
        <v>7678</v>
      </c>
      <c r="E257" s="498" t="s">
        <v>26</v>
      </c>
      <c r="F257" s="498" t="s">
        <v>7717</v>
      </c>
      <c r="G257" s="499" t="s">
        <v>326</v>
      </c>
      <c r="H257" s="500" t="s">
        <v>6861</v>
      </c>
      <c r="I257" s="498" t="s">
        <v>6862</v>
      </c>
      <c r="J257" s="498" t="s">
        <v>6879</v>
      </c>
      <c r="K257" s="498" t="s">
        <v>2173</v>
      </c>
      <c r="L257" s="498" t="s">
        <v>855</v>
      </c>
      <c r="M257" s="498" t="s">
        <v>6864</v>
      </c>
      <c r="N257" s="498" t="s">
        <v>6865</v>
      </c>
      <c r="O257" s="498" t="s">
        <v>1194</v>
      </c>
      <c r="P257" s="498" t="s">
        <v>643</v>
      </c>
      <c r="Q257" s="498" t="s">
        <v>7718</v>
      </c>
      <c r="R257" s="498" t="s">
        <v>6881</v>
      </c>
      <c r="S257" s="498" t="s">
        <v>6868</v>
      </c>
      <c r="T257" s="498"/>
      <c r="U257" s="498"/>
      <c r="V257" s="498" t="s">
        <v>6905</v>
      </c>
      <c r="W257" s="498" t="s">
        <v>6883</v>
      </c>
      <c r="X257" s="498" t="s">
        <v>2207</v>
      </c>
      <c r="Y257" s="498"/>
      <c r="Z257" s="498"/>
      <c r="AA257" s="498" t="s">
        <v>6872</v>
      </c>
      <c r="AB257" s="498"/>
      <c r="AC257" s="498"/>
      <c r="AD257" s="498"/>
      <c r="AE257" s="498" t="s">
        <v>6886</v>
      </c>
      <c r="AF257" s="498" t="s">
        <v>6905</v>
      </c>
      <c r="AG257" s="498"/>
    </row>
    <row r="258" spans="2:33" hidden="1">
      <c r="B258" s="498" t="s">
        <v>6858</v>
      </c>
      <c r="C258" s="498" t="s">
        <v>7719</v>
      </c>
      <c r="D258" s="498" t="s">
        <v>7678</v>
      </c>
      <c r="E258" s="498" t="s">
        <v>26</v>
      </c>
      <c r="F258" s="498" t="s">
        <v>7720</v>
      </c>
      <c r="G258" s="499" t="s">
        <v>326</v>
      </c>
      <c r="H258" s="500" t="s">
        <v>6861</v>
      </c>
      <c r="I258" s="498" t="s">
        <v>6862</v>
      </c>
      <c r="J258" s="498" t="s">
        <v>6879</v>
      </c>
      <c r="K258" s="498" t="s">
        <v>2173</v>
      </c>
      <c r="L258" s="498" t="s">
        <v>855</v>
      </c>
      <c r="M258" s="498" t="s">
        <v>6864</v>
      </c>
      <c r="N258" s="498" t="s">
        <v>6865</v>
      </c>
      <c r="O258" s="498" t="s">
        <v>1194</v>
      </c>
      <c r="P258" s="498" t="s">
        <v>643</v>
      </c>
      <c r="Q258" s="498" t="s">
        <v>7721</v>
      </c>
      <c r="R258" s="498" t="s">
        <v>6881</v>
      </c>
      <c r="S258" s="498" t="s">
        <v>6868</v>
      </c>
      <c r="T258" s="498"/>
      <c r="U258" s="498"/>
      <c r="V258" s="498" t="s">
        <v>6905</v>
      </c>
      <c r="W258" s="498" t="s">
        <v>6883</v>
      </c>
      <c r="X258" s="498" t="s">
        <v>2207</v>
      </c>
      <c r="Y258" s="498"/>
      <c r="Z258" s="498"/>
      <c r="AA258" s="498" t="s">
        <v>6872</v>
      </c>
      <c r="AB258" s="498"/>
      <c r="AC258" s="498"/>
      <c r="AD258" s="498"/>
      <c r="AE258" s="498" t="s">
        <v>6886</v>
      </c>
      <c r="AF258" s="498" t="s">
        <v>6905</v>
      </c>
      <c r="AG258" s="498"/>
    </row>
    <row r="259" spans="2:33" hidden="1">
      <c r="B259" s="498" t="s">
        <v>6858</v>
      </c>
      <c r="C259" s="498" t="s">
        <v>7722</v>
      </c>
      <c r="D259" s="498" t="s">
        <v>7678</v>
      </c>
      <c r="E259" s="498" t="s">
        <v>26</v>
      </c>
      <c r="F259" s="498" t="s">
        <v>7723</v>
      </c>
      <c r="G259" s="499" t="s">
        <v>326</v>
      </c>
      <c r="H259" s="500" t="s">
        <v>6861</v>
      </c>
      <c r="I259" s="498" t="s">
        <v>6862</v>
      </c>
      <c r="J259" s="498" t="s">
        <v>6879</v>
      </c>
      <c r="K259" s="498" t="s">
        <v>2173</v>
      </c>
      <c r="L259" s="498" t="s">
        <v>855</v>
      </c>
      <c r="M259" s="498" t="s">
        <v>6864</v>
      </c>
      <c r="N259" s="498" t="s">
        <v>6865</v>
      </c>
      <c r="O259" s="498" t="s">
        <v>1194</v>
      </c>
      <c r="P259" s="498" t="s">
        <v>643</v>
      </c>
      <c r="Q259" s="498" t="s">
        <v>7724</v>
      </c>
      <c r="R259" s="498" t="s">
        <v>6881</v>
      </c>
      <c r="S259" s="498" t="s">
        <v>6868</v>
      </c>
      <c r="T259" s="498"/>
      <c r="U259" s="498"/>
      <c r="V259" s="498" t="s">
        <v>6905</v>
      </c>
      <c r="W259" s="498" t="s">
        <v>6883</v>
      </c>
      <c r="X259" s="498" t="s">
        <v>4271</v>
      </c>
      <c r="Y259" s="498"/>
      <c r="Z259" s="498" t="s">
        <v>6884</v>
      </c>
      <c r="AA259" s="498" t="s">
        <v>6872</v>
      </c>
      <c r="AB259" s="498"/>
      <c r="AC259" s="498"/>
      <c r="AD259" s="498"/>
      <c r="AE259" s="498" t="s">
        <v>6886</v>
      </c>
      <c r="AF259" s="498" t="s">
        <v>6905</v>
      </c>
      <c r="AG259" s="498"/>
    </row>
    <row r="260" spans="2:33" hidden="1">
      <c r="B260" s="498" t="s">
        <v>6858</v>
      </c>
      <c r="C260" s="498" t="s">
        <v>7437</v>
      </c>
      <c r="D260" s="498" t="s">
        <v>7678</v>
      </c>
      <c r="E260" s="498" t="s">
        <v>26</v>
      </c>
      <c r="F260" s="498" t="s">
        <v>7725</v>
      </c>
      <c r="G260" s="499" t="s">
        <v>326</v>
      </c>
      <c r="H260" s="500" t="s">
        <v>6861</v>
      </c>
      <c r="I260" s="498" t="s">
        <v>6862</v>
      </c>
      <c r="J260" s="498" t="s">
        <v>6879</v>
      </c>
      <c r="K260" s="498" t="s">
        <v>2173</v>
      </c>
      <c r="L260" s="498" t="s">
        <v>855</v>
      </c>
      <c r="M260" s="498" t="s">
        <v>6864</v>
      </c>
      <c r="N260" s="498" t="s">
        <v>6865</v>
      </c>
      <c r="O260" s="498" t="s">
        <v>1194</v>
      </c>
      <c r="P260" s="498" t="s">
        <v>643</v>
      </c>
      <c r="Q260" s="498" t="s">
        <v>7726</v>
      </c>
      <c r="R260" s="498" t="s">
        <v>6881</v>
      </c>
      <c r="S260" s="498" t="s">
        <v>6868</v>
      </c>
      <c r="T260" s="498"/>
      <c r="U260" s="498"/>
      <c r="V260" s="498" t="s">
        <v>6905</v>
      </c>
      <c r="W260" s="498" t="s">
        <v>6883</v>
      </c>
      <c r="X260" s="498" t="s">
        <v>4271</v>
      </c>
      <c r="Y260" s="498"/>
      <c r="Z260" s="498" t="s">
        <v>6884</v>
      </c>
      <c r="AA260" s="498" t="s">
        <v>6872</v>
      </c>
      <c r="AB260" s="498"/>
      <c r="AC260" s="498"/>
      <c r="AD260" s="498"/>
      <c r="AE260" s="498" t="s">
        <v>6886</v>
      </c>
      <c r="AF260" s="498" t="s">
        <v>6905</v>
      </c>
      <c r="AG260" s="498"/>
    </row>
    <row r="261" spans="2:33" hidden="1">
      <c r="B261" s="498" t="s">
        <v>6858</v>
      </c>
      <c r="C261" s="498" t="s">
        <v>7440</v>
      </c>
      <c r="D261" s="498" t="s">
        <v>7678</v>
      </c>
      <c r="E261" s="498" t="s">
        <v>26</v>
      </c>
      <c r="F261" s="498" t="s">
        <v>7727</v>
      </c>
      <c r="G261" s="499" t="s">
        <v>326</v>
      </c>
      <c r="H261" s="500" t="s">
        <v>6861</v>
      </c>
      <c r="I261" s="498" t="s">
        <v>6862</v>
      </c>
      <c r="J261" s="498" t="s">
        <v>6879</v>
      </c>
      <c r="K261" s="498" t="s">
        <v>2173</v>
      </c>
      <c r="L261" s="498" t="s">
        <v>855</v>
      </c>
      <c r="M261" s="498" t="s">
        <v>6864</v>
      </c>
      <c r="N261" s="498" t="s">
        <v>6865</v>
      </c>
      <c r="O261" s="498" t="s">
        <v>1194</v>
      </c>
      <c r="P261" s="498" t="s">
        <v>643</v>
      </c>
      <c r="Q261" s="498" t="s">
        <v>7442</v>
      </c>
      <c r="R261" s="498" t="s">
        <v>6881</v>
      </c>
      <c r="S261" s="498" t="s">
        <v>6868</v>
      </c>
      <c r="T261" s="498"/>
      <c r="U261" s="498"/>
      <c r="V261" s="498" t="s">
        <v>6905</v>
      </c>
      <c r="W261" s="498" t="s">
        <v>6883</v>
      </c>
      <c r="X261" s="498" t="s">
        <v>4271</v>
      </c>
      <c r="Y261" s="498"/>
      <c r="Z261" s="498" t="s">
        <v>6884</v>
      </c>
      <c r="AA261" s="498" t="s">
        <v>6872</v>
      </c>
      <c r="AB261" s="498"/>
      <c r="AC261" s="498"/>
      <c r="AD261" s="498"/>
      <c r="AE261" s="498" t="s">
        <v>6886</v>
      </c>
      <c r="AF261" s="498" t="s">
        <v>6905</v>
      </c>
      <c r="AG261" s="498"/>
    </row>
    <row r="262" spans="2:33" hidden="1">
      <c r="B262" s="498" t="s">
        <v>6858</v>
      </c>
      <c r="C262" s="498" t="s">
        <v>7728</v>
      </c>
      <c r="D262" s="498" t="s">
        <v>7678</v>
      </c>
      <c r="E262" s="498" t="s">
        <v>26</v>
      </c>
      <c r="F262" s="498" t="s">
        <v>7729</v>
      </c>
      <c r="G262" s="499" t="s">
        <v>326</v>
      </c>
      <c r="H262" s="500" t="s">
        <v>6861</v>
      </c>
      <c r="I262" s="498" t="s">
        <v>6862</v>
      </c>
      <c r="J262" s="498" t="s">
        <v>6879</v>
      </c>
      <c r="K262" s="498" t="s">
        <v>2173</v>
      </c>
      <c r="L262" s="498" t="s">
        <v>855</v>
      </c>
      <c r="M262" s="498" t="s">
        <v>6864</v>
      </c>
      <c r="N262" s="498" t="s">
        <v>6865</v>
      </c>
      <c r="O262" s="498" t="s">
        <v>1194</v>
      </c>
      <c r="P262" s="498" t="s">
        <v>643</v>
      </c>
      <c r="Q262" s="498" t="s">
        <v>7697</v>
      </c>
      <c r="R262" s="498" t="s">
        <v>6881</v>
      </c>
      <c r="S262" s="498" t="s">
        <v>6868</v>
      </c>
      <c r="T262" s="498" t="s">
        <v>7730</v>
      </c>
      <c r="U262" s="498"/>
      <c r="V262" s="498" t="s">
        <v>2177</v>
      </c>
      <c r="W262" s="498" t="s">
        <v>6883</v>
      </c>
      <c r="X262" s="498" t="s">
        <v>4271</v>
      </c>
      <c r="Y262" s="498"/>
      <c r="Z262" s="498" t="s">
        <v>6884</v>
      </c>
      <c r="AA262" s="498" t="s">
        <v>6872</v>
      </c>
      <c r="AB262" s="498"/>
      <c r="AC262" s="498"/>
      <c r="AD262" s="498"/>
      <c r="AE262" s="498" t="s">
        <v>6886</v>
      </c>
      <c r="AF262" s="498"/>
      <c r="AG262" s="498"/>
    </row>
    <row r="263" spans="2:33" hidden="1">
      <c r="B263" s="498" t="s">
        <v>6858</v>
      </c>
      <c r="C263" s="498" t="s">
        <v>7731</v>
      </c>
      <c r="D263" s="498" t="s">
        <v>7678</v>
      </c>
      <c r="E263" s="498" t="s">
        <v>26</v>
      </c>
      <c r="F263" s="498" t="s">
        <v>7732</v>
      </c>
      <c r="G263" s="499" t="s">
        <v>326</v>
      </c>
      <c r="H263" s="500" t="s">
        <v>6861</v>
      </c>
      <c r="I263" s="498" t="s">
        <v>6862</v>
      </c>
      <c r="J263" s="498" t="s">
        <v>6879</v>
      </c>
      <c r="K263" s="498" t="s">
        <v>2173</v>
      </c>
      <c r="L263" s="498" t="s">
        <v>855</v>
      </c>
      <c r="M263" s="498" t="s">
        <v>6864</v>
      </c>
      <c r="N263" s="498" t="s">
        <v>6865</v>
      </c>
      <c r="O263" s="498" t="s">
        <v>1194</v>
      </c>
      <c r="P263" s="498" t="s">
        <v>643</v>
      </c>
      <c r="Q263" s="498" t="s">
        <v>7733</v>
      </c>
      <c r="R263" s="498" t="s">
        <v>6881</v>
      </c>
      <c r="S263" s="498" t="s">
        <v>6868</v>
      </c>
      <c r="T263" s="498"/>
      <c r="U263" s="498"/>
      <c r="V263" s="498" t="s">
        <v>6905</v>
      </c>
      <c r="W263" s="498" t="s">
        <v>6883</v>
      </c>
      <c r="X263" s="498" t="s">
        <v>4271</v>
      </c>
      <c r="Y263" s="498"/>
      <c r="Z263" s="498" t="s">
        <v>6884</v>
      </c>
      <c r="AA263" s="498" t="s">
        <v>6872</v>
      </c>
      <c r="AB263" s="498"/>
      <c r="AC263" s="498"/>
      <c r="AD263" s="498"/>
      <c r="AE263" s="498" t="s">
        <v>6886</v>
      </c>
      <c r="AF263" s="498" t="s">
        <v>6905</v>
      </c>
      <c r="AG263" s="498"/>
    </row>
    <row r="264" spans="2:33" hidden="1">
      <c r="B264" s="498" t="s">
        <v>6858</v>
      </c>
      <c r="C264" s="498" t="s">
        <v>7734</v>
      </c>
      <c r="D264" s="498" t="s">
        <v>7678</v>
      </c>
      <c r="E264" s="498" t="s">
        <v>26</v>
      </c>
      <c r="F264" s="498" t="s">
        <v>7735</v>
      </c>
      <c r="G264" s="499" t="s">
        <v>326</v>
      </c>
      <c r="H264" s="500" t="s">
        <v>6861</v>
      </c>
      <c r="I264" s="498" t="s">
        <v>6862</v>
      </c>
      <c r="J264" s="498" t="s">
        <v>6879</v>
      </c>
      <c r="K264" s="498" t="s">
        <v>2173</v>
      </c>
      <c r="L264" s="498" t="s">
        <v>855</v>
      </c>
      <c r="M264" s="498" t="s">
        <v>6864</v>
      </c>
      <c r="N264" s="498" t="s">
        <v>6865</v>
      </c>
      <c r="O264" s="498" t="s">
        <v>1194</v>
      </c>
      <c r="P264" s="498" t="s">
        <v>643</v>
      </c>
      <c r="Q264" s="498" t="s">
        <v>7736</v>
      </c>
      <c r="R264" s="498" t="s">
        <v>6881</v>
      </c>
      <c r="S264" s="498" t="s">
        <v>6868</v>
      </c>
      <c r="T264" s="498"/>
      <c r="U264" s="498"/>
      <c r="V264" s="498" t="s">
        <v>6905</v>
      </c>
      <c r="W264" s="498" t="s">
        <v>6883</v>
      </c>
      <c r="X264" s="498" t="s">
        <v>2207</v>
      </c>
      <c r="Y264" s="498"/>
      <c r="Z264" s="498"/>
      <c r="AA264" s="498" t="s">
        <v>6872</v>
      </c>
      <c r="AB264" s="498"/>
      <c r="AC264" s="498"/>
      <c r="AD264" s="498"/>
      <c r="AE264" s="498" t="s">
        <v>7737</v>
      </c>
      <c r="AF264" s="498" t="s">
        <v>6905</v>
      </c>
      <c r="AG264" s="498"/>
    </row>
    <row r="265" spans="2:33" hidden="1">
      <c r="B265" s="498" t="s">
        <v>6858</v>
      </c>
      <c r="C265" s="498" t="s">
        <v>2669</v>
      </c>
      <c r="D265" s="498" t="s">
        <v>7738</v>
      </c>
      <c r="E265" s="498" t="s">
        <v>26</v>
      </c>
      <c r="F265" s="498" t="s">
        <v>7739</v>
      </c>
      <c r="G265" s="499" t="s">
        <v>326</v>
      </c>
      <c r="H265" s="500" t="s">
        <v>6861</v>
      </c>
      <c r="I265" s="498" t="s">
        <v>6862</v>
      </c>
      <c r="J265" s="498" t="s">
        <v>6879</v>
      </c>
      <c r="K265" s="498" t="s">
        <v>2173</v>
      </c>
      <c r="L265" s="498" t="s">
        <v>855</v>
      </c>
      <c r="M265" s="498" t="s">
        <v>6864</v>
      </c>
      <c r="N265" s="498" t="s">
        <v>6865</v>
      </c>
      <c r="O265" s="498" t="s">
        <v>1194</v>
      </c>
      <c r="P265" s="498" t="s">
        <v>7586</v>
      </c>
      <c r="Q265" s="498" t="s">
        <v>7305</v>
      </c>
      <c r="R265" s="498" t="s">
        <v>7587</v>
      </c>
      <c r="S265" s="498" t="s">
        <v>6868</v>
      </c>
      <c r="T265" s="498"/>
      <c r="U265" s="498"/>
      <c r="V265" s="498" t="s">
        <v>6905</v>
      </c>
      <c r="W265" s="498" t="s">
        <v>6935</v>
      </c>
      <c r="X265" s="498" t="s">
        <v>3608</v>
      </c>
      <c r="Y265" s="498"/>
      <c r="Z265" s="498">
        <v>3</v>
      </c>
      <c r="AA265" s="498"/>
      <c r="AB265" s="498"/>
      <c r="AC265" s="498"/>
      <c r="AD265" s="498"/>
      <c r="AE265" s="498" t="s">
        <v>6886</v>
      </c>
      <c r="AF265" s="498" t="s">
        <v>6905</v>
      </c>
      <c r="AG265" s="498" t="s">
        <v>7740</v>
      </c>
    </row>
    <row r="266" spans="2:33" hidden="1">
      <c r="B266" s="498" t="s">
        <v>6858</v>
      </c>
      <c r="C266" s="498" t="s">
        <v>7741</v>
      </c>
      <c r="D266" s="498" t="s">
        <v>7738</v>
      </c>
      <c r="E266" s="498" t="s">
        <v>26</v>
      </c>
      <c r="F266" s="498" t="s">
        <v>7742</v>
      </c>
      <c r="G266" s="499" t="s">
        <v>326</v>
      </c>
      <c r="H266" s="500" t="s">
        <v>6861</v>
      </c>
      <c r="I266" s="498" t="s">
        <v>6862</v>
      </c>
      <c r="J266" s="498" t="s">
        <v>6879</v>
      </c>
      <c r="K266" s="498" t="s">
        <v>2173</v>
      </c>
      <c r="L266" s="498" t="s">
        <v>855</v>
      </c>
      <c r="M266" s="498" t="s">
        <v>6864</v>
      </c>
      <c r="N266" s="498" t="s">
        <v>6865</v>
      </c>
      <c r="O266" s="498" t="s">
        <v>1194</v>
      </c>
      <c r="P266" s="498" t="s">
        <v>7743</v>
      </c>
      <c r="Q266" s="498"/>
      <c r="R266" s="498" t="s">
        <v>361</v>
      </c>
      <c r="S266" s="498" t="s">
        <v>6868</v>
      </c>
      <c r="T266" s="498" t="s">
        <v>7744</v>
      </c>
      <c r="U266" s="498"/>
      <c r="V266" s="498" t="s">
        <v>2177</v>
      </c>
      <c r="W266" s="498" t="s">
        <v>6935</v>
      </c>
      <c r="X266" s="498"/>
      <c r="Y266" s="498"/>
      <c r="Z266" s="498"/>
      <c r="AA266" s="498"/>
      <c r="AB266" s="498"/>
      <c r="AC266" s="498"/>
      <c r="AD266" s="498"/>
      <c r="AE266" s="498"/>
      <c r="AF266" s="498"/>
      <c r="AG266" s="498"/>
    </row>
    <row r="267" spans="2:33" hidden="1">
      <c r="B267" s="498" t="s">
        <v>6858</v>
      </c>
      <c r="C267" s="498" t="s">
        <v>7745</v>
      </c>
      <c r="D267" s="498" t="s">
        <v>7738</v>
      </c>
      <c r="E267" s="498" t="s">
        <v>26</v>
      </c>
      <c r="F267" s="498" t="s">
        <v>7746</v>
      </c>
      <c r="G267" s="499" t="s">
        <v>326</v>
      </c>
      <c r="H267" s="500" t="s">
        <v>6861</v>
      </c>
      <c r="I267" s="498" t="s">
        <v>6862</v>
      </c>
      <c r="J267" s="498" t="s">
        <v>2527</v>
      </c>
      <c r="K267" s="498" t="s">
        <v>2173</v>
      </c>
      <c r="L267" s="498" t="s">
        <v>855</v>
      </c>
      <c r="M267" s="498" t="s">
        <v>6864</v>
      </c>
      <c r="N267" s="498" t="s">
        <v>6865</v>
      </c>
      <c r="O267" s="498" t="s">
        <v>1194</v>
      </c>
      <c r="P267" s="498" t="s">
        <v>7586</v>
      </c>
      <c r="Q267" s="498" t="s">
        <v>7747</v>
      </c>
      <c r="R267" s="498" t="s">
        <v>7587</v>
      </c>
      <c r="S267" s="498" t="s">
        <v>6868</v>
      </c>
      <c r="T267" s="498"/>
      <c r="U267" s="498"/>
      <c r="V267" s="498" t="s">
        <v>6905</v>
      </c>
      <c r="W267" s="498" t="s">
        <v>6935</v>
      </c>
      <c r="X267" s="498" t="s">
        <v>2207</v>
      </c>
      <c r="Y267" s="498"/>
      <c r="Z267" s="498"/>
      <c r="AA267" s="498"/>
      <c r="AB267" s="498"/>
      <c r="AC267" s="498"/>
      <c r="AD267" s="498"/>
      <c r="AE267" s="498" t="s">
        <v>855</v>
      </c>
      <c r="AF267" s="498" t="s">
        <v>6905</v>
      </c>
      <c r="AG267" s="498"/>
    </row>
    <row r="268" spans="2:33" hidden="1">
      <c r="B268" s="498" t="s">
        <v>6858</v>
      </c>
      <c r="C268" s="498" t="s">
        <v>7748</v>
      </c>
      <c r="D268" s="498" t="s">
        <v>7738</v>
      </c>
      <c r="E268" s="498" t="s">
        <v>26</v>
      </c>
      <c r="F268" s="498" t="s">
        <v>7749</v>
      </c>
      <c r="G268" s="499" t="s">
        <v>326</v>
      </c>
      <c r="H268" s="500" t="s">
        <v>6861</v>
      </c>
      <c r="I268" s="498" t="s">
        <v>6862</v>
      </c>
      <c r="J268" s="498" t="s">
        <v>2527</v>
      </c>
      <c r="K268" s="498" t="s">
        <v>2173</v>
      </c>
      <c r="L268" s="498" t="s">
        <v>855</v>
      </c>
      <c r="M268" s="498" t="s">
        <v>6864</v>
      </c>
      <c r="N268" s="498" t="s">
        <v>6865</v>
      </c>
      <c r="O268" s="498" t="s">
        <v>1194</v>
      </c>
      <c r="P268" s="498" t="s">
        <v>7586</v>
      </c>
      <c r="Q268" s="498" t="s">
        <v>7750</v>
      </c>
      <c r="R268" s="498" t="s">
        <v>7587</v>
      </c>
      <c r="S268" s="498" t="s">
        <v>6868</v>
      </c>
      <c r="T268" s="498"/>
      <c r="U268" s="498"/>
      <c r="V268" s="498" t="s">
        <v>6905</v>
      </c>
      <c r="W268" s="498" t="s">
        <v>6935</v>
      </c>
      <c r="X268" s="498" t="s">
        <v>3582</v>
      </c>
      <c r="Y268" s="498"/>
      <c r="Z268" s="498">
        <v>50</v>
      </c>
      <c r="AA268" s="498"/>
      <c r="AB268" s="498" t="s">
        <v>3608</v>
      </c>
      <c r="AC268" s="498"/>
      <c r="AD268" s="498"/>
      <c r="AE268" s="498" t="s">
        <v>855</v>
      </c>
      <c r="AF268" s="498" t="s">
        <v>6905</v>
      </c>
      <c r="AG268" s="498"/>
    </row>
    <row r="269" spans="2:33" hidden="1">
      <c r="B269" s="498" t="s">
        <v>6858</v>
      </c>
      <c r="C269" s="498" t="s">
        <v>858</v>
      </c>
      <c r="D269" s="498" t="s">
        <v>7738</v>
      </c>
      <c r="E269" s="498" t="s">
        <v>26</v>
      </c>
      <c r="F269" s="498" t="s">
        <v>7751</v>
      </c>
      <c r="G269" s="499" t="s">
        <v>326</v>
      </c>
      <c r="H269" s="500" t="s">
        <v>6861</v>
      </c>
      <c r="I269" s="498" t="s">
        <v>6862</v>
      </c>
      <c r="J269" s="498" t="s">
        <v>6879</v>
      </c>
      <c r="K269" s="498" t="s">
        <v>2173</v>
      </c>
      <c r="L269" s="498" t="s">
        <v>855</v>
      </c>
      <c r="M269" s="498" t="s">
        <v>6864</v>
      </c>
      <c r="N269" s="498" t="s">
        <v>6865</v>
      </c>
      <c r="O269" s="498" t="s">
        <v>1194</v>
      </c>
      <c r="P269" s="498" t="s">
        <v>7603</v>
      </c>
      <c r="Q269" s="498" t="s">
        <v>7604</v>
      </c>
      <c r="R269" s="498" t="s">
        <v>7605</v>
      </c>
      <c r="S269" s="498" t="s">
        <v>6868</v>
      </c>
      <c r="T269" s="498"/>
      <c r="U269" s="498"/>
      <c r="V269" s="498" t="s">
        <v>6905</v>
      </c>
      <c r="W269" s="498" t="s">
        <v>6935</v>
      </c>
      <c r="X269" s="498" t="s">
        <v>3582</v>
      </c>
      <c r="Y269" s="498"/>
      <c r="Z269" s="498">
        <v>50</v>
      </c>
      <c r="AA269" s="498"/>
      <c r="AB269" s="498" t="s">
        <v>3608</v>
      </c>
      <c r="AC269" s="498"/>
      <c r="AD269" s="498"/>
      <c r="AE269" s="498" t="s">
        <v>855</v>
      </c>
      <c r="AF269" s="498" t="s">
        <v>6905</v>
      </c>
      <c r="AG269" s="498"/>
    </row>
    <row r="270" spans="2:33" hidden="1">
      <c r="B270" s="498" t="s">
        <v>6858</v>
      </c>
      <c r="C270" s="498" t="s">
        <v>7752</v>
      </c>
      <c r="D270" s="498" t="s">
        <v>7738</v>
      </c>
      <c r="E270" s="498" t="s">
        <v>26</v>
      </c>
      <c r="F270" s="498" t="s">
        <v>7753</v>
      </c>
      <c r="G270" s="499" t="s">
        <v>326</v>
      </c>
      <c r="H270" s="500" t="s">
        <v>6861</v>
      </c>
      <c r="I270" s="498" t="s">
        <v>6862</v>
      </c>
      <c r="J270" s="498" t="s">
        <v>6879</v>
      </c>
      <c r="K270" s="498" t="s">
        <v>2173</v>
      </c>
      <c r="L270" s="498" t="s">
        <v>855</v>
      </c>
      <c r="M270" s="498" t="s">
        <v>6864</v>
      </c>
      <c r="N270" s="498" t="s">
        <v>6865</v>
      </c>
      <c r="O270" s="498" t="s">
        <v>1194</v>
      </c>
      <c r="P270" s="498" t="s">
        <v>7609</v>
      </c>
      <c r="Q270" s="498" t="s">
        <v>7610</v>
      </c>
      <c r="R270" s="498" t="s">
        <v>7611</v>
      </c>
      <c r="S270" s="498" t="s">
        <v>6868</v>
      </c>
      <c r="T270" s="498" t="s">
        <v>7612</v>
      </c>
      <c r="U270" s="498"/>
      <c r="V270" s="498" t="s">
        <v>2177</v>
      </c>
      <c r="W270" s="498" t="s">
        <v>6935</v>
      </c>
      <c r="X270" s="498" t="s">
        <v>7613</v>
      </c>
      <c r="Y270" s="498"/>
      <c r="Z270" s="498" t="s">
        <v>7614</v>
      </c>
      <c r="AA270" s="498"/>
      <c r="AB270" s="498"/>
      <c r="AC270" s="498"/>
      <c r="AD270" s="498"/>
      <c r="AE270" s="498" t="s">
        <v>855</v>
      </c>
      <c r="AF270" s="498"/>
      <c r="AG270" s="498"/>
    </row>
    <row r="271" spans="2:33" hidden="1">
      <c r="B271" s="498" t="s">
        <v>6858</v>
      </c>
      <c r="C271" s="498" t="s">
        <v>7754</v>
      </c>
      <c r="D271" s="498" t="s">
        <v>7738</v>
      </c>
      <c r="E271" s="498" t="s">
        <v>26</v>
      </c>
      <c r="F271" s="498" t="s">
        <v>7755</v>
      </c>
      <c r="G271" s="499" t="s">
        <v>326</v>
      </c>
      <c r="H271" s="500" t="s">
        <v>6861</v>
      </c>
      <c r="I271" s="498" t="s">
        <v>6862</v>
      </c>
      <c r="J271" s="498" t="s">
        <v>6879</v>
      </c>
      <c r="K271" s="498" t="s">
        <v>2173</v>
      </c>
      <c r="L271" s="498" t="s">
        <v>855</v>
      </c>
      <c r="M271" s="498" t="s">
        <v>6864</v>
      </c>
      <c r="N271" s="498" t="s">
        <v>6865</v>
      </c>
      <c r="O271" s="498" t="s">
        <v>1194</v>
      </c>
      <c r="P271" s="498" t="s">
        <v>7586</v>
      </c>
      <c r="Q271" s="498" t="s">
        <v>1728</v>
      </c>
      <c r="R271" s="498" t="s">
        <v>7587</v>
      </c>
      <c r="S271" s="498" t="s">
        <v>6868</v>
      </c>
      <c r="T271" s="498"/>
      <c r="U271" s="498"/>
      <c r="V271" s="498" t="s">
        <v>6905</v>
      </c>
      <c r="W271" s="498" t="s">
        <v>6935</v>
      </c>
      <c r="X271" s="498" t="s">
        <v>2207</v>
      </c>
      <c r="Y271" s="498"/>
      <c r="Z271" s="498"/>
      <c r="AA271" s="498"/>
      <c r="AB271" s="498"/>
      <c r="AC271" s="498"/>
      <c r="AD271" s="498"/>
      <c r="AE271" s="498" t="s">
        <v>855</v>
      </c>
      <c r="AF271" s="498" t="s">
        <v>6905</v>
      </c>
      <c r="AG271" s="498"/>
    </row>
    <row r="272" spans="2:33" hidden="1">
      <c r="B272" s="498" t="s">
        <v>6858</v>
      </c>
      <c r="C272" s="498" t="s">
        <v>356</v>
      </c>
      <c r="D272" s="498" t="s">
        <v>7738</v>
      </c>
      <c r="E272" s="498" t="s">
        <v>26</v>
      </c>
      <c r="F272" s="498" t="s">
        <v>7756</v>
      </c>
      <c r="G272" s="499" t="s">
        <v>326</v>
      </c>
      <c r="H272" s="500" t="s">
        <v>6861</v>
      </c>
      <c r="I272" s="498" t="s">
        <v>6862</v>
      </c>
      <c r="J272" s="498" t="s">
        <v>6879</v>
      </c>
      <c r="K272" s="498" t="s">
        <v>2173</v>
      </c>
      <c r="L272" s="498" t="s">
        <v>855</v>
      </c>
      <c r="M272" s="498" t="s">
        <v>6864</v>
      </c>
      <c r="N272" s="498" t="s">
        <v>6865</v>
      </c>
      <c r="O272" s="498" t="s">
        <v>1194</v>
      </c>
      <c r="P272" s="498" t="s">
        <v>7618</v>
      </c>
      <c r="Q272" s="498" t="s">
        <v>7619</v>
      </c>
      <c r="R272" s="498" t="s">
        <v>7587</v>
      </c>
      <c r="S272" s="498" t="s">
        <v>6868</v>
      </c>
      <c r="T272" s="498" t="s">
        <v>7620</v>
      </c>
      <c r="U272" s="498"/>
      <c r="V272" s="498" t="s">
        <v>6900</v>
      </c>
      <c r="W272" s="498" t="s">
        <v>6935</v>
      </c>
      <c r="X272" s="498" t="s">
        <v>3608</v>
      </c>
      <c r="Y272" s="498"/>
      <c r="Z272" s="498">
        <v>4</v>
      </c>
      <c r="AA272" s="498"/>
      <c r="AB272" s="498"/>
      <c r="AC272" s="498"/>
      <c r="AD272" s="498"/>
      <c r="AE272" s="498" t="s">
        <v>855</v>
      </c>
      <c r="AF272" s="498" t="s">
        <v>6901</v>
      </c>
      <c r="AG272" s="498"/>
    </row>
    <row r="273" spans="2:33" hidden="1">
      <c r="B273" s="498" t="s">
        <v>6858</v>
      </c>
      <c r="C273" s="498" t="s">
        <v>7757</v>
      </c>
      <c r="D273" s="498" t="s">
        <v>7678</v>
      </c>
      <c r="E273" s="498" t="s">
        <v>26</v>
      </c>
      <c r="F273" s="498" t="s">
        <v>7758</v>
      </c>
      <c r="G273" s="499" t="s">
        <v>326</v>
      </c>
      <c r="H273" s="500" t="s">
        <v>7095</v>
      </c>
      <c r="I273" s="498" t="s">
        <v>7095</v>
      </c>
      <c r="J273" s="498" t="s">
        <v>6879</v>
      </c>
      <c r="K273" s="498" t="s">
        <v>7275</v>
      </c>
      <c r="L273" s="498" t="s">
        <v>261</v>
      </c>
      <c r="M273" s="498" t="s">
        <v>7759</v>
      </c>
      <c r="N273" s="498" t="s">
        <v>6864</v>
      </c>
      <c r="O273" s="498" t="s">
        <v>6864</v>
      </c>
      <c r="P273" s="498" t="s">
        <v>6864</v>
      </c>
      <c r="Q273" s="498" t="s">
        <v>6864</v>
      </c>
      <c r="R273" s="498" t="s">
        <v>6864</v>
      </c>
      <c r="S273" s="498" t="s">
        <v>6864</v>
      </c>
      <c r="T273" s="498" t="s">
        <v>6864</v>
      </c>
      <c r="U273" s="498" t="s">
        <v>7760</v>
      </c>
      <c r="V273" s="498" t="s">
        <v>6869</v>
      </c>
      <c r="W273" s="498" t="s">
        <v>7624</v>
      </c>
      <c r="X273" s="498"/>
      <c r="Y273" s="498"/>
      <c r="Z273" s="498"/>
      <c r="AA273" s="498"/>
      <c r="AB273" s="498"/>
      <c r="AC273" s="498"/>
      <c r="AD273" s="498"/>
      <c r="AE273" s="498"/>
      <c r="AF273" s="498" t="s">
        <v>6875</v>
      </c>
      <c r="AG273" s="498" t="s">
        <v>7761</v>
      </c>
    </row>
    <row r="274" spans="2:33" hidden="1">
      <c r="B274" s="498" t="s">
        <v>6858</v>
      </c>
      <c r="C274" s="498" t="s">
        <v>7762</v>
      </c>
      <c r="D274" s="498" t="s">
        <v>4497</v>
      </c>
      <c r="E274" s="498" t="s">
        <v>26</v>
      </c>
      <c r="F274" s="498" t="s">
        <v>7763</v>
      </c>
      <c r="G274" s="499" t="s">
        <v>326</v>
      </c>
      <c r="H274" s="500" t="s">
        <v>6861</v>
      </c>
      <c r="I274" s="498" t="s">
        <v>6862</v>
      </c>
      <c r="J274" s="498" t="s">
        <v>6934</v>
      </c>
      <c r="K274" s="498" t="s">
        <v>2173</v>
      </c>
      <c r="L274" s="498" t="s">
        <v>855</v>
      </c>
      <c r="M274" s="498" t="s">
        <v>6864</v>
      </c>
      <c r="N274" s="498" t="s">
        <v>6865</v>
      </c>
      <c r="O274" s="498" t="s">
        <v>1194</v>
      </c>
      <c r="P274" s="498" t="s">
        <v>643</v>
      </c>
      <c r="Q274" s="498" t="s">
        <v>7689</v>
      </c>
      <c r="R274" s="498" t="s">
        <v>6881</v>
      </c>
      <c r="S274" s="498" t="s">
        <v>6868</v>
      </c>
      <c r="T274" s="498" t="s">
        <v>7764</v>
      </c>
      <c r="U274" s="498"/>
      <c r="V274" s="498" t="s">
        <v>2177</v>
      </c>
      <c r="W274" s="498" t="s">
        <v>7765</v>
      </c>
      <c r="X274" s="498" t="s">
        <v>4271</v>
      </c>
      <c r="Y274" s="498"/>
      <c r="Z274" s="498" t="s">
        <v>6884</v>
      </c>
      <c r="AA274" s="498" t="s">
        <v>6872</v>
      </c>
      <c r="AB274" s="498"/>
      <c r="AC274" s="498"/>
      <c r="AD274" s="498"/>
      <c r="AE274" s="498" t="s">
        <v>6886</v>
      </c>
      <c r="AF274" s="498"/>
      <c r="AG274" s="498"/>
    </row>
    <row r="275" spans="2:33" hidden="1">
      <c r="B275" s="498" t="s">
        <v>6858</v>
      </c>
      <c r="C275" s="498" t="s">
        <v>3862</v>
      </c>
      <c r="D275" s="498" t="s">
        <v>4497</v>
      </c>
      <c r="E275" s="498" t="s">
        <v>26</v>
      </c>
      <c r="F275" s="498" t="s">
        <v>7766</v>
      </c>
      <c r="G275" s="499" t="s">
        <v>326</v>
      </c>
      <c r="H275" s="500" t="s">
        <v>6861</v>
      </c>
      <c r="I275" s="498" t="s">
        <v>6862</v>
      </c>
      <c r="J275" s="498" t="s">
        <v>6879</v>
      </c>
      <c r="K275" s="498" t="s">
        <v>2173</v>
      </c>
      <c r="L275" s="498" t="s">
        <v>855</v>
      </c>
      <c r="M275" s="498" t="s">
        <v>6864</v>
      </c>
      <c r="N275" s="498" t="s">
        <v>6865</v>
      </c>
      <c r="O275" s="498"/>
      <c r="P275" s="498" t="s">
        <v>643</v>
      </c>
      <c r="Q275" s="498" t="s">
        <v>7708</v>
      </c>
      <c r="R275" s="498" t="s">
        <v>6881</v>
      </c>
      <c r="S275" s="498" t="s">
        <v>6868</v>
      </c>
      <c r="T275" s="498"/>
      <c r="U275" s="498"/>
      <c r="V275" s="498" t="s">
        <v>6905</v>
      </c>
      <c r="W275" s="498" t="s">
        <v>7765</v>
      </c>
      <c r="X275" s="498" t="s">
        <v>2207</v>
      </c>
      <c r="Y275" s="498"/>
      <c r="Z275" s="498"/>
      <c r="AA275" s="498" t="s">
        <v>6872</v>
      </c>
      <c r="AB275" s="498"/>
      <c r="AC275" s="498"/>
      <c r="AD275" s="498"/>
      <c r="AE275" s="498" t="s">
        <v>6886</v>
      </c>
      <c r="AF275" s="498" t="s">
        <v>6905</v>
      </c>
      <c r="AG275" s="498"/>
    </row>
    <row r="276" spans="2:33" hidden="1">
      <c r="B276" s="498" t="s">
        <v>6858</v>
      </c>
      <c r="C276" s="498" t="s">
        <v>5789</v>
      </c>
      <c r="D276" s="498" t="s">
        <v>341</v>
      </c>
      <c r="E276" s="498" t="s">
        <v>26</v>
      </c>
      <c r="F276" s="498" t="s">
        <v>7767</v>
      </c>
      <c r="G276" s="499" t="s">
        <v>326</v>
      </c>
      <c r="H276" s="500" t="s">
        <v>6861</v>
      </c>
      <c r="I276" s="498" t="s">
        <v>6862</v>
      </c>
      <c r="J276" s="498" t="s">
        <v>7031</v>
      </c>
      <c r="K276" s="498" t="s">
        <v>2173</v>
      </c>
      <c r="L276" s="498" t="s">
        <v>855</v>
      </c>
      <c r="M276" s="498" t="s">
        <v>6864</v>
      </c>
      <c r="N276" s="498"/>
      <c r="O276" s="498" t="s">
        <v>1194</v>
      </c>
      <c r="P276" s="498" t="s">
        <v>643</v>
      </c>
      <c r="Q276" s="498" t="s">
        <v>7721</v>
      </c>
      <c r="R276" s="498" t="s">
        <v>6881</v>
      </c>
      <c r="S276" s="498" t="s">
        <v>6868</v>
      </c>
      <c r="T276" s="498"/>
      <c r="U276" s="498"/>
      <c r="V276" s="498" t="s">
        <v>6905</v>
      </c>
      <c r="W276" s="498" t="s">
        <v>7765</v>
      </c>
      <c r="X276" s="498" t="s">
        <v>2207</v>
      </c>
      <c r="Y276" s="498" t="s">
        <v>6871</v>
      </c>
      <c r="Z276" s="498"/>
      <c r="AA276" s="498" t="s">
        <v>6872</v>
      </c>
      <c r="AB276" s="498"/>
      <c r="AC276" s="498" t="s">
        <v>6871</v>
      </c>
      <c r="AD276" s="498"/>
      <c r="AE276" s="498" t="s">
        <v>6886</v>
      </c>
      <c r="AF276" s="498" t="s">
        <v>6905</v>
      </c>
      <c r="AG276" s="498"/>
    </row>
    <row r="277" spans="2:33" hidden="1">
      <c r="B277" s="498" t="s">
        <v>6858</v>
      </c>
      <c r="C277" s="498" t="s">
        <v>7768</v>
      </c>
      <c r="D277" s="498" t="s">
        <v>4497</v>
      </c>
      <c r="E277" s="498" t="s">
        <v>26</v>
      </c>
      <c r="F277" s="498" t="s">
        <v>7769</v>
      </c>
      <c r="G277" s="499" t="s">
        <v>326</v>
      </c>
      <c r="H277" s="500" t="s">
        <v>6861</v>
      </c>
      <c r="I277" s="498" t="s">
        <v>6862</v>
      </c>
      <c r="J277" s="498" t="s">
        <v>6879</v>
      </c>
      <c r="K277" s="498" t="s">
        <v>2173</v>
      </c>
      <c r="L277" s="498" t="s">
        <v>855</v>
      </c>
      <c r="M277" s="498" t="s">
        <v>6864</v>
      </c>
      <c r="N277" s="498" t="s">
        <v>6865</v>
      </c>
      <c r="O277" s="498" t="s">
        <v>2101</v>
      </c>
      <c r="P277" s="498" t="s">
        <v>7178</v>
      </c>
      <c r="Q277" s="498" t="s">
        <v>7770</v>
      </c>
      <c r="R277" s="498" t="s">
        <v>7179</v>
      </c>
      <c r="S277" s="498" t="s">
        <v>6868</v>
      </c>
      <c r="T277" s="498"/>
      <c r="U277" s="498"/>
      <c r="V277" s="498" t="s">
        <v>6905</v>
      </c>
      <c r="W277" s="498" t="s">
        <v>7771</v>
      </c>
      <c r="X277" s="498" t="s">
        <v>4271</v>
      </c>
      <c r="Y277" s="498"/>
      <c r="Z277" s="498" t="s">
        <v>6884</v>
      </c>
      <c r="AA277" s="498"/>
      <c r="AB277" s="498" t="s">
        <v>4271</v>
      </c>
      <c r="AC277" s="498"/>
      <c r="AD277" s="498"/>
      <c r="AE277" s="498" t="s">
        <v>855</v>
      </c>
      <c r="AF277" s="498" t="s">
        <v>6905</v>
      </c>
      <c r="AG277" s="498"/>
    </row>
    <row r="278" spans="2:33" hidden="1">
      <c r="B278" s="498" t="s">
        <v>6858</v>
      </c>
      <c r="C278" s="498" t="s">
        <v>7315</v>
      </c>
      <c r="D278" s="498" t="s">
        <v>4497</v>
      </c>
      <c r="E278" s="498" t="s">
        <v>26</v>
      </c>
      <c r="F278" s="498" t="s">
        <v>7772</v>
      </c>
      <c r="G278" s="499" t="s">
        <v>326</v>
      </c>
      <c r="H278" s="500" t="s">
        <v>6861</v>
      </c>
      <c r="I278" s="498" t="s">
        <v>6862</v>
      </c>
      <c r="J278" s="498" t="s">
        <v>6934</v>
      </c>
      <c r="K278" s="498" t="s">
        <v>2173</v>
      </c>
      <c r="L278" s="498" t="s">
        <v>855</v>
      </c>
      <c r="M278" s="498" t="s">
        <v>6864</v>
      </c>
      <c r="N278" s="498" t="s">
        <v>6865</v>
      </c>
      <c r="O278" s="498" t="s">
        <v>2101</v>
      </c>
      <c r="P278" s="498" t="s">
        <v>7178</v>
      </c>
      <c r="Q278" s="498" t="s">
        <v>7317</v>
      </c>
      <c r="R278" s="498" t="s">
        <v>7179</v>
      </c>
      <c r="S278" s="498" t="s">
        <v>6868</v>
      </c>
      <c r="T278" s="498" t="s">
        <v>7773</v>
      </c>
      <c r="U278" s="498"/>
      <c r="V278" s="498" t="s">
        <v>2177</v>
      </c>
      <c r="W278" s="498" t="s">
        <v>7771</v>
      </c>
      <c r="X278" s="498" t="s">
        <v>4271</v>
      </c>
      <c r="Y278" s="498"/>
      <c r="Z278" s="498" t="s">
        <v>6884</v>
      </c>
      <c r="AA278" s="498" t="s">
        <v>6872</v>
      </c>
      <c r="AB278" s="498" t="s">
        <v>4271</v>
      </c>
      <c r="AC278" s="498"/>
      <c r="AD278" s="498"/>
      <c r="AE278" s="498" t="s">
        <v>7774</v>
      </c>
      <c r="AF278" s="498"/>
      <c r="AG278" s="498"/>
    </row>
    <row r="279" spans="2:33" hidden="1">
      <c r="B279" s="498" t="s">
        <v>6858</v>
      </c>
      <c r="C279" s="498" t="s">
        <v>7324</v>
      </c>
      <c r="D279" s="498" t="s">
        <v>4497</v>
      </c>
      <c r="E279" s="498" t="s">
        <v>26</v>
      </c>
      <c r="F279" s="498" t="s">
        <v>7775</v>
      </c>
      <c r="G279" s="499" t="s">
        <v>326</v>
      </c>
      <c r="H279" s="500" t="s">
        <v>6861</v>
      </c>
      <c r="I279" s="498" t="s">
        <v>6862</v>
      </c>
      <c r="J279" s="498" t="s">
        <v>6934</v>
      </c>
      <c r="K279" s="498" t="s">
        <v>2173</v>
      </c>
      <c r="L279" s="498" t="s">
        <v>855</v>
      </c>
      <c r="M279" s="498" t="s">
        <v>6864</v>
      </c>
      <c r="N279" s="498" t="s">
        <v>6865</v>
      </c>
      <c r="O279" s="498" t="s">
        <v>2101</v>
      </c>
      <c r="P279" s="498" t="s">
        <v>7178</v>
      </c>
      <c r="Q279" s="498" t="s">
        <v>7326</v>
      </c>
      <c r="R279" s="498" t="s">
        <v>7179</v>
      </c>
      <c r="S279" s="498" t="s">
        <v>6868</v>
      </c>
      <c r="T279" s="498" t="s">
        <v>7773</v>
      </c>
      <c r="U279" s="498"/>
      <c r="V279" s="498" t="s">
        <v>2177</v>
      </c>
      <c r="W279" s="498" t="s">
        <v>7771</v>
      </c>
      <c r="X279" s="498" t="s">
        <v>4271</v>
      </c>
      <c r="Y279" s="498"/>
      <c r="Z279" s="498" t="s">
        <v>6884</v>
      </c>
      <c r="AA279" s="498" t="s">
        <v>6872</v>
      </c>
      <c r="AB279" s="498" t="s">
        <v>4271</v>
      </c>
      <c r="AC279" s="498"/>
      <c r="AD279" s="498"/>
      <c r="AE279" s="498" t="s">
        <v>7774</v>
      </c>
      <c r="AF279" s="498"/>
      <c r="AG279" s="498"/>
    </row>
    <row r="280" spans="2:33" hidden="1">
      <c r="B280" s="498" t="s">
        <v>6858</v>
      </c>
      <c r="C280" s="498" t="s">
        <v>7776</v>
      </c>
      <c r="D280" s="498" t="s">
        <v>4497</v>
      </c>
      <c r="E280" s="498" t="s">
        <v>26</v>
      </c>
      <c r="F280" s="498" t="s">
        <v>7777</v>
      </c>
      <c r="G280" s="499" t="s">
        <v>326</v>
      </c>
      <c r="H280" s="500" t="s">
        <v>6861</v>
      </c>
      <c r="I280" s="498" t="s">
        <v>6862</v>
      </c>
      <c r="J280" s="498" t="s">
        <v>6934</v>
      </c>
      <c r="K280" s="498" t="s">
        <v>2173</v>
      </c>
      <c r="L280" s="498" t="s">
        <v>855</v>
      </c>
      <c r="M280" s="498" t="s">
        <v>6864</v>
      </c>
      <c r="N280" s="498" t="s">
        <v>6865</v>
      </c>
      <c r="O280" s="498" t="s">
        <v>1194</v>
      </c>
      <c r="P280" s="498" t="s">
        <v>620</v>
      </c>
      <c r="Q280" s="498" t="s">
        <v>7778</v>
      </c>
      <c r="R280" s="498" t="s">
        <v>6867</v>
      </c>
      <c r="S280" s="498" t="s">
        <v>6868</v>
      </c>
      <c r="T280" s="498" t="s">
        <v>7711</v>
      </c>
      <c r="U280" s="498"/>
      <c r="V280" s="498" t="s">
        <v>2177</v>
      </c>
      <c r="W280" s="498" t="s">
        <v>7779</v>
      </c>
      <c r="X280" s="498" t="s">
        <v>6884</v>
      </c>
      <c r="Y280" s="498" t="s">
        <v>6871</v>
      </c>
      <c r="Z280" s="498" t="s">
        <v>6884</v>
      </c>
      <c r="AA280" s="498" t="s">
        <v>6872</v>
      </c>
      <c r="AB280" s="498"/>
      <c r="AC280" s="498"/>
      <c r="AD280" s="498"/>
      <c r="AE280" s="498" t="s">
        <v>7780</v>
      </c>
      <c r="AF280" s="498"/>
      <c r="AG280" s="498"/>
    </row>
    <row r="281" spans="2:33" hidden="1">
      <c r="B281" s="498" t="s">
        <v>6858</v>
      </c>
      <c r="C281" s="498" t="s">
        <v>7781</v>
      </c>
      <c r="D281" s="498" t="s">
        <v>3919</v>
      </c>
      <c r="E281" s="498" t="s">
        <v>26</v>
      </c>
      <c r="F281" s="498" t="s">
        <v>7782</v>
      </c>
      <c r="G281" s="499" t="s">
        <v>326</v>
      </c>
      <c r="H281" s="500" t="s">
        <v>6861</v>
      </c>
      <c r="I281" s="498" t="s">
        <v>6862</v>
      </c>
      <c r="J281" s="498" t="s">
        <v>6879</v>
      </c>
      <c r="K281" s="498" t="s">
        <v>2173</v>
      </c>
      <c r="L281" s="498" t="s">
        <v>855</v>
      </c>
      <c r="M281" s="498" t="s">
        <v>6864</v>
      </c>
      <c r="N281" s="498" t="s">
        <v>6865</v>
      </c>
      <c r="O281" s="498" t="s">
        <v>1194</v>
      </c>
      <c r="P281" s="498" t="s">
        <v>7581</v>
      </c>
      <c r="Q281" s="498" t="s">
        <v>7783</v>
      </c>
      <c r="R281" s="498" t="s">
        <v>7784</v>
      </c>
      <c r="S281" s="498" t="s">
        <v>6868</v>
      </c>
      <c r="T281" s="498"/>
      <c r="U281" s="498"/>
      <c r="V281" s="498" t="s">
        <v>6905</v>
      </c>
      <c r="W281" s="498" t="s">
        <v>7779</v>
      </c>
      <c r="X281" s="498" t="s">
        <v>3608</v>
      </c>
      <c r="Y281" s="498" t="s">
        <v>6871</v>
      </c>
      <c r="Z281" s="498">
        <v>40</v>
      </c>
      <c r="AA281" s="498" t="s">
        <v>6872</v>
      </c>
      <c r="AB281" s="498" t="s">
        <v>3608</v>
      </c>
      <c r="AC281" s="498"/>
      <c r="AD281" s="498"/>
      <c r="AE281" s="498" t="s">
        <v>7780</v>
      </c>
      <c r="AF281" s="498" t="s">
        <v>6905</v>
      </c>
      <c r="AG281" s="498" t="s">
        <v>7785</v>
      </c>
    </row>
    <row r="282" spans="2:33" hidden="1">
      <c r="B282" s="498" t="s">
        <v>6858</v>
      </c>
      <c r="C282" s="498" t="s">
        <v>7786</v>
      </c>
      <c r="D282" s="498" t="s">
        <v>3919</v>
      </c>
      <c r="E282" s="498" t="s">
        <v>26</v>
      </c>
      <c r="F282" s="498" t="s">
        <v>7787</v>
      </c>
      <c r="G282" s="499" t="s">
        <v>326</v>
      </c>
      <c r="H282" s="500" t="s">
        <v>6861</v>
      </c>
      <c r="I282" s="498" t="s">
        <v>7788</v>
      </c>
      <c r="J282" s="498" t="s">
        <v>6879</v>
      </c>
      <c r="K282" s="498" t="s">
        <v>2173</v>
      </c>
      <c r="L282" s="498" t="s">
        <v>855</v>
      </c>
      <c r="M282" s="498" t="s">
        <v>6864</v>
      </c>
      <c r="N282" s="498" t="s">
        <v>7235</v>
      </c>
      <c r="O282" s="498" t="s">
        <v>7235</v>
      </c>
      <c r="P282" s="498" t="s">
        <v>7235</v>
      </c>
      <c r="Q282" s="498" t="s">
        <v>7235</v>
      </c>
      <c r="R282" s="498" t="s">
        <v>7235</v>
      </c>
      <c r="S282" s="498" t="s">
        <v>7235</v>
      </c>
      <c r="T282" s="498" t="s">
        <v>7235</v>
      </c>
      <c r="U282" s="498" t="s">
        <v>7788</v>
      </c>
      <c r="V282" s="498"/>
      <c r="W282" s="498"/>
      <c r="X282" s="498"/>
      <c r="Y282" s="498"/>
      <c r="Z282" s="498"/>
      <c r="AA282" s="498"/>
      <c r="AB282" s="498"/>
      <c r="AC282" s="498"/>
      <c r="AD282" s="498"/>
      <c r="AE282" s="498"/>
      <c r="AF282" s="498"/>
      <c r="AG282" s="498"/>
    </row>
    <row r="283" spans="2:33" hidden="1">
      <c r="B283" s="498" t="s">
        <v>6858</v>
      </c>
      <c r="C283" s="498" t="s">
        <v>7789</v>
      </c>
      <c r="D283" s="498" t="s">
        <v>3919</v>
      </c>
      <c r="E283" s="498" t="s">
        <v>26</v>
      </c>
      <c r="F283" s="498" t="s">
        <v>7790</v>
      </c>
      <c r="G283" s="499" t="s">
        <v>326</v>
      </c>
      <c r="H283" s="500" t="s">
        <v>6861</v>
      </c>
      <c r="I283" s="498" t="s">
        <v>7791</v>
      </c>
      <c r="J283" s="498" t="s">
        <v>6879</v>
      </c>
      <c r="K283" s="498" t="s">
        <v>7275</v>
      </c>
      <c r="L283" s="498" t="s">
        <v>261</v>
      </c>
      <c r="M283" s="498" t="s">
        <v>7792</v>
      </c>
      <c r="N283" s="498" t="s">
        <v>6864</v>
      </c>
      <c r="O283" s="498" t="s">
        <v>6864</v>
      </c>
      <c r="P283" s="498" t="s">
        <v>6864</v>
      </c>
      <c r="Q283" s="498" t="s">
        <v>6864</v>
      </c>
      <c r="R283" s="498" t="s">
        <v>6864</v>
      </c>
      <c r="S283" s="498" t="s">
        <v>6864</v>
      </c>
      <c r="T283" s="498" t="s">
        <v>6864</v>
      </c>
      <c r="U283" s="498" t="s">
        <v>7793</v>
      </c>
      <c r="V283" s="498"/>
      <c r="W283" s="498"/>
      <c r="X283" s="498"/>
      <c r="Y283" s="498"/>
      <c r="Z283" s="498"/>
      <c r="AA283" s="498"/>
      <c r="AB283" s="498"/>
      <c r="AC283" s="498"/>
      <c r="AD283" s="498"/>
      <c r="AE283" s="498"/>
      <c r="AF283" s="498"/>
      <c r="AG283" s="498"/>
    </row>
    <row r="284" spans="2:33" hidden="1">
      <c r="B284" s="498" t="s">
        <v>6858</v>
      </c>
      <c r="C284" s="498" t="s">
        <v>7794</v>
      </c>
      <c r="D284" s="498" t="s">
        <v>3919</v>
      </c>
      <c r="E284" s="498" t="s">
        <v>26</v>
      </c>
      <c r="F284" s="498" t="s">
        <v>7795</v>
      </c>
      <c r="G284" s="499" t="s">
        <v>326</v>
      </c>
      <c r="H284" s="500" t="s">
        <v>6861</v>
      </c>
      <c r="I284" s="498" t="s">
        <v>6862</v>
      </c>
      <c r="J284" s="498" t="s">
        <v>7796</v>
      </c>
      <c r="K284" s="498" t="s">
        <v>2173</v>
      </c>
      <c r="L284" s="498" t="s">
        <v>855</v>
      </c>
      <c r="M284" s="498" t="s">
        <v>6864</v>
      </c>
      <c r="N284" s="498" t="s">
        <v>6865</v>
      </c>
      <c r="O284" s="498" t="s">
        <v>1194</v>
      </c>
      <c r="P284" s="498" t="s">
        <v>574</v>
      </c>
      <c r="Q284" s="498" t="s">
        <v>7797</v>
      </c>
      <c r="R284" s="498" t="s">
        <v>6957</v>
      </c>
      <c r="S284" s="498" t="s">
        <v>6868</v>
      </c>
      <c r="T284" s="498"/>
      <c r="U284" s="498"/>
      <c r="V284" s="498" t="s">
        <v>6905</v>
      </c>
      <c r="W284" s="498" t="s">
        <v>6883</v>
      </c>
      <c r="X284" s="498" t="s">
        <v>2207</v>
      </c>
      <c r="Y284" s="498" t="s">
        <v>6871</v>
      </c>
      <c r="Z284" s="498"/>
      <c r="AA284" s="498" t="s">
        <v>6872</v>
      </c>
      <c r="AB284" s="498"/>
      <c r="AC284" s="498"/>
      <c r="AD284" s="498"/>
      <c r="AE284" s="498" t="s">
        <v>855</v>
      </c>
      <c r="AF284" s="498" t="s">
        <v>6905</v>
      </c>
      <c r="AG284" s="498"/>
    </row>
    <row r="285" spans="2:33" hidden="1">
      <c r="B285" s="498" t="s">
        <v>6858</v>
      </c>
      <c r="C285" s="498" t="s">
        <v>7798</v>
      </c>
      <c r="D285" s="498" t="s">
        <v>7799</v>
      </c>
      <c r="E285" s="498" t="s">
        <v>26</v>
      </c>
      <c r="F285" s="498" t="s">
        <v>7800</v>
      </c>
      <c r="G285" s="499" t="s">
        <v>326</v>
      </c>
      <c r="H285" s="500" t="s">
        <v>6861</v>
      </c>
      <c r="I285" s="498" t="s">
        <v>7801</v>
      </c>
      <c r="J285" s="498" t="s">
        <v>6934</v>
      </c>
      <c r="K285" s="498" t="s">
        <v>2173</v>
      </c>
      <c r="L285" s="498" t="s">
        <v>855</v>
      </c>
      <c r="M285" s="498" t="s">
        <v>7792</v>
      </c>
      <c r="N285" s="498" t="s">
        <v>6865</v>
      </c>
      <c r="O285" s="498" t="s">
        <v>1194</v>
      </c>
      <c r="P285" s="498" t="s">
        <v>656</v>
      </c>
      <c r="Q285" s="498" t="s">
        <v>7802</v>
      </c>
      <c r="R285" s="498" t="s">
        <v>7803</v>
      </c>
      <c r="S285" s="498" t="s">
        <v>6868</v>
      </c>
      <c r="T285" s="498"/>
      <c r="U285" s="498" t="s">
        <v>7804</v>
      </c>
      <c r="V285" s="498" t="s">
        <v>6905</v>
      </c>
      <c r="W285" s="498" t="s">
        <v>7771</v>
      </c>
      <c r="X285" s="498"/>
      <c r="Y285" s="498" t="s">
        <v>6871</v>
      </c>
      <c r="Z285" s="498"/>
      <c r="AA285" s="498" t="s">
        <v>6885</v>
      </c>
      <c r="AB285" s="498"/>
      <c r="AC285" s="498"/>
      <c r="AD285" s="498"/>
      <c r="AE285" s="498"/>
      <c r="AF285" s="498" t="s">
        <v>6905</v>
      </c>
      <c r="AG285" s="498"/>
    </row>
    <row r="286" spans="2:33" hidden="1">
      <c r="B286" s="498" t="s">
        <v>6858</v>
      </c>
      <c r="C286" s="498" t="s">
        <v>2350</v>
      </c>
      <c r="D286" s="498" t="s">
        <v>7799</v>
      </c>
      <c r="E286" s="498" t="s">
        <v>26</v>
      </c>
      <c r="F286" s="498" t="s">
        <v>7805</v>
      </c>
      <c r="G286" s="499" t="s">
        <v>326</v>
      </c>
      <c r="H286" s="500" t="s">
        <v>6861</v>
      </c>
      <c r="I286" s="498" t="s">
        <v>7801</v>
      </c>
      <c r="J286" s="498" t="s">
        <v>6934</v>
      </c>
      <c r="K286" s="498" t="s">
        <v>2173</v>
      </c>
      <c r="L286" s="498" t="s">
        <v>855</v>
      </c>
      <c r="M286" s="498" t="s">
        <v>7792</v>
      </c>
      <c r="N286" s="498" t="s">
        <v>6865</v>
      </c>
      <c r="O286" s="498" t="s">
        <v>1194</v>
      </c>
      <c r="P286" s="498" t="s">
        <v>656</v>
      </c>
      <c r="Q286" s="498" t="s">
        <v>7806</v>
      </c>
      <c r="R286" s="498" t="s">
        <v>6957</v>
      </c>
      <c r="S286" s="498" t="s">
        <v>6868</v>
      </c>
      <c r="T286" s="498" t="s">
        <v>7807</v>
      </c>
      <c r="U286" s="498" t="s">
        <v>7804</v>
      </c>
      <c r="V286" s="498" t="s">
        <v>2177</v>
      </c>
      <c r="W286" s="498" t="s">
        <v>7771</v>
      </c>
      <c r="X286" s="498"/>
      <c r="Y286" s="498" t="s">
        <v>6871</v>
      </c>
      <c r="Z286" s="498"/>
      <c r="AA286" s="498" t="s">
        <v>6872</v>
      </c>
      <c r="AB286" s="498"/>
      <c r="AC286" s="498"/>
      <c r="AD286" s="498"/>
      <c r="AE286" s="498"/>
      <c r="AF286" s="498"/>
      <c r="AG286" s="498"/>
    </row>
    <row r="287" spans="2:33" hidden="1">
      <c r="B287" s="498" t="s">
        <v>6858</v>
      </c>
      <c r="C287" s="498" t="s">
        <v>7808</v>
      </c>
      <c r="D287" s="498" t="s">
        <v>7799</v>
      </c>
      <c r="E287" s="498" t="s">
        <v>26</v>
      </c>
      <c r="F287" s="498" t="s">
        <v>7809</v>
      </c>
      <c r="G287" s="499" t="s">
        <v>326</v>
      </c>
      <c r="H287" s="500" t="s">
        <v>6861</v>
      </c>
      <c r="I287" s="498" t="s">
        <v>7801</v>
      </c>
      <c r="J287" s="498" t="s">
        <v>6934</v>
      </c>
      <c r="K287" s="498" t="s">
        <v>2173</v>
      </c>
      <c r="L287" s="498" t="s">
        <v>855</v>
      </c>
      <c r="M287" s="498" t="s">
        <v>7792</v>
      </c>
      <c r="N287" s="498" t="s">
        <v>6865</v>
      </c>
      <c r="O287" s="498" t="s">
        <v>1194</v>
      </c>
      <c r="P287" s="498" t="s">
        <v>656</v>
      </c>
      <c r="Q287" s="498" t="s">
        <v>7368</v>
      </c>
      <c r="R287" s="498" t="s">
        <v>361</v>
      </c>
      <c r="S287" s="498" t="s">
        <v>6868</v>
      </c>
      <c r="T287" s="498"/>
      <c r="U287" s="498" t="s">
        <v>7804</v>
      </c>
      <c r="V287" s="498" t="s">
        <v>7079</v>
      </c>
      <c r="W287" s="498" t="s">
        <v>7771</v>
      </c>
      <c r="X287" s="498"/>
      <c r="Y287" s="498" t="s">
        <v>6871</v>
      </c>
      <c r="Z287" s="498"/>
      <c r="AA287" s="498" t="s">
        <v>6885</v>
      </c>
      <c r="AB287" s="498"/>
      <c r="AC287" s="498"/>
      <c r="AD287" s="498"/>
      <c r="AE287" s="498"/>
      <c r="AF287" s="498" t="s">
        <v>7810</v>
      </c>
      <c r="AG287" s="498"/>
    </row>
    <row r="288" spans="2:33" ht="150" hidden="1">
      <c r="B288" s="498" t="s">
        <v>6858</v>
      </c>
      <c r="C288" s="498" t="s">
        <v>4298</v>
      </c>
      <c r="D288" s="498" t="s">
        <v>7799</v>
      </c>
      <c r="E288" s="498" t="s">
        <v>26</v>
      </c>
      <c r="F288" s="498" t="s">
        <v>7811</v>
      </c>
      <c r="G288" s="499" t="s">
        <v>326</v>
      </c>
      <c r="H288" s="500" t="s">
        <v>6861</v>
      </c>
      <c r="I288" s="498" t="s">
        <v>7801</v>
      </c>
      <c r="J288" s="498" t="s">
        <v>6934</v>
      </c>
      <c r="K288" s="498" t="s">
        <v>2173</v>
      </c>
      <c r="L288" s="498" t="s">
        <v>855</v>
      </c>
      <c r="M288" s="498" t="s">
        <v>7792</v>
      </c>
      <c r="N288" s="498" t="s">
        <v>6865</v>
      </c>
      <c r="O288" s="498" t="s">
        <v>1194</v>
      </c>
      <c r="P288" s="498" t="s">
        <v>7812</v>
      </c>
      <c r="Q288" s="498" t="s">
        <v>7382</v>
      </c>
      <c r="R288" s="502" t="s">
        <v>7673</v>
      </c>
      <c r="S288" s="498" t="s">
        <v>7813</v>
      </c>
      <c r="T288" s="498" t="s">
        <v>7814</v>
      </c>
      <c r="U288" s="498" t="s">
        <v>7804</v>
      </c>
      <c r="V288" s="498" t="s">
        <v>2177</v>
      </c>
      <c r="W288" s="498" t="s">
        <v>7771</v>
      </c>
      <c r="X288" s="498"/>
      <c r="Y288" s="498" t="s">
        <v>6871</v>
      </c>
      <c r="Z288" s="498"/>
      <c r="AA288" s="498" t="s">
        <v>6872</v>
      </c>
      <c r="AB288" s="498"/>
      <c r="AC288" s="498"/>
      <c r="AD288" s="498"/>
      <c r="AE288" s="498"/>
      <c r="AF288" s="498"/>
      <c r="AG288" s="498"/>
    </row>
    <row r="289" spans="2:33" hidden="1">
      <c r="B289" s="498" t="s">
        <v>6858</v>
      </c>
      <c r="C289" s="498" t="s">
        <v>2400</v>
      </c>
      <c r="D289" s="498" t="s">
        <v>7815</v>
      </c>
      <c r="E289" s="498" t="s">
        <v>26</v>
      </c>
      <c r="F289" s="498" t="s">
        <v>7816</v>
      </c>
      <c r="G289" s="499" t="s">
        <v>326</v>
      </c>
      <c r="H289" s="500" t="s">
        <v>6861</v>
      </c>
      <c r="I289" s="498" t="s">
        <v>6862</v>
      </c>
      <c r="J289" s="498" t="s">
        <v>6934</v>
      </c>
      <c r="K289" s="498" t="s">
        <v>2173</v>
      </c>
      <c r="L289" s="498" t="s">
        <v>855</v>
      </c>
      <c r="M289" s="498" t="s">
        <v>6864</v>
      </c>
      <c r="N289" s="498" t="s">
        <v>6865</v>
      </c>
      <c r="O289" s="498" t="s">
        <v>1194</v>
      </c>
      <c r="P289" s="498" t="s">
        <v>7618</v>
      </c>
      <c r="Q289" s="498" t="s">
        <v>7747</v>
      </c>
      <c r="R289" s="498" t="s">
        <v>7587</v>
      </c>
      <c r="S289" s="498" t="s">
        <v>6868</v>
      </c>
      <c r="T289" s="498"/>
      <c r="U289" s="498" t="s">
        <v>7817</v>
      </c>
      <c r="V289" s="498" t="s">
        <v>6905</v>
      </c>
      <c r="W289" s="498" t="s">
        <v>7771</v>
      </c>
      <c r="X289" s="498" t="s">
        <v>2207</v>
      </c>
      <c r="Y289" s="498" t="s">
        <v>6871</v>
      </c>
      <c r="Z289" s="498"/>
      <c r="AA289" s="498" t="s">
        <v>6872</v>
      </c>
      <c r="AB289" s="498"/>
      <c r="AC289" s="498"/>
      <c r="AD289" s="498"/>
      <c r="AE289" s="498"/>
      <c r="AF289" s="498" t="s">
        <v>6905</v>
      </c>
      <c r="AG289" s="498"/>
    </row>
    <row r="290" spans="2:33" hidden="1">
      <c r="B290" s="498" t="s">
        <v>6858</v>
      </c>
      <c r="C290" s="498" t="s">
        <v>7818</v>
      </c>
      <c r="D290" s="498" t="s">
        <v>7815</v>
      </c>
      <c r="E290" s="498" t="s">
        <v>26</v>
      </c>
      <c r="F290" s="498" t="s">
        <v>7819</v>
      </c>
      <c r="G290" s="499" t="s">
        <v>326</v>
      </c>
      <c r="H290" s="500" t="s">
        <v>6861</v>
      </c>
      <c r="I290" s="498" t="s">
        <v>6862</v>
      </c>
      <c r="J290" s="498" t="s">
        <v>6934</v>
      </c>
      <c r="K290" s="498" t="s">
        <v>2173</v>
      </c>
      <c r="L290" s="498" t="s">
        <v>855</v>
      </c>
      <c r="M290" s="498" t="s">
        <v>6864</v>
      </c>
      <c r="N290" s="498" t="s">
        <v>6865</v>
      </c>
      <c r="O290" s="498" t="s">
        <v>1194</v>
      </c>
      <c r="P290" s="498" t="s">
        <v>7618</v>
      </c>
      <c r="Q290" s="498" t="s">
        <v>7820</v>
      </c>
      <c r="R290" s="498" t="s">
        <v>7587</v>
      </c>
      <c r="S290" s="498" t="s">
        <v>6868</v>
      </c>
      <c r="T290" s="498"/>
      <c r="U290" s="498" t="s">
        <v>7817</v>
      </c>
      <c r="V290" s="498" t="s">
        <v>6905</v>
      </c>
      <c r="W290" s="498" t="s">
        <v>7771</v>
      </c>
      <c r="X290" s="498" t="s">
        <v>3582</v>
      </c>
      <c r="Y290" s="498" t="s">
        <v>6871</v>
      </c>
      <c r="Z290" s="498">
        <v>254</v>
      </c>
      <c r="AA290" s="498" t="s">
        <v>6872</v>
      </c>
      <c r="AB290" s="498" t="s">
        <v>3608</v>
      </c>
      <c r="AC290" s="498"/>
      <c r="AD290" s="498"/>
      <c r="AE290" s="498"/>
      <c r="AF290" s="498" t="s">
        <v>6905</v>
      </c>
      <c r="AG290" s="498"/>
    </row>
    <row r="291" spans="2:33" hidden="1">
      <c r="B291" s="498" t="s">
        <v>6858</v>
      </c>
      <c r="C291" s="498" t="s">
        <v>7808</v>
      </c>
      <c r="D291" s="498" t="s">
        <v>7815</v>
      </c>
      <c r="E291" s="498" t="s">
        <v>26</v>
      </c>
      <c r="F291" s="498" t="s">
        <v>7821</v>
      </c>
      <c r="G291" s="499" t="s">
        <v>326</v>
      </c>
      <c r="H291" s="500" t="s">
        <v>6861</v>
      </c>
      <c r="I291" s="498" t="s">
        <v>6862</v>
      </c>
      <c r="J291" s="498" t="s">
        <v>6934</v>
      </c>
      <c r="K291" s="498" t="s">
        <v>2173</v>
      </c>
      <c r="L291" s="498" t="s">
        <v>855</v>
      </c>
      <c r="M291" s="498" t="s">
        <v>6864</v>
      </c>
      <c r="N291" s="498" t="s">
        <v>6865</v>
      </c>
      <c r="O291" s="498" t="s">
        <v>1194</v>
      </c>
      <c r="P291" s="498" t="s">
        <v>7618</v>
      </c>
      <c r="Q291" s="498" t="s">
        <v>7590</v>
      </c>
      <c r="R291" s="498" t="s">
        <v>7587</v>
      </c>
      <c r="S291" s="498" t="s">
        <v>6868</v>
      </c>
      <c r="T291" s="498"/>
      <c r="U291" s="498" t="s">
        <v>7817</v>
      </c>
      <c r="V291" s="498" t="s">
        <v>7079</v>
      </c>
      <c r="W291" s="498" t="s">
        <v>7771</v>
      </c>
      <c r="X291" s="498" t="s">
        <v>6884</v>
      </c>
      <c r="Y291" s="498" t="s">
        <v>6871</v>
      </c>
      <c r="Z291" s="498" t="s">
        <v>6884</v>
      </c>
      <c r="AA291" s="498" t="s">
        <v>6872</v>
      </c>
      <c r="AB291" s="498"/>
      <c r="AC291" s="498"/>
      <c r="AD291" s="498"/>
      <c r="AE291" s="498"/>
      <c r="AF291" s="498" t="s">
        <v>7810</v>
      </c>
      <c r="AG291" s="498"/>
    </row>
    <row r="292" spans="2:33" hidden="1">
      <c r="B292" s="498" t="s">
        <v>6858</v>
      </c>
      <c r="C292" s="498" t="s">
        <v>159</v>
      </c>
      <c r="D292" s="498" t="s">
        <v>7815</v>
      </c>
      <c r="E292" s="498" t="s">
        <v>26</v>
      </c>
      <c r="F292" s="498" t="s">
        <v>7822</v>
      </c>
      <c r="G292" s="499" t="s">
        <v>326</v>
      </c>
      <c r="H292" s="500" t="s">
        <v>6861</v>
      </c>
      <c r="I292" s="498" t="s">
        <v>6862</v>
      </c>
      <c r="J292" s="498" t="s">
        <v>6934</v>
      </c>
      <c r="K292" s="498" t="s">
        <v>2173</v>
      </c>
      <c r="L292" s="498" t="s">
        <v>855</v>
      </c>
      <c r="M292" s="498" t="s">
        <v>6864</v>
      </c>
      <c r="N292" s="498" t="s">
        <v>6865</v>
      </c>
      <c r="O292" s="498" t="s">
        <v>1194</v>
      </c>
      <c r="P292" s="498" t="s">
        <v>7823</v>
      </c>
      <c r="Q292" s="498" t="s">
        <v>2307</v>
      </c>
      <c r="R292" s="498" t="s">
        <v>7824</v>
      </c>
      <c r="S292" s="498" t="s">
        <v>6868</v>
      </c>
      <c r="T292" s="498" t="s">
        <v>7825</v>
      </c>
      <c r="U292" s="498" t="s">
        <v>7817</v>
      </c>
      <c r="V292" s="498" t="s">
        <v>6905</v>
      </c>
      <c r="W292" s="498" t="s">
        <v>7771</v>
      </c>
      <c r="X292" s="498"/>
      <c r="Y292" s="498" t="s">
        <v>6871</v>
      </c>
      <c r="Z292" s="498"/>
      <c r="AA292" s="498" t="s">
        <v>6872</v>
      </c>
      <c r="AB292" s="498"/>
      <c r="AC292" s="498"/>
      <c r="AD292" s="498"/>
      <c r="AE292" s="498"/>
      <c r="AF292" s="498" t="s">
        <v>6905</v>
      </c>
      <c r="AG292" s="498"/>
    </row>
    <row r="293" spans="2:33" hidden="1">
      <c r="B293" s="498" t="s">
        <v>6858</v>
      </c>
      <c r="C293" s="498" t="s">
        <v>4298</v>
      </c>
      <c r="D293" s="498" t="s">
        <v>7815</v>
      </c>
      <c r="E293" s="498" t="s">
        <v>26</v>
      </c>
      <c r="F293" s="498" t="s">
        <v>7826</v>
      </c>
      <c r="G293" s="499" t="s">
        <v>326</v>
      </c>
      <c r="H293" s="500" t="s">
        <v>6861</v>
      </c>
      <c r="I293" s="498" t="s">
        <v>6862</v>
      </c>
      <c r="J293" s="498" t="s">
        <v>6934</v>
      </c>
      <c r="K293" s="498" t="s">
        <v>2173</v>
      </c>
      <c r="L293" s="498" t="s">
        <v>855</v>
      </c>
      <c r="M293" s="498" t="s">
        <v>6864</v>
      </c>
      <c r="N293" s="498" t="s">
        <v>6865</v>
      </c>
      <c r="O293" s="498" t="s">
        <v>1194</v>
      </c>
      <c r="P293" s="498" t="s">
        <v>7812</v>
      </c>
      <c r="Q293" s="498" t="s">
        <v>7382</v>
      </c>
      <c r="R293" s="498" t="s">
        <v>7668</v>
      </c>
      <c r="S293" s="498" t="s">
        <v>6868</v>
      </c>
      <c r="T293" s="498"/>
      <c r="U293" s="498" t="s">
        <v>7817</v>
      </c>
      <c r="V293" s="498" t="s">
        <v>6905</v>
      </c>
      <c r="W293" s="498" t="s">
        <v>7779</v>
      </c>
      <c r="X293" s="498"/>
      <c r="Y293" s="498" t="s">
        <v>6871</v>
      </c>
      <c r="Z293" s="498"/>
      <c r="AA293" s="498" t="s">
        <v>6872</v>
      </c>
      <c r="AB293" s="498"/>
      <c r="AC293" s="498"/>
      <c r="AD293" s="498"/>
      <c r="AE293" s="498"/>
      <c r="AF293" s="498" t="s">
        <v>6905</v>
      </c>
      <c r="AG293" s="498"/>
    </row>
    <row r="294" spans="2:33" hidden="1">
      <c r="B294" s="498" t="s">
        <v>6858</v>
      </c>
      <c r="C294" s="498" t="s">
        <v>7827</v>
      </c>
      <c r="D294" s="498" t="s">
        <v>7828</v>
      </c>
      <c r="E294" s="498" t="s">
        <v>26</v>
      </c>
      <c r="F294" s="498" t="s">
        <v>7829</v>
      </c>
      <c r="G294" s="499" t="s">
        <v>326</v>
      </c>
      <c r="H294" s="500" t="s">
        <v>6861</v>
      </c>
      <c r="I294" s="498" t="s">
        <v>6862</v>
      </c>
      <c r="J294" s="498" t="s">
        <v>6934</v>
      </c>
      <c r="K294" s="498" t="s">
        <v>2173</v>
      </c>
      <c r="L294" s="498" t="s">
        <v>855</v>
      </c>
      <c r="M294" s="498" t="s">
        <v>6864</v>
      </c>
      <c r="N294" s="498" t="s">
        <v>6865</v>
      </c>
      <c r="O294" s="498" t="s">
        <v>1194</v>
      </c>
      <c r="P294" s="498" t="s">
        <v>7830</v>
      </c>
      <c r="Q294" s="498" t="s">
        <v>5826</v>
      </c>
      <c r="R294" s="498" t="s">
        <v>7831</v>
      </c>
      <c r="S294" s="498" t="s">
        <v>6868</v>
      </c>
      <c r="T294" s="498"/>
      <c r="U294" s="498"/>
      <c r="V294" s="498" t="s">
        <v>6905</v>
      </c>
      <c r="W294" s="498" t="s">
        <v>7779</v>
      </c>
      <c r="X294" s="498" t="s">
        <v>3608</v>
      </c>
      <c r="Y294" s="498" t="s">
        <v>6871</v>
      </c>
      <c r="Z294" s="498">
        <v>50</v>
      </c>
      <c r="AA294" s="498" t="s">
        <v>6872</v>
      </c>
      <c r="AB294" s="498" t="s">
        <v>3608</v>
      </c>
      <c r="AC294" s="498"/>
      <c r="AD294" s="498"/>
      <c r="AE294" s="498" t="s">
        <v>855</v>
      </c>
      <c r="AF294" s="498" t="s">
        <v>6905</v>
      </c>
      <c r="AG294" s="498"/>
    </row>
    <row r="295" spans="2:33" hidden="1">
      <c r="B295" s="498" t="s">
        <v>6858</v>
      </c>
      <c r="C295" s="498" t="s">
        <v>375</v>
      </c>
      <c r="D295" s="498" t="s">
        <v>7828</v>
      </c>
      <c r="E295" s="498" t="s">
        <v>26</v>
      </c>
      <c r="F295" s="498" t="s">
        <v>7832</v>
      </c>
      <c r="G295" s="499" t="s">
        <v>326</v>
      </c>
      <c r="H295" s="500" t="s">
        <v>6861</v>
      </c>
      <c r="I295" s="498" t="s">
        <v>6862</v>
      </c>
      <c r="J295" s="498" t="s">
        <v>6934</v>
      </c>
      <c r="K295" s="498" t="s">
        <v>2173</v>
      </c>
      <c r="L295" s="498" t="s">
        <v>855</v>
      </c>
      <c r="M295" s="498" t="s">
        <v>6864</v>
      </c>
      <c r="N295" s="498" t="s">
        <v>6865</v>
      </c>
      <c r="O295" s="498" t="s">
        <v>1194</v>
      </c>
      <c r="P295" s="498" t="s">
        <v>7833</v>
      </c>
      <c r="Q295" s="498" t="s">
        <v>7665</v>
      </c>
      <c r="R295" s="498" t="s">
        <v>7834</v>
      </c>
      <c r="S295" s="498" t="s">
        <v>6868</v>
      </c>
      <c r="T295" s="498"/>
      <c r="U295" s="498"/>
      <c r="V295" s="498" t="s">
        <v>6905</v>
      </c>
      <c r="W295" s="498" t="s">
        <v>7779</v>
      </c>
      <c r="X295" s="498" t="s">
        <v>3608</v>
      </c>
      <c r="Y295" s="498" t="s">
        <v>6871</v>
      </c>
      <c r="Z295" s="498">
        <v>11</v>
      </c>
      <c r="AA295" s="498" t="s">
        <v>6872</v>
      </c>
      <c r="AB295" s="498" t="s">
        <v>3608</v>
      </c>
      <c r="AC295" s="498"/>
      <c r="AD295" s="498"/>
      <c r="AE295" s="498" t="s">
        <v>855</v>
      </c>
      <c r="AF295" s="498" t="s">
        <v>6905</v>
      </c>
      <c r="AG295" s="498"/>
    </row>
    <row r="296" spans="2:33" hidden="1">
      <c r="B296" s="498" t="s">
        <v>6858</v>
      </c>
      <c r="C296" s="498" t="s">
        <v>7337</v>
      </c>
      <c r="D296" s="498" t="s">
        <v>7828</v>
      </c>
      <c r="E296" s="498" t="s">
        <v>26</v>
      </c>
      <c r="F296" s="498" t="s">
        <v>7835</v>
      </c>
      <c r="G296" s="499" t="s">
        <v>326</v>
      </c>
      <c r="H296" s="500" t="s">
        <v>6861</v>
      </c>
      <c r="I296" s="498" t="s">
        <v>6862</v>
      </c>
      <c r="J296" s="498" t="s">
        <v>6934</v>
      </c>
      <c r="K296" s="498" t="s">
        <v>2173</v>
      </c>
      <c r="L296" s="498" t="s">
        <v>855</v>
      </c>
      <c r="M296" s="498" t="s">
        <v>6864</v>
      </c>
      <c r="N296" s="498" t="s">
        <v>6865</v>
      </c>
      <c r="O296" s="498" t="s">
        <v>1194</v>
      </c>
      <c r="P296" s="498" t="s">
        <v>7833</v>
      </c>
      <c r="Q296" s="498" t="s">
        <v>1196</v>
      </c>
      <c r="R296" s="498" t="s">
        <v>7834</v>
      </c>
      <c r="S296" s="498" t="s">
        <v>6868</v>
      </c>
      <c r="T296" s="498"/>
      <c r="U296" s="498"/>
      <c r="V296" s="498" t="s">
        <v>6905</v>
      </c>
      <c r="W296" s="498" t="s">
        <v>7779</v>
      </c>
      <c r="X296" s="498" t="s">
        <v>2207</v>
      </c>
      <c r="Y296" s="498" t="s">
        <v>6871</v>
      </c>
      <c r="Z296" s="498"/>
      <c r="AA296" s="498" t="s">
        <v>6872</v>
      </c>
      <c r="AB296" s="498"/>
      <c r="AC296" s="498"/>
      <c r="AD296" s="498"/>
      <c r="AE296" s="498" t="s">
        <v>855</v>
      </c>
      <c r="AF296" s="498" t="s">
        <v>6905</v>
      </c>
      <c r="AG296" s="498"/>
    </row>
    <row r="297" spans="2:33" hidden="1">
      <c r="B297" s="498" t="s">
        <v>6858</v>
      </c>
      <c r="C297" s="498" t="s">
        <v>356</v>
      </c>
      <c r="D297" s="498" t="s">
        <v>7828</v>
      </c>
      <c r="E297" s="498" t="s">
        <v>26</v>
      </c>
      <c r="F297" s="498" t="s">
        <v>7836</v>
      </c>
      <c r="G297" s="499" t="s">
        <v>326</v>
      </c>
      <c r="H297" s="500" t="s">
        <v>6861</v>
      </c>
      <c r="I297" s="498" t="s">
        <v>6862</v>
      </c>
      <c r="J297" s="498" t="s">
        <v>6934</v>
      </c>
      <c r="K297" s="498" t="s">
        <v>2173</v>
      </c>
      <c r="L297" s="498" t="s">
        <v>855</v>
      </c>
      <c r="M297" s="498" t="s">
        <v>6864</v>
      </c>
      <c r="N297" s="498" t="s">
        <v>6865</v>
      </c>
      <c r="O297" s="498" t="s">
        <v>1194</v>
      </c>
      <c r="P297" s="498" t="s">
        <v>7833</v>
      </c>
      <c r="Q297" s="498" t="s">
        <v>7837</v>
      </c>
      <c r="R297" s="498" t="s">
        <v>7834</v>
      </c>
      <c r="S297" s="498" t="s">
        <v>6868</v>
      </c>
      <c r="T297" s="498"/>
      <c r="U297" s="498"/>
      <c r="V297" s="498" t="s">
        <v>6905</v>
      </c>
      <c r="W297" s="498" t="s">
        <v>7779</v>
      </c>
      <c r="X297" s="498" t="s">
        <v>3608</v>
      </c>
      <c r="Y297" s="498" t="s">
        <v>6871</v>
      </c>
      <c r="Z297" s="498">
        <v>4</v>
      </c>
      <c r="AA297" s="498" t="s">
        <v>6872</v>
      </c>
      <c r="AB297" s="498"/>
      <c r="AC297" s="498"/>
      <c r="AD297" s="498"/>
      <c r="AE297" s="498" t="s">
        <v>855</v>
      </c>
      <c r="AF297" s="498" t="s">
        <v>6905</v>
      </c>
      <c r="AG297" s="498"/>
    </row>
    <row r="298" spans="2:33" hidden="1">
      <c r="B298" s="498" t="s">
        <v>6858</v>
      </c>
      <c r="C298" s="498" t="s">
        <v>7838</v>
      </c>
      <c r="D298" s="498" t="s">
        <v>7189</v>
      </c>
      <c r="E298" s="498" t="s">
        <v>26</v>
      </c>
      <c r="F298" s="498" t="s">
        <v>7839</v>
      </c>
      <c r="G298" s="499" t="s">
        <v>326</v>
      </c>
      <c r="H298" s="500" t="s">
        <v>6861</v>
      </c>
      <c r="I298" s="498" t="s">
        <v>6862</v>
      </c>
      <c r="J298" s="498" t="s">
        <v>6934</v>
      </c>
      <c r="K298" s="498" t="s">
        <v>2546</v>
      </c>
      <c r="L298" s="498" t="s">
        <v>855</v>
      </c>
      <c r="M298" s="498" t="s">
        <v>6864</v>
      </c>
      <c r="N298" s="498" t="s">
        <v>6865</v>
      </c>
      <c r="O298" s="498" t="s">
        <v>1194</v>
      </c>
      <c r="P298" s="498" t="s">
        <v>574</v>
      </c>
      <c r="Q298" s="498" t="s">
        <v>6965</v>
      </c>
      <c r="R298" s="498" t="s">
        <v>6957</v>
      </c>
      <c r="S298" s="498" t="s">
        <v>7193</v>
      </c>
      <c r="T298" s="498"/>
      <c r="U298" s="498"/>
      <c r="V298" s="498" t="s">
        <v>6869</v>
      </c>
      <c r="W298" s="498"/>
      <c r="X298" s="498"/>
      <c r="Y298" s="498"/>
      <c r="Z298" s="498"/>
      <c r="AA298" s="498"/>
      <c r="AB298" s="498"/>
      <c r="AC298" s="498"/>
      <c r="AD298" s="498"/>
      <c r="AE298" s="498"/>
      <c r="AF298" s="498" t="s">
        <v>6875</v>
      </c>
      <c r="AG298" s="498" t="s">
        <v>7840</v>
      </c>
    </row>
    <row r="299" spans="2:33" hidden="1">
      <c r="B299" s="498" t="s">
        <v>6858</v>
      </c>
      <c r="C299" s="498" t="s">
        <v>7841</v>
      </c>
      <c r="D299" s="498" t="s">
        <v>7189</v>
      </c>
      <c r="E299" s="498" t="s">
        <v>26</v>
      </c>
      <c r="F299" s="498" t="s">
        <v>7842</v>
      </c>
      <c r="G299" s="499" t="s">
        <v>326</v>
      </c>
      <c r="H299" s="500" t="s">
        <v>6861</v>
      </c>
      <c r="I299" s="498" t="s">
        <v>6862</v>
      </c>
      <c r="J299" s="498" t="s">
        <v>6934</v>
      </c>
      <c r="K299" s="498" t="s">
        <v>2546</v>
      </c>
      <c r="L299" s="498" t="s">
        <v>855</v>
      </c>
      <c r="M299" s="498" t="s">
        <v>6864</v>
      </c>
      <c r="N299" s="498" t="s">
        <v>6865</v>
      </c>
      <c r="O299" s="498" t="s">
        <v>1194</v>
      </c>
      <c r="P299" s="498" t="s">
        <v>7196</v>
      </c>
      <c r="Q299" s="498" t="s">
        <v>7197</v>
      </c>
      <c r="R299" s="498" t="s">
        <v>7843</v>
      </c>
      <c r="S299" s="498" t="s">
        <v>7193</v>
      </c>
      <c r="T299" s="498"/>
      <c r="U299" s="498"/>
      <c r="V299" s="498" t="s">
        <v>6869</v>
      </c>
      <c r="W299" s="498" t="s">
        <v>6883</v>
      </c>
      <c r="X299" s="498" t="s">
        <v>3582</v>
      </c>
      <c r="Y299" s="498" t="s">
        <v>6871</v>
      </c>
      <c r="Z299" s="498">
        <v>70</v>
      </c>
      <c r="AA299" s="498" t="s">
        <v>6872</v>
      </c>
      <c r="AB299" s="498" t="s">
        <v>3608</v>
      </c>
      <c r="AC299" s="498" t="s">
        <v>6871</v>
      </c>
      <c r="AD299" s="498" t="s">
        <v>6871</v>
      </c>
      <c r="AE299" s="498" t="s">
        <v>855</v>
      </c>
      <c r="AF299" s="498" t="s">
        <v>6875</v>
      </c>
      <c r="AG299" s="498" t="s">
        <v>7844</v>
      </c>
    </row>
    <row r="300" spans="2:33" hidden="1">
      <c r="B300" s="498" t="s">
        <v>6858</v>
      </c>
      <c r="C300" s="498" t="s">
        <v>7845</v>
      </c>
      <c r="D300" s="498" t="s">
        <v>7189</v>
      </c>
      <c r="E300" s="498" t="s">
        <v>26</v>
      </c>
      <c r="F300" s="498" t="s">
        <v>7846</v>
      </c>
      <c r="G300" s="499" t="s">
        <v>326</v>
      </c>
      <c r="H300" s="500" t="s">
        <v>6861</v>
      </c>
      <c r="I300" s="498" t="s">
        <v>6862</v>
      </c>
      <c r="J300" s="498" t="s">
        <v>6934</v>
      </c>
      <c r="K300" s="498" t="s">
        <v>2546</v>
      </c>
      <c r="L300" s="498" t="s">
        <v>855</v>
      </c>
      <c r="M300" s="498" t="s">
        <v>6864</v>
      </c>
      <c r="N300" s="498" t="s">
        <v>6865</v>
      </c>
      <c r="O300" s="498" t="s">
        <v>1194</v>
      </c>
      <c r="P300" s="498" t="s">
        <v>574</v>
      </c>
      <c r="Q300" s="498" t="s">
        <v>2352</v>
      </c>
      <c r="R300" s="498" t="s">
        <v>6957</v>
      </c>
      <c r="S300" s="498" t="s">
        <v>7193</v>
      </c>
      <c r="T300" s="498"/>
      <c r="U300" s="498"/>
      <c r="V300" s="498" t="s">
        <v>6869</v>
      </c>
      <c r="W300" s="498"/>
      <c r="X300" s="498" t="s">
        <v>2207</v>
      </c>
      <c r="Y300" s="498" t="s">
        <v>6871</v>
      </c>
      <c r="Z300" s="498"/>
      <c r="AA300" s="498" t="s">
        <v>6872</v>
      </c>
      <c r="AB300" s="498"/>
      <c r="AC300" s="498"/>
      <c r="AD300" s="498"/>
      <c r="AE300" s="498" t="s">
        <v>6961</v>
      </c>
      <c r="AF300" s="498" t="s">
        <v>6875</v>
      </c>
      <c r="AG300" s="498" t="s">
        <v>7844</v>
      </c>
    </row>
    <row r="301" spans="2:33" hidden="1">
      <c r="B301" s="498" t="s">
        <v>6858</v>
      </c>
      <c r="C301" s="498" t="s">
        <v>7847</v>
      </c>
      <c r="D301" s="498" t="s">
        <v>7189</v>
      </c>
      <c r="E301" s="498" t="s">
        <v>26</v>
      </c>
      <c r="F301" s="498" t="s">
        <v>7848</v>
      </c>
      <c r="G301" s="499" t="s">
        <v>326</v>
      </c>
      <c r="H301" s="500" t="s">
        <v>6861</v>
      </c>
      <c r="I301" s="498" t="s">
        <v>6862</v>
      </c>
      <c r="J301" s="498" t="s">
        <v>6934</v>
      </c>
      <c r="K301" s="498" t="s">
        <v>2546</v>
      </c>
      <c r="L301" s="498" t="s">
        <v>855</v>
      </c>
      <c r="M301" s="498" t="s">
        <v>6864</v>
      </c>
      <c r="N301" s="498" t="s">
        <v>6865</v>
      </c>
      <c r="O301" s="498" t="s">
        <v>1194</v>
      </c>
      <c r="P301" s="498" t="s">
        <v>620</v>
      </c>
      <c r="Q301" s="498" t="s">
        <v>7389</v>
      </c>
      <c r="R301" s="498" t="s">
        <v>6867</v>
      </c>
      <c r="S301" s="498" t="s">
        <v>7849</v>
      </c>
      <c r="T301" s="498"/>
      <c r="U301" s="498"/>
      <c r="V301" s="498" t="s">
        <v>6869</v>
      </c>
      <c r="W301" s="498"/>
      <c r="X301" s="498"/>
      <c r="Y301" s="498"/>
      <c r="Z301" s="498"/>
      <c r="AA301" s="498"/>
      <c r="AB301" s="498"/>
      <c r="AC301" s="498"/>
      <c r="AD301" s="498"/>
      <c r="AE301" s="498"/>
      <c r="AF301" s="498" t="s">
        <v>6875</v>
      </c>
      <c r="AG301" s="498" t="s">
        <v>7844</v>
      </c>
    </row>
    <row r="302" spans="2:33" hidden="1">
      <c r="B302" s="498" t="s">
        <v>6858</v>
      </c>
      <c r="C302" s="498" t="s">
        <v>3477</v>
      </c>
      <c r="D302" s="498" t="s">
        <v>7189</v>
      </c>
      <c r="E302" s="498" t="s">
        <v>26</v>
      </c>
      <c r="F302" s="498" t="s">
        <v>7850</v>
      </c>
      <c r="G302" s="499" t="s">
        <v>326</v>
      </c>
      <c r="H302" s="500" t="s">
        <v>6861</v>
      </c>
      <c r="I302" s="498" t="s">
        <v>6862</v>
      </c>
      <c r="J302" s="498" t="s">
        <v>6934</v>
      </c>
      <c r="K302" s="498" t="s">
        <v>2173</v>
      </c>
      <c r="L302" s="498" t="s">
        <v>855</v>
      </c>
      <c r="M302" s="498" t="s">
        <v>6864</v>
      </c>
      <c r="N302" s="498" t="s">
        <v>1256</v>
      </c>
      <c r="O302" s="498" t="s">
        <v>117</v>
      </c>
      <c r="P302" s="498" t="s">
        <v>2052</v>
      </c>
      <c r="Q302" s="498" t="s">
        <v>3488</v>
      </c>
      <c r="R302" s="498" t="s">
        <v>7851</v>
      </c>
      <c r="S302" s="498"/>
      <c r="T302" s="498"/>
      <c r="U302" s="498" t="s">
        <v>7852</v>
      </c>
      <c r="V302" s="498"/>
      <c r="W302" s="498"/>
      <c r="X302" s="498"/>
      <c r="Y302" s="498"/>
      <c r="Z302" s="498"/>
      <c r="AA302" s="498"/>
      <c r="AB302" s="498"/>
      <c r="AC302" s="498"/>
      <c r="AD302" s="498"/>
      <c r="AE302" s="498"/>
      <c r="AF302" s="498" t="s">
        <v>6875</v>
      </c>
      <c r="AG302" s="498" t="s">
        <v>7844</v>
      </c>
    </row>
    <row r="303" spans="2:33" hidden="1">
      <c r="B303" s="498" t="s">
        <v>6858</v>
      </c>
      <c r="C303" s="498" t="s">
        <v>7853</v>
      </c>
      <c r="D303" s="498" t="s">
        <v>7189</v>
      </c>
      <c r="E303" s="498" t="s">
        <v>26</v>
      </c>
      <c r="F303" s="498" t="s">
        <v>7854</v>
      </c>
      <c r="G303" s="499" t="s">
        <v>326</v>
      </c>
      <c r="H303" s="500" t="s">
        <v>6861</v>
      </c>
      <c r="I303" s="498" t="s">
        <v>6862</v>
      </c>
      <c r="J303" s="498" t="s">
        <v>6934</v>
      </c>
      <c r="K303" s="498" t="s">
        <v>2546</v>
      </c>
      <c r="L303" s="498" t="s">
        <v>855</v>
      </c>
      <c r="M303" s="498" t="s">
        <v>6864</v>
      </c>
      <c r="N303" s="498" t="s">
        <v>6865</v>
      </c>
      <c r="O303" s="498" t="s">
        <v>1194</v>
      </c>
      <c r="P303" s="498" t="s">
        <v>620</v>
      </c>
      <c r="Q303" s="498" t="s">
        <v>6866</v>
      </c>
      <c r="R303" s="498" t="s">
        <v>6867</v>
      </c>
      <c r="S303" s="498" t="s">
        <v>7855</v>
      </c>
      <c r="T303" s="498"/>
      <c r="U303" s="498"/>
      <c r="V303" s="498" t="s">
        <v>6869</v>
      </c>
      <c r="W303" s="498"/>
      <c r="X303" s="498"/>
      <c r="Y303" s="498"/>
      <c r="Z303" s="498"/>
      <c r="AA303" s="498"/>
      <c r="AB303" s="498"/>
      <c r="AC303" s="498"/>
      <c r="AD303" s="498"/>
      <c r="AE303" s="498"/>
      <c r="AF303" s="498" t="s">
        <v>6875</v>
      </c>
      <c r="AG303" s="498" t="s">
        <v>7856</v>
      </c>
    </row>
    <row r="304" spans="2:33" hidden="1">
      <c r="B304" s="498" t="s">
        <v>6858</v>
      </c>
      <c r="C304" s="498" t="s">
        <v>7029</v>
      </c>
      <c r="D304" s="498" t="s">
        <v>7857</v>
      </c>
      <c r="E304" s="498" t="s">
        <v>26</v>
      </c>
      <c r="F304" s="498" t="s">
        <v>7858</v>
      </c>
      <c r="G304" s="499" t="s">
        <v>326</v>
      </c>
      <c r="H304" s="500" t="s">
        <v>6861</v>
      </c>
      <c r="I304" s="498" t="s">
        <v>6862</v>
      </c>
      <c r="J304" s="498" t="s">
        <v>2527</v>
      </c>
      <c r="K304" s="498" t="s">
        <v>2173</v>
      </c>
      <c r="L304" s="498" t="s">
        <v>855</v>
      </c>
      <c r="M304" s="498" t="s">
        <v>6864</v>
      </c>
      <c r="N304" s="498" t="s">
        <v>6865</v>
      </c>
      <c r="O304" s="498" t="s">
        <v>1194</v>
      </c>
      <c r="P304" s="498" t="s">
        <v>7301</v>
      </c>
      <c r="Q304" s="498" t="s">
        <v>7564</v>
      </c>
      <c r="R304" s="498" t="s">
        <v>7303</v>
      </c>
      <c r="S304" s="498" t="s">
        <v>7859</v>
      </c>
      <c r="T304" s="498"/>
      <c r="U304" s="498"/>
      <c r="V304" s="498" t="s">
        <v>6905</v>
      </c>
      <c r="W304" s="498" t="s">
        <v>6883</v>
      </c>
      <c r="X304" s="498" t="s">
        <v>6936</v>
      </c>
      <c r="Y304" s="498" t="s">
        <v>6871</v>
      </c>
      <c r="Z304" s="498">
        <v>2</v>
      </c>
      <c r="AA304" s="498" t="s">
        <v>6872</v>
      </c>
      <c r="AB304" s="498"/>
      <c r="AC304" s="498"/>
      <c r="AD304" s="498"/>
      <c r="AE304" s="498" t="s">
        <v>7860</v>
      </c>
      <c r="AF304" s="498" t="s">
        <v>6905</v>
      </c>
      <c r="AG304" s="498"/>
    </row>
    <row r="305" spans="2:33" hidden="1">
      <c r="B305" s="498" t="s">
        <v>6858</v>
      </c>
      <c r="C305" s="498" t="s">
        <v>7861</v>
      </c>
      <c r="D305" s="498" t="s">
        <v>7857</v>
      </c>
      <c r="E305" s="498" t="s">
        <v>26</v>
      </c>
      <c r="F305" s="498" t="s">
        <v>7862</v>
      </c>
      <c r="G305" s="499" t="s">
        <v>326</v>
      </c>
      <c r="H305" s="500" t="s">
        <v>6861</v>
      </c>
      <c r="I305" s="498" t="s">
        <v>6862</v>
      </c>
      <c r="J305" s="498" t="s">
        <v>2527</v>
      </c>
      <c r="K305" s="498" t="s">
        <v>2173</v>
      </c>
      <c r="L305" s="498" t="s">
        <v>855</v>
      </c>
      <c r="M305" s="498" t="s">
        <v>6864</v>
      </c>
      <c r="N305" s="498" t="s">
        <v>6865</v>
      </c>
      <c r="O305" s="498" t="s">
        <v>1194</v>
      </c>
      <c r="P305" s="498" t="s">
        <v>7301</v>
      </c>
      <c r="Q305" s="498" t="s">
        <v>7863</v>
      </c>
      <c r="R305" s="498" t="s">
        <v>7303</v>
      </c>
      <c r="S305" s="498" t="s">
        <v>7859</v>
      </c>
      <c r="T305" s="498"/>
      <c r="U305" s="498"/>
      <c r="V305" s="498" t="s">
        <v>6905</v>
      </c>
      <c r="W305" s="498" t="s">
        <v>6883</v>
      </c>
      <c r="X305" s="498" t="s">
        <v>3582</v>
      </c>
      <c r="Y305" s="498" t="s">
        <v>6871</v>
      </c>
      <c r="Z305" s="498">
        <v>128</v>
      </c>
      <c r="AA305" s="498" t="s">
        <v>6872</v>
      </c>
      <c r="AB305" s="498"/>
      <c r="AC305" s="498"/>
      <c r="AD305" s="498"/>
      <c r="AE305" s="498" t="s">
        <v>7860</v>
      </c>
      <c r="AF305" s="498" t="s">
        <v>6905</v>
      </c>
      <c r="AG305" s="498"/>
    </row>
    <row r="306" spans="2:33" hidden="1">
      <c r="B306" s="498" t="s">
        <v>6858</v>
      </c>
      <c r="C306" s="498" t="s">
        <v>7102</v>
      </c>
      <c r="D306" s="498" t="s">
        <v>7857</v>
      </c>
      <c r="E306" s="498" t="s">
        <v>26</v>
      </c>
      <c r="F306" s="498" t="s">
        <v>7864</v>
      </c>
      <c r="G306" s="499" t="s">
        <v>326</v>
      </c>
      <c r="H306" s="500" t="s">
        <v>6861</v>
      </c>
      <c r="I306" s="498" t="s">
        <v>6862</v>
      </c>
      <c r="J306" s="498" t="s">
        <v>2527</v>
      </c>
      <c r="K306" s="498" t="s">
        <v>2173</v>
      </c>
      <c r="L306" s="498" t="s">
        <v>855</v>
      </c>
      <c r="M306" s="498" t="s">
        <v>6864</v>
      </c>
      <c r="N306" s="498" t="s">
        <v>6865</v>
      </c>
      <c r="O306" s="498" t="s">
        <v>1194</v>
      </c>
      <c r="P306" s="498" t="s">
        <v>7301</v>
      </c>
      <c r="Q306" s="498" t="s">
        <v>7104</v>
      </c>
      <c r="R306" s="498" t="s">
        <v>7303</v>
      </c>
      <c r="S306" s="498" t="s">
        <v>7859</v>
      </c>
      <c r="T306" s="498"/>
      <c r="U306" s="498"/>
      <c r="V306" s="498" t="s">
        <v>6905</v>
      </c>
      <c r="W306" s="498" t="s">
        <v>6883</v>
      </c>
      <c r="X306" s="498" t="s">
        <v>4271</v>
      </c>
      <c r="Y306" s="498" t="s">
        <v>6871</v>
      </c>
      <c r="Z306" s="498">
        <v>5</v>
      </c>
      <c r="AA306" s="498" t="s">
        <v>6872</v>
      </c>
      <c r="AB306" s="498"/>
      <c r="AC306" s="498"/>
      <c r="AD306" s="498"/>
      <c r="AE306" s="498" t="s">
        <v>7860</v>
      </c>
      <c r="AF306" s="498" t="s">
        <v>6905</v>
      </c>
      <c r="AG306" s="498"/>
    </row>
    <row r="307" spans="2:33" hidden="1">
      <c r="B307" s="498" t="s">
        <v>6858</v>
      </c>
      <c r="C307" s="498" t="s">
        <v>7865</v>
      </c>
      <c r="D307" s="498" t="s">
        <v>7857</v>
      </c>
      <c r="E307" s="498" t="s">
        <v>26</v>
      </c>
      <c r="F307" s="498" t="s">
        <v>7866</v>
      </c>
      <c r="G307" s="499" t="s">
        <v>326</v>
      </c>
      <c r="H307" s="500" t="s">
        <v>6861</v>
      </c>
      <c r="I307" s="498" t="s">
        <v>6862</v>
      </c>
      <c r="J307" s="498" t="s">
        <v>2527</v>
      </c>
      <c r="K307" s="498" t="s">
        <v>2173</v>
      </c>
      <c r="L307" s="498" t="s">
        <v>855</v>
      </c>
      <c r="M307" s="498" t="s">
        <v>6864</v>
      </c>
      <c r="N307" s="498" t="s">
        <v>6865</v>
      </c>
      <c r="O307" s="498" t="s">
        <v>1194</v>
      </c>
      <c r="P307" s="498" t="s">
        <v>7301</v>
      </c>
      <c r="Q307" s="498" t="s">
        <v>7097</v>
      </c>
      <c r="R307" s="498" t="s">
        <v>7303</v>
      </c>
      <c r="S307" s="498" t="s">
        <v>7859</v>
      </c>
      <c r="T307" s="498"/>
      <c r="U307" s="498"/>
      <c r="V307" s="498" t="s">
        <v>6905</v>
      </c>
      <c r="W307" s="498" t="s">
        <v>6883</v>
      </c>
      <c r="X307" s="498" t="s">
        <v>3608</v>
      </c>
      <c r="Y307" s="498" t="s">
        <v>6871</v>
      </c>
      <c r="Z307" s="498">
        <v>4</v>
      </c>
      <c r="AA307" s="498" t="s">
        <v>6872</v>
      </c>
      <c r="AB307" s="498" t="s">
        <v>3608</v>
      </c>
      <c r="AC307" s="498"/>
      <c r="AD307" s="498"/>
      <c r="AE307" s="498" t="s">
        <v>7860</v>
      </c>
      <c r="AF307" s="498" t="s">
        <v>6905</v>
      </c>
      <c r="AG307" s="498"/>
    </row>
    <row r="308" spans="2:33" hidden="1">
      <c r="B308" s="498" t="s">
        <v>6858</v>
      </c>
      <c r="C308" s="498" t="s">
        <v>7867</v>
      </c>
      <c r="D308" s="498" t="s">
        <v>7857</v>
      </c>
      <c r="E308" s="498" t="s">
        <v>26</v>
      </c>
      <c r="F308" s="498" t="s">
        <v>7868</v>
      </c>
      <c r="G308" s="499" t="s">
        <v>326</v>
      </c>
      <c r="H308" s="500" t="s">
        <v>6861</v>
      </c>
      <c r="I308" s="498" t="s">
        <v>6862</v>
      </c>
      <c r="J308" s="498" t="s">
        <v>2527</v>
      </c>
      <c r="K308" s="498" t="s">
        <v>2173</v>
      </c>
      <c r="L308" s="498" t="s">
        <v>855</v>
      </c>
      <c r="M308" s="498" t="s">
        <v>6864</v>
      </c>
      <c r="N308" s="498" t="s">
        <v>6865</v>
      </c>
      <c r="O308" s="498" t="s">
        <v>1194</v>
      </c>
      <c r="P308" s="498" t="s">
        <v>7301</v>
      </c>
      <c r="Q308" s="498" t="s">
        <v>7869</v>
      </c>
      <c r="R308" s="498" t="s">
        <v>7303</v>
      </c>
      <c r="S308" s="498" t="s">
        <v>7859</v>
      </c>
      <c r="T308" s="498"/>
      <c r="U308" s="498"/>
      <c r="V308" s="498" t="s">
        <v>6905</v>
      </c>
      <c r="W308" s="498" t="s">
        <v>6883</v>
      </c>
      <c r="X308" s="498" t="s">
        <v>6936</v>
      </c>
      <c r="Y308" s="498" t="s">
        <v>6871</v>
      </c>
      <c r="Z308" s="498">
        <v>2</v>
      </c>
      <c r="AA308" s="498" t="s">
        <v>6872</v>
      </c>
      <c r="AB308" s="498"/>
      <c r="AC308" s="498"/>
      <c r="AD308" s="498"/>
      <c r="AE308" s="498" t="s">
        <v>7860</v>
      </c>
      <c r="AF308" s="498" t="s">
        <v>6905</v>
      </c>
      <c r="AG308" s="498"/>
    </row>
    <row r="309" spans="2:33" hidden="1">
      <c r="B309" s="498" t="s">
        <v>6858</v>
      </c>
      <c r="C309" s="498" t="s">
        <v>7870</v>
      </c>
      <c r="D309" s="498" t="s">
        <v>7857</v>
      </c>
      <c r="E309" s="498" t="s">
        <v>26</v>
      </c>
      <c r="F309" s="498" t="s">
        <v>7871</v>
      </c>
      <c r="G309" s="499" t="s">
        <v>326</v>
      </c>
      <c r="H309" s="500" t="s">
        <v>6861</v>
      </c>
      <c r="I309" s="498" t="s">
        <v>6862</v>
      </c>
      <c r="J309" s="498" t="s">
        <v>2527</v>
      </c>
      <c r="K309" s="498" t="s">
        <v>2173</v>
      </c>
      <c r="L309" s="498" t="s">
        <v>855</v>
      </c>
      <c r="M309" s="498" t="s">
        <v>6864</v>
      </c>
      <c r="N309" s="498" t="s">
        <v>6865</v>
      </c>
      <c r="O309" s="498" t="s">
        <v>1194</v>
      </c>
      <c r="P309" s="498" t="s">
        <v>7301</v>
      </c>
      <c r="Q309" s="498" t="s">
        <v>7872</v>
      </c>
      <c r="R309" s="498" t="s">
        <v>7303</v>
      </c>
      <c r="S309" s="498" t="s">
        <v>7859</v>
      </c>
      <c r="T309" s="498" t="s">
        <v>7873</v>
      </c>
      <c r="U309" s="498"/>
      <c r="V309" s="498" t="s">
        <v>2177</v>
      </c>
      <c r="W309" s="498" t="s">
        <v>6883</v>
      </c>
      <c r="X309" s="498" t="s">
        <v>4271</v>
      </c>
      <c r="Y309" s="498" t="s">
        <v>6871</v>
      </c>
      <c r="Z309" s="498">
        <v>5</v>
      </c>
      <c r="AA309" s="498" t="s">
        <v>6872</v>
      </c>
      <c r="AB309" s="498"/>
      <c r="AC309" s="498"/>
      <c r="AD309" s="498"/>
      <c r="AE309" s="498" t="s">
        <v>7860</v>
      </c>
      <c r="AF309" s="498"/>
      <c r="AG309" s="498"/>
    </row>
    <row r="310" spans="2:33" hidden="1">
      <c r="B310" s="498" t="s">
        <v>6858</v>
      </c>
      <c r="C310" s="498" t="s">
        <v>7874</v>
      </c>
      <c r="D310" s="498" t="s">
        <v>7875</v>
      </c>
      <c r="E310" s="498" t="s">
        <v>26</v>
      </c>
      <c r="F310" s="498" t="s">
        <v>4238</v>
      </c>
      <c r="G310" s="499" t="s">
        <v>326</v>
      </c>
      <c r="H310" s="500" t="s">
        <v>7095</v>
      </c>
      <c r="I310" s="498" t="s">
        <v>7095</v>
      </c>
      <c r="J310" s="498" t="s">
        <v>6879</v>
      </c>
      <c r="K310" s="498" t="s">
        <v>2173</v>
      </c>
      <c r="L310" s="498" t="s">
        <v>855</v>
      </c>
      <c r="M310" s="498" t="s">
        <v>6864</v>
      </c>
      <c r="N310" s="498" t="s">
        <v>6864</v>
      </c>
      <c r="O310" s="498" t="s">
        <v>6864</v>
      </c>
      <c r="P310" s="498" t="s">
        <v>6864</v>
      </c>
      <c r="Q310" s="498" t="s">
        <v>6864</v>
      </c>
      <c r="R310" s="498" t="s">
        <v>6864</v>
      </c>
      <c r="S310" s="498" t="s">
        <v>6864</v>
      </c>
      <c r="T310" s="498" t="s">
        <v>6864</v>
      </c>
      <c r="U310" s="498" t="s">
        <v>7876</v>
      </c>
      <c r="V310" s="498" t="s">
        <v>6869</v>
      </c>
      <c r="W310" s="498"/>
      <c r="X310" s="498"/>
      <c r="Y310" s="498"/>
      <c r="Z310" s="498"/>
      <c r="AA310" s="498"/>
      <c r="AB310" s="498"/>
      <c r="AC310" s="498"/>
      <c r="AD310" s="498"/>
      <c r="AE310" s="498"/>
      <c r="AF310" s="498" t="s">
        <v>6875</v>
      </c>
      <c r="AG310" s="498" t="s">
        <v>7877</v>
      </c>
    </row>
    <row r="311" spans="2:33" hidden="1">
      <c r="B311" s="498" t="s">
        <v>6858</v>
      </c>
      <c r="C311" s="498" t="s">
        <v>7878</v>
      </c>
      <c r="D311" s="498" t="s">
        <v>7879</v>
      </c>
      <c r="E311" s="498" t="s">
        <v>26</v>
      </c>
      <c r="F311" s="498" t="s">
        <v>7880</v>
      </c>
      <c r="G311" s="499" t="s">
        <v>326</v>
      </c>
      <c r="H311" s="500" t="s">
        <v>7095</v>
      </c>
      <c r="I311" s="498" t="s">
        <v>7881</v>
      </c>
      <c r="J311" s="498" t="s">
        <v>2527</v>
      </c>
      <c r="K311" s="498" t="s">
        <v>7882</v>
      </c>
      <c r="L311" s="498" t="s">
        <v>7882</v>
      </c>
      <c r="M311" s="498" t="s">
        <v>7882</v>
      </c>
      <c r="N311" s="498" t="s">
        <v>7882</v>
      </c>
      <c r="O311" s="498" t="s">
        <v>7882</v>
      </c>
      <c r="P311" s="498" t="s">
        <v>7882</v>
      </c>
      <c r="Q311" s="498" t="s">
        <v>7882</v>
      </c>
      <c r="R311" s="498" t="s">
        <v>7882</v>
      </c>
      <c r="S311" s="498" t="s">
        <v>7882</v>
      </c>
      <c r="T311" s="498" t="s">
        <v>7882</v>
      </c>
      <c r="U311" s="498" t="s">
        <v>7881</v>
      </c>
      <c r="V311" s="498" t="s">
        <v>6869</v>
      </c>
      <c r="W311" s="498"/>
      <c r="X311" s="498"/>
      <c r="Y311" s="498"/>
      <c r="Z311" s="498"/>
      <c r="AA311" s="498"/>
      <c r="AB311" s="498"/>
      <c r="AC311" s="498"/>
      <c r="AD311" s="498"/>
      <c r="AE311" s="498"/>
      <c r="AF311" s="498" t="s">
        <v>6875</v>
      </c>
      <c r="AG311" s="498" t="s">
        <v>7877</v>
      </c>
    </row>
    <row r="312" spans="2:33" hidden="1">
      <c r="B312" s="498" t="s">
        <v>6858</v>
      </c>
      <c r="C312" s="498" t="s">
        <v>4293</v>
      </c>
      <c r="D312" s="498" t="s">
        <v>4238</v>
      </c>
      <c r="E312" s="498" t="s">
        <v>26</v>
      </c>
      <c r="F312" s="498" t="s">
        <v>7883</v>
      </c>
      <c r="G312" s="499" t="s">
        <v>326</v>
      </c>
      <c r="H312" s="500" t="s">
        <v>6861</v>
      </c>
      <c r="I312" s="498" t="s">
        <v>6862</v>
      </c>
      <c r="J312" s="498" t="s">
        <v>6879</v>
      </c>
      <c r="K312" s="498" t="s">
        <v>2173</v>
      </c>
      <c r="L312" s="498" t="s">
        <v>855</v>
      </c>
      <c r="M312" s="498" t="s">
        <v>6864</v>
      </c>
      <c r="N312" s="498" t="s">
        <v>1193</v>
      </c>
      <c r="O312" s="498" t="s">
        <v>1194</v>
      </c>
      <c r="P312" s="498" t="s">
        <v>7884</v>
      </c>
      <c r="Q312" s="498" t="s">
        <v>7885</v>
      </c>
      <c r="R312" s="498" t="s">
        <v>7587</v>
      </c>
      <c r="S312" s="498" t="s">
        <v>6868</v>
      </c>
      <c r="T312" s="498"/>
      <c r="U312" s="498"/>
      <c r="V312" s="498"/>
      <c r="W312" s="498"/>
      <c r="X312" s="498"/>
      <c r="Y312" s="498"/>
      <c r="Z312" s="498"/>
      <c r="AA312" s="498"/>
      <c r="AB312" s="498"/>
      <c r="AC312" s="498"/>
      <c r="AD312" s="498"/>
      <c r="AE312" s="498"/>
      <c r="AF312" s="498"/>
      <c r="AG312" s="498"/>
    </row>
    <row r="313" spans="2:33" hidden="1">
      <c r="B313" s="498" t="s">
        <v>6858</v>
      </c>
      <c r="C313" s="498" t="s">
        <v>7886</v>
      </c>
      <c r="D313" s="498" t="s">
        <v>7887</v>
      </c>
      <c r="E313" s="498" t="s">
        <v>26</v>
      </c>
      <c r="F313" s="498" t="s">
        <v>7888</v>
      </c>
      <c r="G313" s="499">
        <v>4</v>
      </c>
      <c r="H313" s="500" t="s">
        <v>7233</v>
      </c>
      <c r="I313" s="498" t="s">
        <v>7096</v>
      </c>
      <c r="J313" s="498" t="s">
        <v>2527</v>
      </c>
      <c r="K313" s="498" t="s">
        <v>7234</v>
      </c>
      <c r="L313" s="498" t="s">
        <v>7235</v>
      </c>
      <c r="M313" s="498" t="s">
        <v>7235</v>
      </c>
      <c r="N313" s="498" t="s">
        <v>7235</v>
      </c>
      <c r="O313" s="498" t="s">
        <v>7235</v>
      </c>
      <c r="P313" s="498" t="s">
        <v>7235</v>
      </c>
      <c r="Q313" s="498" t="s">
        <v>7235</v>
      </c>
      <c r="R313" s="498" t="s">
        <v>7235</v>
      </c>
      <c r="S313" s="498" t="s">
        <v>7235</v>
      </c>
      <c r="T313" s="498" t="s">
        <v>7235</v>
      </c>
      <c r="U313" s="498" t="s">
        <v>7236</v>
      </c>
      <c r="V313" s="498"/>
      <c r="W313" s="498"/>
      <c r="X313" s="498"/>
      <c r="Y313" s="498"/>
      <c r="Z313" s="498"/>
      <c r="AA313" s="498"/>
      <c r="AB313" s="498"/>
      <c r="AC313" s="498"/>
      <c r="AD313" s="498"/>
      <c r="AE313" s="498"/>
      <c r="AF313" s="498"/>
      <c r="AG313" s="498"/>
    </row>
    <row r="314" spans="2:33" hidden="1">
      <c r="B314" s="498" t="s">
        <v>6858</v>
      </c>
      <c r="C314" s="498" t="s">
        <v>7889</v>
      </c>
      <c r="D314" s="498" t="s">
        <v>7887</v>
      </c>
      <c r="E314" s="498" t="s">
        <v>26</v>
      </c>
      <c r="F314" s="498" t="s">
        <v>7890</v>
      </c>
      <c r="G314" s="499">
        <v>4</v>
      </c>
      <c r="H314" s="500" t="s">
        <v>7233</v>
      </c>
      <c r="I314" s="498" t="s">
        <v>7096</v>
      </c>
      <c r="J314" s="498" t="s">
        <v>2527</v>
      </c>
      <c r="K314" s="498" t="s">
        <v>7234</v>
      </c>
      <c r="L314" s="498" t="s">
        <v>7235</v>
      </c>
      <c r="M314" s="498" t="s">
        <v>7235</v>
      </c>
      <c r="N314" s="498" t="s">
        <v>7235</v>
      </c>
      <c r="O314" s="498" t="s">
        <v>7235</v>
      </c>
      <c r="P314" s="498" t="s">
        <v>7235</v>
      </c>
      <c r="Q314" s="498" t="s">
        <v>7235</v>
      </c>
      <c r="R314" s="498" t="s">
        <v>7235</v>
      </c>
      <c r="S314" s="498" t="s">
        <v>7235</v>
      </c>
      <c r="T314" s="498" t="s">
        <v>7235</v>
      </c>
      <c r="U314" s="498" t="s">
        <v>7236</v>
      </c>
      <c r="V314" s="498"/>
      <c r="W314" s="498"/>
      <c r="X314" s="498"/>
      <c r="Y314" s="498"/>
      <c r="Z314" s="498"/>
      <c r="AA314" s="498"/>
      <c r="AB314" s="498"/>
      <c r="AC314" s="498"/>
      <c r="AD314" s="498"/>
      <c r="AE314" s="498"/>
      <c r="AF314" s="498"/>
      <c r="AG314" s="498"/>
    </row>
    <row r="315" spans="2:33" hidden="1">
      <c r="B315" s="498" t="s">
        <v>6858</v>
      </c>
      <c r="C315" s="498" t="s">
        <v>7891</v>
      </c>
      <c r="D315" s="498" t="s">
        <v>7887</v>
      </c>
      <c r="E315" s="498" t="s">
        <v>26</v>
      </c>
      <c r="F315" s="498" t="s">
        <v>7892</v>
      </c>
      <c r="G315" s="499">
        <v>4</v>
      </c>
      <c r="H315" s="500" t="s">
        <v>7233</v>
      </c>
      <c r="I315" s="498" t="s">
        <v>7096</v>
      </c>
      <c r="J315" s="498" t="s">
        <v>2527</v>
      </c>
      <c r="K315" s="498" t="s">
        <v>7234</v>
      </c>
      <c r="L315" s="498" t="s">
        <v>7235</v>
      </c>
      <c r="M315" s="498" t="s">
        <v>7235</v>
      </c>
      <c r="N315" s="498" t="s">
        <v>7235</v>
      </c>
      <c r="O315" s="498" t="s">
        <v>7235</v>
      </c>
      <c r="P315" s="498" t="s">
        <v>7235</v>
      </c>
      <c r="Q315" s="498" t="s">
        <v>7235</v>
      </c>
      <c r="R315" s="498" t="s">
        <v>7235</v>
      </c>
      <c r="S315" s="498" t="s">
        <v>7235</v>
      </c>
      <c r="T315" s="498" t="s">
        <v>7235</v>
      </c>
      <c r="U315" s="498" t="s">
        <v>7236</v>
      </c>
      <c r="V315" s="498"/>
      <c r="W315" s="498"/>
      <c r="X315" s="498"/>
      <c r="Y315" s="498"/>
      <c r="Z315" s="498"/>
      <c r="AA315" s="498"/>
      <c r="AB315" s="498"/>
      <c r="AC315" s="498"/>
      <c r="AD315" s="498"/>
      <c r="AE315" s="498"/>
      <c r="AF315" s="498"/>
      <c r="AG315" s="498"/>
    </row>
    <row r="316" spans="2:33" hidden="1">
      <c r="B316" s="498" t="s">
        <v>6858</v>
      </c>
      <c r="C316" s="498" t="s">
        <v>7893</v>
      </c>
      <c r="D316" s="498" t="s">
        <v>7887</v>
      </c>
      <c r="E316" s="498" t="s">
        <v>26</v>
      </c>
      <c r="F316" s="498" t="s">
        <v>7894</v>
      </c>
      <c r="G316" s="499">
        <v>4</v>
      </c>
      <c r="H316" s="500" t="s">
        <v>7233</v>
      </c>
      <c r="I316" s="498" t="s">
        <v>7096</v>
      </c>
      <c r="J316" s="498" t="s">
        <v>2527</v>
      </c>
      <c r="K316" s="498" t="s">
        <v>7234</v>
      </c>
      <c r="L316" s="498" t="s">
        <v>7235</v>
      </c>
      <c r="M316" s="498" t="s">
        <v>7235</v>
      </c>
      <c r="N316" s="498" t="s">
        <v>7235</v>
      </c>
      <c r="O316" s="498" t="s">
        <v>7235</v>
      </c>
      <c r="P316" s="498" t="s">
        <v>7235</v>
      </c>
      <c r="Q316" s="498" t="s">
        <v>7235</v>
      </c>
      <c r="R316" s="498" t="s">
        <v>7235</v>
      </c>
      <c r="S316" s="498" t="s">
        <v>7235</v>
      </c>
      <c r="T316" s="498" t="s">
        <v>7235</v>
      </c>
      <c r="U316" s="498" t="s">
        <v>7236</v>
      </c>
      <c r="V316" s="498"/>
      <c r="W316" s="498"/>
      <c r="X316" s="498"/>
      <c r="Y316" s="498"/>
      <c r="Z316" s="498"/>
      <c r="AA316" s="498"/>
      <c r="AB316" s="498"/>
      <c r="AC316" s="498"/>
      <c r="AD316" s="498"/>
      <c r="AE316" s="498"/>
      <c r="AF316" s="498"/>
      <c r="AG316" s="498"/>
    </row>
    <row r="317" spans="2:33" hidden="1">
      <c r="B317" s="498" t="s">
        <v>6858</v>
      </c>
      <c r="C317" s="498" t="s">
        <v>7895</v>
      </c>
      <c r="D317" s="498" t="s">
        <v>7887</v>
      </c>
      <c r="E317" s="498" t="s">
        <v>26</v>
      </c>
      <c r="F317" s="498" t="s">
        <v>7896</v>
      </c>
      <c r="G317" s="499">
        <v>4</v>
      </c>
      <c r="H317" s="500" t="s">
        <v>7233</v>
      </c>
      <c r="I317" s="498" t="s">
        <v>7096</v>
      </c>
      <c r="J317" s="498" t="s">
        <v>2527</v>
      </c>
      <c r="K317" s="498" t="s">
        <v>7234</v>
      </c>
      <c r="L317" s="498" t="s">
        <v>7235</v>
      </c>
      <c r="M317" s="498" t="s">
        <v>7235</v>
      </c>
      <c r="N317" s="498" t="s">
        <v>7235</v>
      </c>
      <c r="O317" s="498" t="s">
        <v>7235</v>
      </c>
      <c r="P317" s="498" t="s">
        <v>7235</v>
      </c>
      <c r="Q317" s="498" t="s">
        <v>7235</v>
      </c>
      <c r="R317" s="498" t="s">
        <v>7235</v>
      </c>
      <c r="S317" s="498" t="s">
        <v>7235</v>
      </c>
      <c r="T317" s="498" t="s">
        <v>7235</v>
      </c>
      <c r="U317" s="498" t="s">
        <v>7236</v>
      </c>
      <c r="V317" s="498"/>
      <c r="W317" s="498"/>
      <c r="X317" s="498"/>
      <c r="Y317" s="498"/>
      <c r="Z317" s="498"/>
      <c r="AA317" s="498"/>
      <c r="AB317" s="498"/>
      <c r="AC317" s="498"/>
      <c r="AD317" s="498"/>
      <c r="AE317" s="498"/>
      <c r="AF317" s="498"/>
      <c r="AG317" s="498"/>
    </row>
    <row r="318" spans="2:33" hidden="1">
      <c r="B318" s="498" t="s">
        <v>6858</v>
      </c>
      <c r="C318" s="498" t="s">
        <v>7897</v>
      </c>
      <c r="D318" s="498" t="s">
        <v>7887</v>
      </c>
      <c r="E318" s="498" t="s">
        <v>26</v>
      </c>
      <c r="F318" s="498" t="s">
        <v>7898</v>
      </c>
      <c r="G318" s="499">
        <v>4</v>
      </c>
      <c r="H318" s="500" t="s">
        <v>7233</v>
      </c>
      <c r="I318" s="498" t="s">
        <v>7096</v>
      </c>
      <c r="J318" s="498" t="s">
        <v>2527</v>
      </c>
      <c r="K318" s="498" t="s">
        <v>7234</v>
      </c>
      <c r="L318" s="498" t="s">
        <v>7235</v>
      </c>
      <c r="M318" s="498" t="s">
        <v>7235</v>
      </c>
      <c r="N318" s="498" t="s">
        <v>7235</v>
      </c>
      <c r="O318" s="498" t="s">
        <v>7235</v>
      </c>
      <c r="P318" s="498" t="s">
        <v>7235</v>
      </c>
      <c r="Q318" s="498" t="s">
        <v>7235</v>
      </c>
      <c r="R318" s="498" t="s">
        <v>7235</v>
      </c>
      <c r="S318" s="498" t="s">
        <v>7235</v>
      </c>
      <c r="T318" s="498" t="s">
        <v>7235</v>
      </c>
      <c r="U318" s="498" t="s">
        <v>7236</v>
      </c>
      <c r="V318" s="498"/>
      <c r="W318" s="498"/>
      <c r="X318" s="498"/>
      <c r="Y318" s="498"/>
      <c r="Z318" s="498"/>
      <c r="AA318" s="498"/>
      <c r="AB318" s="498"/>
      <c r="AC318" s="498"/>
      <c r="AD318" s="498"/>
      <c r="AE318" s="498"/>
      <c r="AF318" s="498"/>
      <c r="AG318" s="498"/>
    </row>
    <row r="319" spans="2:33" hidden="1">
      <c r="B319" s="498" t="s">
        <v>6858</v>
      </c>
      <c r="C319" s="498" t="s">
        <v>7286</v>
      </c>
      <c r="D319" s="498" t="s">
        <v>7887</v>
      </c>
      <c r="E319" s="498" t="s">
        <v>26</v>
      </c>
      <c r="F319" s="498" t="s">
        <v>7899</v>
      </c>
      <c r="G319" s="499">
        <v>4</v>
      </c>
      <c r="H319" s="500" t="s">
        <v>7233</v>
      </c>
      <c r="I319" s="498" t="s">
        <v>7096</v>
      </c>
      <c r="J319" s="498" t="s">
        <v>2527</v>
      </c>
      <c r="K319" s="498" t="s">
        <v>7234</v>
      </c>
      <c r="L319" s="498" t="s">
        <v>7235</v>
      </c>
      <c r="M319" s="498" t="s">
        <v>7235</v>
      </c>
      <c r="N319" s="498" t="s">
        <v>7235</v>
      </c>
      <c r="O319" s="498" t="s">
        <v>7235</v>
      </c>
      <c r="P319" s="498" t="s">
        <v>7235</v>
      </c>
      <c r="Q319" s="498" t="s">
        <v>7235</v>
      </c>
      <c r="R319" s="498" t="s">
        <v>7235</v>
      </c>
      <c r="S319" s="498" t="s">
        <v>7235</v>
      </c>
      <c r="T319" s="498" t="s">
        <v>7235</v>
      </c>
      <c r="U319" s="498" t="s">
        <v>7236</v>
      </c>
      <c r="V319" s="498"/>
      <c r="W319" s="498"/>
      <c r="X319" s="498"/>
      <c r="Y319" s="498"/>
      <c r="Z319" s="498"/>
      <c r="AA319" s="498"/>
      <c r="AB319" s="498"/>
      <c r="AC319" s="498"/>
      <c r="AD319" s="498"/>
      <c r="AE319" s="498"/>
      <c r="AF319" s="498"/>
      <c r="AG319" s="498"/>
    </row>
    <row r="320" spans="2:33" hidden="1">
      <c r="B320" s="498" t="s">
        <v>6858</v>
      </c>
      <c r="C320" s="498" t="s">
        <v>7639</v>
      </c>
      <c r="D320" s="498" t="s">
        <v>7887</v>
      </c>
      <c r="E320" s="498" t="s">
        <v>26</v>
      </c>
      <c r="F320" s="498" t="s">
        <v>7900</v>
      </c>
      <c r="G320" s="499">
        <v>4</v>
      </c>
      <c r="H320" s="500" t="s">
        <v>7233</v>
      </c>
      <c r="I320" s="498" t="s">
        <v>7096</v>
      </c>
      <c r="J320" s="498" t="s">
        <v>2527</v>
      </c>
      <c r="K320" s="498" t="s">
        <v>7234</v>
      </c>
      <c r="L320" s="498" t="s">
        <v>7235</v>
      </c>
      <c r="M320" s="498" t="s">
        <v>7235</v>
      </c>
      <c r="N320" s="498" t="s">
        <v>7235</v>
      </c>
      <c r="O320" s="498" t="s">
        <v>7235</v>
      </c>
      <c r="P320" s="498" t="s">
        <v>7235</v>
      </c>
      <c r="Q320" s="498" t="s">
        <v>7235</v>
      </c>
      <c r="R320" s="498" t="s">
        <v>7235</v>
      </c>
      <c r="S320" s="498" t="s">
        <v>7235</v>
      </c>
      <c r="T320" s="498" t="s">
        <v>7235</v>
      </c>
      <c r="U320" s="498" t="s">
        <v>7236</v>
      </c>
      <c r="V320" s="498"/>
      <c r="W320" s="498"/>
      <c r="X320" s="498"/>
      <c r="Y320" s="498"/>
      <c r="Z320" s="498"/>
      <c r="AA320" s="498"/>
      <c r="AB320" s="498"/>
      <c r="AC320" s="498"/>
      <c r="AD320" s="498"/>
      <c r="AE320" s="498"/>
      <c r="AF320" s="498"/>
      <c r="AG320" s="498"/>
    </row>
    <row r="321" spans="2:33" hidden="1">
      <c r="B321" s="498" t="s">
        <v>6858</v>
      </c>
      <c r="C321" s="498" t="s">
        <v>2821</v>
      </c>
      <c r="D321" s="498" t="s">
        <v>7887</v>
      </c>
      <c r="E321" s="498" t="s">
        <v>26</v>
      </c>
      <c r="F321" s="498" t="s">
        <v>7901</v>
      </c>
      <c r="G321" s="499">
        <v>4</v>
      </c>
      <c r="H321" s="500" t="s">
        <v>7233</v>
      </c>
      <c r="I321" s="498" t="s">
        <v>7096</v>
      </c>
      <c r="J321" s="498" t="s">
        <v>2527</v>
      </c>
      <c r="K321" s="498" t="s">
        <v>7234</v>
      </c>
      <c r="L321" s="498" t="s">
        <v>7235</v>
      </c>
      <c r="M321" s="498" t="s">
        <v>7235</v>
      </c>
      <c r="N321" s="498" t="s">
        <v>7235</v>
      </c>
      <c r="O321" s="498" t="s">
        <v>7235</v>
      </c>
      <c r="P321" s="498" t="s">
        <v>7235</v>
      </c>
      <c r="Q321" s="498" t="s">
        <v>7235</v>
      </c>
      <c r="R321" s="498" t="s">
        <v>7235</v>
      </c>
      <c r="S321" s="498" t="s">
        <v>7235</v>
      </c>
      <c r="T321" s="498" t="s">
        <v>7235</v>
      </c>
      <c r="U321" s="498" t="s">
        <v>7236</v>
      </c>
      <c r="V321" s="498"/>
      <c r="W321" s="498"/>
      <c r="X321" s="498"/>
      <c r="Y321" s="498"/>
      <c r="Z321" s="498"/>
      <c r="AA321" s="498"/>
      <c r="AB321" s="498"/>
      <c r="AC321" s="498"/>
      <c r="AD321" s="498"/>
      <c r="AE321" s="498"/>
      <c r="AF321" s="498"/>
      <c r="AG321" s="498"/>
    </row>
    <row r="322" spans="2:33" hidden="1">
      <c r="B322" s="498" t="s">
        <v>6858</v>
      </c>
      <c r="C322" s="498" t="s">
        <v>7615</v>
      </c>
      <c r="D322" s="498" t="s">
        <v>7902</v>
      </c>
      <c r="E322" s="498" t="s">
        <v>26</v>
      </c>
      <c r="F322" s="498" t="s">
        <v>7225</v>
      </c>
      <c r="G322" s="499" t="s">
        <v>326</v>
      </c>
      <c r="H322" s="500" t="s">
        <v>6861</v>
      </c>
      <c r="I322" s="498" t="s">
        <v>6862</v>
      </c>
      <c r="J322" s="498" t="s">
        <v>2527</v>
      </c>
      <c r="K322" s="498" t="s">
        <v>2173</v>
      </c>
      <c r="L322" s="498" t="s">
        <v>855</v>
      </c>
      <c r="M322" s="498" t="s">
        <v>6864</v>
      </c>
      <c r="N322" s="498" t="s">
        <v>6865</v>
      </c>
      <c r="O322" s="498" t="s">
        <v>2101</v>
      </c>
      <c r="P322" s="498" t="s">
        <v>653</v>
      </c>
      <c r="Q322" s="498" t="s">
        <v>1716</v>
      </c>
      <c r="R322" s="498" t="s">
        <v>6920</v>
      </c>
      <c r="S322" s="498" t="s">
        <v>6868</v>
      </c>
      <c r="T322" s="498"/>
      <c r="U322" s="498" t="s">
        <v>6905</v>
      </c>
      <c r="V322" s="498" t="s">
        <v>7074</v>
      </c>
      <c r="W322" s="498" t="s">
        <v>6871</v>
      </c>
      <c r="X322" s="498">
        <v>2</v>
      </c>
      <c r="Y322" s="498" t="s">
        <v>6872</v>
      </c>
      <c r="Z322" s="498"/>
      <c r="AA322" s="498"/>
      <c r="AB322" s="498"/>
      <c r="AC322" s="498" t="s">
        <v>855</v>
      </c>
      <c r="AD322" s="498" t="s">
        <v>6905</v>
      </c>
      <c r="AE322" s="498" t="s">
        <v>7226</v>
      </c>
      <c r="AF322" s="498"/>
      <c r="AG322" s="498"/>
    </row>
    <row r="323" spans="2:33" hidden="1">
      <c r="B323" s="498" t="s">
        <v>6858</v>
      </c>
      <c r="C323" s="498" t="s">
        <v>7377</v>
      </c>
      <c r="D323" s="498" t="s">
        <v>6923</v>
      </c>
      <c r="E323" s="498" t="s">
        <v>26</v>
      </c>
      <c r="F323" s="498" t="s">
        <v>7444</v>
      </c>
      <c r="G323" s="499" t="s">
        <v>326</v>
      </c>
      <c r="H323" s="500" t="s">
        <v>6861</v>
      </c>
      <c r="I323" s="498" t="s">
        <v>6862</v>
      </c>
      <c r="J323" s="498" t="s">
        <v>2527</v>
      </c>
      <c r="K323" s="498" t="s">
        <v>2173</v>
      </c>
      <c r="L323" s="498" t="s">
        <v>855</v>
      </c>
      <c r="M323" s="498" t="s">
        <v>6864</v>
      </c>
      <c r="N323" s="498" t="s">
        <v>6865</v>
      </c>
      <c r="O323" s="498" t="s">
        <v>1194</v>
      </c>
      <c r="P323" s="498" t="s">
        <v>620</v>
      </c>
      <c r="Q323" s="498" t="s">
        <v>7778</v>
      </c>
      <c r="R323" s="498" t="s">
        <v>6867</v>
      </c>
      <c r="S323" s="498" t="s">
        <v>6868</v>
      </c>
      <c r="T323" s="498"/>
      <c r="U323" s="498"/>
      <c r="V323" s="498" t="s">
        <v>6905</v>
      </c>
      <c r="W323" s="498" t="s">
        <v>7903</v>
      </c>
      <c r="X323" s="498" t="s">
        <v>4271</v>
      </c>
      <c r="Y323" s="498"/>
      <c r="Z323" s="498" t="s">
        <v>6884</v>
      </c>
      <c r="AA323" s="498"/>
      <c r="AB323" s="498"/>
      <c r="AC323" s="498"/>
      <c r="AD323" s="498"/>
      <c r="AE323" s="498" t="s">
        <v>855</v>
      </c>
      <c r="AF323" s="498" t="s">
        <v>6905</v>
      </c>
      <c r="AG323" s="498" t="s">
        <v>6876</v>
      </c>
    </row>
    <row r="324" spans="2:33" hidden="1">
      <c r="B324" s="498" t="s">
        <v>6858</v>
      </c>
      <c r="C324" s="498" t="s">
        <v>7904</v>
      </c>
      <c r="D324" s="498" t="s">
        <v>6923</v>
      </c>
      <c r="E324" s="498" t="s">
        <v>26</v>
      </c>
      <c r="F324" s="498" t="s">
        <v>7905</v>
      </c>
      <c r="G324" s="499" t="s">
        <v>326</v>
      </c>
      <c r="H324" s="500" t="s">
        <v>6861</v>
      </c>
      <c r="I324" s="498" t="s">
        <v>6862</v>
      </c>
      <c r="J324" s="498" t="s">
        <v>2527</v>
      </c>
      <c r="K324" s="498" t="s">
        <v>2173</v>
      </c>
      <c r="L324" s="498" t="s">
        <v>855</v>
      </c>
      <c r="M324" s="498" t="s">
        <v>6864</v>
      </c>
      <c r="N324" s="498" t="s">
        <v>6865</v>
      </c>
      <c r="O324" s="498" t="s">
        <v>1194</v>
      </c>
      <c r="P324" s="498" t="s">
        <v>6971</v>
      </c>
      <c r="Q324" s="498" t="s">
        <v>6972</v>
      </c>
      <c r="R324" s="498" t="s">
        <v>6973</v>
      </c>
      <c r="S324" s="498" t="s">
        <v>6868</v>
      </c>
      <c r="T324" s="498" t="s">
        <v>7906</v>
      </c>
      <c r="U324" s="498"/>
      <c r="V324" s="498" t="s">
        <v>2177</v>
      </c>
      <c r="W324" s="498" t="s">
        <v>7907</v>
      </c>
      <c r="X324" s="498" t="s">
        <v>3582</v>
      </c>
      <c r="Y324" s="498"/>
      <c r="Z324" s="498"/>
      <c r="AA324" s="498"/>
      <c r="AB324" s="498" t="s">
        <v>3608</v>
      </c>
      <c r="AC324" s="498" t="s">
        <v>7908</v>
      </c>
      <c r="AD324" s="498"/>
      <c r="AE324" s="498" t="s">
        <v>7395</v>
      </c>
      <c r="AF324" s="498"/>
      <c r="AG324" s="498"/>
    </row>
    <row r="325" spans="2:33" hidden="1">
      <c r="B325" s="498" t="s">
        <v>6858</v>
      </c>
      <c r="C325" s="498" t="s">
        <v>7891</v>
      </c>
      <c r="D325" s="498" t="s">
        <v>6923</v>
      </c>
      <c r="E325" s="498" t="s">
        <v>7909</v>
      </c>
      <c r="F325" s="498" t="s">
        <v>7910</v>
      </c>
      <c r="G325" s="499">
        <v>5</v>
      </c>
      <c r="H325" s="500" t="s">
        <v>7911</v>
      </c>
      <c r="I325" s="498" t="s">
        <v>7912</v>
      </c>
      <c r="J325" s="498" t="s">
        <v>2527</v>
      </c>
      <c r="K325" s="498" t="s">
        <v>7275</v>
      </c>
      <c r="L325" s="498" t="s">
        <v>261</v>
      </c>
      <c r="M325" s="498" t="s">
        <v>7235</v>
      </c>
      <c r="N325" s="498" t="s">
        <v>6864</v>
      </c>
      <c r="O325" s="498" t="s">
        <v>6864</v>
      </c>
      <c r="P325" s="498" t="s">
        <v>6864</v>
      </c>
      <c r="Q325" s="498" t="s">
        <v>6864</v>
      </c>
      <c r="R325" s="498" t="s">
        <v>6864</v>
      </c>
      <c r="S325" s="498" t="s">
        <v>6864</v>
      </c>
      <c r="T325" s="498" t="s">
        <v>6864</v>
      </c>
      <c r="U325" s="498"/>
      <c r="V325" s="498"/>
      <c r="W325" s="498"/>
      <c r="X325" s="498"/>
      <c r="Y325" s="498"/>
      <c r="Z325" s="498"/>
      <c r="AA325" s="498"/>
      <c r="AB325" s="498"/>
      <c r="AC325" s="498"/>
      <c r="AD325" s="498"/>
      <c r="AE325" s="498"/>
      <c r="AF325" s="498"/>
      <c r="AG325" s="498"/>
    </row>
    <row r="326" spans="2:33" hidden="1">
      <c r="B326" s="498" t="s">
        <v>6858</v>
      </c>
      <c r="C326" s="498" t="s">
        <v>7913</v>
      </c>
      <c r="D326" s="498" t="s">
        <v>6923</v>
      </c>
      <c r="E326" s="498" t="s">
        <v>7909</v>
      </c>
      <c r="F326" s="498" t="s">
        <v>7914</v>
      </c>
      <c r="G326" s="499">
        <v>5</v>
      </c>
      <c r="H326" s="500" t="s">
        <v>7911</v>
      </c>
      <c r="I326" s="498" t="s">
        <v>7912</v>
      </c>
      <c r="J326" s="498" t="s">
        <v>2527</v>
      </c>
      <c r="K326" s="498" t="s">
        <v>7275</v>
      </c>
      <c r="L326" s="498" t="s">
        <v>261</v>
      </c>
      <c r="M326" s="498" t="s">
        <v>7235</v>
      </c>
      <c r="N326" s="498" t="s">
        <v>6864</v>
      </c>
      <c r="O326" s="498" t="s">
        <v>6864</v>
      </c>
      <c r="P326" s="498" t="s">
        <v>6864</v>
      </c>
      <c r="Q326" s="498" t="s">
        <v>6864</v>
      </c>
      <c r="R326" s="498" t="s">
        <v>6864</v>
      </c>
      <c r="S326" s="498" t="s">
        <v>6864</v>
      </c>
      <c r="T326" s="498" t="s">
        <v>6864</v>
      </c>
      <c r="U326" s="498"/>
      <c r="V326" s="498"/>
      <c r="W326" s="498"/>
      <c r="X326" s="498"/>
      <c r="Y326" s="498"/>
      <c r="Z326" s="498"/>
      <c r="AA326" s="498"/>
      <c r="AB326" s="498"/>
      <c r="AC326" s="498"/>
      <c r="AD326" s="498"/>
      <c r="AE326" s="498"/>
      <c r="AF326" s="498"/>
      <c r="AG326" s="498"/>
    </row>
    <row r="327" spans="2:33" hidden="1">
      <c r="B327" s="498" t="s">
        <v>6858</v>
      </c>
      <c r="C327" s="498" t="s">
        <v>7915</v>
      </c>
      <c r="D327" s="498" t="s">
        <v>6923</v>
      </c>
      <c r="E327" s="498" t="s">
        <v>7909</v>
      </c>
      <c r="F327" s="498" t="s">
        <v>7916</v>
      </c>
      <c r="G327" s="499">
        <v>5</v>
      </c>
      <c r="H327" s="500" t="s">
        <v>7911</v>
      </c>
      <c r="I327" s="498" t="s">
        <v>7912</v>
      </c>
      <c r="J327" s="498" t="s">
        <v>2527</v>
      </c>
      <c r="K327" s="498" t="s">
        <v>7275</v>
      </c>
      <c r="L327" s="498" t="s">
        <v>261</v>
      </c>
      <c r="M327" s="498" t="s">
        <v>7235</v>
      </c>
      <c r="N327" s="498" t="s">
        <v>6864</v>
      </c>
      <c r="O327" s="498" t="s">
        <v>6864</v>
      </c>
      <c r="P327" s="498" t="s">
        <v>6864</v>
      </c>
      <c r="Q327" s="498" t="s">
        <v>6864</v>
      </c>
      <c r="R327" s="498" t="s">
        <v>6864</v>
      </c>
      <c r="S327" s="498" t="s">
        <v>6864</v>
      </c>
      <c r="T327" s="498" t="s">
        <v>6864</v>
      </c>
      <c r="U327" s="498"/>
      <c r="V327" s="498"/>
      <c r="W327" s="498"/>
      <c r="X327" s="498"/>
      <c r="Y327" s="498"/>
      <c r="Z327" s="498"/>
      <c r="AA327" s="498"/>
      <c r="AB327" s="498"/>
      <c r="AC327" s="498"/>
      <c r="AD327" s="498"/>
      <c r="AE327" s="498"/>
      <c r="AF327" s="498"/>
      <c r="AG327" s="498"/>
    </row>
    <row r="328" spans="2:33" hidden="1">
      <c r="B328" s="498" t="s">
        <v>6858</v>
      </c>
      <c r="C328" s="498" t="s">
        <v>7917</v>
      </c>
      <c r="D328" s="498" t="s">
        <v>6923</v>
      </c>
      <c r="E328" s="498" t="s">
        <v>7909</v>
      </c>
      <c r="F328" s="498" t="s">
        <v>7918</v>
      </c>
      <c r="G328" s="499">
        <v>5</v>
      </c>
      <c r="H328" s="500" t="s">
        <v>7911</v>
      </c>
      <c r="I328" s="498" t="s">
        <v>7912</v>
      </c>
      <c r="J328" s="498" t="s">
        <v>2527</v>
      </c>
      <c r="K328" s="498" t="s">
        <v>7275</v>
      </c>
      <c r="L328" s="498" t="s">
        <v>261</v>
      </c>
      <c r="M328" s="498" t="s">
        <v>7235</v>
      </c>
      <c r="N328" s="498" t="s">
        <v>6864</v>
      </c>
      <c r="O328" s="498" t="s">
        <v>6864</v>
      </c>
      <c r="P328" s="498" t="s">
        <v>6864</v>
      </c>
      <c r="Q328" s="498" t="s">
        <v>6864</v>
      </c>
      <c r="R328" s="498" t="s">
        <v>6864</v>
      </c>
      <c r="S328" s="498" t="s">
        <v>6864</v>
      </c>
      <c r="T328" s="498" t="s">
        <v>6864</v>
      </c>
      <c r="U328" s="498"/>
      <c r="V328" s="498"/>
      <c r="W328" s="498"/>
      <c r="X328" s="498"/>
      <c r="Y328" s="498"/>
      <c r="Z328" s="498"/>
      <c r="AA328" s="498"/>
      <c r="AB328" s="498"/>
      <c r="AC328" s="498"/>
      <c r="AD328" s="498"/>
      <c r="AE328" s="498"/>
      <c r="AF328" s="498"/>
      <c r="AG328" s="498"/>
    </row>
    <row r="329" spans="2:33" hidden="1">
      <c r="B329" s="498" t="s">
        <v>6858</v>
      </c>
      <c r="C329" s="498" t="s">
        <v>7919</v>
      </c>
      <c r="D329" s="498" t="s">
        <v>6923</v>
      </c>
      <c r="E329" s="498" t="s">
        <v>7909</v>
      </c>
      <c r="F329" s="498" t="s">
        <v>7920</v>
      </c>
      <c r="G329" s="499">
        <v>5</v>
      </c>
      <c r="H329" s="500" t="s">
        <v>7911</v>
      </c>
      <c r="I329" s="498" t="s">
        <v>7912</v>
      </c>
      <c r="J329" s="498" t="s">
        <v>2527</v>
      </c>
      <c r="K329" s="498" t="s">
        <v>7275</v>
      </c>
      <c r="L329" s="498" t="s">
        <v>261</v>
      </c>
      <c r="M329" s="498" t="s">
        <v>7235</v>
      </c>
      <c r="N329" s="498" t="s">
        <v>6864</v>
      </c>
      <c r="O329" s="498" t="s">
        <v>6864</v>
      </c>
      <c r="P329" s="498" t="s">
        <v>6864</v>
      </c>
      <c r="Q329" s="498" t="s">
        <v>6864</v>
      </c>
      <c r="R329" s="498" t="s">
        <v>6864</v>
      </c>
      <c r="S329" s="498" t="s">
        <v>6864</v>
      </c>
      <c r="T329" s="498" t="s">
        <v>6864</v>
      </c>
      <c r="U329" s="498"/>
      <c r="V329" s="498"/>
      <c r="W329" s="498"/>
      <c r="X329" s="498"/>
      <c r="Y329" s="498"/>
      <c r="Z329" s="498"/>
      <c r="AA329" s="498"/>
      <c r="AB329" s="498"/>
      <c r="AC329" s="498"/>
      <c r="AD329" s="498"/>
      <c r="AE329" s="498"/>
      <c r="AF329" s="498"/>
      <c r="AG329" s="498"/>
    </row>
    <row r="330" spans="2:33" hidden="1">
      <c r="B330" s="498" t="s">
        <v>6858</v>
      </c>
      <c r="C330" s="498" t="s">
        <v>7921</v>
      </c>
      <c r="D330" s="498" t="s">
        <v>6923</v>
      </c>
      <c r="E330" s="498" t="s">
        <v>7909</v>
      </c>
      <c r="F330" s="498" t="s">
        <v>7922</v>
      </c>
      <c r="G330" s="499">
        <v>5</v>
      </c>
      <c r="H330" s="500" t="s">
        <v>7911</v>
      </c>
      <c r="I330" s="498" t="s">
        <v>7912</v>
      </c>
      <c r="J330" s="498" t="s">
        <v>2527</v>
      </c>
      <c r="K330" s="498" t="s">
        <v>7275</v>
      </c>
      <c r="L330" s="498" t="s">
        <v>261</v>
      </c>
      <c r="M330" s="498" t="s">
        <v>7235</v>
      </c>
      <c r="N330" s="498" t="s">
        <v>6864</v>
      </c>
      <c r="O330" s="498" t="s">
        <v>6864</v>
      </c>
      <c r="P330" s="498" t="s">
        <v>6864</v>
      </c>
      <c r="Q330" s="498" t="s">
        <v>6864</v>
      </c>
      <c r="R330" s="498" t="s">
        <v>6864</v>
      </c>
      <c r="S330" s="498" t="s">
        <v>6864</v>
      </c>
      <c r="T330" s="498" t="s">
        <v>6864</v>
      </c>
      <c r="U330" s="498"/>
      <c r="V330" s="498"/>
      <c r="W330" s="498"/>
      <c r="X330" s="498"/>
      <c r="Y330" s="498"/>
      <c r="Z330" s="498"/>
      <c r="AA330" s="498"/>
      <c r="AB330" s="498"/>
      <c r="AC330" s="498"/>
      <c r="AD330" s="498"/>
      <c r="AE330" s="498"/>
      <c r="AF330" s="498"/>
      <c r="AG330" s="498"/>
    </row>
    <row r="331" spans="2:33" hidden="1">
      <c r="B331" s="498" t="s">
        <v>6858</v>
      </c>
      <c r="C331" s="498" t="s">
        <v>7923</v>
      </c>
      <c r="D331" s="498" t="s">
        <v>341</v>
      </c>
      <c r="E331" s="498" t="s">
        <v>26</v>
      </c>
      <c r="F331" s="498" t="s">
        <v>7924</v>
      </c>
      <c r="G331" s="499" t="s">
        <v>326</v>
      </c>
      <c r="H331" s="500" t="s">
        <v>7882</v>
      </c>
      <c r="I331" s="498" t="s">
        <v>7882</v>
      </c>
      <c r="J331" s="498" t="s">
        <v>7882</v>
      </c>
      <c r="K331" s="498" t="s">
        <v>7882</v>
      </c>
      <c r="L331" s="498" t="s">
        <v>7882</v>
      </c>
      <c r="M331" s="498" t="s">
        <v>7882</v>
      </c>
      <c r="N331" s="498" t="s">
        <v>7882</v>
      </c>
      <c r="O331" s="498" t="s">
        <v>7882</v>
      </c>
      <c r="P331" s="498" t="s">
        <v>7882</v>
      </c>
      <c r="Q331" s="498" t="s">
        <v>7882</v>
      </c>
      <c r="R331" s="498" t="s">
        <v>7882</v>
      </c>
      <c r="S331" s="498" t="s">
        <v>7882</v>
      </c>
      <c r="T331" s="498" t="s">
        <v>7882</v>
      </c>
      <c r="U331" s="498" t="s">
        <v>7882</v>
      </c>
      <c r="V331" s="498" t="s">
        <v>7882</v>
      </c>
      <c r="W331" s="498" t="s">
        <v>7882</v>
      </c>
      <c r="X331" s="498" t="s">
        <v>7882</v>
      </c>
      <c r="Y331" s="498" t="s">
        <v>7882</v>
      </c>
      <c r="Z331" s="498" t="s">
        <v>7882</v>
      </c>
      <c r="AA331" s="498" t="s">
        <v>7882</v>
      </c>
      <c r="AB331" s="498" t="s">
        <v>7882</v>
      </c>
      <c r="AC331" s="498" t="s">
        <v>7882</v>
      </c>
      <c r="AD331" s="498" t="s">
        <v>7882</v>
      </c>
      <c r="AE331" s="498" t="s">
        <v>7882</v>
      </c>
      <c r="AF331" s="498" t="s">
        <v>7882</v>
      </c>
      <c r="AG331" s="498" t="s">
        <v>7882</v>
      </c>
    </row>
    <row r="332" spans="2:33" hidden="1">
      <c r="B332" s="498" t="s">
        <v>6858</v>
      </c>
      <c r="C332" s="498" t="s">
        <v>7925</v>
      </c>
      <c r="D332" s="498" t="s">
        <v>341</v>
      </c>
      <c r="E332" s="498" t="s">
        <v>26</v>
      </c>
      <c r="F332" s="498" t="s">
        <v>7926</v>
      </c>
      <c r="G332" s="499" t="s">
        <v>326</v>
      </c>
      <c r="H332" s="500" t="s">
        <v>7882</v>
      </c>
      <c r="I332" s="498" t="s">
        <v>7882</v>
      </c>
      <c r="J332" s="498" t="s">
        <v>7882</v>
      </c>
      <c r="K332" s="498" t="s">
        <v>7882</v>
      </c>
      <c r="L332" s="498" t="s">
        <v>7882</v>
      </c>
      <c r="M332" s="498" t="s">
        <v>7882</v>
      </c>
      <c r="N332" s="498" t="s">
        <v>7882</v>
      </c>
      <c r="O332" s="498" t="s">
        <v>7882</v>
      </c>
      <c r="P332" s="498" t="s">
        <v>7882</v>
      </c>
      <c r="Q332" s="498" t="s">
        <v>7882</v>
      </c>
      <c r="R332" s="498" t="s">
        <v>7882</v>
      </c>
      <c r="S332" s="498" t="s">
        <v>7882</v>
      </c>
      <c r="T332" s="498" t="s">
        <v>7882</v>
      </c>
      <c r="U332" s="498" t="s">
        <v>7882</v>
      </c>
      <c r="V332" s="498" t="s">
        <v>7882</v>
      </c>
      <c r="W332" s="498" t="s">
        <v>7882</v>
      </c>
      <c r="X332" s="498" t="s">
        <v>7882</v>
      </c>
      <c r="Y332" s="498" t="s">
        <v>7882</v>
      </c>
      <c r="Z332" s="498" t="s">
        <v>7882</v>
      </c>
      <c r="AA332" s="498" t="s">
        <v>7882</v>
      </c>
      <c r="AB332" s="498" t="s">
        <v>7882</v>
      </c>
      <c r="AC332" s="498" t="s">
        <v>7882</v>
      </c>
      <c r="AD332" s="498" t="s">
        <v>7882</v>
      </c>
      <c r="AE332" s="498" t="s">
        <v>7882</v>
      </c>
      <c r="AF332" s="498" t="s">
        <v>7882</v>
      </c>
      <c r="AG332" s="498" t="s">
        <v>7882</v>
      </c>
    </row>
    <row r="333" spans="2:33" hidden="1">
      <c r="B333" s="498" t="s">
        <v>6858</v>
      </c>
      <c r="C333" s="498" t="s">
        <v>7927</v>
      </c>
      <c r="D333" s="498" t="s">
        <v>341</v>
      </c>
      <c r="E333" s="498" t="s">
        <v>26</v>
      </c>
      <c r="F333" s="498" t="s">
        <v>2308</v>
      </c>
      <c r="G333" s="499" t="s">
        <v>326</v>
      </c>
      <c r="H333" s="500" t="s">
        <v>7882</v>
      </c>
      <c r="I333" s="498" t="s">
        <v>7882</v>
      </c>
      <c r="J333" s="498" t="s">
        <v>7882</v>
      </c>
      <c r="K333" s="498" t="s">
        <v>7882</v>
      </c>
      <c r="L333" s="498" t="s">
        <v>7882</v>
      </c>
      <c r="M333" s="498" t="s">
        <v>7882</v>
      </c>
      <c r="N333" s="498" t="s">
        <v>7882</v>
      </c>
      <c r="O333" s="498" t="s">
        <v>7882</v>
      </c>
      <c r="P333" s="498" t="s">
        <v>7882</v>
      </c>
      <c r="Q333" s="498" t="s">
        <v>7882</v>
      </c>
      <c r="R333" s="498" t="s">
        <v>7882</v>
      </c>
      <c r="S333" s="498" t="s">
        <v>7882</v>
      </c>
      <c r="T333" s="498" t="s">
        <v>7882</v>
      </c>
      <c r="U333" s="498" t="s">
        <v>7882</v>
      </c>
      <c r="V333" s="498" t="s">
        <v>7882</v>
      </c>
      <c r="W333" s="498" t="s">
        <v>7882</v>
      </c>
      <c r="X333" s="498" t="s">
        <v>7882</v>
      </c>
      <c r="Y333" s="498" t="s">
        <v>7882</v>
      </c>
      <c r="Z333" s="498" t="s">
        <v>7882</v>
      </c>
      <c r="AA333" s="498" t="s">
        <v>7882</v>
      </c>
      <c r="AB333" s="498" t="s">
        <v>7882</v>
      </c>
      <c r="AC333" s="498" t="s">
        <v>7882</v>
      </c>
      <c r="AD333" s="498" t="s">
        <v>7882</v>
      </c>
      <c r="AE333" s="498" t="s">
        <v>7882</v>
      </c>
      <c r="AF333" s="498" t="s">
        <v>7882</v>
      </c>
      <c r="AG333" s="498" t="s">
        <v>7882</v>
      </c>
    </row>
    <row r="334" spans="2:33" hidden="1">
      <c r="B334" s="498" t="s">
        <v>6858</v>
      </c>
      <c r="C334" s="498" t="s">
        <v>7928</v>
      </c>
      <c r="D334" s="498" t="s">
        <v>3919</v>
      </c>
      <c r="E334" s="498" t="s">
        <v>26</v>
      </c>
      <c r="F334" s="498" t="s">
        <v>7929</v>
      </c>
      <c r="G334" s="499" t="s">
        <v>326</v>
      </c>
      <c r="H334" s="500" t="s">
        <v>7882</v>
      </c>
      <c r="I334" s="498" t="s">
        <v>7882</v>
      </c>
      <c r="J334" s="498" t="s">
        <v>7882</v>
      </c>
      <c r="K334" s="498" t="s">
        <v>7882</v>
      </c>
      <c r="L334" s="498" t="s">
        <v>7882</v>
      </c>
      <c r="M334" s="498" t="s">
        <v>7882</v>
      </c>
      <c r="N334" s="498" t="s">
        <v>7882</v>
      </c>
      <c r="O334" s="498" t="s">
        <v>7882</v>
      </c>
      <c r="P334" s="498" t="s">
        <v>7882</v>
      </c>
      <c r="Q334" s="498" t="s">
        <v>7882</v>
      </c>
      <c r="R334" s="498" t="s">
        <v>7882</v>
      </c>
      <c r="S334" s="498" t="s">
        <v>7882</v>
      </c>
      <c r="T334" s="498" t="s">
        <v>7882</v>
      </c>
      <c r="U334" s="498" t="s">
        <v>7882</v>
      </c>
      <c r="V334" s="498" t="s">
        <v>7882</v>
      </c>
      <c r="W334" s="498" t="s">
        <v>7882</v>
      </c>
      <c r="X334" s="498" t="s">
        <v>7882</v>
      </c>
      <c r="Y334" s="498" t="s">
        <v>7882</v>
      </c>
      <c r="Z334" s="498" t="s">
        <v>7882</v>
      </c>
      <c r="AA334" s="498" t="s">
        <v>7882</v>
      </c>
      <c r="AB334" s="498" t="s">
        <v>7882</v>
      </c>
      <c r="AC334" s="498" t="s">
        <v>7882</v>
      </c>
      <c r="AD334" s="498" t="s">
        <v>7882</v>
      </c>
      <c r="AE334" s="498" t="s">
        <v>7882</v>
      </c>
      <c r="AF334" s="498" t="s">
        <v>7882</v>
      </c>
      <c r="AG334" s="498" t="s">
        <v>7882</v>
      </c>
    </row>
    <row r="335" spans="2:33" hidden="1">
      <c r="B335" s="498" t="s">
        <v>6858</v>
      </c>
      <c r="C335" s="498" t="s">
        <v>7930</v>
      </c>
      <c r="D335" s="498" t="s">
        <v>3919</v>
      </c>
      <c r="E335" s="498" t="s">
        <v>26</v>
      </c>
      <c r="F335" s="498" t="s">
        <v>7931</v>
      </c>
      <c r="G335" s="499" t="s">
        <v>326</v>
      </c>
      <c r="H335" s="500" t="s">
        <v>7882</v>
      </c>
      <c r="I335" s="498" t="s">
        <v>7882</v>
      </c>
      <c r="J335" s="498" t="s">
        <v>7882</v>
      </c>
      <c r="K335" s="498" t="s">
        <v>7882</v>
      </c>
      <c r="L335" s="498" t="s">
        <v>7882</v>
      </c>
      <c r="M335" s="498" t="s">
        <v>7882</v>
      </c>
      <c r="N335" s="498" t="s">
        <v>7882</v>
      </c>
      <c r="O335" s="498" t="s">
        <v>7882</v>
      </c>
      <c r="P335" s="498" t="s">
        <v>7882</v>
      </c>
      <c r="Q335" s="498" t="s">
        <v>7882</v>
      </c>
      <c r="R335" s="498" t="s">
        <v>7882</v>
      </c>
      <c r="S335" s="498" t="s">
        <v>7882</v>
      </c>
      <c r="T335" s="498" t="s">
        <v>7882</v>
      </c>
      <c r="U335" s="498" t="s">
        <v>7882</v>
      </c>
      <c r="V335" s="498" t="s">
        <v>7882</v>
      </c>
      <c r="W335" s="498" t="s">
        <v>7882</v>
      </c>
      <c r="X335" s="498" t="s">
        <v>7882</v>
      </c>
      <c r="Y335" s="498" t="s">
        <v>7882</v>
      </c>
      <c r="Z335" s="498" t="s">
        <v>7882</v>
      </c>
      <c r="AA335" s="498" t="s">
        <v>7882</v>
      </c>
      <c r="AB335" s="498" t="s">
        <v>7882</v>
      </c>
      <c r="AC335" s="498" t="s">
        <v>7882</v>
      </c>
      <c r="AD335" s="498" t="s">
        <v>7882</v>
      </c>
      <c r="AE335" s="498" t="s">
        <v>7882</v>
      </c>
      <c r="AF335" s="498" t="s">
        <v>7882</v>
      </c>
      <c r="AG335" s="498" t="s">
        <v>7882</v>
      </c>
    </row>
    <row r="336" spans="2:33" hidden="1">
      <c r="B336" s="498" t="s">
        <v>6858</v>
      </c>
      <c r="C336" s="498" t="s">
        <v>7932</v>
      </c>
      <c r="D336" s="498" t="s">
        <v>3919</v>
      </c>
      <c r="E336" s="498" t="s">
        <v>26</v>
      </c>
      <c r="F336" s="498" t="s">
        <v>7933</v>
      </c>
      <c r="G336" s="499" t="s">
        <v>326</v>
      </c>
      <c r="H336" s="500" t="s">
        <v>7882</v>
      </c>
      <c r="I336" s="498" t="s">
        <v>7882</v>
      </c>
      <c r="J336" s="498" t="s">
        <v>7882</v>
      </c>
      <c r="K336" s="498" t="s">
        <v>7882</v>
      </c>
      <c r="L336" s="498" t="s">
        <v>7882</v>
      </c>
      <c r="M336" s="498" t="s">
        <v>7882</v>
      </c>
      <c r="N336" s="498" t="s">
        <v>7882</v>
      </c>
      <c r="O336" s="498" t="s">
        <v>7882</v>
      </c>
      <c r="P336" s="498" t="s">
        <v>7882</v>
      </c>
      <c r="Q336" s="498" t="s">
        <v>7882</v>
      </c>
      <c r="R336" s="498" t="s">
        <v>7882</v>
      </c>
      <c r="S336" s="498" t="s">
        <v>7882</v>
      </c>
      <c r="T336" s="498" t="s">
        <v>7882</v>
      </c>
      <c r="U336" s="498" t="s">
        <v>7882</v>
      </c>
      <c r="V336" s="498" t="s">
        <v>7882</v>
      </c>
      <c r="W336" s="498" t="s">
        <v>7882</v>
      </c>
      <c r="X336" s="498" t="s">
        <v>7882</v>
      </c>
      <c r="Y336" s="498" t="s">
        <v>7882</v>
      </c>
      <c r="Z336" s="498" t="s">
        <v>7882</v>
      </c>
      <c r="AA336" s="498" t="s">
        <v>7882</v>
      </c>
      <c r="AB336" s="498" t="s">
        <v>7882</v>
      </c>
      <c r="AC336" s="498" t="s">
        <v>7882</v>
      </c>
      <c r="AD336" s="498" t="s">
        <v>7882</v>
      </c>
      <c r="AE336" s="498" t="s">
        <v>7882</v>
      </c>
      <c r="AF336" s="498" t="s">
        <v>7882</v>
      </c>
      <c r="AG336" s="498" t="s">
        <v>7882</v>
      </c>
    </row>
    <row r="337" spans="2:33" hidden="1">
      <c r="B337" s="498" t="s">
        <v>6858</v>
      </c>
      <c r="C337" s="498" t="s">
        <v>7934</v>
      </c>
      <c r="D337" s="498" t="s">
        <v>3919</v>
      </c>
      <c r="E337" s="498" t="s">
        <v>26</v>
      </c>
      <c r="F337" s="498" t="s">
        <v>7935</v>
      </c>
      <c r="G337" s="499" t="s">
        <v>326</v>
      </c>
      <c r="H337" s="500" t="s">
        <v>7882</v>
      </c>
      <c r="I337" s="498" t="s">
        <v>7882</v>
      </c>
      <c r="J337" s="498" t="s">
        <v>7882</v>
      </c>
      <c r="K337" s="498" t="s">
        <v>7882</v>
      </c>
      <c r="L337" s="498" t="s">
        <v>7882</v>
      </c>
      <c r="M337" s="498" t="s">
        <v>7882</v>
      </c>
      <c r="N337" s="498" t="s">
        <v>7882</v>
      </c>
      <c r="O337" s="498" t="s">
        <v>7882</v>
      </c>
      <c r="P337" s="498" t="s">
        <v>7882</v>
      </c>
      <c r="Q337" s="498" t="s">
        <v>7882</v>
      </c>
      <c r="R337" s="498" t="s">
        <v>7882</v>
      </c>
      <c r="S337" s="498" t="s">
        <v>7882</v>
      </c>
      <c r="T337" s="498" t="s">
        <v>7882</v>
      </c>
      <c r="U337" s="498" t="s">
        <v>7882</v>
      </c>
      <c r="V337" s="498" t="s">
        <v>7882</v>
      </c>
      <c r="W337" s="498" t="s">
        <v>7882</v>
      </c>
      <c r="X337" s="498" t="s">
        <v>7882</v>
      </c>
      <c r="Y337" s="498" t="s">
        <v>7882</v>
      </c>
      <c r="Z337" s="498" t="s">
        <v>7882</v>
      </c>
      <c r="AA337" s="498" t="s">
        <v>7882</v>
      </c>
      <c r="AB337" s="498" t="s">
        <v>7882</v>
      </c>
      <c r="AC337" s="498" t="s">
        <v>7882</v>
      </c>
      <c r="AD337" s="498" t="s">
        <v>7882</v>
      </c>
      <c r="AE337" s="498" t="s">
        <v>7882</v>
      </c>
      <c r="AF337" s="498" t="s">
        <v>7882</v>
      </c>
      <c r="AG337" s="498" t="s">
        <v>7882</v>
      </c>
    </row>
    <row r="338" spans="2:33" hidden="1">
      <c r="B338" s="498" t="s">
        <v>6858</v>
      </c>
      <c r="C338" s="498" t="s">
        <v>2169</v>
      </c>
      <c r="D338" s="498" t="s">
        <v>3919</v>
      </c>
      <c r="E338" s="498" t="s">
        <v>26</v>
      </c>
      <c r="F338" s="498" t="s">
        <v>7936</v>
      </c>
      <c r="G338" s="499" t="s">
        <v>326</v>
      </c>
      <c r="H338" s="500" t="s">
        <v>7882</v>
      </c>
      <c r="I338" s="498" t="s">
        <v>7882</v>
      </c>
      <c r="J338" s="498" t="s">
        <v>7882</v>
      </c>
      <c r="K338" s="498" t="s">
        <v>7882</v>
      </c>
      <c r="L338" s="498" t="s">
        <v>7882</v>
      </c>
      <c r="M338" s="498" t="s">
        <v>7882</v>
      </c>
      <c r="N338" s="498" t="s">
        <v>7882</v>
      </c>
      <c r="O338" s="498" t="s">
        <v>7882</v>
      </c>
      <c r="P338" s="498" t="s">
        <v>7882</v>
      </c>
      <c r="Q338" s="498" t="s">
        <v>7882</v>
      </c>
      <c r="R338" s="498" t="s">
        <v>7882</v>
      </c>
      <c r="S338" s="498" t="s">
        <v>7882</v>
      </c>
      <c r="T338" s="498" t="s">
        <v>7882</v>
      </c>
      <c r="U338" s="498" t="s">
        <v>7882</v>
      </c>
      <c r="V338" s="498" t="s">
        <v>7882</v>
      </c>
      <c r="W338" s="498" t="s">
        <v>7882</v>
      </c>
      <c r="X338" s="498" t="s">
        <v>7882</v>
      </c>
      <c r="Y338" s="498" t="s">
        <v>7882</v>
      </c>
      <c r="Z338" s="498" t="s">
        <v>7882</v>
      </c>
      <c r="AA338" s="498" t="s">
        <v>7882</v>
      </c>
      <c r="AB338" s="498" t="s">
        <v>7882</v>
      </c>
      <c r="AC338" s="498" t="s">
        <v>7882</v>
      </c>
      <c r="AD338" s="498" t="s">
        <v>7882</v>
      </c>
      <c r="AE338" s="498" t="s">
        <v>7882</v>
      </c>
      <c r="AF338" s="498" t="s">
        <v>7882</v>
      </c>
      <c r="AG338" s="498" t="s">
        <v>7882</v>
      </c>
    </row>
    <row r="339" spans="2:33" hidden="1">
      <c r="B339" s="498" t="s">
        <v>6858</v>
      </c>
      <c r="C339" s="498" t="s">
        <v>2246</v>
      </c>
      <c r="D339" s="498" t="s">
        <v>3919</v>
      </c>
      <c r="E339" s="498" t="s">
        <v>26</v>
      </c>
      <c r="F339" s="498" t="s">
        <v>7937</v>
      </c>
      <c r="G339" s="499" t="s">
        <v>326</v>
      </c>
      <c r="H339" s="500" t="s">
        <v>7882</v>
      </c>
      <c r="I339" s="498" t="s">
        <v>7882</v>
      </c>
      <c r="J339" s="498" t="s">
        <v>7882</v>
      </c>
      <c r="K339" s="498" t="s">
        <v>7882</v>
      </c>
      <c r="L339" s="498" t="s">
        <v>7882</v>
      </c>
      <c r="M339" s="498" t="s">
        <v>7882</v>
      </c>
      <c r="N339" s="498" t="s">
        <v>7882</v>
      </c>
      <c r="O339" s="498" t="s">
        <v>7882</v>
      </c>
      <c r="P339" s="498" t="s">
        <v>7882</v>
      </c>
      <c r="Q339" s="498" t="s">
        <v>7882</v>
      </c>
      <c r="R339" s="498" t="s">
        <v>7882</v>
      </c>
      <c r="S339" s="498" t="s">
        <v>7882</v>
      </c>
      <c r="T339" s="498" t="s">
        <v>7882</v>
      </c>
      <c r="U339" s="498" t="s">
        <v>7882</v>
      </c>
      <c r="V339" s="498" t="s">
        <v>7882</v>
      </c>
      <c r="W339" s="498" t="s">
        <v>7882</v>
      </c>
      <c r="X339" s="498" t="s">
        <v>7882</v>
      </c>
      <c r="Y339" s="498" t="s">
        <v>7882</v>
      </c>
      <c r="Z339" s="498" t="s">
        <v>7882</v>
      </c>
      <c r="AA339" s="498" t="s">
        <v>7882</v>
      </c>
      <c r="AB339" s="498" t="s">
        <v>7882</v>
      </c>
      <c r="AC339" s="498" t="s">
        <v>7882</v>
      </c>
      <c r="AD339" s="498" t="s">
        <v>7882</v>
      </c>
      <c r="AE339" s="498" t="s">
        <v>7882</v>
      </c>
      <c r="AF339" s="498" t="s">
        <v>7882</v>
      </c>
      <c r="AG339" s="498" t="s">
        <v>7882</v>
      </c>
    </row>
    <row r="340" spans="2:33" hidden="1">
      <c r="B340" s="498" t="s">
        <v>6858</v>
      </c>
      <c r="C340" s="498" t="s">
        <v>2254</v>
      </c>
      <c r="D340" s="498" t="s">
        <v>3919</v>
      </c>
      <c r="E340" s="498" t="s">
        <v>26</v>
      </c>
      <c r="F340" s="498" t="s">
        <v>7938</v>
      </c>
      <c r="G340" s="499" t="s">
        <v>326</v>
      </c>
      <c r="H340" s="500" t="s">
        <v>7882</v>
      </c>
      <c r="I340" s="498" t="s">
        <v>7882</v>
      </c>
      <c r="J340" s="498" t="s">
        <v>7882</v>
      </c>
      <c r="K340" s="498" t="s">
        <v>7882</v>
      </c>
      <c r="L340" s="498" t="s">
        <v>7882</v>
      </c>
      <c r="M340" s="498" t="s">
        <v>7882</v>
      </c>
      <c r="N340" s="498" t="s">
        <v>7882</v>
      </c>
      <c r="O340" s="498" t="s">
        <v>7882</v>
      </c>
      <c r="P340" s="498" t="s">
        <v>7882</v>
      </c>
      <c r="Q340" s="498" t="s">
        <v>7882</v>
      </c>
      <c r="R340" s="498" t="s">
        <v>7882</v>
      </c>
      <c r="S340" s="498" t="s">
        <v>7882</v>
      </c>
      <c r="T340" s="498" t="s">
        <v>7882</v>
      </c>
      <c r="U340" s="498" t="s">
        <v>7882</v>
      </c>
      <c r="V340" s="498" t="s">
        <v>7882</v>
      </c>
      <c r="W340" s="498" t="s">
        <v>7882</v>
      </c>
      <c r="X340" s="498" t="s">
        <v>7882</v>
      </c>
      <c r="Y340" s="498" t="s">
        <v>7882</v>
      </c>
      <c r="Z340" s="498" t="s">
        <v>7882</v>
      </c>
      <c r="AA340" s="498" t="s">
        <v>7882</v>
      </c>
      <c r="AB340" s="498" t="s">
        <v>7882</v>
      </c>
      <c r="AC340" s="498" t="s">
        <v>7882</v>
      </c>
      <c r="AD340" s="498" t="s">
        <v>7882</v>
      </c>
      <c r="AE340" s="498" t="s">
        <v>7882</v>
      </c>
      <c r="AF340" s="498" t="s">
        <v>7882</v>
      </c>
      <c r="AG340" s="498" t="s">
        <v>7882</v>
      </c>
    </row>
    <row r="341" spans="2:33" hidden="1">
      <c r="B341" s="498" t="s">
        <v>6858</v>
      </c>
      <c r="C341" s="498" t="s">
        <v>2262</v>
      </c>
      <c r="D341" s="498" t="s">
        <v>3919</v>
      </c>
      <c r="E341" s="498" t="s">
        <v>26</v>
      </c>
      <c r="F341" s="498" t="s">
        <v>7939</v>
      </c>
      <c r="G341" s="499" t="s">
        <v>326</v>
      </c>
      <c r="H341" s="500" t="s">
        <v>7882</v>
      </c>
      <c r="I341" s="498" t="s">
        <v>7882</v>
      </c>
      <c r="J341" s="498" t="s">
        <v>7882</v>
      </c>
      <c r="K341" s="498" t="s">
        <v>7882</v>
      </c>
      <c r="L341" s="498" t="s">
        <v>7882</v>
      </c>
      <c r="M341" s="498" t="s">
        <v>7882</v>
      </c>
      <c r="N341" s="498" t="s">
        <v>7882</v>
      </c>
      <c r="O341" s="498" t="s">
        <v>7882</v>
      </c>
      <c r="P341" s="498" t="s">
        <v>7882</v>
      </c>
      <c r="Q341" s="498" t="s">
        <v>7882</v>
      </c>
      <c r="R341" s="498" t="s">
        <v>7882</v>
      </c>
      <c r="S341" s="498" t="s">
        <v>7882</v>
      </c>
      <c r="T341" s="498" t="s">
        <v>7882</v>
      </c>
      <c r="U341" s="498" t="s">
        <v>7882</v>
      </c>
      <c r="V341" s="498" t="s">
        <v>7882</v>
      </c>
      <c r="W341" s="498" t="s">
        <v>7882</v>
      </c>
      <c r="X341" s="498" t="s">
        <v>7882</v>
      </c>
      <c r="Y341" s="498" t="s">
        <v>7882</v>
      </c>
      <c r="Z341" s="498" t="s">
        <v>7882</v>
      </c>
      <c r="AA341" s="498" t="s">
        <v>7882</v>
      </c>
      <c r="AB341" s="498" t="s">
        <v>7882</v>
      </c>
      <c r="AC341" s="498" t="s">
        <v>7882</v>
      </c>
      <c r="AD341" s="498" t="s">
        <v>7882</v>
      </c>
      <c r="AE341" s="498" t="s">
        <v>7882</v>
      </c>
      <c r="AF341" s="498" t="s">
        <v>7882</v>
      </c>
      <c r="AG341" s="498" t="s">
        <v>7882</v>
      </c>
    </row>
    <row r="342" spans="2:33" hidden="1">
      <c r="B342" s="498" t="s">
        <v>6858</v>
      </c>
      <c r="C342" s="498" t="s">
        <v>7940</v>
      </c>
      <c r="D342" s="498" t="s">
        <v>3919</v>
      </c>
      <c r="E342" s="498" t="s">
        <v>26</v>
      </c>
      <c r="F342" s="498" t="s">
        <v>7941</v>
      </c>
      <c r="G342" s="499" t="s">
        <v>326</v>
      </c>
      <c r="H342" s="500" t="s">
        <v>7882</v>
      </c>
      <c r="I342" s="498" t="s">
        <v>7882</v>
      </c>
      <c r="J342" s="498" t="s">
        <v>7882</v>
      </c>
      <c r="K342" s="498" t="s">
        <v>7882</v>
      </c>
      <c r="L342" s="498" t="s">
        <v>7882</v>
      </c>
      <c r="M342" s="498" t="s">
        <v>7882</v>
      </c>
      <c r="N342" s="498" t="s">
        <v>7882</v>
      </c>
      <c r="O342" s="498" t="s">
        <v>7882</v>
      </c>
      <c r="P342" s="498" t="s">
        <v>7882</v>
      </c>
      <c r="Q342" s="498" t="s">
        <v>7882</v>
      </c>
      <c r="R342" s="498" t="s">
        <v>7882</v>
      </c>
      <c r="S342" s="498" t="s">
        <v>7882</v>
      </c>
      <c r="T342" s="498" t="s">
        <v>7882</v>
      </c>
      <c r="U342" s="498" t="s">
        <v>7882</v>
      </c>
      <c r="V342" s="498" t="s">
        <v>7882</v>
      </c>
      <c r="W342" s="498" t="s">
        <v>7882</v>
      </c>
      <c r="X342" s="498" t="s">
        <v>7882</v>
      </c>
      <c r="Y342" s="498" t="s">
        <v>7882</v>
      </c>
      <c r="Z342" s="498" t="s">
        <v>7882</v>
      </c>
      <c r="AA342" s="498" t="s">
        <v>7882</v>
      </c>
      <c r="AB342" s="498" t="s">
        <v>7882</v>
      </c>
      <c r="AC342" s="498" t="s">
        <v>7882</v>
      </c>
      <c r="AD342" s="498" t="s">
        <v>7882</v>
      </c>
      <c r="AE342" s="498" t="s">
        <v>7882</v>
      </c>
      <c r="AF342" s="498" t="s">
        <v>7882</v>
      </c>
      <c r="AG342" s="498" t="s">
        <v>7882</v>
      </c>
    </row>
    <row r="343" spans="2:33" hidden="1">
      <c r="B343" s="498" t="s">
        <v>6858</v>
      </c>
      <c r="C343" s="498" t="s">
        <v>2204</v>
      </c>
      <c r="D343" s="498" t="s">
        <v>3919</v>
      </c>
      <c r="E343" s="498" t="s">
        <v>26</v>
      </c>
      <c r="F343" s="498" t="s">
        <v>7942</v>
      </c>
      <c r="G343" s="499" t="s">
        <v>326</v>
      </c>
      <c r="H343" s="500" t="s">
        <v>7882</v>
      </c>
      <c r="I343" s="498" t="s">
        <v>7882</v>
      </c>
      <c r="J343" s="498" t="s">
        <v>7882</v>
      </c>
      <c r="K343" s="498" t="s">
        <v>7882</v>
      </c>
      <c r="L343" s="498" t="s">
        <v>7882</v>
      </c>
      <c r="M343" s="498" t="s">
        <v>7882</v>
      </c>
      <c r="N343" s="498" t="s">
        <v>7882</v>
      </c>
      <c r="O343" s="498" t="s">
        <v>7882</v>
      </c>
      <c r="P343" s="498" t="s">
        <v>7882</v>
      </c>
      <c r="Q343" s="498" t="s">
        <v>7882</v>
      </c>
      <c r="R343" s="498" t="s">
        <v>7882</v>
      </c>
      <c r="S343" s="498" t="s">
        <v>7882</v>
      </c>
      <c r="T343" s="498" t="s">
        <v>7882</v>
      </c>
      <c r="U343" s="498" t="s">
        <v>7882</v>
      </c>
      <c r="V343" s="498" t="s">
        <v>7882</v>
      </c>
      <c r="W343" s="498" t="s">
        <v>7882</v>
      </c>
      <c r="X343" s="498" t="s">
        <v>7882</v>
      </c>
      <c r="Y343" s="498" t="s">
        <v>7882</v>
      </c>
      <c r="Z343" s="498" t="s">
        <v>7882</v>
      </c>
      <c r="AA343" s="498" t="s">
        <v>7882</v>
      </c>
      <c r="AB343" s="498" t="s">
        <v>7882</v>
      </c>
      <c r="AC343" s="498" t="s">
        <v>7882</v>
      </c>
      <c r="AD343" s="498" t="s">
        <v>7882</v>
      </c>
      <c r="AE343" s="498" t="s">
        <v>7882</v>
      </c>
      <c r="AF343" s="498" t="s">
        <v>7882</v>
      </c>
      <c r="AG343" s="498" t="s">
        <v>7882</v>
      </c>
    </row>
    <row r="344" spans="2:33" hidden="1">
      <c r="B344" s="498" t="s">
        <v>6858</v>
      </c>
      <c r="C344" s="498" t="s">
        <v>7943</v>
      </c>
      <c r="D344" s="498" t="s">
        <v>3919</v>
      </c>
      <c r="E344" s="498" t="s">
        <v>26</v>
      </c>
      <c r="F344" s="498" t="s">
        <v>7944</v>
      </c>
      <c r="G344" s="499" t="s">
        <v>326</v>
      </c>
      <c r="H344" s="500" t="s">
        <v>7882</v>
      </c>
      <c r="I344" s="498" t="s">
        <v>7882</v>
      </c>
      <c r="J344" s="498" t="s">
        <v>7882</v>
      </c>
      <c r="K344" s="498" t="s">
        <v>7882</v>
      </c>
      <c r="L344" s="498" t="s">
        <v>7882</v>
      </c>
      <c r="M344" s="498" t="s">
        <v>7882</v>
      </c>
      <c r="N344" s="498" t="s">
        <v>7882</v>
      </c>
      <c r="O344" s="498" t="s">
        <v>7882</v>
      </c>
      <c r="P344" s="498" t="s">
        <v>7882</v>
      </c>
      <c r="Q344" s="498" t="s">
        <v>7882</v>
      </c>
      <c r="R344" s="498" t="s">
        <v>7882</v>
      </c>
      <c r="S344" s="498" t="s">
        <v>7882</v>
      </c>
      <c r="T344" s="498" t="s">
        <v>7882</v>
      </c>
      <c r="U344" s="498" t="s">
        <v>7882</v>
      </c>
      <c r="V344" s="498" t="s">
        <v>7882</v>
      </c>
      <c r="W344" s="498" t="s">
        <v>7882</v>
      </c>
      <c r="X344" s="498" t="s">
        <v>7882</v>
      </c>
      <c r="Y344" s="498" t="s">
        <v>7882</v>
      </c>
      <c r="Z344" s="498" t="s">
        <v>7882</v>
      </c>
      <c r="AA344" s="498" t="s">
        <v>7882</v>
      </c>
      <c r="AB344" s="498" t="s">
        <v>7882</v>
      </c>
      <c r="AC344" s="498" t="s">
        <v>7882</v>
      </c>
      <c r="AD344" s="498" t="s">
        <v>7882</v>
      </c>
      <c r="AE344" s="498" t="s">
        <v>7882</v>
      </c>
      <c r="AF344" s="498" t="s">
        <v>7882</v>
      </c>
      <c r="AG344" s="498" t="s">
        <v>7882</v>
      </c>
    </row>
    <row r="345" spans="2:33" hidden="1">
      <c r="B345" s="498" t="s">
        <v>6858</v>
      </c>
      <c r="C345" s="498" t="s">
        <v>702</v>
      </c>
      <c r="D345" s="498" t="s">
        <v>3919</v>
      </c>
      <c r="E345" s="498" t="s">
        <v>26</v>
      </c>
      <c r="F345" s="498" t="s">
        <v>7945</v>
      </c>
      <c r="G345" s="499" t="s">
        <v>326</v>
      </c>
      <c r="H345" s="500" t="s">
        <v>7882</v>
      </c>
      <c r="I345" s="498" t="s">
        <v>7882</v>
      </c>
      <c r="J345" s="498" t="s">
        <v>7882</v>
      </c>
      <c r="K345" s="498" t="s">
        <v>7882</v>
      </c>
      <c r="L345" s="498" t="s">
        <v>7882</v>
      </c>
      <c r="M345" s="498" t="s">
        <v>7882</v>
      </c>
      <c r="N345" s="498" t="s">
        <v>7882</v>
      </c>
      <c r="O345" s="498" t="s">
        <v>7882</v>
      </c>
      <c r="P345" s="498" t="s">
        <v>7882</v>
      </c>
      <c r="Q345" s="498" t="s">
        <v>7882</v>
      </c>
      <c r="R345" s="498" t="s">
        <v>7882</v>
      </c>
      <c r="S345" s="498" t="s">
        <v>7882</v>
      </c>
      <c r="T345" s="498" t="s">
        <v>7882</v>
      </c>
      <c r="U345" s="498" t="s">
        <v>7882</v>
      </c>
      <c r="V345" s="498" t="s">
        <v>7882</v>
      </c>
      <c r="W345" s="498" t="s">
        <v>7882</v>
      </c>
      <c r="X345" s="498" t="s">
        <v>7882</v>
      </c>
      <c r="Y345" s="498" t="s">
        <v>7882</v>
      </c>
      <c r="Z345" s="498" t="s">
        <v>7882</v>
      </c>
      <c r="AA345" s="498" t="s">
        <v>7882</v>
      </c>
      <c r="AB345" s="498" t="s">
        <v>7882</v>
      </c>
      <c r="AC345" s="498" t="s">
        <v>7882</v>
      </c>
      <c r="AD345" s="498" t="s">
        <v>7882</v>
      </c>
      <c r="AE345" s="498" t="s">
        <v>7882</v>
      </c>
      <c r="AF345" s="498" t="s">
        <v>7882</v>
      </c>
      <c r="AG345" s="498" t="s">
        <v>7882</v>
      </c>
    </row>
    <row r="346" spans="2:33" hidden="1">
      <c r="B346" s="498" t="s">
        <v>6858</v>
      </c>
      <c r="C346" s="498" t="s">
        <v>7946</v>
      </c>
      <c r="D346" s="498" t="s">
        <v>3919</v>
      </c>
      <c r="E346" s="498" t="s">
        <v>26</v>
      </c>
      <c r="F346" s="498" t="s">
        <v>7947</v>
      </c>
      <c r="G346" s="499" t="s">
        <v>326</v>
      </c>
      <c r="H346" s="500" t="s">
        <v>7882</v>
      </c>
      <c r="I346" s="498" t="s">
        <v>7882</v>
      </c>
      <c r="J346" s="498" t="s">
        <v>7882</v>
      </c>
      <c r="K346" s="498" t="s">
        <v>7882</v>
      </c>
      <c r="L346" s="498" t="s">
        <v>7882</v>
      </c>
      <c r="M346" s="498" t="s">
        <v>7882</v>
      </c>
      <c r="N346" s="498" t="s">
        <v>7882</v>
      </c>
      <c r="O346" s="498" t="s">
        <v>7882</v>
      </c>
      <c r="P346" s="498" t="s">
        <v>7882</v>
      </c>
      <c r="Q346" s="498" t="s">
        <v>7882</v>
      </c>
      <c r="R346" s="498" t="s">
        <v>7882</v>
      </c>
      <c r="S346" s="498" t="s">
        <v>7882</v>
      </c>
      <c r="T346" s="498" t="s">
        <v>7882</v>
      </c>
      <c r="U346" s="498" t="s">
        <v>7882</v>
      </c>
      <c r="V346" s="498" t="s">
        <v>7882</v>
      </c>
      <c r="W346" s="498" t="s">
        <v>7882</v>
      </c>
      <c r="X346" s="498" t="s">
        <v>7882</v>
      </c>
      <c r="Y346" s="498" t="s">
        <v>7882</v>
      </c>
      <c r="Z346" s="498" t="s">
        <v>7882</v>
      </c>
      <c r="AA346" s="498" t="s">
        <v>7882</v>
      </c>
      <c r="AB346" s="498" t="s">
        <v>7882</v>
      </c>
      <c r="AC346" s="498" t="s">
        <v>7882</v>
      </c>
      <c r="AD346" s="498" t="s">
        <v>7882</v>
      </c>
      <c r="AE346" s="498" t="s">
        <v>7882</v>
      </c>
      <c r="AF346" s="498" t="s">
        <v>7882</v>
      </c>
      <c r="AG346" s="498" t="s">
        <v>7882</v>
      </c>
    </row>
    <row r="347" spans="2:33" hidden="1">
      <c r="B347" s="498" t="s">
        <v>6858</v>
      </c>
      <c r="C347" s="498" t="s">
        <v>2818</v>
      </c>
      <c r="D347" s="498" t="s">
        <v>3919</v>
      </c>
      <c r="E347" s="498" t="s">
        <v>26</v>
      </c>
      <c r="F347" s="498" t="s">
        <v>7948</v>
      </c>
      <c r="G347" s="499" t="s">
        <v>326</v>
      </c>
      <c r="H347" s="500" t="s">
        <v>7882</v>
      </c>
      <c r="I347" s="498" t="s">
        <v>7882</v>
      </c>
      <c r="J347" s="498" t="s">
        <v>7882</v>
      </c>
      <c r="K347" s="498" t="s">
        <v>7882</v>
      </c>
      <c r="L347" s="498" t="s">
        <v>7882</v>
      </c>
      <c r="M347" s="498" t="s">
        <v>7882</v>
      </c>
      <c r="N347" s="498" t="s">
        <v>7882</v>
      </c>
      <c r="O347" s="498" t="s">
        <v>7882</v>
      </c>
      <c r="P347" s="498" t="s">
        <v>7882</v>
      </c>
      <c r="Q347" s="498" t="s">
        <v>7882</v>
      </c>
      <c r="R347" s="498" t="s">
        <v>7882</v>
      </c>
      <c r="S347" s="498" t="s">
        <v>7882</v>
      </c>
      <c r="T347" s="498" t="s">
        <v>7882</v>
      </c>
      <c r="U347" s="498" t="s">
        <v>7882</v>
      </c>
      <c r="V347" s="498" t="s">
        <v>7882</v>
      </c>
      <c r="W347" s="498" t="s">
        <v>7882</v>
      </c>
      <c r="X347" s="498" t="s">
        <v>7882</v>
      </c>
      <c r="Y347" s="498" t="s">
        <v>7882</v>
      </c>
      <c r="Z347" s="498" t="s">
        <v>7882</v>
      </c>
      <c r="AA347" s="498" t="s">
        <v>7882</v>
      </c>
      <c r="AB347" s="498" t="s">
        <v>7882</v>
      </c>
      <c r="AC347" s="498" t="s">
        <v>7882</v>
      </c>
      <c r="AD347" s="498" t="s">
        <v>7882</v>
      </c>
      <c r="AE347" s="498" t="s">
        <v>7882</v>
      </c>
      <c r="AF347" s="498" t="s">
        <v>7882</v>
      </c>
      <c r="AG347" s="498" t="s">
        <v>7882</v>
      </c>
    </row>
    <row r="348" spans="2:33" hidden="1">
      <c r="B348" s="498" t="s">
        <v>6858</v>
      </c>
      <c r="C348" s="498" t="s">
        <v>2821</v>
      </c>
      <c r="D348" s="498" t="s">
        <v>3919</v>
      </c>
      <c r="E348" s="498" t="s">
        <v>26</v>
      </c>
      <c r="F348" s="498" t="s">
        <v>7949</v>
      </c>
      <c r="G348" s="499" t="s">
        <v>326</v>
      </c>
      <c r="H348" s="500" t="s">
        <v>7882</v>
      </c>
      <c r="I348" s="498" t="s">
        <v>7882</v>
      </c>
      <c r="J348" s="498" t="s">
        <v>7882</v>
      </c>
      <c r="K348" s="498" t="s">
        <v>7882</v>
      </c>
      <c r="L348" s="498" t="s">
        <v>7882</v>
      </c>
      <c r="M348" s="498" t="s">
        <v>7882</v>
      </c>
      <c r="N348" s="498" t="s">
        <v>7882</v>
      </c>
      <c r="O348" s="498" t="s">
        <v>7882</v>
      </c>
      <c r="P348" s="498" t="s">
        <v>7882</v>
      </c>
      <c r="Q348" s="498" t="s">
        <v>7882</v>
      </c>
      <c r="R348" s="498" t="s">
        <v>7882</v>
      </c>
      <c r="S348" s="498" t="s">
        <v>7882</v>
      </c>
      <c r="T348" s="498" t="s">
        <v>7882</v>
      </c>
      <c r="U348" s="498" t="s">
        <v>7882</v>
      </c>
      <c r="V348" s="498" t="s">
        <v>7882</v>
      </c>
      <c r="W348" s="498" t="s">
        <v>7882</v>
      </c>
      <c r="X348" s="498" t="s">
        <v>7882</v>
      </c>
      <c r="Y348" s="498" t="s">
        <v>7882</v>
      </c>
      <c r="Z348" s="498" t="s">
        <v>7882</v>
      </c>
      <c r="AA348" s="498" t="s">
        <v>7882</v>
      </c>
      <c r="AB348" s="498" t="s">
        <v>7882</v>
      </c>
      <c r="AC348" s="498" t="s">
        <v>7882</v>
      </c>
      <c r="AD348" s="498" t="s">
        <v>7882</v>
      </c>
      <c r="AE348" s="498" t="s">
        <v>7882</v>
      </c>
      <c r="AF348" s="498" t="s">
        <v>7882</v>
      </c>
      <c r="AG348" s="498" t="s">
        <v>7882</v>
      </c>
    </row>
    <row r="349" spans="2:33" hidden="1">
      <c r="B349" s="498" t="s">
        <v>6858</v>
      </c>
      <c r="C349" s="498" t="s">
        <v>7950</v>
      </c>
      <c r="D349" s="498" t="s">
        <v>3919</v>
      </c>
      <c r="E349" s="498" t="s">
        <v>26</v>
      </c>
      <c r="F349" s="498" t="s">
        <v>7951</v>
      </c>
      <c r="G349" s="499" t="s">
        <v>326</v>
      </c>
      <c r="H349" s="500" t="s">
        <v>7882</v>
      </c>
      <c r="I349" s="498" t="s">
        <v>7882</v>
      </c>
      <c r="J349" s="498" t="s">
        <v>7882</v>
      </c>
      <c r="K349" s="498" t="s">
        <v>7882</v>
      </c>
      <c r="L349" s="498" t="s">
        <v>7882</v>
      </c>
      <c r="M349" s="498" t="s">
        <v>7882</v>
      </c>
      <c r="N349" s="498" t="s">
        <v>7882</v>
      </c>
      <c r="O349" s="498" t="s">
        <v>7882</v>
      </c>
      <c r="P349" s="498" t="s">
        <v>7882</v>
      </c>
      <c r="Q349" s="498" t="s">
        <v>7882</v>
      </c>
      <c r="R349" s="498" t="s">
        <v>7882</v>
      </c>
      <c r="S349" s="498" t="s">
        <v>7882</v>
      </c>
      <c r="T349" s="498" t="s">
        <v>7882</v>
      </c>
      <c r="U349" s="498" t="s">
        <v>7882</v>
      </c>
      <c r="V349" s="498" t="s">
        <v>7882</v>
      </c>
      <c r="W349" s="498" t="s">
        <v>7882</v>
      </c>
      <c r="X349" s="498" t="s">
        <v>7882</v>
      </c>
      <c r="Y349" s="498" t="s">
        <v>7882</v>
      </c>
      <c r="Z349" s="498" t="s">
        <v>7882</v>
      </c>
      <c r="AA349" s="498" t="s">
        <v>7882</v>
      </c>
      <c r="AB349" s="498" t="s">
        <v>7882</v>
      </c>
      <c r="AC349" s="498" t="s">
        <v>7882</v>
      </c>
      <c r="AD349" s="498" t="s">
        <v>7882</v>
      </c>
      <c r="AE349" s="498" t="s">
        <v>7882</v>
      </c>
      <c r="AF349" s="498" t="s">
        <v>7882</v>
      </c>
      <c r="AG349" s="498" t="s">
        <v>7882</v>
      </c>
    </row>
    <row r="350" spans="2:33" hidden="1">
      <c r="B350" s="498" t="s">
        <v>6858</v>
      </c>
      <c r="C350" s="498" t="s">
        <v>440</v>
      </c>
      <c r="D350" s="498" t="s">
        <v>3919</v>
      </c>
      <c r="E350" s="498" t="s">
        <v>26</v>
      </c>
      <c r="F350" s="498" t="s">
        <v>7952</v>
      </c>
      <c r="G350" s="499" t="s">
        <v>326</v>
      </c>
      <c r="H350" s="500" t="s">
        <v>7882</v>
      </c>
      <c r="I350" s="498" t="s">
        <v>7882</v>
      </c>
      <c r="J350" s="498" t="s">
        <v>7882</v>
      </c>
      <c r="K350" s="498" t="s">
        <v>7882</v>
      </c>
      <c r="L350" s="498" t="s">
        <v>7882</v>
      </c>
      <c r="M350" s="498" t="s">
        <v>7882</v>
      </c>
      <c r="N350" s="498" t="s">
        <v>7882</v>
      </c>
      <c r="O350" s="498" t="s">
        <v>7882</v>
      </c>
      <c r="P350" s="498" t="s">
        <v>7882</v>
      </c>
      <c r="Q350" s="498" t="s">
        <v>7882</v>
      </c>
      <c r="R350" s="498" t="s">
        <v>7882</v>
      </c>
      <c r="S350" s="498" t="s">
        <v>7882</v>
      </c>
      <c r="T350" s="498" t="s">
        <v>7882</v>
      </c>
      <c r="U350" s="498" t="s">
        <v>7882</v>
      </c>
      <c r="V350" s="498" t="s">
        <v>7882</v>
      </c>
      <c r="W350" s="498" t="s">
        <v>7882</v>
      </c>
      <c r="X350" s="498" t="s">
        <v>7882</v>
      </c>
      <c r="Y350" s="498" t="s">
        <v>7882</v>
      </c>
      <c r="Z350" s="498" t="s">
        <v>7882</v>
      </c>
      <c r="AA350" s="498" t="s">
        <v>7882</v>
      </c>
      <c r="AB350" s="498" t="s">
        <v>7882</v>
      </c>
      <c r="AC350" s="498" t="s">
        <v>7882</v>
      </c>
      <c r="AD350" s="498" t="s">
        <v>7882</v>
      </c>
      <c r="AE350" s="498" t="s">
        <v>7882</v>
      </c>
      <c r="AF350" s="498" t="s">
        <v>7882</v>
      </c>
      <c r="AG350" s="498" t="s">
        <v>7882</v>
      </c>
    </row>
    <row r="351" spans="2:33" hidden="1">
      <c r="B351" s="498" t="s">
        <v>6858</v>
      </c>
      <c r="C351" s="498" t="s">
        <v>7953</v>
      </c>
      <c r="D351" s="498" t="s">
        <v>3919</v>
      </c>
      <c r="E351" s="498" t="s">
        <v>26</v>
      </c>
      <c r="F351" s="498" t="s">
        <v>7954</v>
      </c>
      <c r="G351" s="499" t="s">
        <v>326</v>
      </c>
      <c r="H351" s="500" t="s">
        <v>7882</v>
      </c>
      <c r="I351" s="498" t="s">
        <v>7882</v>
      </c>
      <c r="J351" s="498" t="s">
        <v>7882</v>
      </c>
      <c r="K351" s="498" t="s">
        <v>7882</v>
      </c>
      <c r="L351" s="498" t="s">
        <v>7882</v>
      </c>
      <c r="M351" s="498" t="s">
        <v>7882</v>
      </c>
      <c r="N351" s="498" t="s">
        <v>7882</v>
      </c>
      <c r="O351" s="498" t="s">
        <v>7882</v>
      </c>
      <c r="P351" s="498" t="s">
        <v>7882</v>
      </c>
      <c r="Q351" s="498" t="s">
        <v>7882</v>
      </c>
      <c r="R351" s="498" t="s">
        <v>7882</v>
      </c>
      <c r="S351" s="498" t="s">
        <v>7882</v>
      </c>
      <c r="T351" s="498" t="s">
        <v>7882</v>
      </c>
      <c r="U351" s="498" t="s">
        <v>7882</v>
      </c>
      <c r="V351" s="498" t="s">
        <v>7882</v>
      </c>
      <c r="W351" s="498" t="s">
        <v>7882</v>
      </c>
      <c r="X351" s="498" t="s">
        <v>7882</v>
      </c>
      <c r="Y351" s="498" t="s">
        <v>7882</v>
      </c>
      <c r="Z351" s="498" t="s">
        <v>7882</v>
      </c>
      <c r="AA351" s="498" t="s">
        <v>7882</v>
      </c>
      <c r="AB351" s="498" t="s">
        <v>7882</v>
      </c>
      <c r="AC351" s="498" t="s">
        <v>7882</v>
      </c>
      <c r="AD351" s="498" t="s">
        <v>7882</v>
      </c>
      <c r="AE351" s="498" t="s">
        <v>7882</v>
      </c>
      <c r="AF351" s="498" t="s">
        <v>7882</v>
      </c>
      <c r="AG351" s="498" t="s">
        <v>7882</v>
      </c>
    </row>
    <row r="352" spans="2:33" hidden="1">
      <c r="B352" s="498" t="s">
        <v>6858</v>
      </c>
      <c r="C352" s="498" t="s">
        <v>7955</v>
      </c>
      <c r="D352" s="498" t="s">
        <v>3919</v>
      </c>
      <c r="E352" s="498" t="s">
        <v>26</v>
      </c>
      <c r="F352" s="498" t="s">
        <v>7956</v>
      </c>
      <c r="G352" s="499" t="s">
        <v>326</v>
      </c>
      <c r="H352" s="500" t="s">
        <v>7882</v>
      </c>
      <c r="I352" s="498" t="s">
        <v>7882</v>
      </c>
      <c r="J352" s="498" t="s">
        <v>7882</v>
      </c>
      <c r="K352" s="498" t="s">
        <v>7882</v>
      </c>
      <c r="L352" s="498" t="s">
        <v>7882</v>
      </c>
      <c r="M352" s="498" t="s">
        <v>7882</v>
      </c>
      <c r="N352" s="498" t="s">
        <v>7882</v>
      </c>
      <c r="O352" s="498" t="s">
        <v>7882</v>
      </c>
      <c r="P352" s="498" t="s">
        <v>7882</v>
      </c>
      <c r="Q352" s="498" t="s">
        <v>7882</v>
      </c>
      <c r="R352" s="498" t="s">
        <v>7882</v>
      </c>
      <c r="S352" s="498" t="s">
        <v>7882</v>
      </c>
      <c r="T352" s="498" t="s">
        <v>7882</v>
      </c>
      <c r="U352" s="498" t="s">
        <v>7882</v>
      </c>
      <c r="V352" s="498" t="s">
        <v>7882</v>
      </c>
      <c r="W352" s="498" t="s">
        <v>7882</v>
      </c>
      <c r="X352" s="498" t="s">
        <v>7882</v>
      </c>
      <c r="Y352" s="498" t="s">
        <v>7882</v>
      </c>
      <c r="Z352" s="498" t="s">
        <v>7882</v>
      </c>
      <c r="AA352" s="498" t="s">
        <v>7882</v>
      </c>
      <c r="AB352" s="498" t="s">
        <v>7882</v>
      </c>
      <c r="AC352" s="498" t="s">
        <v>7882</v>
      </c>
      <c r="AD352" s="498" t="s">
        <v>7882</v>
      </c>
      <c r="AE352" s="498" t="s">
        <v>7882</v>
      </c>
      <c r="AF352" s="498" t="s">
        <v>7882</v>
      </c>
      <c r="AG352" s="498" t="s">
        <v>7882</v>
      </c>
    </row>
    <row r="353" spans="2:33" hidden="1">
      <c r="B353" s="498" t="s">
        <v>6858</v>
      </c>
      <c r="C353" s="498" t="s">
        <v>7957</v>
      </c>
      <c r="D353" s="498" t="s">
        <v>3919</v>
      </c>
      <c r="E353" s="498" t="s">
        <v>26</v>
      </c>
      <c r="F353" s="498" t="s">
        <v>7958</v>
      </c>
      <c r="G353" s="499" t="s">
        <v>326</v>
      </c>
      <c r="H353" s="500" t="s">
        <v>7882</v>
      </c>
      <c r="I353" s="498" t="s">
        <v>7882</v>
      </c>
      <c r="J353" s="498" t="s">
        <v>7882</v>
      </c>
      <c r="K353" s="498" t="s">
        <v>7882</v>
      </c>
      <c r="L353" s="498" t="s">
        <v>7882</v>
      </c>
      <c r="M353" s="498" t="s">
        <v>7882</v>
      </c>
      <c r="N353" s="498" t="s">
        <v>7882</v>
      </c>
      <c r="O353" s="498" t="s">
        <v>7882</v>
      </c>
      <c r="P353" s="498" t="s">
        <v>7882</v>
      </c>
      <c r="Q353" s="498" t="s">
        <v>7882</v>
      </c>
      <c r="R353" s="498" t="s">
        <v>7882</v>
      </c>
      <c r="S353" s="498" t="s">
        <v>7882</v>
      </c>
      <c r="T353" s="498" t="s">
        <v>7882</v>
      </c>
      <c r="U353" s="498" t="s">
        <v>7882</v>
      </c>
      <c r="V353" s="498" t="s">
        <v>7882</v>
      </c>
      <c r="W353" s="498" t="s">
        <v>7882</v>
      </c>
      <c r="X353" s="498" t="s">
        <v>7882</v>
      </c>
      <c r="Y353" s="498" t="s">
        <v>7882</v>
      </c>
      <c r="Z353" s="498" t="s">
        <v>7882</v>
      </c>
      <c r="AA353" s="498" t="s">
        <v>7882</v>
      </c>
      <c r="AB353" s="498" t="s">
        <v>7882</v>
      </c>
      <c r="AC353" s="498" t="s">
        <v>7882</v>
      </c>
      <c r="AD353" s="498" t="s">
        <v>7882</v>
      </c>
      <c r="AE353" s="498" t="s">
        <v>7882</v>
      </c>
      <c r="AF353" s="498" t="s">
        <v>7882</v>
      </c>
      <c r="AG353" s="498" t="s">
        <v>7882</v>
      </c>
    </row>
    <row r="354" spans="2:33" hidden="1">
      <c r="B354" s="498" t="s">
        <v>6858</v>
      </c>
      <c r="C354" s="498" t="s">
        <v>7959</v>
      </c>
      <c r="D354" s="498" t="s">
        <v>3919</v>
      </c>
      <c r="E354" s="498" t="s">
        <v>26</v>
      </c>
      <c r="F354" s="498" t="s">
        <v>7960</v>
      </c>
      <c r="G354" s="499" t="s">
        <v>326</v>
      </c>
      <c r="H354" s="500" t="s">
        <v>7882</v>
      </c>
      <c r="I354" s="498" t="s">
        <v>7882</v>
      </c>
      <c r="J354" s="498" t="s">
        <v>7882</v>
      </c>
      <c r="K354" s="498" t="s">
        <v>7882</v>
      </c>
      <c r="L354" s="498" t="s">
        <v>7882</v>
      </c>
      <c r="M354" s="498" t="s">
        <v>7882</v>
      </c>
      <c r="N354" s="498" t="s">
        <v>7882</v>
      </c>
      <c r="O354" s="498" t="s">
        <v>7882</v>
      </c>
      <c r="P354" s="498" t="s">
        <v>7882</v>
      </c>
      <c r="Q354" s="498" t="s">
        <v>7882</v>
      </c>
      <c r="R354" s="498" t="s">
        <v>7882</v>
      </c>
      <c r="S354" s="498" t="s">
        <v>7882</v>
      </c>
      <c r="T354" s="498" t="s">
        <v>7882</v>
      </c>
      <c r="U354" s="498" t="s">
        <v>7882</v>
      </c>
      <c r="V354" s="498" t="s">
        <v>7882</v>
      </c>
      <c r="W354" s="498" t="s">
        <v>7882</v>
      </c>
      <c r="X354" s="498" t="s">
        <v>7882</v>
      </c>
      <c r="Y354" s="498" t="s">
        <v>7882</v>
      </c>
      <c r="Z354" s="498" t="s">
        <v>7882</v>
      </c>
      <c r="AA354" s="498" t="s">
        <v>7882</v>
      </c>
      <c r="AB354" s="498" t="s">
        <v>7882</v>
      </c>
      <c r="AC354" s="498" t="s">
        <v>7882</v>
      </c>
      <c r="AD354" s="498" t="s">
        <v>7882</v>
      </c>
      <c r="AE354" s="498" t="s">
        <v>7882</v>
      </c>
      <c r="AF354" s="498" t="s">
        <v>7882</v>
      </c>
      <c r="AG354" s="498" t="s">
        <v>7882</v>
      </c>
    </row>
    <row r="355" spans="2:33" hidden="1">
      <c r="B355" s="498" t="s">
        <v>6858</v>
      </c>
      <c r="C355" s="498" t="s">
        <v>7961</v>
      </c>
      <c r="D355" s="498" t="s">
        <v>3919</v>
      </c>
      <c r="E355" s="498" t="s">
        <v>26</v>
      </c>
      <c r="F355" s="498" t="s">
        <v>7962</v>
      </c>
      <c r="G355" s="499" t="s">
        <v>326</v>
      </c>
      <c r="H355" s="500" t="s">
        <v>7882</v>
      </c>
      <c r="I355" s="498" t="s">
        <v>7882</v>
      </c>
      <c r="J355" s="498" t="s">
        <v>7882</v>
      </c>
      <c r="K355" s="498" t="s">
        <v>7882</v>
      </c>
      <c r="L355" s="498" t="s">
        <v>7882</v>
      </c>
      <c r="M355" s="498" t="s">
        <v>7882</v>
      </c>
      <c r="N355" s="498" t="s">
        <v>7882</v>
      </c>
      <c r="O355" s="498" t="s">
        <v>7882</v>
      </c>
      <c r="P355" s="498" t="s">
        <v>7882</v>
      </c>
      <c r="Q355" s="498" t="s">
        <v>7882</v>
      </c>
      <c r="R355" s="498" t="s">
        <v>7882</v>
      </c>
      <c r="S355" s="498" t="s">
        <v>7882</v>
      </c>
      <c r="T355" s="498" t="s">
        <v>7882</v>
      </c>
      <c r="U355" s="498" t="s">
        <v>7882</v>
      </c>
      <c r="V355" s="498" t="s">
        <v>7882</v>
      </c>
      <c r="W355" s="498" t="s">
        <v>7882</v>
      </c>
      <c r="X355" s="498" t="s">
        <v>7882</v>
      </c>
      <c r="Y355" s="498" t="s">
        <v>7882</v>
      </c>
      <c r="Z355" s="498" t="s">
        <v>7882</v>
      </c>
      <c r="AA355" s="498" t="s">
        <v>7882</v>
      </c>
      <c r="AB355" s="498" t="s">
        <v>7882</v>
      </c>
      <c r="AC355" s="498" t="s">
        <v>7882</v>
      </c>
      <c r="AD355" s="498" t="s">
        <v>7882</v>
      </c>
      <c r="AE355" s="498" t="s">
        <v>7882</v>
      </c>
      <c r="AF355" s="498" t="s">
        <v>7882</v>
      </c>
      <c r="AG355" s="498" t="s">
        <v>7882</v>
      </c>
    </row>
    <row r="356" spans="2:33" hidden="1">
      <c r="B356" s="498" t="s">
        <v>6858</v>
      </c>
      <c r="C356" s="498" t="s">
        <v>7963</v>
      </c>
      <c r="D356" s="498" t="s">
        <v>3919</v>
      </c>
      <c r="E356" s="498" t="s">
        <v>26</v>
      </c>
      <c r="F356" s="498" t="s">
        <v>7964</v>
      </c>
      <c r="G356" s="499" t="s">
        <v>326</v>
      </c>
      <c r="H356" s="500" t="s">
        <v>7882</v>
      </c>
      <c r="I356" s="498" t="s">
        <v>7882</v>
      </c>
      <c r="J356" s="498" t="s">
        <v>7882</v>
      </c>
      <c r="K356" s="498" t="s">
        <v>7882</v>
      </c>
      <c r="L356" s="498" t="s">
        <v>7882</v>
      </c>
      <c r="M356" s="498" t="s">
        <v>7882</v>
      </c>
      <c r="N356" s="498" t="s">
        <v>7882</v>
      </c>
      <c r="O356" s="498" t="s">
        <v>7882</v>
      </c>
      <c r="P356" s="498" t="s">
        <v>7882</v>
      </c>
      <c r="Q356" s="498" t="s">
        <v>7882</v>
      </c>
      <c r="R356" s="498" t="s">
        <v>7882</v>
      </c>
      <c r="S356" s="498" t="s">
        <v>7882</v>
      </c>
      <c r="T356" s="498" t="s">
        <v>7882</v>
      </c>
      <c r="U356" s="498" t="s">
        <v>7882</v>
      </c>
      <c r="V356" s="498" t="s">
        <v>7882</v>
      </c>
      <c r="W356" s="498" t="s">
        <v>7882</v>
      </c>
      <c r="X356" s="498" t="s">
        <v>7882</v>
      </c>
      <c r="Y356" s="498" t="s">
        <v>7882</v>
      </c>
      <c r="Z356" s="498" t="s">
        <v>7882</v>
      </c>
      <c r="AA356" s="498" t="s">
        <v>7882</v>
      </c>
      <c r="AB356" s="498" t="s">
        <v>7882</v>
      </c>
      <c r="AC356" s="498" t="s">
        <v>7882</v>
      </c>
      <c r="AD356" s="498" t="s">
        <v>7882</v>
      </c>
      <c r="AE356" s="498" t="s">
        <v>7882</v>
      </c>
      <c r="AF356" s="498" t="s">
        <v>7882</v>
      </c>
      <c r="AG356" s="498" t="s">
        <v>7882</v>
      </c>
    </row>
    <row r="357" spans="2:33" hidden="1">
      <c r="B357" s="498" t="s">
        <v>6858</v>
      </c>
      <c r="C357" s="498" t="s">
        <v>7965</v>
      </c>
      <c r="D357" s="498" t="s">
        <v>3919</v>
      </c>
      <c r="E357" s="498" t="s">
        <v>26</v>
      </c>
      <c r="F357" s="498" t="s">
        <v>7966</v>
      </c>
      <c r="G357" s="499" t="s">
        <v>326</v>
      </c>
      <c r="H357" s="500" t="s">
        <v>7882</v>
      </c>
      <c r="I357" s="498" t="s">
        <v>7882</v>
      </c>
      <c r="J357" s="498" t="s">
        <v>7882</v>
      </c>
      <c r="K357" s="498" t="s">
        <v>7882</v>
      </c>
      <c r="L357" s="498" t="s">
        <v>7882</v>
      </c>
      <c r="M357" s="498" t="s">
        <v>7882</v>
      </c>
      <c r="N357" s="498" t="s">
        <v>7882</v>
      </c>
      <c r="O357" s="498" t="s">
        <v>7882</v>
      </c>
      <c r="P357" s="498" t="s">
        <v>7882</v>
      </c>
      <c r="Q357" s="498" t="s">
        <v>7882</v>
      </c>
      <c r="R357" s="498" t="s">
        <v>7882</v>
      </c>
      <c r="S357" s="498" t="s">
        <v>7882</v>
      </c>
      <c r="T357" s="498" t="s">
        <v>7882</v>
      </c>
      <c r="U357" s="498" t="s">
        <v>7882</v>
      </c>
      <c r="V357" s="498" t="s">
        <v>7882</v>
      </c>
      <c r="W357" s="498" t="s">
        <v>7882</v>
      </c>
      <c r="X357" s="498" t="s">
        <v>7882</v>
      </c>
      <c r="Y357" s="498" t="s">
        <v>7882</v>
      </c>
      <c r="Z357" s="498" t="s">
        <v>7882</v>
      </c>
      <c r="AA357" s="498" t="s">
        <v>7882</v>
      </c>
      <c r="AB357" s="498" t="s">
        <v>7882</v>
      </c>
      <c r="AC357" s="498" t="s">
        <v>7882</v>
      </c>
      <c r="AD357" s="498" t="s">
        <v>7882</v>
      </c>
      <c r="AE357" s="498" t="s">
        <v>7882</v>
      </c>
      <c r="AF357" s="498" t="s">
        <v>7882</v>
      </c>
      <c r="AG357" s="498" t="s">
        <v>7882</v>
      </c>
    </row>
    <row r="358" spans="2:33" hidden="1">
      <c r="B358" s="498" t="s">
        <v>6858</v>
      </c>
      <c r="C358" s="498" t="s">
        <v>7967</v>
      </c>
      <c r="D358" s="498" t="s">
        <v>7968</v>
      </c>
      <c r="E358" s="498" t="s">
        <v>26</v>
      </c>
      <c r="F358" s="498" t="s">
        <v>7969</v>
      </c>
      <c r="G358" s="499" t="s">
        <v>326</v>
      </c>
      <c r="H358" s="500" t="s">
        <v>7882</v>
      </c>
      <c r="I358" s="498" t="s">
        <v>7882</v>
      </c>
      <c r="J358" s="498" t="s">
        <v>7882</v>
      </c>
      <c r="K358" s="498" t="s">
        <v>7882</v>
      </c>
      <c r="L358" s="498" t="s">
        <v>7882</v>
      </c>
      <c r="M358" s="498" t="s">
        <v>7882</v>
      </c>
      <c r="N358" s="498" t="s">
        <v>7882</v>
      </c>
      <c r="O358" s="498" t="s">
        <v>7882</v>
      </c>
      <c r="P358" s="498" t="s">
        <v>7882</v>
      </c>
      <c r="Q358" s="498" t="s">
        <v>7882</v>
      </c>
      <c r="R358" s="498" t="s">
        <v>7882</v>
      </c>
      <c r="S358" s="498" t="s">
        <v>7882</v>
      </c>
      <c r="T358" s="498" t="s">
        <v>7882</v>
      </c>
      <c r="U358" s="498" t="s">
        <v>7882</v>
      </c>
      <c r="V358" s="498" t="s">
        <v>7882</v>
      </c>
      <c r="W358" s="498" t="s">
        <v>7882</v>
      </c>
      <c r="X358" s="498" t="s">
        <v>7882</v>
      </c>
      <c r="Y358" s="498" t="s">
        <v>7882</v>
      </c>
      <c r="Z358" s="498" t="s">
        <v>7882</v>
      </c>
      <c r="AA358" s="498" t="s">
        <v>7882</v>
      </c>
      <c r="AB358" s="498" t="s">
        <v>7882</v>
      </c>
      <c r="AC358" s="498" t="s">
        <v>7882</v>
      </c>
      <c r="AD358" s="498" t="s">
        <v>7882</v>
      </c>
      <c r="AE358" s="498" t="s">
        <v>7882</v>
      </c>
      <c r="AF358" s="498" t="s">
        <v>7882</v>
      </c>
      <c r="AG358" s="498" t="s">
        <v>7882</v>
      </c>
    </row>
    <row r="359" spans="2:33" hidden="1">
      <c r="B359" s="498" t="s">
        <v>6858</v>
      </c>
      <c r="C359" s="498" t="s">
        <v>7970</v>
      </c>
      <c r="D359" s="498" t="s">
        <v>7968</v>
      </c>
      <c r="E359" s="498" t="s">
        <v>26</v>
      </c>
      <c r="F359" s="498" t="s">
        <v>7971</v>
      </c>
      <c r="G359" s="499" t="s">
        <v>326</v>
      </c>
      <c r="H359" s="500" t="s">
        <v>7882</v>
      </c>
      <c r="I359" s="498" t="s">
        <v>7882</v>
      </c>
      <c r="J359" s="498" t="s">
        <v>7882</v>
      </c>
      <c r="K359" s="498" t="s">
        <v>7882</v>
      </c>
      <c r="L359" s="498" t="s">
        <v>7882</v>
      </c>
      <c r="M359" s="498" t="s">
        <v>7882</v>
      </c>
      <c r="N359" s="498" t="s">
        <v>7882</v>
      </c>
      <c r="O359" s="498" t="s">
        <v>7882</v>
      </c>
      <c r="P359" s="498" t="s">
        <v>7882</v>
      </c>
      <c r="Q359" s="498" t="s">
        <v>7882</v>
      </c>
      <c r="R359" s="498" t="s">
        <v>7882</v>
      </c>
      <c r="S359" s="498" t="s">
        <v>7882</v>
      </c>
      <c r="T359" s="498" t="s">
        <v>7882</v>
      </c>
      <c r="U359" s="498" t="s">
        <v>7882</v>
      </c>
      <c r="V359" s="498" t="s">
        <v>7882</v>
      </c>
      <c r="W359" s="498" t="s">
        <v>7882</v>
      </c>
      <c r="X359" s="498" t="s">
        <v>7882</v>
      </c>
      <c r="Y359" s="498" t="s">
        <v>7882</v>
      </c>
      <c r="Z359" s="498" t="s">
        <v>7882</v>
      </c>
      <c r="AA359" s="498" t="s">
        <v>7882</v>
      </c>
      <c r="AB359" s="498" t="s">
        <v>7882</v>
      </c>
      <c r="AC359" s="498" t="s">
        <v>7882</v>
      </c>
      <c r="AD359" s="498" t="s">
        <v>7882</v>
      </c>
      <c r="AE359" s="498" t="s">
        <v>7882</v>
      </c>
      <c r="AF359" s="498" t="s">
        <v>7882</v>
      </c>
      <c r="AG359" s="498" t="s">
        <v>7882</v>
      </c>
    </row>
    <row r="360" spans="2:33" hidden="1">
      <c r="B360" s="498" t="s">
        <v>6858</v>
      </c>
      <c r="C360" s="498" t="s">
        <v>7972</v>
      </c>
      <c r="D360" s="498" t="s">
        <v>7968</v>
      </c>
      <c r="E360" s="498" t="s">
        <v>26</v>
      </c>
      <c r="F360" s="498" t="s">
        <v>7973</v>
      </c>
      <c r="G360" s="499" t="s">
        <v>326</v>
      </c>
      <c r="H360" s="500" t="s">
        <v>7882</v>
      </c>
      <c r="I360" s="498" t="s">
        <v>7882</v>
      </c>
      <c r="J360" s="498" t="s">
        <v>7882</v>
      </c>
      <c r="K360" s="498" t="s">
        <v>7882</v>
      </c>
      <c r="L360" s="498" t="s">
        <v>7882</v>
      </c>
      <c r="M360" s="498" t="s">
        <v>7882</v>
      </c>
      <c r="N360" s="498" t="s">
        <v>7882</v>
      </c>
      <c r="O360" s="498" t="s">
        <v>7882</v>
      </c>
      <c r="P360" s="498" t="s">
        <v>7882</v>
      </c>
      <c r="Q360" s="498" t="s">
        <v>7882</v>
      </c>
      <c r="R360" s="498" t="s">
        <v>7882</v>
      </c>
      <c r="S360" s="498" t="s">
        <v>7882</v>
      </c>
      <c r="T360" s="498" t="s">
        <v>7882</v>
      </c>
      <c r="U360" s="498" t="s">
        <v>7882</v>
      </c>
      <c r="V360" s="498" t="s">
        <v>7882</v>
      </c>
      <c r="W360" s="498" t="s">
        <v>7882</v>
      </c>
      <c r="X360" s="498" t="s">
        <v>7882</v>
      </c>
      <c r="Y360" s="498" t="s">
        <v>7882</v>
      </c>
      <c r="Z360" s="498" t="s">
        <v>7882</v>
      </c>
      <c r="AA360" s="498" t="s">
        <v>7882</v>
      </c>
      <c r="AB360" s="498" t="s">
        <v>7882</v>
      </c>
      <c r="AC360" s="498" t="s">
        <v>7882</v>
      </c>
      <c r="AD360" s="498" t="s">
        <v>7882</v>
      </c>
      <c r="AE360" s="498" t="s">
        <v>7882</v>
      </c>
      <c r="AF360" s="498" t="s">
        <v>7882</v>
      </c>
      <c r="AG360" s="498" t="s">
        <v>7882</v>
      </c>
    </row>
    <row r="361" spans="2:33" hidden="1">
      <c r="B361" s="498" t="s">
        <v>6858</v>
      </c>
      <c r="C361" s="498" t="s">
        <v>159</v>
      </c>
      <c r="D361" s="498" t="s">
        <v>7857</v>
      </c>
      <c r="E361" s="498" t="s">
        <v>26</v>
      </c>
      <c r="F361" s="498" t="s">
        <v>7974</v>
      </c>
      <c r="G361" s="499" t="s">
        <v>326</v>
      </c>
      <c r="H361" s="500" t="s">
        <v>7882</v>
      </c>
      <c r="I361" s="498" t="s">
        <v>7882</v>
      </c>
      <c r="J361" s="498" t="s">
        <v>7882</v>
      </c>
      <c r="K361" s="498" t="s">
        <v>7882</v>
      </c>
      <c r="L361" s="498" t="s">
        <v>7882</v>
      </c>
      <c r="M361" s="498" t="s">
        <v>7882</v>
      </c>
      <c r="N361" s="498" t="s">
        <v>6865</v>
      </c>
      <c r="O361" s="498" t="s">
        <v>1194</v>
      </c>
      <c r="P361" s="498" t="s">
        <v>7301</v>
      </c>
      <c r="Q361" s="498" t="s">
        <v>2307</v>
      </c>
      <c r="R361" s="498" t="s">
        <v>7303</v>
      </c>
      <c r="S361" s="498" t="s">
        <v>7859</v>
      </c>
      <c r="T361" s="498" t="s">
        <v>7975</v>
      </c>
      <c r="U361" s="498" t="s">
        <v>7882</v>
      </c>
      <c r="V361" s="498" t="s">
        <v>2177</v>
      </c>
      <c r="W361" s="498" t="s">
        <v>6883</v>
      </c>
      <c r="X361" s="498" t="s">
        <v>4271</v>
      </c>
      <c r="Y361" s="498" t="s">
        <v>6871</v>
      </c>
      <c r="Z361" s="498">
        <v>5</v>
      </c>
      <c r="AA361" s="498" t="s">
        <v>6872</v>
      </c>
      <c r="AB361" s="498"/>
      <c r="AC361" s="498"/>
      <c r="AD361" s="498"/>
      <c r="AE361" s="498" t="s">
        <v>7860</v>
      </c>
      <c r="AF361" s="498"/>
      <c r="AG361" s="498"/>
    </row>
    <row r="362" spans="2:33" hidden="1">
      <c r="B362" s="498" t="s">
        <v>6858</v>
      </c>
      <c r="C362" s="498" t="s">
        <v>356</v>
      </c>
      <c r="D362" s="498" t="s">
        <v>7857</v>
      </c>
      <c r="E362" s="498" t="s">
        <v>26</v>
      </c>
      <c r="F362" s="498" t="s">
        <v>7976</v>
      </c>
      <c r="G362" s="499" t="s">
        <v>326</v>
      </c>
      <c r="H362" s="500" t="s">
        <v>7882</v>
      </c>
      <c r="I362" s="498" t="s">
        <v>7882</v>
      </c>
      <c r="J362" s="498" t="s">
        <v>7882</v>
      </c>
      <c r="K362" s="498" t="s">
        <v>7882</v>
      </c>
      <c r="L362" s="498" t="s">
        <v>7882</v>
      </c>
      <c r="M362" s="498" t="s">
        <v>7882</v>
      </c>
      <c r="N362" s="498" t="s">
        <v>6865</v>
      </c>
      <c r="O362" s="498" t="s">
        <v>1194</v>
      </c>
      <c r="P362" s="498" t="s">
        <v>7301</v>
      </c>
      <c r="Q362" s="498" t="s">
        <v>7977</v>
      </c>
      <c r="R362" s="498" t="s">
        <v>7303</v>
      </c>
      <c r="S362" s="498" t="s">
        <v>7859</v>
      </c>
      <c r="T362" s="498"/>
      <c r="U362" s="498" t="s">
        <v>7882</v>
      </c>
      <c r="V362" s="498" t="s">
        <v>6905</v>
      </c>
      <c r="W362" s="498" t="s">
        <v>6883</v>
      </c>
      <c r="X362" s="498" t="s">
        <v>4271</v>
      </c>
      <c r="Y362" s="498" t="s">
        <v>6871</v>
      </c>
      <c r="Z362" s="498">
        <v>5</v>
      </c>
      <c r="AA362" s="498" t="s">
        <v>6872</v>
      </c>
      <c r="AB362" s="498"/>
      <c r="AC362" s="498"/>
      <c r="AD362" s="498"/>
      <c r="AE362" s="498" t="s">
        <v>7860</v>
      </c>
      <c r="AF362" s="498" t="s">
        <v>6905</v>
      </c>
      <c r="AG362" s="498"/>
    </row>
    <row r="363" spans="2:33" hidden="1"/>
    <row r="364" spans="2:33" hidden="1"/>
    <row r="365" spans="2:33" hidden="1"/>
    <row r="366" spans="2:33" hidden="1"/>
    <row r="367" spans="2:33" hidden="1"/>
    <row r="368" spans="2:33" hidden="1"/>
    <row r="369" spans="4:36" hidden="1"/>
    <row r="370" spans="4:36" hidden="1"/>
    <row r="371" spans="4:36" hidden="1"/>
    <row r="372" spans="4:36" hidden="1"/>
    <row r="373" spans="4:36" hidden="1">
      <c r="D373"/>
      <c r="E373" s="498"/>
      <c r="F373" s="498"/>
      <c r="G373" s="498"/>
      <c r="H373" s="498"/>
      <c r="I373" s="498"/>
      <c r="J373" s="499"/>
      <c r="K373" s="500"/>
      <c r="L373" s="498"/>
      <c r="M373" s="498"/>
      <c r="N373" s="498"/>
      <c r="O373" s="498"/>
      <c r="P373" s="498"/>
      <c r="Q373" s="498"/>
      <c r="R373" s="498"/>
      <c r="S373" s="498"/>
      <c r="T373" s="498"/>
      <c r="U373" s="498"/>
      <c r="V373" s="498"/>
      <c r="W373" s="498"/>
      <c r="X373" s="498"/>
      <c r="Y373" s="498"/>
      <c r="Z373" s="498"/>
      <c r="AA373" s="498"/>
      <c r="AB373" s="498"/>
      <c r="AC373" s="498"/>
      <c r="AD373" s="498"/>
      <c r="AE373" s="498"/>
      <c r="AF373" s="498"/>
      <c r="AG373" s="498"/>
      <c r="AH373" s="498"/>
      <c r="AI373" s="498"/>
      <c r="AJ373" s="498"/>
    </row>
  </sheetData>
  <autoFilter ref="B1:AJ373" xr:uid="{6B4639B5-A77E-45DB-BC62-507C5EA3D0CF}">
    <filterColumn colId="0">
      <filters>
        <filter val="05.Credit Card"/>
      </filters>
    </filterColumn>
    <filterColumn colId="1">
      <filters>
        <filter val="Activation Status"/>
        <filter val="Authorization Status"/>
        <filter val="Card Account Status"/>
        <filter val="Card Status"/>
        <filter val="Embossing Status"/>
        <filter val="Financial Status"/>
        <filter val="Insurance Status"/>
        <filter val="Last Status Change Date"/>
        <filter val="Previous Card Activation Status"/>
        <filter val="RVC Package Status"/>
        <filter val="Status"/>
        <filter val="Status Reason"/>
        <filter val="Supplementary Card Status"/>
      </filters>
    </filterColumn>
    <filterColumn colId="2">
      <filters>
        <filter val="Authorization Transactions"/>
      </filters>
    </filterColumn>
  </autoFilter>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61EF0-9265-4B05-B44E-7916572EB04C}">
  <sheetPr>
    <tabColor rgb="FFFFFF00"/>
  </sheetPr>
  <dimension ref="B1:W71"/>
  <sheetViews>
    <sheetView workbookViewId="0"/>
  </sheetViews>
  <sheetFormatPr defaultRowHeight="15"/>
  <cols>
    <col min="1" max="1" width="13.5703125" style="498" customWidth="1"/>
    <col min="2" max="2" width="16.7109375" style="498" customWidth="1"/>
    <col min="3" max="3" width="21.42578125" style="498" customWidth="1"/>
    <col min="4" max="4" width="39.140625" style="498" bestFit="1" customWidth="1"/>
    <col min="5" max="5" width="20.85546875" style="498" bestFit="1" customWidth="1"/>
    <col min="6" max="6" width="88.5703125" style="498" customWidth="1"/>
    <col min="7" max="7" width="14" style="498" customWidth="1"/>
    <col min="8" max="8" width="50" style="498" customWidth="1"/>
    <col min="9" max="9" width="25.5703125" style="499" customWidth="1"/>
    <col min="10" max="10" width="30" style="499" customWidth="1"/>
    <col min="11" max="11" width="69.42578125" style="498" customWidth="1"/>
    <col min="12" max="12" width="12.42578125" style="498" customWidth="1"/>
    <col min="13" max="13" width="10.85546875" style="498" customWidth="1"/>
    <col min="14" max="14" width="14" style="498" customWidth="1"/>
    <col min="15" max="15" width="10.140625" style="498" bestFit="1" customWidth="1"/>
    <col min="16" max="16" width="13.85546875" style="498" bestFit="1" customWidth="1"/>
    <col min="17" max="17" width="32.42578125" style="498" bestFit="1" customWidth="1"/>
    <col min="18" max="18" width="22.42578125" style="498" bestFit="1" customWidth="1"/>
    <col min="19" max="19" width="123.42578125" style="498" customWidth="1"/>
    <col min="20" max="20" width="13" style="498" bestFit="1" customWidth="1"/>
    <col min="21" max="21" width="32.85546875" style="498" bestFit="1" customWidth="1"/>
    <col min="22" max="22" width="46.85546875" style="498" customWidth="1"/>
    <col min="23" max="23" width="68.85546875" style="498" customWidth="1"/>
    <col min="24" max="16384" width="9.140625" style="498"/>
  </cols>
  <sheetData>
    <row r="1" spans="2:23">
      <c r="B1" s="504" t="s">
        <v>1120</v>
      </c>
      <c r="C1" s="504" t="s">
        <v>336</v>
      </c>
      <c r="D1" s="504" t="s">
        <v>337</v>
      </c>
      <c r="E1" s="504" t="s">
        <v>338</v>
      </c>
      <c r="F1" s="504" t="s">
        <v>339</v>
      </c>
      <c r="G1" s="505" t="s">
        <v>7978</v>
      </c>
      <c r="H1" s="505" t="s">
        <v>7979</v>
      </c>
      <c r="I1" s="506" t="s">
        <v>6850</v>
      </c>
      <c r="J1" s="507" t="s">
        <v>6851</v>
      </c>
      <c r="K1" s="507" t="s">
        <v>7980</v>
      </c>
      <c r="L1" s="505" t="s">
        <v>7981</v>
      </c>
      <c r="M1" s="505" t="s">
        <v>2159</v>
      </c>
      <c r="N1" s="505" t="s">
        <v>6853</v>
      </c>
      <c r="O1" s="508" t="s">
        <v>6855</v>
      </c>
      <c r="P1" s="508" t="s">
        <v>425</v>
      </c>
      <c r="Q1" s="508" t="s">
        <v>426</v>
      </c>
      <c r="R1" s="508" t="s">
        <v>427</v>
      </c>
      <c r="S1" s="508" t="s">
        <v>2161</v>
      </c>
      <c r="T1" s="508" t="s">
        <v>2162</v>
      </c>
      <c r="U1" s="508" t="s">
        <v>428</v>
      </c>
      <c r="V1" s="495" t="s">
        <v>7982</v>
      </c>
      <c r="W1" s="507" t="s">
        <v>7983</v>
      </c>
    </row>
    <row r="2" spans="2:23">
      <c r="B2" s="498" t="s">
        <v>6858</v>
      </c>
      <c r="C2" s="509" t="s">
        <v>7984</v>
      </c>
      <c r="D2" s="509" t="s">
        <v>3919</v>
      </c>
      <c r="E2" s="509" t="s">
        <v>117</v>
      </c>
      <c r="F2" s="509" t="s">
        <v>7985</v>
      </c>
      <c r="G2" s="509" t="s">
        <v>49</v>
      </c>
      <c r="H2" s="509" t="s">
        <v>49</v>
      </c>
      <c r="I2" s="510" t="s">
        <v>326</v>
      </c>
      <c r="J2" s="509" t="s">
        <v>7095</v>
      </c>
      <c r="K2" s="509" t="s">
        <v>7095</v>
      </c>
      <c r="L2" s="509" t="s">
        <v>6879</v>
      </c>
      <c r="M2" s="509" t="s">
        <v>7986</v>
      </c>
      <c r="N2" s="509" t="s">
        <v>855</v>
      </c>
      <c r="O2" s="498" t="s">
        <v>1156</v>
      </c>
      <c r="P2" s="498" t="s">
        <v>117</v>
      </c>
      <c r="Q2" s="498" t="s">
        <v>586</v>
      </c>
      <c r="R2" s="498" t="s">
        <v>7987</v>
      </c>
      <c r="S2" s="498" t="s">
        <v>203</v>
      </c>
      <c r="T2" s="498" t="s">
        <v>203</v>
      </c>
      <c r="U2" s="498" t="s">
        <v>203</v>
      </c>
      <c r="W2" s="509" t="s">
        <v>7988</v>
      </c>
    </row>
    <row r="3" spans="2:23">
      <c r="B3" s="503" t="s">
        <v>6858</v>
      </c>
      <c r="C3" s="511" t="s">
        <v>7989</v>
      </c>
      <c r="D3" s="511" t="s">
        <v>3919</v>
      </c>
      <c r="E3" s="511" t="s">
        <v>117</v>
      </c>
      <c r="F3" s="511" t="s">
        <v>7990</v>
      </c>
      <c r="G3" s="511" t="s">
        <v>7882</v>
      </c>
      <c r="H3" s="511" t="s">
        <v>7882</v>
      </c>
      <c r="I3" s="512" t="s">
        <v>326</v>
      </c>
      <c r="J3" s="511" t="s">
        <v>7882</v>
      </c>
      <c r="K3" s="511" t="s">
        <v>7882</v>
      </c>
      <c r="L3" s="511" t="s">
        <v>7882</v>
      </c>
      <c r="M3" s="511" t="s">
        <v>7882</v>
      </c>
      <c r="N3" s="511" t="s">
        <v>7882</v>
      </c>
      <c r="O3" s="511" t="s">
        <v>7882</v>
      </c>
      <c r="P3" s="511" t="s">
        <v>7882</v>
      </c>
      <c r="Q3" s="511" t="s">
        <v>7882</v>
      </c>
      <c r="R3" s="511" t="s">
        <v>7882</v>
      </c>
      <c r="S3" s="511" t="s">
        <v>7882</v>
      </c>
      <c r="T3" s="511" t="s">
        <v>7882</v>
      </c>
      <c r="U3" s="511" t="s">
        <v>7882</v>
      </c>
      <c r="V3" s="503"/>
      <c r="W3" s="511" t="s">
        <v>7882</v>
      </c>
    </row>
    <row r="4" spans="2:23">
      <c r="B4" s="503" t="s">
        <v>6858</v>
      </c>
      <c r="C4" s="511" t="s">
        <v>6892</v>
      </c>
      <c r="D4" s="511" t="s">
        <v>341</v>
      </c>
      <c r="E4" s="511" t="s">
        <v>117</v>
      </c>
      <c r="F4" s="511" t="s">
        <v>7991</v>
      </c>
      <c r="G4" s="511" t="s">
        <v>7882</v>
      </c>
      <c r="H4" s="511" t="s">
        <v>7882</v>
      </c>
      <c r="I4" s="512" t="s">
        <v>326</v>
      </c>
      <c r="J4" s="511" t="s">
        <v>7882</v>
      </c>
      <c r="K4" s="511" t="s">
        <v>7882</v>
      </c>
      <c r="L4" s="511" t="s">
        <v>7882</v>
      </c>
      <c r="M4" s="511" t="s">
        <v>7882</v>
      </c>
      <c r="N4" s="511" t="s">
        <v>7882</v>
      </c>
      <c r="O4" s="511" t="s">
        <v>7882</v>
      </c>
      <c r="P4" s="511" t="s">
        <v>7882</v>
      </c>
      <c r="Q4" s="511" t="s">
        <v>7882</v>
      </c>
      <c r="R4" s="511" t="s">
        <v>7882</v>
      </c>
      <c r="S4" s="511" t="s">
        <v>7882</v>
      </c>
      <c r="T4" s="511" t="s">
        <v>7882</v>
      </c>
      <c r="U4" s="511" t="s">
        <v>7882</v>
      </c>
      <c r="V4" s="503" t="s">
        <v>7992</v>
      </c>
      <c r="W4" s="511"/>
    </row>
    <row r="5" spans="2:23">
      <c r="B5" s="498" t="s">
        <v>6858</v>
      </c>
      <c r="C5" s="509" t="s">
        <v>4580</v>
      </c>
      <c r="D5" s="509" t="s">
        <v>7993</v>
      </c>
      <c r="E5" s="509" t="s">
        <v>117</v>
      </c>
      <c r="F5" s="509" t="s">
        <v>7994</v>
      </c>
      <c r="G5" s="509" t="s">
        <v>540</v>
      </c>
      <c r="H5" s="513" t="s">
        <v>7995</v>
      </c>
      <c r="I5" s="510" t="s">
        <v>326</v>
      </c>
      <c r="J5" s="509" t="s">
        <v>7095</v>
      </c>
      <c r="K5" s="509" t="s">
        <v>7095</v>
      </c>
      <c r="L5" s="509" t="s">
        <v>2527</v>
      </c>
      <c r="M5" s="509" t="s">
        <v>7234</v>
      </c>
      <c r="N5" s="509" t="s">
        <v>7234</v>
      </c>
      <c r="O5" s="509" t="s">
        <v>7996</v>
      </c>
      <c r="P5" s="509" t="s">
        <v>7996</v>
      </c>
      <c r="Q5" s="509" t="s">
        <v>7996</v>
      </c>
      <c r="R5" s="509" t="s">
        <v>7996</v>
      </c>
      <c r="S5" s="509" t="s">
        <v>7996</v>
      </c>
      <c r="T5" s="509" t="s">
        <v>7996</v>
      </c>
      <c r="U5" s="509" t="s">
        <v>7996</v>
      </c>
      <c r="W5" s="509" t="s">
        <v>7997</v>
      </c>
    </row>
    <row r="6" spans="2:23">
      <c r="B6" s="498" t="s">
        <v>6858</v>
      </c>
      <c r="C6" s="509" t="s">
        <v>7998</v>
      </c>
      <c r="D6" s="509" t="s">
        <v>7993</v>
      </c>
      <c r="E6" s="509" t="s">
        <v>117</v>
      </c>
      <c r="F6" s="509" t="s">
        <v>7999</v>
      </c>
      <c r="G6" s="509" t="s">
        <v>540</v>
      </c>
      <c r="H6" s="513" t="s">
        <v>8000</v>
      </c>
      <c r="I6" s="510" t="s">
        <v>326</v>
      </c>
      <c r="J6" s="509" t="s">
        <v>7095</v>
      </c>
      <c r="K6" s="509" t="s">
        <v>7095</v>
      </c>
      <c r="L6" s="509" t="s">
        <v>2527</v>
      </c>
      <c r="M6" s="509" t="s">
        <v>7234</v>
      </c>
      <c r="N6" s="509" t="s">
        <v>7234</v>
      </c>
      <c r="O6" s="509" t="s">
        <v>7996</v>
      </c>
      <c r="P6" s="509" t="s">
        <v>7996</v>
      </c>
      <c r="Q6" s="509" t="s">
        <v>7996</v>
      </c>
      <c r="R6" s="509" t="s">
        <v>7996</v>
      </c>
      <c r="S6" s="509" t="s">
        <v>7996</v>
      </c>
      <c r="T6" s="509" t="s">
        <v>7996</v>
      </c>
      <c r="U6" s="509" t="s">
        <v>7996</v>
      </c>
      <c r="W6" s="509" t="s">
        <v>7997</v>
      </c>
    </row>
    <row r="7" spans="2:23">
      <c r="B7" s="498" t="s">
        <v>6858</v>
      </c>
      <c r="C7" s="509" t="s">
        <v>8001</v>
      </c>
      <c r="D7" s="509" t="s">
        <v>7993</v>
      </c>
      <c r="E7" s="509" t="s">
        <v>117</v>
      </c>
      <c r="F7" s="509" t="s">
        <v>8002</v>
      </c>
      <c r="G7" s="509" t="s">
        <v>540</v>
      </c>
      <c r="H7" s="513" t="s">
        <v>8003</v>
      </c>
      <c r="I7" s="510" t="s">
        <v>326</v>
      </c>
      <c r="J7" s="509" t="s">
        <v>7095</v>
      </c>
      <c r="K7" s="509" t="s">
        <v>7095</v>
      </c>
      <c r="L7" s="509" t="s">
        <v>2527</v>
      </c>
      <c r="M7" s="509" t="s">
        <v>7234</v>
      </c>
      <c r="N7" s="509" t="s">
        <v>7234</v>
      </c>
      <c r="O7" s="509" t="s">
        <v>7996</v>
      </c>
      <c r="P7" s="509" t="s">
        <v>7996</v>
      </c>
      <c r="Q7" s="509" t="s">
        <v>7996</v>
      </c>
      <c r="R7" s="509" t="s">
        <v>7996</v>
      </c>
      <c r="S7" s="509" t="s">
        <v>7996</v>
      </c>
      <c r="T7" s="509" t="s">
        <v>7996</v>
      </c>
      <c r="U7" s="509" t="s">
        <v>7996</v>
      </c>
      <c r="W7" s="509" t="s">
        <v>7997</v>
      </c>
    </row>
    <row r="8" spans="2:23">
      <c r="B8" s="498" t="s">
        <v>6858</v>
      </c>
      <c r="C8" s="509" t="s">
        <v>8004</v>
      </c>
      <c r="D8" s="509" t="s">
        <v>7993</v>
      </c>
      <c r="E8" s="509" t="s">
        <v>117</v>
      </c>
      <c r="F8" s="509" t="s">
        <v>8005</v>
      </c>
      <c r="G8" s="509" t="s">
        <v>540</v>
      </c>
      <c r="H8" s="513" t="s">
        <v>8006</v>
      </c>
      <c r="I8" s="510" t="s">
        <v>326</v>
      </c>
      <c r="J8" s="509" t="s">
        <v>7095</v>
      </c>
      <c r="K8" s="509" t="s">
        <v>7095</v>
      </c>
      <c r="L8" s="509" t="s">
        <v>2527</v>
      </c>
      <c r="M8" s="509" t="s">
        <v>7234</v>
      </c>
      <c r="N8" s="509" t="s">
        <v>7234</v>
      </c>
      <c r="O8" s="509" t="s">
        <v>7996</v>
      </c>
      <c r="P8" s="509" t="s">
        <v>7996</v>
      </c>
      <c r="Q8" s="509" t="s">
        <v>7996</v>
      </c>
      <c r="R8" s="509" t="s">
        <v>7996</v>
      </c>
      <c r="S8" s="509" t="s">
        <v>7996</v>
      </c>
      <c r="T8" s="509" t="s">
        <v>7996</v>
      </c>
      <c r="U8" s="509" t="s">
        <v>7996</v>
      </c>
      <c r="W8" s="509" t="s">
        <v>7997</v>
      </c>
    </row>
    <row r="9" spans="2:23">
      <c r="B9" s="503" t="s">
        <v>6858</v>
      </c>
      <c r="C9" s="511" t="s">
        <v>7224</v>
      </c>
      <c r="D9" s="511" t="s">
        <v>8007</v>
      </c>
      <c r="E9" s="511" t="s">
        <v>130</v>
      </c>
      <c r="F9" s="511" t="s">
        <v>8008</v>
      </c>
      <c r="G9" s="511" t="s">
        <v>7882</v>
      </c>
      <c r="H9" s="511" t="s">
        <v>7882</v>
      </c>
      <c r="I9" s="512" t="s">
        <v>326</v>
      </c>
      <c r="J9" s="511" t="s">
        <v>7882</v>
      </c>
      <c r="K9" s="511" t="s">
        <v>7882</v>
      </c>
      <c r="L9" s="511" t="s">
        <v>7882</v>
      </c>
      <c r="M9" s="511" t="s">
        <v>7882</v>
      </c>
      <c r="N9" s="511" t="s">
        <v>7882</v>
      </c>
      <c r="O9" s="511" t="s">
        <v>7882</v>
      </c>
      <c r="P9" s="511" t="s">
        <v>7882</v>
      </c>
      <c r="Q9" s="511" t="s">
        <v>7882</v>
      </c>
      <c r="R9" s="511" t="s">
        <v>7882</v>
      </c>
      <c r="S9" s="511" t="s">
        <v>7882</v>
      </c>
      <c r="T9" s="511" t="s">
        <v>7882</v>
      </c>
      <c r="U9" s="511" t="s">
        <v>7882</v>
      </c>
      <c r="V9" s="511" t="s">
        <v>7882</v>
      </c>
      <c r="W9" s="511" t="s">
        <v>8009</v>
      </c>
    </row>
    <row r="10" spans="2:23">
      <c r="B10" s="503" t="s">
        <v>6858</v>
      </c>
      <c r="C10" s="511" t="s">
        <v>4298</v>
      </c>
      <c r="D10" s="511" t="s">
        <v>8007</v>
      </c>
      <c r="E10" s="511" t="s">
        <v>130</v>
      </c>
      <c r="F10" s="511" t="s">
        <v>8010</v>
      </c>
      <c r="G10" s="511" t="s">
        <v>7882</v>
      </c>
      <c r="H10" s="511" t="s">
        <v>7882</v>
      </c>
      <c r="I10" s="512" t="s">
        <v>326</v>
      </c>
      <c r="J10" s="511" t="s">
        <v>7882</v>
      </c>
      <c r="K10" s="511" t="s">
        <v>7882</v>
      </c>
      <c r="L10" s="511" t="s">
        <v>7882</v>
      </c>
      <c r="M10" s="511" t="s">
        <v>7882</v>
      </c>
      <c r="N10" s="511" t="s">
        <v>7882</v>
      </c>
      <c r="O10" s="511" t="s">
        <v>7882</v>
      </c>
      <c r="P10" s="511" t="s">
        <v>7882</v>
      </c>
      <c r="Q10" s="511" t="s">
        <v>7882</v>
      </c>
      <c r="R10" s="511" t="s">
        <v>7882</v>
      </c>
      <c r="S10" s="511" t="s">
        <v>7882</v>
      </c>
      <c r="T10" s="511" t="s">
        <v>7882</v>
      </c>
      <c r="U10" s="511" t="s">
        <v>7882</v>
      </c>
      <c r="V10" s="511" t="s">
        <v>7882</v>
      </c>
      <c r="W10" s="511" t="s">
        <v>8009</v>
      </c>
    </row>
    <row r="11" spans="2:23">
      <c r="B11" s="503" t="s">
        <v>6858</v>
      </c>
      <c r="C11" s="511" t="s">
        <v>6842</v>
      </c>
      <c r="D11" s="511" t="s">
        <v>8007</v>
      </c>
      <c r="E11" s="511" t="s">
        <v>130</v>
      </c>
      <c r="F11" s="511" t="s">
        <v>8011</v>
      </c>
      <c r="G11" s="511" t="s">
        <v>7882</v>
      </c>
      <c r="H11" s="511" t="s">
        <v>7882</v>
      </c>
      <c r="I11" s="512" t="s">
        <v>326</v>
      </c>
      <c r="J11" s="511" t="s">
        <v>7882</v>
      </c>
      <c r="K11" s="511" t="s">
        <v>7882</v>
      </c>
      <c r="L11" s="511" t="s">
        <v>7882</v>
      </c>
      <c r="M11" s="511" t="s">
        <v>7882</v>
      </c>
      <c r="N11" s="511" t="s">
        <v>7882</v>
      </c>
      <c r="O11" s="511" t="s">
        <v>7882</v>
      </c>
      <c r="P11" s="511" t="s">
        <v>7882</v>
      </c>
      <c r="Q11" s="511" t="s">
        <v>7882</v>
      </c>
      <c r="R11" s="511" t="s">
        <v>7882</v>
      </c>
      <c r="S11" s="511" t="s">
        <v>7882</v>
      </c>
      <c r="T11" s="511" t="s">
        <v>7882</v>
      </c>
      <c r="U11" s="511" t="s">
        <v>7882</v>
      </c>
      <c r="V11" s="511" t="s">
        <v>7882</v>
      </c>
      <c r="W11" s="511" t="s">
        <v>8009</v>
      </c>
    </row>
    <row r="12" spans="2:23">
      <c r="B12" s="503" t="s">
        <v>6858</v>
      </c>
      <c r="C12" s="511" t="s">
        <v>7286</v>
      </c>
      <c r="D12" s="511" t="s">
        <v>8007</v>
      </c>
      <c r="E12" s="511" t="s">
        <v>130</v>
      </c>
      <c r="F12" s="511" t="s">
        <v>8012</v>
      </c>
      <c r="G12" s="511" t="s">
        <v>7882</v>
      </c>
      <c r="H12" s="511" t="s">
        <v>7882</v>
      </c>
      <c r="I12" s="512" t="s">
        <v>326</v>
      </c>
      <c r="J12" s="511" t="s">
        <v>7882</v>
      </c>
      <c r="K12" s="511" t="s">
        <v>7882</v>
      </c>
      <c r="L12" s="511" t="s">
        <v>7882</v>
      </c>
      <c r="M12" s="511" t="s">
        <v>7882</v>
      </c>
      <c r="N12" s="511" t="s">
        <v>7882</v>
      </c>
      <c r="O12" s="511" t="s">
        <v>7882</v>
      </c>
      <c r="P12" s="511" t="s">
        <v>7882</v>
      </c>
      <c r="Q12" s="511" t="s">
        <v>7882</v>
      </c>
      <c r="R12" s="511" t="s">
        <v>7882</v>
      </c>
      <c r="S12" s="511" t="s">
        <v>7882</v>
      </c>
      <c r="T12" s="511" t="s">
        <v>7882</v>
      </c>
      <c r="U12" s="511" t="s">
        <v>7882</v>
      </c>
      <c r="V12" s="511" t="s">
        <v>7882</v>
      </c>
      <c r="W12" s="511" t="s">
        <v>8009</v>
      </c>
    </row>
    <row r="13" spans="2:23">
      <c r="B13" s="503" t="s">
        <v>6858</v>
      </c>
      <c r="C13" s="511" t="s">
        <v>8013</v>
      </c>
      <c r="D13" s="511" t="s">
        <v>8007</v>
      </c>
      <c r="E13" s="511" t="s">
        <v>130</v>
      </c>
      <c r="F13" s="511" t="s">
        <v>8014</v>
      </c>
      <c r="G13" s="511" t="s">
        <v>7882</v>
      </c>
      <c r="H13" s="511" t="s">
        <v>7882</v>
      </c>
      <c r="I13" s="512" t="s">
        <v>326</v>
      </c>
      <c r="J13" s="511" t="s">
        <v>7882</v>
      </c>
      <c r="K13" s="511" t="s">
        <v>7882</v>
      </c>
      <c r="L13" s="511" t="s">
        <v>7882</v>
      </c>
      <c r="M13" s="511" t="s">
        <v>7882</v>
      </c>
      <c r="N13" s="511" t="s">
        <v>7882</v>
      </c>
      <c r="O13" s="511" t="s">
        <v>7882</v>
      </c>
      <c r="P13" s="511" t="s">
        <v>7882</v>
      </c>
      <c r="Q13" s="511" t="s">
        <v>7882</v>
      </c>
      <c r="R13" s="511" t="s">
        <v>7882</v>
      </c>
      <c r="S13" s="511" t="s">
        <v>7882</v>
      </c>
      <c r="T13" s="511" t="s">
        <v>7882</v>
      </c>
      <c r="U13" s="511" t="s">
        <v>7882</v>
      </c>
      <c r="V13" s="511" t="s">
        <v>7882</v>
      </c>
      <c r="W13" s="511" t="s">
        <v>8009</v>
      </c>
    </row>
    <row r="14" spans="2:23">
      <c r="B14" s="503" t="s">
        <v>6858</v>
      </c>
      <c r="C14" s="511" t="s">
        <v>4266</v>
      </c>
      <c r="D14" s="511" t="s">
        <v>8007</v>
      </c>
      <c r="E14" s="511" t="s">
        <v>130</v>
      </c>
      <c r="F14" s="511" t="s">
        <v>8015</v>
      </c>
      <c r="G14" s="511" t="s">
        <v>7882</v>
      </c>
      <c r="H14" s="511" t="s">
        <v>7882</v>
      </c>
      <c r="I14" s="514" t="s">
        <v>326</v>
      </c>
      <c r="J14" s="511" t="s">
        <v>7882</v>
      </c>
      <c r="K14" s="511" t="s">
        <v>7882</v>
      </c>
      <c r="L14" s="511" t="s">
        <v>7882</v>
      </c>
      <c r="M14" s="511" t="s">
        <v>7882</v>
      </c>
      <c r="N14" s="511" t="s">
        <v>7882</v>
      </c>
      <c r="O14" s="511" t="s">
        <v>7882</v>
      </c>
      <c r="P14" s="511" t="s">
        <v>7882</v>
      </c>
      <c r="Q14" s="511" t="s">
        <v>7882</v>
      </c>
      <c r="R14" s="511" t="s">
        <v>7882</v>
      </c>
      <c r="S14" s="511" t="s">
        <v>7882</v>
      </c>
      <c r="T14" s="511" t="s">
        <v>7882</v>
      </c>
      <c r="U14" s="511" t="s">
        <v>7882</v>
      </c>
      <c r="V14" s="511" t="s">
        <v>7882</v>
      </c>
      <c r="W14" s="511" t="s">
        <v>8009</v>
      </c>
    </row>
    <row r="15" spans="2:23">
      <c r="B15" s="498" t="s">
        <v>6858</v>
      </c>
      <c r="C15" s="509" t="s">
        <v>7861</v>
      </c>
      <c r="D15" s="509" t="s">
        <v>8016</v>
      </c>
      <c r="E15" s="509" t="s">
        <v>130</v>
      </c>
      <c r="F15" s="509" t="s">
        <v>8017</v>
      </c>
      <c r="G15" s="498" t="s">
        <v>26</v>
      </c>
      <c r="H15" s="498" t="s">
        <v>8018</v>
      </c>
      <c r="I15" s="510">
        <v>4</v>
      </c>
      <c r="J15" s="509" t="s">
        <v>7233</v>
      </c>
      <c r="K15" s="498" t="s">
        <v>8019</v>
      </c>
      <c r="L15" s="509" t="s">
        <v>8020</v>
      </c>
      <c r="M15" s="498" t="s">
        <v>7986</v>
      </c>
      <c r="N15" s="498" t="s">
        <v>855</v>
      </c>
      <c r="O15" s="498" t="s">
        <v>1156</v>
      </c>
      <c r="P15" s="498" t="s">
        <v>1156</v>
      </c>
      <c r="Q15" s="498" t="s">
        <v>1156</v>
      </c>
      <c r="R15" s="498" t="s">
        <v>1156</v>
      </c>
      <c r="S15" s="498" t="s">
        <v>1156</v>
      </c>
      <c r="T15" s="498" t="s">
        <v>1156</v>
      </c>
      <c r="U15" s="498" t="s">
        <v>1156</v>
      </c>
      <c r="W15" s="509" t="s">
        <v>8021</v>
      </c>
    </row>
    <row r="16" spans="2:23">
      <c r="B16" s="498" t="s">
        <v>6858</v>
      </c>
      <c r="C16" s="509" t="s">
        <v>5308</v>
      </c>
      <c r="D16" s="509" t="s">
        <v>8016</v>
      </c>
      <c r="E16" s="509" t="s">
        <v>130</v>
      </c>
      <c r="F16" s="509" t="s">
        <v>8022</v>
      </c>
      <c r="G16" s="498" t="s">
        <v>26</v>
      </c>
      <c r="H16" s="498" t="s">
        <v>1156</v>
      </c>
      <c r="I16" s="510">
        <v>4</v>
      </c>
      <c r="J16" s="509" t="s">
        <v>7233</v>
      </c>
      <c r="K16" s="498" t="s">
        <v>8023</v>
      </c>
      <c r="L16" s="509" t="s">
        <v>8020</v>
      </c>
      <c r="M16" s="498" t="s">
        <v>7986</v>
      </c>
      <c r="N16" s="498" t="s">
        <v>855</v>
      </c>
      <c r="O16" s="498" t="s">
        <v>1156</v>
      </c>
      <c r="P16" s="498" t="s">
        <v>1156</v>
      </c>
      <c r="Q16" s="498" t="s">
        <v>1156</v>
      </c>
      <c r="R16" s="498" t="s">
        <v>1156</v>
      </c>
      <c r="S16" s="498" t="s">
        <v>1156</v>
      </c>
      <c r="T16" s="498" t="s">
        <v>1156</v>
      </c>
      <c r="U16" s="498" t="s">
        <v>1156</v>
      </c>
      <c r="W16" s="509" t="s">
        <v>8024</v>
      </c>
    </row>
    <row r="17" spans="2:23">
      <c r="B17" s="498" t="s">
        <v>6858</v>
      </c>
      <c r="C17" s="509" t="s">
        <v>8025</v>
      </c>
      <c r="D17" s="509" t="s">
        <v>8016</v>
      </c>
      <c r="E17" s="509" t="s">
        <v>130</v>
      </c>
      <c r="F17" s="509" t="s">
        <v>8026</v>
      </c>
      <c r="G17" s="498" t="s">
        <v>26</v>
      </c>
      <c r="H17" s="498" t="s">
        <v>8027</v>
      </c>
      <c r="I17" s="510">
        <v>4</v>
      </c>
      <c r="J17" s="509" t="s">
        <v>7233</v>
      </c>
      <c r="K17" s="498" t="s">
        <v>8019</v>
      </c>
      <c r="L17" s="509" t="s">
        <v>8020</v>
      </c>
      <c r="M17" s="498" t="s">
        <v>7986</v>
      </c>
      <c r="N17" s="498" t="s">
        <v>855</v>
      </c>
      <c r="O17" s="498" t="s">
        <v>1156</v>
      </c>
      <c r="P17" s="498" t="s">
        <v>1156</v>
      </c>
      <c r="Q17" s="498" t="s">
        <v>1156</v>
      </c>
      <c r="R17" s="498" t="s">
        <v>1156</v>
      </c>
      <c r="S17" s="498" t="s">
        <v>1156</v>
      </c>
      <c r="T17" s="498" t="s">
        <v>1156</v>
      </c>
      <c r="U17" s="498" t="s">
        <v>1156</v>
      </c>
      <c r="W17" s="509" t="s">
        <v>8021</v>
      </c>
    </row>
    <row r="18" spans="2:23">
      <c r="B18" s="498" t="s">
        <v>6858</v>
      </c>
      <c r="C18" s="509" t="s">
        <v>8028</v>
      </c>
      <c r="D18" s="509" t="s">
        <v>8016</v>
      </c>
      <c r="E18" s="509" t="s">
        <v>130</v>
      </c>
      <c r="F18" s="509" t="s">
        <v>8029</v>
      </c>
      <c r="G18" s="498" t="s">
        <v>26</v>
      </c>
      <c r="H18" s="498" t="s">
        <v>7100</v>
      </c>
      <c r="I18" s="510">
        <v>4</v>
      </c>
      <c r="J18" s="509" t="s">
        <v>7233</v>
      </c>
      <c r="K18" s="498" t="s">
        <v>8019</v>
      </c>
      <c r="L18" s="509" t="s">
        <v>8020</v>
      </c>
      <c r="M18" s="498" t="s">
        <v>7986</v>
      </c>
      <c r="N18" s="498" t="s">
        <v>855</v>
      </c>
      <c r="O18" s="498" t="s">
        <v>1156</v>
      </c>
      <c r="P18" s="498" t="s">
        <v>1156</v>
      </c>
      <c r="Q18" s="498" t="s">
        <v>1156</v>
      </c>
      <c r="R18" s="498" t="s">
        <v>1156</v>
      </c>
      <c r="S18" s="498" t="s">
        <v>1156</v>
      </c>
      <c r="T18" s="498" t="s">
        <v>1156</v>
      </c>
      <c r="U18" s="498" t="s">
        <v>1156</v>
      </c>
      <c r="W18" s="509" t="s">
        <v>8021</v>
      </c>
    </row>
    <row r="19" spans="2:23">
      <c r="B19" s="498" t="s">
        <v>6858</v>
      </c>
      <c r="C19" s="509" t="s">
        <v>159</v>
      </c>
      <c r="D19" s="509" t="s">
        <v>8016</v>
      </c>
      <c r="E19" s="509" t="s">
        <v>130</v>
      </c>
      <c r="F19" s="509" t="s">
        <v>8030</v>
      </c>
      <c r="G19" s="498" t="s">
        <v>26</v>
      </c>
      <c r="H19" s="498" t="s">
        <v>8031</v>
      </c>
      <c r="I19" s="510">
        <v>4</v>
      </c>
      <c r="J19" s="509" t="s">
        <v>7233</v>
      </c>
      <c r="K19" s="498" t="s">
        <v>8019</v>
      </c>
      <c r="L19" s="509" t="s">
        <v>8020</v>
      </c>
      <c r="M19" s="498" t="s">
        <v>7986</v>
      </c>
      <c r="N19" s="498" t="s">
        <v>855</v>
      </c>
      <c r="O19" s="498" t="s">
        <v>1156</v>
      </c>
      <c r="P19" s="498" t="s">
        <v>1156</v>
      </c>
      <c r="Q19" s="498" t="s">
        <v>1156</v>
      </c>
      <c r="R19" s="498" t="s">
        <v>1156</v>
      </c>
      <c r="S19" s="498" t="s">
        <v>1156</v>
      </c>
      <c r="T19" s="498" t="s">
        <v>1156</v>
      </c>
      <c r="U19" s="498" t="s">
        <v>1156</v>
      </c>
      <c r="W19" s="509" t="s">
        <v>8021</v>
      </c>
    </row>
    <row r="20" spans="2:23">
      <c r="B20" s="498" t="s">
        <v>6858</v>
      </c>
      <c r="C20" s="509" t="s">
        <v>7299</v>
      </c>
      <c r="D20" s="509" t="s">
        <v>8016</v>
      </c>
      <c r="E20" s="509" t="s">
        <v>130</v>
      </c>
      <c r="F20" s="509" t="s">
        <v>8032</v>
      </c>
      <c r="G20" s="498" t="s">
        <v>26</v>
      </c>
      <c r="H20" s="498" t="s">
        <v>8033</v>
      </c>
      <c r="I20" s="510">
        <v>4</v>
      </c>
      <c r="J20" s="509" t="s">
        <v>7233</v>
      </c>
      <c r="K20" s="498" t="s">
        <v>8019</v>
      </c>
      <c r="L20" s="509" t="s">
        <v>8020</v>
      </c>
      <c r="M20" s="498" t="s">
        <v>7986</v>
      </c>
      <c r="N20" s="498" t="s">
        <v>855</v>
      </c>
      <c r="O20" s="498" t="s">
        <v>1156</v>
      </c>
      <c r="P20" s="498" t="s">
        <v>1156</v>
      </c>
      <c r="Q20" s="498" t="s">
        <v>1156</v>
      </c>
      <c r="R20" s="498" t="s">
        <v>1156</v>
      </c>
      <c r="S20" s="498" t="s">
        <v>1156</v>
      </c>
      <c r="T20" s="498" t="s">
        <v>1156</v>
      </c>
      <c r="U20" s="498" t="s">
        <v>1156</v>
      </c>
      <c r="W20" s="509" t="s">
        <v>8021</v>
      </c>
    </row>
    <row r="21" spans="2:23">
      <c r="B21" s="503" t="s">
        <v>6858</v>
      </c>
      <c r="C21" s="511" t="s">
        <v>8034</v>
      </c>
      <c r="D21" s="511" t="s">
        <v>8016</v>
      </c>
      <c r="E21" s="511" t="s">
        <v>130</v>
      </c>
      <c r="F21" s="511" t="s">
        <v>8035</v>
      </c>
      <c r="G21" s="511" t="s">
        <v>7882</v>
      </c>
      <c r="H21" s="511" t="s">
        <v>7882</v>
      </c>
      <c r="I21" s="512" t="s">
        <v>326</v>
      </c>
      <c r="J21" s="511" t="s">
        <v>7882</v>
      </c>
      <c r="K21" s="511" t="s">
        <v>7882</v>
      </c>
      <c r="L21" s="511" t="s">
        <v>7882</v>
      </c>
      <c r="M21" s="511" t="s">
        <v>7882</v>
      </c>
      <c r="N21" s="511" t="s">
        <v>7882</v>
      </c>
      <c r="O21" s="511" t="s">
        <v>7882</v>
      </c>
      <c r="P21" s="511" t="s">
        <v>7882</v>
      </c>
      <c r="Q21" s="511" t="s">
        <v>7882</v>
      </c>
      <c r="R21" s="511" t="s">
        <v>7882</v>
      </c>
      <c r="S21" s="511" t="s">
        <v>7882</v>
      </c>
      <c r="T21" s="511" t="s">
        <v>7882</v>
      </c>
      <c r="U21" s="511" t="s">
        <v>7882</v>
      </c>
      <c r="V21" s="511" t="s">
        <v>7882</v>
      </c>
      <c r="W21" s="511" t="s">
        <v>8036</v>
      </c>
    </row>
    <row r="22" spans="2:23">
      <c r="B22" s="498" t="s">
        <v>6858</v>
      </c>
      <c r="C22" s="509" t="s">
        <v>8037</v>
      </c>
      <c r="D22" s="509" t="s">
        <v>8016</v>
      </c>
      <c r="E22" s="509" t="s">
        <v>130</v>
      </c>
      <c r="F22" s="509" t="s">
        <v>8038</v>
      </c>
      <c r="G22" s="498" t="s">
        <v>26</v>
      </c>
      <c r="H22" s="498" t="s">
        <v>7094</v>
      </c>
      <c r="I22" s="510">
        <v>4</v>
      </c>
      <c r="J22" s="509" t="s">
        <v>7233</v>
      </c>
      <c r="K22" s="498" t="s">
        <v>8019</v>
      </c>
      <c r="L22" s="509" t="s">
        <v>8020</v>
      </c>
      <c r="M22" s="498" t="s">
        <v>7986</v>
      </c>
      <c r="N22" s="498" t="s">
        <v>855</v>
      </c>
      <c r="O22" s="498" t="s">
        <v>1156</v>
      </c>
      <c r="P22" s="498" t="s">
        <v>1156</v>
      </c>
      <c r="Q22" s="498" t="s">
        <v>1156</v>
      </c>
      <c r="R22" s="498" t="s">
        <v>1156</v>
      </c>
      <c r="S22" s="498" t="s">
        <v>1156</v>
      </c>
      <c r="T22" s="498" t="s">
        <v>1156</v>
      </c>
      <c r="U22" s="498" t="s">
        <v>1156</v>
      </c>
      <c r="W22" s="509" t="s">
        <v>8021</v>
      </c>
    </row>
    <row r="23" spans="2:23">
      <c r="B23" s="498" t="s">
        <v>6858</v>
      </c>
      <c r="C23" s="509" t="s">
        <v>7889</v>
      </c>
      <c r="D23" s="509" t="s">
        <v>8016</v>
      </c>
      <c r="E23" s="509" t="s">
        <v>130</v>
      </c>
      <c r="F23" s="509" t="s">
        <v>8039</v>
      </c>
      <c r="G23" s="498" t="s">
        <v>26</v>
      </c>
      <c r="H23" s="498" t="s">
        <v>8040</v>
      </c>
      <c r="I23" s="510">
        <v>4</v>
      </c>
      <c r="J23" s="509" t="s">
        <v>7233</v>
      </c>
      <c r="K23" s="498" t="s">
        <v>8019</v>
      </c>
      <c r="L23" s="509" t="s">
        <v>8020</v>
      </c>
      <c r="M23" s="498" t="s">
        <v>7986</v>
      </c>
      <c r="N23" s="498" t="s">
        <v>855</v>
      </c>
      <c r="O23" s="498" t="s">
        <v>1156</v>
      </c>
      <c r="P23" s="498" t="s">
        <v>1156</v>
      </c>
      <c r="Q23" s="498" t="s">
        <v>1156</v>
      </c>
      <c r="R23" s="498" t="s">
        <v>1156</v>
      </c>
      <c r="S23" s="498" t="s">
        <v>1156</v>
      </c>
      <c r="T23" s="498" t="s">
        <v>1156</v>
      </c>
      <c r="U23" s="498" t="s">
        <v>1156</v>
      </c>
      <c r="W23" s="509" t="s">
        <v>8021</v>
      </c>
    </row>
    <row r="24" spans="2:23">
      <c r="B24" s="503" t="s">
        <v>6858</v>
      </c>
      <c r="C24" s="511" t="s">
        <v>8041</v>
      </c>
      <c r="D24" s="511" t="s">
        <v>8016</v>
      </c>
      <c r="E24" s="511" t="s">
        <v>130</v>
      </c>
      <c r="F24" s="511" t="s">
        <v>8042</v>
      </c>
      <c r="G24" s="511" t="s">
        <v>7882</v>
      </c>
      <c r="H24" s="511" t="s">
        <v>7882</v>
      </c>
      <c r="I24" s="512" t="s">
        <v>326</v>
      </c>
      <c r="J24" s="511" t="s">
        <v>7882</v>
      </c>
      <c r="K24" s="511" t="s">
        <v>7882</v>
      </c>
      <c r="L24" s="511" t="s">
        <v>7882</v>
      </c>
      <c r="M24" s="511" t="s">
        <v>7882</v>
      </c>
      <c r="N24" s="511" t="s">
        <v>7882</v>
      </c>
      <c r="O24" s="511" t="s">
        <v>7882</v>
      </c>
      <c r="P24" s="511" t="s">
        <v>7882</v>
      </c>
      <c r="Q24" s="511" t="s">
        <v>7882</v>
      </c>
      <c r="R24" s="511" t="s">
        <v>7882</v>
      </c>
      <c r="S24" s="511" t="s">
        <v>7882</v>
      </c>
      <c r="T24" s="511" t="s">
        <v>7882</v>
      </c>
      <c r="U24" s="511" t="s">
        <v>7882</v>
      </c>
      <c r="V24" s="511" t="s">
        <v>7882</v>
      </c>
      <c r="W24" s="511" t="s">
        <v>8043</v>
      </c>
    </row>
    <row r="25" spans="2:23">
      <c r="B25" s="503" t="s">
        <v>6858</v>
      </c>
      <c r="C25" s="511" t="s">
        <v>8044</v>
      </c>
      <c r="D25" s="511" t="s">
        <v>8016</v>
      </c>
      <c r="E25" s="511" t="s">
        <v>130</v>
      </c>
      <c r="F25" s="511" t="s">
        <v>8045</v>
      </c>
      <c r="G25" s="511" t="s">
        <v>7882</v>
      </c>
      <c r="H25" s="511" t="s">
        <v>7882</v>
      </c>
      <c r="I25" s="512" t="s">
        <v>326</v>
      </c>
      <c r="J25" s="511" t="s">
        <v>7882</v>
      </c>
      <c r="K25" s="511" t="s">
        <v>7882</v>
      </c>
      <c r="L25" s="511" t="s">
        <v>7882</v>
      </c>
      <c r="M25" s="511" t="s">
        <v>7882</v>
      </c>
      <c r="N25" s="511" t="s">
        <v>7882</v>
      </c>
      <c r="O25" s="511" t="s">
        <v>7882</v>
      </c>
      <c r="P25" s="511" t="s">
        <v>7882</v>
      </c>
      <c r="Q25" s="511" t="s">
        <v>7882</v>
      </c>
      <c r="R25" s="511" t="s">
        <v>7882</v>
      </c>
      <c r="S25" s="511" t="s">
        <v>7882</v>
      </c>
      <c r="T25" s="511" t="s">
        <v>7882</v>
      </c>
      <c r="U25" s="511" t="s">
        <v>7882</v>
      </c>
      <c r="V25" s="511" t="s">
        <v>7882</v>
      </c>
      <c r="W25" s="511" t="s">
        <v>8046</v>
      </c>
    </row>
    <row r="26" spans="2:23">
      <c r="B26" s="503" t="s">
        <v>6858</v>
      </c>
      <c r="C26" s="511" t="s">
        <v>8047</v>
      </c>
      <c r="D26" s="511" t="s">
        <v>8048</v>
      </c>
      <c r="E26" s="511" t="s">
        <v>130</v>
      </c>
      <c r="F26" s="511" t="s">
        <v>8049</v>
      </c>
      <c r="G26" s="511" t="s">
        <v>7882</v>
      </c>
      <c r="H26" s="511" t="s">
        <v>7882</v>
      </c>
      <c r="I26" s="512" t="s">
        <v>326</v>
      </c>
      <c r="J26" s="511" t="s">
        <v>7882</v>
      </c>
      <c r="K26" s="511" t="s">
        <v>7882</v>
      </c>
      <c r="L26" s="511" t="s">
        <v>7882</v>
      </c>
      <c r="M26" s="511" t="s">
        <v>7882</v>
      </c>
      <c r="N26" s="511" t="s">
        <v>7882</v>
      </c>
      <c r="O26" s="511" t="s">
        <v>7882</v>
      </c>
      <c r="P26" s="511" t="s">
        <v>7882</v>
      </c>
      <c r="Q26" s="511" t="s">
        <v>7882</v>
      </c>
      <c r="R26" s="511" t="s">
        <v>7882</v>
      </c>
      <c r="S26" s="511" t="s">
        <v>7882</v>
      </c>
      <c r="T26" s="511" t="s">
        <v>7882</v>
      </c>
      <c r="U26" s="511" t="s">
        <v>7882</v>
      </c>
      <c r="V26" s="511" t="s">
        <v>7882</v>
      </c>
      <c r="W26" s="511" t="s">
        <v>8036</v>
      </c>
    </row>
    <row r="27" spans="2:23">
      <c r="B27" s="503" t="s">
        <v>6858</v>
      </c>
      <c r="C27" s="511" t="s">
        <v>8050</v>
      </c>
      <c r="D27" s="511" t="s">
        <v>8048</v>
      </c>
      <c r="E27" s="511" t="s">
        <v>130</v>
      </c>
      <c r="F27" s="511" t="s">
        <v>8051</v>
      </c>
      <c r="G27" s="511" t="s">
        <v>7882</v>
      </c>
      <c r="H27" s="511" t="s">
        <v>7882</v>
      </c>
      <c r="I27" s="512" t="s">
        <v>326</v>
      </c>
      <c r="J27" s="511" t="s">
        <v>7882</v>
      </c>
      <c r="K27" s="511" t="s">
        <v>7882</v>
      </c>
      <c r="L27" s="511" t="s">
        <v>7882</v>
      </c>
      <c r="M27" s="511" t="s">
        <v>7882</v>
      </c>
      <c r="N27" s="511" t="s">
        <v>7882</v>
      </c>
      <c r="O27" s="511" t="s">
        <v>7882</v>
      </c>
      <c r="P27" s="511" t="s">
        <v>7882</v>
      </c>
      <c r="Q27" s="511" t="s">
        <v>7882</v>
      </c>
      <c r="R27" s="511" t="s">
        <v>7882</v>
      </c>
      <c r="S27" s="511" t="s">
        <v>7882</v>
      </c>
      <c r="T27" s="511" t="s">
        <v>7882</v>
      </c>
      <c r="U27" s="511" t="s">
        <v>7882</v>
      </c>
      <c r="V27" s="511" t="s">
        <v>7882</v>
      </c>
      <c r="W27" s="511" t="s">
        <v>8036</v>
      </c>
    </row>
    <row r="28" spans="2:23">
      <c r="B28" s="503" t="s">
        <v>6858</v>
      </c>
      <c r="C28" s="511" t="s">
        <v>8052</v>
      </c>
      <c r="D28" s="511" t="s">
        <v>8048</v>
      </c>
      <c r="E28" s="511" t="s">
        <v>130</v>
      </c>
      <c r="F28" s="511" t="s">
        <v>8053</v>
      </c>
      <c r="G28" s="511" t="s">
        <v>7882</v>
      </c>
      <c r="H28" s="511" t="s">
        <v>7882</v>
      </c>
      <c r="I28" s="512" t="s">
        <v>326</v>
      </c>
      <c r="J28" s="511" t="s">
        <v>7882</v>
      </c>
      <c r="K28" s="511" t="s">
        <v>7882</v>
      </c>
      <c r="L28" s="511" t="s">
        <v>7882</v>
      </c>
      <c r="M28" s="511" t="s">
        <v>7882</v>
      </c>
      <c r="N28" s="511" t="s">
        <v>7882</v>
      </c>
      <c r="O28" s="511" t="s">
        <v>7882</v>
      </c>
      <c r="P28" s="511" t="s">
        <v>7882</v>
      </c>
      <c r="Q28" s="511" t="s">
        <v>7882</v>
      </c>
      <c r="R28" s="511" t="s">
        <v>7882</v>
      </c>
      <c r="S28" s="511" t="s">
        <v>7882</v>
      </c>
      <c r="T28" s="511" t="s">
        <v>7882</v>
      </c>
      <c r="U28" s="511" t="s">
        <v>7882</v>
      </c>
      <c r="V28" s="511" t="s">
        <v>8054</v>
      </c>
      <c r="W28" s="511" t="s">
        <v>8055</v>
      </c>
    </row>
    <row r="29" spans="2:23">
      <c r="B29" s="503" t="s">
        <v>6858</v>
      </c>
      <c r="C29" s="511" t="s">
        <v>8056</v>
      </c>
      <c r="D29" s="511" t="s">
        <v>8048</v>
      </c>
      <c r="E29" s="511" t="s">
        <v>130</v>
      </c>
      <c r="F29" s="511" t="s">
        <v>8057</v>
      </c>
      <c r="G29" s="511" t="s">
        <v>7882</v>
      </c>
      <c r="H29" s="511" t="s">
        <v>7882</v>
      </c>
      <c r="I29" s="512" t="s">
        <v>326</v>
      </c>
      <c r="J29" s="511" t="s">
        <v>7882</v>
      </c>
      <c r="K29" s="511" t="s">
        <v>7882</v>
      </c>
      <c r="L29" s="511" t="s">
        <v>7882</v>
      </c>
      <c r="M29" s="511" t="s">
        <v>7882</v>
      </c>
      <c r="N29" s="511" t="s">
        <v>7882</v>
      </c>
      <c r="O29" s="511" t="s">
        <v>7882</v>
      </c>
      <c r="P29" s="511" t="s">
        <v>7882</v>
      </c>
      <c r="Q29" s="511" t="s">
        <v>7882</v>
      </c>
      <c r="R29" s="511" t="s">
        <v>7882</v>
      </c>
      <c r="S29" s="511" t="s">
        <v>7882</v>
      </c>
      <c r="T29" s="511" t="s">
        <v>7882</v>
      </c>
      <c r="U29" s="511" t="s">
        <v>7882</v>
      </c>
      <c r="V29" s="511" t="s">
        <v>8054</v>
      </c>
      <c r="W29" s="511" t="s">
        <v>8055</v>
      </c>
    </row>
    <row r="30" spans="2:23">
      <c r="B30" s="503" t="s">
        <v>6858</v>
      </c>
      <c r="C30" s="511" t="s">
        <v>8058</v>
      </c>
      <c r="D30" s="511" t="s">
        <v>8048</v>
      </c>
      <c r="E30" s="511" t="s">
        <v>130</v>
      </c>
      <c r="F30" s="511" t="s">
        <v>8059</v>
      </c>
      <c r="G30" s="511" t="s">
        <v>7882</v>
      </c>
      <c r="H30" s="511" t="s">
        <v>7882</v>
      </c>
      <c r="I30" s="512" t="s">
        <v>326</v>
      </c>
      <c r="J30" s="511" t="s">
        <v>7882</v>
      </c>
      <c r="K30" s="511" t="s">
        <v>7882</v>
      </c>
      <c r="L30" s="511" t="s">
        <v>7882</v>
      </c>
      <c r="M30" s="511" t="s">
        <v>7882</v>
      </c>
      <c r="N30" s="511" t="s">
        <v>7882</v>
      </c>
      <c r="O30" s="511" t="s">
        <v>7882</v>
      </c>
      <c r="P30" s="511" t="s">
        <v>7882</v>
      </c>
      <c r="Q30" s="511" t="s">
        <v>7882</v>
      </c>
      <c r="R30" s="511" t="s">
        <v>7882</v>
      </c>
      <c r="S30" s="511" t="s">
        <v>7882</v>
      </c>
      <c r="T30" s="511" t="s">
        <v>7882</v>
      </c>
      <c r="U30" s="511" t="s">
        <v>7882</v>
      </c>
      <c r="V30" s="511" t="s">
        <v>8054</v>
      </c>
      <c r="W30" s="511" t="s">
        <v>8055</v>
      </c>
    </row>
    <row r="31" spans="2:23">
      <c r="B31" s="503" t="s">
        <v>6858</v>
      </c>
      <c r="C31" s="511" t="s">
        <v>8060</v>
      </c>
      <c r="D31" s="511" t="s">
        <v>8048</v>
      </c>
      <c r="E31" s="511" t="s">
        <v>130</v>
      </c>
      <c r="F31" s="511" t="s">
        <v>8061</v>
      </c>
      <c r="G31" s="511" t="s">
        <v>7882</v>
      </c>
      <c r="H31" s="511" t="s">
        <v>7882</v>
      </c>
      <c r="I31" s="512" t="s">
        <v>326</v>
      </c>
      <c r="J31" s="511" t="s">
        <v>7882</v>
      </c>
      <c r="K31" s="511" t="s">
        <v>7882</v>
      </c>
      <c r="L31" s="511" t="s">
        <v>7882</v>
      </c>
      <c r="M31" s="511" t="s">
        <v>7882</v>
      </c>
      <c r="N31" s="511" t="s">
        <v>7882</v>
      </c>
      <c r="O31" s="511" t="s">
        <v>7882</v>
      </c>
      <c r="P31" s="511" t="s">
        <v>7882</v>
      </c>
      <c r="Q31" s="511" t="s">
        <v>7882</v>
      </c>
      <c r="R31" s="511" t="s">
        <v>7882</v>
      </c>
      <c r="S31" s="511" t="s">
        <v>7882</v>
      </c>
      <c r="T31" s="511" t="s">
        <v>7882</v>
      </c>
      <c r="U31" s="511" t="s">
        <v>7882</v>
      </c>
      <c r="V31" s="511" t="s">
        <v>8054</v>
      </c>
      <c r="W31" s="511" t="s">
        <v>8055</v>
      </c>
    </row>
    <row r="32" spans="2:23">
      <c r="B32" s="503" t="s">
        <v>6858</v>
      </c>
      <c r="C32" s="511" t="s">
        <v>8062</v>
      </c>
      <c r="D32" s="511" t="s">
        <v>8048</v>
      </c>
      <c r="E32" s="511" t="s">
        <v>130</v>
      </c>
      <c r="F32" s="511" t="s">
        <v>8063</v>
      </c>
      <c r="G32" s="511" t="s">
        <v>7882</v>
      </c>
      <c r="H32" s="511" t="s">
        <v>7882</v>
      </c>
      <c r="I32" s="512" t="s">
        <v>326</v>
      </c>
      <c r="J32" s="511" t="s">
        <v>7882</v>
      </c>
      <c r="K32" s="511" t="s">
        <v>7882</v>
      </c>
      <c r="L32" s="511" t="s">
        <v>7882</v>
      </c>
      <c r="M32" s="511" t="s">
        <v>7882</v>
      </c>
      <c r="N32" s="511" t="s">
        <v>7882</v>
      </c>
      <c r="O32" s="511" t="s">
        <v>7882</v>
      </c>
      <c r="P32" s="511" t="s">
        <v>7882</v>
      </c>
      <c r="Q32" s="511" t="s">
        <v>7882</v>
      </c>
      <c r="R32" s="511" t="s">
        <v>7882</v>
      </c>
      <c r="S32" s="511" t="s">
        <v>7882</v>
      </c>
      <c r="T32" s="511" t="s">
        <v>7882</v>
      </c>
      <c r="U32" s="511" t="s">
        <v>7882</v>
      </c>
      <c r="V32" s="511" t="s">
        <v>8054</v>
      </c>
      <c r="W32" s="511" t="s">
        <v>8055</v>
      </c>
    </row>
    <row r="33" spans="2:23">
      <c r="B33" s="503" t="s">
        <v>6858</v>
      </c>
      <c r="C33" s="511" t="s">
        <v>8064</v>
      </c>
      <c r="D33" s="511" t="s">
        <v>8048</v>
      </c>
      <c r="E33" s="511" t="s">
        <v>130</v>
      </c>
      <c r="F33" s="511" t="s">
        <v>8065</v>
      </c>
      <c r="G33" s="511" t="s">
        <v>7882</v>
      </c>
      <c r="H33" s="511" t="s">
        <v>7882</v>
      </c>
      <c r="I33" s="512" t="s">
        <v>326</v>
      </c>
      <c r="J33" s="511" t="s">
        <v>7882</v>
      </c>
      <c r="K33" s="511" t="s">
        <v>7882</v>
      </c>
      <c r="L33" s="511" t="s">
        <v>7882</v>
      </c>
      <c r="M33" s="511" t="s">
        <v>7882</v>
      </c>
      <c r="N33" s="511" t="s">
        <v>7882</v>
      </c>
      <c r="O33" s="511" t="s">
        <v>7882</v>
      </c>
      <c r="P33" s="511" t="s">
        <v>7882</v>
      </c>
      <c r="Q33" s="511" t="s">
        <v>7882</v>
      </c>
      <c r="R33" s="511" t="s">
        <v>7882</v>
      </c>
      <c r="S33" s="511" t="s">
        <v>7882</v>
      </c>
      <c r="T33" s="511" t="s">
        <v>7882</v>
      </c>
      <c r="U33" s="511" t="s">
        <v>7882</v>
      </c>
      <c r="V33" s="511" t="s">
        <v>8054</v>
      </c>
      <c r="W33" s="511" t="s">
        <v>8055</v>
      </c>
    </row>
    <row r="34" spans="2:23">
      <c r="B34" s="503" t="s">
        <v>6858</v>
      </c>
      <c r="C34" s="511" t="s">
        <v>2400</v>
      </c>
      <c r="D34" s="511" t="s">
        <v>8066</v>
      </c>
      <c r="E34" s="511" t="s">
        <v>130</v>
      </c>
      <c r="F34" s="511" t="s">
        <v>8067</v>
      </c>
      <c r="G34" s="511" t="s">
        <v>7882</v>
      </c>
      <c r="H34" s="511" t="s">
        <v>7882</v>
      </c>
      <c r="I34" s="512" t="s">
        <v>326</v>
      </c>
      <c r="J34" s="511" t="s">
        <v>7882</v>
      </c>
      <c r="K34" s="511" t="s">
        <v>7882</v>
      </c>
      <c r="L34" s="511" t="s">
        <v>7882</v>
      </c>
      <c r="M34" s="511" t="s">
        <v>7882</v>
      </c>
      <c r="N34" s="511" t="s">
        <v>7882</v>
      </c>
      <c r="O34" s="511" t="s">
        <v>7882</v>
      </c>
      <c r="P34" s="511" t="s">
        <v>7882</v>
      </c>
      <c r="Q34" s="511" t="s">
        <v>7882</v>
      </c>
      <c r="R34" s="511" t="s">
        <v>7882</v>
      </c>
      <c r="S34" s="511" t="s">
        <v>7882</v>
      </c>
      <c r="T34" s="511" t="s">
        <v>7882</v>
      </c>
      <c r="U34" s="511" t="s">
        <v>7882</v>
      </c>
      <c r="V34" s="511" t="s">
        <v>7882</v>
      </c>
      <c r="W34" s="511" t="s">
        <v>8068</v>
      </c>
    </row>
    <row r="35" spans="2:23">
      <c r="B35" s="503" t="s">
        <v>6858</v>
      </c>
      <c r="C35" s="511" t="s">
        <v>159</v>
      </c>
      <c r="D35" s="511" t="s">
        <v>8066</v>
      </c>
      <c r="E35" s="511" t="s">
        <v>130</v>
      </c>
      <c r="F35" s="511" t="s">
        <v>8069</v>
      </c>
      <c r="G35" s="511" t="s">
        <v>7882</v>
      </c>
      <c r="H35" s="511" t="s">
        <v>7882</v>
      </c>
      <c r="I35" s="512" t="s">
        <v>326</v>
      </c>
      <c r="J35" s="511" t="s">
        <v>7882</v>
      </c>
      <c r="K35" s="511" t="s">
        <v>7882</v>
      </c>
      <c r="L35" s="511" t="s">
        <v>7882</v>
      </c>
      <c r="M35" s="511" t="s">
        <v>7882</v>
      </c>
      <c r="N35" s="511" t="s">
        <v>7882</v>
      </c>
      <c r="O35" s="511" t="s">
        <v>7882</v>
      </c>
      <c r="P35" s="511" t="s">
        <v>7882</v>
      </c>
      <c r="Q35" s="511" t="s">
        <v>7882</v>
      </c>
      <c r="R35" s="511" t="s">
        <v>7882</v>
      </c>
      <c r="S35" s="511" t="s">
        <v>7882</v>
      </c>
      <c r="T35" s="511" t="s">
        <v>7882</v>
      </c>
      <c r="U35" s="511" t="s">
        <v>7882</v>
      </c>
      <c r="V35" s="511" t="s">
        <v>7882</v>
      </c>
      <c r="W35" s="511" t="s">
        <v>8070</v>
      </c>
    </row>
    <row r="36" spans="2:23">
      <c r="B36" s="498" t="s">
        <v>6858</v>
      </c>
      <c r="C36" s="509" t="s">
        <v>7299</v>
      </c>
      <c r="D36" s="509" t="s">
        <v>8071</v>
      </c>
      <c r="E36" s="509" t="s">
        <v>94</v>
      </c>
      <c r="F36" s="509" t="s">
        <v>8072</v>
      </c>
      <c r="G36" s="498" t="s">
        <v>26</v>
      </c>
      <c r="H36" s="498" t="s">
        <v>8033</v>
      </c>
      <c r="I36" s="510">
        <v>4</v>
      </c>
      <c r="J36" s="509" t="s">
        <v>7233</v>
      </c>
      <c r="K36" s="498" t="s">
        <v>8019</v>
      </c>
      <c r="L36" s="498" t="s">
        <v>8020</v>
      </c>
      <c r="M36" s="498" t="s">
        <v>7986</v>
      </c>
      <c r="N36" s="498" t="s">
        <v>855</v>
      </c>
      <c r="O36" s="498" t="s">
        <v>1156</v>
      </c>
      <c r="P36" s="498" t="s">
        <v>1156</v>
      </c>
      <c r="Q36" s="498" t="s">
        <v>1156</v>
      </c>
      <c r="R36" s="498" t="s">
        <v>1156</v>
      </c>
      <c r="S36" s="498" t="s">
        <v>1156</v>
      </c>
      <c r="T36" s="498" t="s">
        <v>1156</v>
      </c>
      <c r="U36" s="498" t="s">
        <v>1156</v>
      </c>
      <c r="W36" s="509" t="s">
        <v>8073</v>
      </c>
    </row>
    <row r="37" spans="2:23">
      <c r="B37" s="498" t="s">
        <v>6858</v>
      </c>
      <c r="C37" s="509" t="s">
        <v>159</v>
      </c>
      <c r="D37" s="509" t="s">
        <v>8071</v>
      </c>
      <c r="E37" s="509" t="s">
        <v>94</v>
      </c>
      <c r="F37" s="509" t="s">
        <v>8074</v>
      </c>
      <c r="G37" s="498" t="s">
        <v>26</v>
      </c>
      <c r="H37" s="498" t="s">
        <v>8031</v>
      </c>
      <c r="I37" s="510">
        <v>4</v>
      </c>
      <c r="J37" s="509" t="s">
        <v>7233</v>
      </c>
      <c r="K37" s="498" t="s">
        <v>8019</v>
      </c>
      <c r="L37" s="498" t="s">
        <v>8020</v>
      </c>
      <c r="M37" s="498" t="s">
        <v>7986</v>
      </c>
      <c r="N37" s="498" t="s">
        <v>855</v>
      </c>
      <c r="O37" s="498" t="s">
        <v>1156</v>
      </c>
      <c r="P37" s="498" t="s">
        <v>1156</v>
      </c>
      <c r="Q37" s="498" t="s">
        <v>1156</v>
      </c>
      <c r="R37" s="498" t="s">
        <v>1156</v>
      </c>
      <c r="S37" s="498" t="s">
        <v>1156</v>
      </c>
      <c r="T37" s="498" t="s">
        <v>1156</v>
      </c>
      <c r="U37" s="498" t="s">
        <v>1156</v>
      </c>
      <c r="W37" s="509" t="s">
        <v>8073</v>
      </c>
    </row>
    <row r="38" spans="2:23">
      <c r="B38" s="498" t="s">
        <v>6858</v>
      </c>
      <c r="C38" s="509" t="s">
        <v>8037</v>
      </c>
      <c r="D38" s="509" t="s">
        <v>8071</v>
      </c>
      <c r="E38" s="509" t="s">
        <v>94</v>
      </c>
      <c r="F38" s="509" t="s">
        <v>8075</v>
      </c>
      <c r="G38" s="498" t="s">
        <v>26</v>
      </c>
      <c r="H38" s="498" t="s">
        <v>7094</v>
      </c>
      <c r="I38" s="510">
        <v>4</v>
      </c>
      <c r="J38" s="509" t="s">
        <v>7233</v>
      </c>
      <c r="K38" s="498" t="s">
        <v>8019</v>
      </c>
      <c r="L38" s="498" t="s">
        <v>8020</v>
      </c>
      <c r="M38" s="498" t="s">
        <v>7986</v>
      </c>
      <c r="N38" s="498" t="s">
        <v>855</v>
      </c>
      <c r="O38" s="498" t="s">
        <v>1156</v>
      </c>
      <c r="P38" s="498" t="s">
        <v>1156</v>
      </c>
      <c r="Q38" s="498" t="s">
        <v>1156</v>
      </c>
      <c r="R38" s="498" t="s">
        <v>1156</v>
      </c>
      <c r="S38" s="498" t="s">
        <v>1156</v>
      </c>
      <c r="T38" s="498" t="s">
        <v>1156</v>
      </c>
      <c r="U38" s="498" t="s">
        <v>1156</v>
      </c>
      <c r="W38" s="509" t="s">
        <v>8073</v>
      </c>
    </row>
    <row r="39" spans="2:23">
      <c r="B39" s="498" t="s">
        <v>6858</v>
      </c>
      <c r="C39" s="509" t="s">
        <v>8076</v>
      </c>
      <c r="D39" s="509" t="s">
        <v>8071</v>
      </c>
      <c r="E39" s="509" t="s">
        <v>94</v>
      </c>
      <c r="F39" s="509" t="s">
        <v>8077</v>
      </c>
      <c r="G39" s="498" t="s">
        <v>26</v>
      </c>
      <c r="H39" s="498" t="s">
        <v>7100</v>
      </c>
      <c r="I39" s="510">
        <v>4</v>
      </c>
      <c r="J39" s="509" t="s">
        <v>7233</v>
      </c>
      <c r="K39" s="498" t="s">
        <v>8019</v>
      </c>
      <c r="L39" s="498" t="s">
        <v>8020</v>
      </c>
      <c r="M39" s="498" t="s">
        <v>7986</v>
      </c>
      <c r="N39" s="498" t="s">
        <v>855</v>
      </c>
      <c r="O39" s="498" t="s">
        <v>1156</v>
      </c>
      <c r="P39" s="498" t="s">
        <v>1156</v>
      </c>
      <c r="Q39" s="498" t="s">
        <v>1156</v>
      </c>
      <c r="R39" s="498" t="s">
        <v>1156</v>
      </c>
      <c r="S39" s="498" t="s">
        <v>1156</v>
      </c>
      <c r="T39" s="498" t="s">
        <v>1156</v>
      </c>
      <c r="U39" s="498" t="s">
        <v>1156</v>
      </c>
      <c r="W39" s="509" t="s">
        <v>8073</v>
      </c>
    </row>
    <row r="40" spans="2:23">
      <c r="B40" s="498" t="s">
        <v>6858</v>
      </c>
      <c r="C40" s="509" t="s">
        <v>8078</v>
      </c>
      <c r="D40" s="509" t="s">
        <v>8071</v>
      </c>
      <c r="E40" s="509" t="s">
        <v>94</v>
      </c>
      <c r="F40" s="509" t="s">
        <v>8079</v>
      </c>
      <c r="G40" s="498" t="s">
        <v>26</v>
      </c>
      <c r="H40" s="498" t="s">
        <v>8027</v>
      </c>
      <c r="I40" s="510">
        <v>4</v>
      </c>
      <c r="J40" s="509" t="s">
        <v>7233</v>
      </c>
      <c r="K40" s="498" t="s">
        <v>8019</v>
      </c>
      <c r="L40" s="498" t="s">
        <v>8020</v>
      </c>
      <c r="M40" s="498" t="s">
        <v>7986</v>
      </c>
      <c r="N40" s="498" t="s">
        <v>855</v>
      </c>
      <c r="O40" s="498" t="s">
        <v>1156</v>
      </c>
      <c r="P40" s="498" t="s">
        <v>1156</v>
      </c>
      <c r="Q40" s="498" t="s">
        <v>1156</v>
      </c>
      <c r="R40" s="498" t="s">
        <v>1156</v>
      </c>
      <c r="S40" s="498" t="s">
        <v>1156</v>
      </c>
      <c r="T40" s="498" t="s">
        <v>1156</v>
      </c>
      <c r="U40" s="498" t="s">
        <v>1156</v>
      </c>
      <c r="W40" s="509" t="s">
        <v>8073</v>
      </c>
    </row>
    <row r="41" spans="2:23">
      <c r="B41" s="503" t="s">
        <v>6858</v>
      </c>
      <c r="C41" s="511" t="s">
        <v>8034</v>
      </c>
      <c r="D41" s="511" t="s">
        <v>8071</v>
      </c>
      <c r="E41" s="511" t="s">
        <v>94</v>
      </c>
      <c r="F41" s="511" t="s">
        <v>8080</v>
      </c>
      <c r="G41" s="511" t="s">
        <v>7882</v>
      </c>
      <c r="H41" s="511" t="s">
        <v>7882</v>
      </c>
      <c r="I41" s="512" t="s">
        <v>326</v>
      </c>
      <c r="J41" s="511" t="s">
        <v>7882</v>
      </c>
      <c r="K41" s="511" t="s">
        <v>7882</v>
      </c>
      <c r="L41" s="511" t="s">
        <v>7882</v>
      </c>
      <c r="M41" s="511" t="s">
        <v>7882</v>
      </c>
      <c r="N41" s="511" t="s">
        <v>7882</v>
      </c>
      <c r="O41" s="511" t="s">
        <v>7882</v>
      </c>
      <c r="P41" s="511" t="s">
        <v>7882</v>
      </c>
      <c r="Q41" s="511" t="s">
        <v>7882</v>
      </c>
      <c r="R41" s="511" t="s">
        <v>7882</v>
      </c>
      <c r="S41" s="511" t="s">
        <v>7882</v>
      </c>
      <c r="T41" s="511" t="s">
        <v>7882</v>
      </c>
      <c r="U41" s="511" t="s">
        <v>7882</v>
      </c>
      <c r="V41" s="503"/>
      <c r="W41" s="511" t="s">
        <v>8081</v>
      </c>
    </row>
    <row r="42" spans="2:23">
      <c r="B42" s="498" t="s">
        <v>6858</v>
      </c>
      <c r="C42" s="509" t="s">
        <v>8082</v>
      </c>
      <c r="D42" s="509" t="s">
        <v>8071</v>
      </c>
      <c r="E42" s="509" t="s">
        <v>94</v>
      </c>
      <c r="F42" s="509" t="s">
        <v>8083</v>
      </c>
      <c r="G42" s="498" t="s">
        <v>26</v>
      </c>
      <c r="H42" s="498" t="s">
        <v>8084</v>
      </c>
      <c r="I42" s="510">
        <v>4</v>
      </c>
      <c r="J42" s="509" t="s">
        <v>7233</v>
      </c>
      <c r="K42" s="498" t="s">
        <v>8019</v>
      </c>
      <c r="L42" s="498" t="s">
        <v>8020</v>
      </c>
      <c r="M42" s="498" t="s">
        <v>7986</v>
      </c>
      <c r="N42" s="498" t="s">
        <v>855</v>
      </c>
      <c r="O42" s="498" t="s">
        <v>1156</v>
      </c>
      <c r="P42" s="498" t="s">
        <v>1156</v>
      </c>
      <c r="Q42" s="498" t="s">
        <v>1156</v>
      </c>
      <c r="R42" s="498" t="s">
        <v>1156</v>
      </c>
      <c r="S42" s="498" t="s">
        <v>1156</v>
      </c>
      <c r="T42" s="498" t="s">
        <v>1156</v>
      </c>
      <c r="U42" s="498" t="s">
        <v>1156</v>
      </c>
      <c r="W42" s="509" t="s">
        <v>8085</v>
      </c>
    </row>
    <row r="43" spans="2:23">
      <c r="B43" s="498" t="s">
        <v>6858</v>
      </c>
      <c r="C43" s="509" t="s">
        <v>8086</v>
      </c>
      <c r="D43" s="509" t="s">
        <v>8087</v>
      </c>
      <c r="E43" s="509" t="s">
        <v>94</v>
      </c>
      <c r="F43" s="509" t="s">
        <v>8088</v>
      </c>
      <c r="G43" s="498" t="s">
        <v>26</v>
      </c>
      <c r="H43" s="498" t="s">
        <v>1156</v>
      </c>
      <c r="I43" s="510">
        <v>4</v>
      </c>
      <c r="J43" s="509" t="s">
        <v>7233</v>
      </c>
      <c r="K43" s="498" t="s">
        <v>8023</v>
      </c>
      <c r="L43" s="498" t="s">
        <v>8020</v>
      </c>
      <c r="M43" s="498" t="s">
        <v>7986</v>
      </c>
      <c r="N43" s="498" t="s">
        <v>855</v>
      </c>
      <c r="O43" s="498" t="s">
        <v>1156</v>
      </c>
      <c r="P43" s="498" t="s">
        <v>1156</v>
      </c>
      <c r="Q43" s="498" t="s">
        <v>1156</v>
      </c>
      <c r="R43" s="498" t="s">
        <v>1156</v>
      </c>
      <c r="S43" s="498" t="s">
        <v>1156</v>
      </c>
      <c r="T43" s="498" t="s">
        <v>1156</v>
      </c>
      <c r="U43" s="498" t="s">
        <v>1156</v>
      </c>
      <c r="W43" s="509" t="s">
        <v>8089</v>
      </c>
    </row>
    <row r="44" spans="2:23">
      <c r="B44" s="498" t="s">
        <v>6858</v>
      </c>
      <c r="C44" s="509" t="s">
        <v>8090</v>
      </c>
      <c r="D44" s="509" t="s">
        <v>8071</v>
      </c>
      <c r="E44" s="509" t="s">
        <v>94</v>
      </c>
      <c r="F44" s="509" t="s">
        <v>8091</v>
      </c>
      <c r="G44" s="498" t="s">
        <v>26</v>
      </c>
      <c r="H44" s="498" t="s">
        <v>8040</v>
      </c>
      <c r="I44" s="510">
        <v>4</v>
      </c>
      <c r="J44" s="509" t="s">
        <v>7233</v>
      </c>
      <c r="K44" s="498" t="s">
        <v>8019</v>
      </c>
      <c r="L44" s="498" t="s">
        <v>8020</v>
      </c>
      <c r="M44" s="498" t="s">
        <v>7986</v>
      </c>
      <c r="N44" s="498" t="s">
        <v>855</v>
      </c>
      <c r="O44" s="498" t="s">
        <v>1156</v>
      </c>
      <c r="P44" s="498" t="s">
        <v>1156</v>
      </c>
      <c r="Q44" s="498" t="s">
        <v>1156</v>
      </c>
      <c r="R44" s="498" t="s">
        <v>1156</v>
      </c>
      <c r="S44" s="498" t="s">
        <v>1156</v>
      </c>
      <c r="T44" s="498" t="s">
        <v>1156</v>
      </c>
      <c r="U44" s="498" t="s">
        <v>1156</v>
      </c>
      <c r="W44" s="509" t="s">
        <v>8073</v>
      </c>
    </row>
    <row r="45" spans="2:23">
      <c r="B45" s="503" t="s">
        <v>6858</v>
      </c>
      <c r="C45" s="511" t="s">
        <v>8092</v>
      </c>
      <c r="D45" s="511" t="s">
        <v>8071</v>
      </c>
      <c r="E45" s="511" t="s">
        <v>94</v>
      </c>
      <c r="F45" s="511" t="s">
        <v>8093</v>
      </c>
      <c r="G45" s="511" t="s">
        <v>7882</v>
      </c>
      <c r="H45" s="511" t="s">
        <v>7882</v>
      </c>
      <c r="I45" s="512" t="s">
        <v>326</v>
      </c>
      <c r="J45" s="511" t="s">
        <v>7882</v>
      </c>
      <c r="K45" s="511" t="s">
        <v>7882</v>
      </c>
      <c r="L45" s="511" t="s">
        <v>7882</v>
      </c>
      <c r="M45" s="511" t="s">
        <v>7882</v>
      </c>
      <c r="N45" s="511" t="s">
        <v>7882</v>
      </c>
      <c r="O45" s="511" t="s">
        <v>7882</v>
      </c>
      <c r="P45" s="511" t="s">
        <v>7882</v>
      </c>
      <c r="Q45" s="511" t="s">
        <v>7882</v>
      </c>
      <c r="R45" s="511" t="s">
        <v>7882</v>
      </c>
      <c r="S45" s="511" t="s">
        <v>7882</v>
      </c>
      <c r="T45" s="511" t="s">
        <v>7882</v>
      </c>
      <c r="U45" s="511" t="s">
        <v>7882</v>
      </c>
      <c r="V45" s="503"/>
      <c r="W45" s="511" t="s">
        <v>8081</v>
      </c>
    </row>
    <row r="46" spans="2:23">
      <c r="B46" s="498" t="s">
        <v>6858</v>
      </c>
      <c r="C46" s="509" t="s">
        <v>7102</v>
      </c>
      <c r="D46" s="509" t="s">
        <v>8071</v>
      </c>
      <c r="E46" s="509" t="s">
        <v>94</v>
      </c>
      <c r="F46" s="509" t="s">
        <v>8094</v>
      </c>
      <c r="G46" s="498" t="s">
        <v>26</v>
      </c>
      <c r="H46" s="498" t="s">
        <v>7103</v>
      </c>
      <c r="I46" s="510">
        <v>4</v>
      </c>
      <c r="J46" s="509" t="s">
        <v>7233</v>
      </c>
      <c r="K46" s="498" t="s">
        <v>8019</v>
      </c>
      <c r="L46" s="498" t="s">
        <v>8020</v>
      </c>
      <c r="M46" s="498" t="s">
        <v>7986</v>
      </c>
      <c r="N46" s="498" t="s">
        <v>855</v>
      </c>
      <c r="O46" s="498" t="s">
        <v>1156</v>
      </c>
      <c r="P46" s="498" t="s">
        <v>1156</v>
      </c>
      <c r="Q46" s="498" t="s">
        <v>1156</v>
      </c>
      <c r="R46" s="498" t="s">
        <v>1156</v>
      </c>
      <c r="S46" s="498" t="s">
        <v>1156</v>
      </c>
      <c r="T46" s="498" t="s">
        <v>1156</v>
      </c>
      <c r="U46" s="498" t="s">
        <v>1156</v>
      </c>
      <c r="W46" s="509" t="s">
        <v>8085</v>
      </c>
    </row>
    <row r="47" spans="2:23">
      <c r="B47" s="503" t="s">
        <v>6858</v>
      </c>
      <c r="C47" s="511" t="s">
        <v>8095</v>
      </c>
      <c r="D47" s="511" t="s">
        <v>8096</v>
      </c>
      <c r="E47" s="511" t="s">
        <v>94</v>
      </c>
      <c r="F47" s="511" t="s">
        <v>8097</v>
      </c>
      <c r="G47" s="511" t="s">
        <v>7882</v>
      </c>
      <c r="H47" s="511" t="s">
        <v>7882</v>
      </c>
      <c r="I47" s="512" t="s">
        <v>326</v>
      </c>
      <c r="J47" s="511" t="s">
        <v>7882</v>
      </c>
      <c r="K47" s="511" t="s">
        <v>7882</v>
      </c>
      <c r="L47" s="511" t="s">
        <v>7882</v>
      </c>
      <c r="M47" s="511" t="s">
        <v>7882</v>
      </c>
      <c r="N47" s="511" t="s">
        <v>7882</v>
      </c>
      <c r="O47" s="511" t="s">
        <v>7882</v>
      </c>
      <c r="P47" s="511" t="s">
        <v>7882</v>
      </c>
      <c r="Q47" s="511" t="s">
        <v>7882</v>
      </c>
      <c r="R47" s="511" t="s">
        <v>7882</v>
      </c>
      <c r="S47" s="511" t="s">
        <v>7882</v>
      </c>
      <c r="T47" s="511" t="s">
        <v>7882</v>
      </c>
      <c r="U47" s="511" t="s">
        <v>7882</v>
      </c>
      <c r="V47" s="503"/>
      <c r="W47" s="511" t="s">
        <v>8098</v>
      </c>
    </row>
    <row r="48" spans="2:23">
      <c r="B48" s="498" t="s">
        <v>6858</v>
      </c>
      <c r="C48" s="509" t="s">
        <v>8099</v>
      </c>
      <c r="D48" s="509" t="s">
        <v>8071</v>
      </c>
      <c r="E48" s="509" t="s">
        <v>94</v>
      </c>
      <c r="F48" s="509" t="s">
        <v>8100</v>
      </c>
      <c r="G48" s="498" t="s">
        <v>26</v>
      </c>
      <c r="H48" s="498" t="s">
        <v>1156</v>
      </c>
      <c r="I48" s="510">
        <v>4</v>
      </c>
      <c r="J48" s="509" t="s">
        <v>7233</v>
      </c>
      <c r="K48" s="498" t="s">
        <v>8023</v>
      </c>
      <c r="L48" s="498" t="s">
        <v>8020</v>
      </c>
      <c r="M48" s="498" t="s">
        <v>7986</v>
      </c>
      <c r="N48" s="498" t="s">
        <v>855</v>
      </c>
      <c r="O48" s="498" t="s">
        <v>1156</v>
      </c>
      <c r="P48" s="498" t="s">
        <v>1156</v>
      </c>
      <c r="Q48" s="498" t="s">
        <v>1156</v>
      </c>
      <c r="R48" s="498" t="s">
        <v>1156</v>
      </c>
      <c r="S48" s="498" t="s">
        <v>1156</v>
      </c>
      <c r="T48" s="498" t="s">
        <v>1156</v>
      </c>
      <c r="U48" s="498" t="s">
        <v>1156</v>
      </c>
      <c r="W48" s="509" t="s">
        <v>8101</v>
      </c>
    </row>
    <row r="49" spans="2:23">
      <c r="B49" s="498" t="s">
        <v>6858</v>
      </c>
      <c r="C49" s="509" t="s">
        <v>7861</v>
      </c>
      <c r="D49" s="509" t="s">
        <v>8071</v>
      </c>
      <c r="E49" s="509" t="s">
        <v>94</v>
      </c>
      <c r="F49" s="509" t="s">
        <v>8102</v>
      </c>
      <c r="G49" s="498" t="s">
        <v>26</v>
      </c>
      <c r="H49" s="498" t="s">
        <v>8018</v>
      </c>
      <c r="I49" s="510">
        <v>4</v>
      </c>
      <c r="J49" s="509" t="s">
        <v>7233</v>
      </c>
      <c r="K49" s="498" t="s">
        <v>8019</v>
      </c>
      <c r="L49" s="498" t="s">
        <v>8020</v>
      </c>
      <c r="M49" s="498" t="s">
        <v>7986</v>
      </c>
      <c r="N49" s="498" t="s">
        <v>855</v>
      </c>
      <c r="O49" s="498" t="s">
        <v>1156</v>
      </c>
      <c r="P49" s="498" t="s">
        <v>1156</v>
      </c>
      <c r="Q49" s="498" t="s">
        <v>1156</v>
      </c>
      <c r="R49" s="498" t="s">
        <v>1156</v>
      </c>
      <c r="S49" s="498" t="s">
        <v>1156</v>
      </c>
      <c r="T49" s="498" t="s">
        <v>1156</v>
      </c>
      <c r="U49" s="498" t="s">
        <v>1156</v>
      </c>
      <c r="W49" s="509" t="s">
        <v>8073</v>
      </c>
    </row>
    <row r="50" spans="2:23">
      <c r="B50" s="503" t="s">
        <v>6858</v>
      </c>
      <c r="C50" s="511" t="s">
        <v>8103</v>
      </c>
      <c r="D50" s="511" t="s">
        <v>8096</v>
      </c>
      <c r="E50" s="511" t="s">
        <v>94</v>
      </c>
      <c r="F50" s="511" t="s">
        <v>8104</v>
      </c>
      <c r="G50" s="511" t="s">
        <v>7882</v>
      </c>
      <c r="H50" s="511" t="s">
        <v>7882</v>
      </c>
      <c r="I50" s="512" t="s">
        <v>326</v>
      </c>
      <c r="J50" s="511" t="s">
        <v>7882</v>
      </c>
      <c r="K50" s="511" t="s">
        <v>7882</v>
      </c>
      <c r="L50" s="511" t="s">
        <v>7882</v>
      </c>
      <c r="M50" s="511" t="s">
        <v>7882</v>
      </c>
      <c r="N50" s="511" t="s">
        <v>7882</v>
      </c>
      <c r="O50" s="511" t="s">
        <v>7882</v>
      </c>
      <c r="P50" s="511" t="s">
        <v>7882</v>
      </c>
      <c r="Q50" s="511" t="s">
        <v>7882</v>
      </c>
      <c r="R50" s="511" t="s">
        <v>7882</v>
      </c>
      <c r="S50" s="511" t="s">
        <v>7882</v>
      </c>
      <c r="T50" s="511" t="s">
        <v>7882</v>
      </c>
      <c r="U50" s="511" t="s">
        <v>7882</v>
      </c>
      <c r="V50" s="503"/>
      <c r="W50" s="511" t="s">
        <v>8105</v>
      </c>
    </row>
    <row r="51" spans="2:23">
      <c r="B51" s="503" t="s">
        <v>6858</v>
      </c>
      <c r="C51" s="511" t="s">
        <v>8106</v>
      </c>
      <c r="D51" s="511" t="s">
        <v>8096</v>
      </c>
      <c r="E51" s="511" t="s">
        <v>94</v>
      </c>
      <c r="F51" s="511" t="s">
        <v>8107</v>
      </c>
      <c r="G51" s="511" t="s">
        <v>7882</v>
      </c>
      <c r="H51" s="511" t="s">
        <v>7882</v>
      </c>
      <c r="I51" s="512" t="s">
        <v>326</v>
      </c>
      <c r="J51" s="511" t="s">
        <v>7882</v>
      </c>
      <c r="K51" s="511" t="s">
        <v>7882</v>
      </c>
      <c r="L51" s="511" t="s">
        <v>7882</v>
      </c>
      <c r="M51" s="511" t="s">
        <v>7882</v>
      </c>
      <c r="N51" s="511" t="s">
        <v>7882</v>
      </c>
      <c r="O51" s="511" t="s">
        <v>7882</v>
      </c>
      <c r="P51" s="511" t="s">
        <v>7882</v>
      </c>
      <c r="Q51" s="511" t="s">
        <v>7882</v>
      </c>
      <c r="R51" s="511" t="s">
        <v>7882</v>
      </c>
      <c r="S51" s="511" t="s">
        <v>7882</v>
      </c>
      <c r="T51" s="511" t="s">
        <v>7882</v>
      </c>
      <c r="U51" s="511" t="s">
        <v>7882</v>
      </c>
      <c r="V51" s="503"/>
      <c r="W51" s="511" t="s">
        <v>8108</v>
      </c>
    </row>
    <row r="52" spans="2:23">
      <c r="B52" s="498" t="s">
        <v>6858</v>
      </c>
      <c r="C52" s="509" t="s">
        <v>8109</v>
      </c>
      <c r="D52" s="509" t="s">
        <v>4330</v>
      </c>
      <c r="E52" s="509" t="s">
        <v>93</v>
      </c>
      <c r="F52" s="515" t="s">
        <v>8110</v>
      </c>
      <c r="G52" s="509" t="s">
        <v>117</v>
      </c>
      <c r="H52" s="509" t="s">
        <v>6864</v>
      </c>
      <c r="I52" s="510">
        <v>1</v>
      </c>
      <c r="J52" s="509" t="s">
        <v>6861</v>
      </c>
      <c r="K52" s="509" t="s">
        <v>8111</v>
      </c>
      <c r="L52" s="509" t="s">
        <v>6934</v>
      </c>
      <c r="M52" s="509" t="s">
        <v>7986</v>
      </c>
      <c r="N52" s="509" t="s">
        <v>7235</v>
      </c>
      <c r="O52" s="498" t="s">
        <v>203</v>
      </c>
      <c r="P52" s="498" t="s">
        <v>93</v>
      </c>
      <c r="Q52" s="498" t="s">
        <v>1493</v>
      </c>
      <c r="R52" s="498" t="s">
        <v>8112</v>
      </c>
      <c r="S52" s="374" t="s">
        <v>8113</v>
      </c>
      <c r="T52" s="374"/>
      <c r="U52" s="374" t="s">
        <v>8114</v>
      </c>
      <c r="V52" s="498" t="s">
        <v>8115</v>
      </c>
      <c r="W52" s="509"/>
    </row>
    <row r="53" spans="2:23">
      <c r="B53" s="498" t="s">
        <v>6858</v>
      </c>
      <c r="C53" s="509" t="s">
        <v>8116</v>
      </c>
      <c r="D53" s="509" t="s">
        <v>4330</v>
      </c>
      <c r="E53" s="509" t="s">
        <v>93</v>
      </c>
      <c r="F53" s="515" t="s">
        <v>8117</v>
      </c>
      <c r="G53" s="509" t="s">
        <v>117</v>
      </c>
      <c r="H53" s="509" t="s">
        <v>6864</v>
      </c>
      <c r="I53" s="510">
        <v>1</v>
      </c>
      <c r="J53" s="509" t="s">
        <v>6861</v>
      </c>
      <c r="K53" s="509" t="s">
        <v>8111</v>
      </c>
      <c r="L53" s="509" t="s">
        <v>6934</v>
      </c>
      <c r="M53" s="509" t="s">
        <v>7986</v>
      </c>
      <c r="N53" s="509" t="s">
        <v>7235</v>
      </c>
      <c r="O53" s="498" t="s">
        <v>203</v>
      </c>
      <c r="P53" s="498" t="s">
        <v>93</v>
      </c>
      <c r="Q53" s="498" t="s">
        <v>1493</v>
      </c>
      <c r="R53" s="498" t="s">
        <v>8118</v>
      </c>
      <c r="S53" s="374" t="s">
        <v>8113</v>
      </c>
      <c r="T53" s="374"/>
      <c r="U53" s="374" t="s">
        <v>203</v>
      </c>
      <c r="V53" s="498" t="s">
        <v>8115</v>
      </c>
      <c r="W53" s="509"/>
    </row>
    <row r="54" spans="2:23">
      <c r="B54" s="498" t="s">
        <v>6858</v>
      </c>
      <c r="C54" s="509" t="s">
        <v>8119</v>
      </c>
      <c r="D54" s="509" t="s">
        <v>4330</v>
      </c>
      <c r="E54" s="509" t="s">
        <v>93</v>
      </c>
      <c r="F54" s="515" t="s">
        <v>8120</v>
      </c>
      <c r="G54" s="509" t="s">
        <v>117</v>
      </c>
      <c r="H54" s="509" t="s">
        <v>6864</v>
      </c>
      <c r="I54" s="510">
        <v>1</v>
      </c>
      <c r="J54" s="509" t="s">
        <v>6861</v>
      </c>
      <c r="K54" s="509" t="s">
        <v>8111</v>
      </c>
      <c r="L54" s="509" t="s">
        <v>6934</v>
      </c>
      <c r="M54" s="509" t="s">
        <v>7986</v>
      </c>
      <c r="N54" s="509" t="s">
        <v>7235</v>
      </c>
      <c r="O54" s="498" t="s">
        <v>203</v>
      </c>
      <c r="P54" s="498" t="s">
        <v>93</v>
      </c>
      <c r="Q54" s="498" t="s">
        <v>1493</v>
      </c>
      <c r="R54" s="498" t="s">
        <v>8121</v>
      </c>
      <c r="S54" s="374" t="s">
        <v>8113</v>
      </c>
      <c r="T54" s="374"/>
      <c r="U54" s="374" t="s">
        <v>203</v>
      </c>
      <c r="V54" s="498" t="s">
        <v>8115</v>
      </c>
      <c r="W54" s="509"/>
    </row>
    <row r="55" spans="2:23">
      <c r="B55" s="498" t="s">
        <v>6858</v>
      </c>
      <c r="C55" s="509" t="s">
        <v>8122</v>
      </c>
      <c r="D55" s="509" t="s">
        <v>4330</v>
      </c>
      <c r="E55" s="509" t="s">
        <v>93</v>
      </c>
      <c r="F55" s="515" t="s">
        <v>8123</v>
      </c>
      <c r="G55" s="509" t="s">
        <v>117</v>
      </c>
      <c r="H55" s="509" t="s">
        <v>6864</v>
      </c>
      <c r="I55" s="510">
        <v>1</v>
      </c>
      <c r="J55" s="509" t="s">
        <v>6861</v>
      </c>
      <c r="K55" s="509" t="s">
        <v>8111</v>
      </c>
      <c r="L55" s="509" t="s">
        <v>6934</v>
      </c>
      <c r="M55" s="509" t="s">
        <v>7986</v>
      </c>
      <c r="N55" s="509" t="s">
        <v>7235</v>
      </c>
      <c r="O55" s="498" t="s">
        <v>203</v>
      </c>
      <c r="P55" s="498" t="s">
        <v>93</v>
      </c>
      <c r="Q55" s="498" t="s">
        <v>1493</v>
      </c>
      <c r="R55" s="498" t="s">
        <v>8124</v>
      </c>
      <c r="S55" s="374" t="s">
        <v>8113</v>
      </c>
      <c r="T55" s="374"/>
      <c r="U55" s="374" t="s">
        <v>8125</v>
      </c>
      <c r="V55" s="498" t="s">
        <v>8115</v>
      </c>
      <c r="W55" s="509"/>
    </row>
    <row r="56" spans="2:23">
      <c r="B56" s="498" t="s">
        <v>6858</v>
      </c>
      <c r="C56" s="509" t="s">
        <v>8126</v>
      </c>
      <c r="D56" s="509" t="s">
        <v>4330</v>
      </c>
      <c r="E56" s="509" t="s">
        <v>93</v>
      </c>
      <c r="F56" s="515" t="s">
        <v>8127</v>
      </c>
      <c r="G56" s="509" t="s">
        <v>117</v>
      </c>
      <c r="H56" s="509" t="s">
        <v>6864</v>
      </c>
      <c r="I56" s="510">
        <v>1</v>
      </c>
      <c r="J56" s="509" t="s">
        <v>6861</v>
      </c>
      <c r="K56" s="509" t="s">
        <v>8111</v>
      </c>
      <c r="L56" s="509" t="s">
        <v>6934</v>
      </c>
      <c r="M56" s="509" t="s">
        <v>7986</v>
      </c>
      <c r="N56" s="509" t="s">
        <v>7235</v>
      </c>
      <c r="O56" s="498" t="s">
        <v>203</v>
      </c>
      <c r="P56" s="498" t="s">
        <v>93</v>
      </c>
      <c r="Q56" s="498" t="s">
        <v>1493</v>
      </c>
      <c r="R56" s="498" t="s">
        <v>8128</v>
      </c>
      <c r="S56" s="374" t="s">
        <v>8113</v>
      </c>
      <c r="T56" s="374"/>
      <c r="U56" s="374" t="s">
        <v>203</v>
      </c>
      <c r="V56" s="498" t="s">
        <v>8115</v>
      </c>
      <c r="W56" s="509"/>
    </row>
    <row r="57" spans="2:23">
      <c r="B57" s="498" t="s">
        <v>6858</v>
      </c>
      <c r="C57" s="509" t="s">
        <v>8129</v>
      </c>
      <c r="D57" s="509" t="s">
        <v>4330</v>
      </c>
      <c r="E57" s="509" t="s">
        <v>93</v>
      </c>
      <c r="F57" s="509" t="s">
        <v>8130</v>
      </c>
      <c r="G57" s="509" t="s">
        <v>117</v>
      </c>
      <c r="H57" s="509" t="s">
        <v>6864</v>
      </c>
      <c r="I57" s="510">
        <v>1</v>
      </c>
      <c r="J57" s="509" t="s">
        <v>6861</v>
      </c>
      <c r="K57" s="509" t="s">
        <v>8111</v>
      </c>
      <c r="L57" s="509" t="s">
        <v>6934</v>
      </c>
      <c r="M57" s="509" t="s">
        <v>7986</v>
      </c>
      <c r="N57" s="509" t="s">
        <v>7235</v>
      </c>
      <c r="O57" s="498" t="s">
        <v>203</v>
      </c>
      <c r="P57" s="498" t="s">
        <v>93</v>
      </c>
      <c r="Q57" s="498" t="s">
        <v>1493</v>
      </c>
      <c r="R57" s="498" t="s">
        <v>8131</v>
      </c>
      <c r="S57" s="374" t="s">
        <v>8113</v>
      </c>
      <c r="T57" s="374"/>
      <c r="U57" s="374" t="s">
        <v>203</v>
      </c>
      <c r="V57" s="498" t="s">
        <v>8115</v>
      </c>
      <c r="W57" s="509"/>
    </row>
    <row r="58" spans="2:23">
      <c r="B58" s="498" t="s">
        <v>6858</v>
      </c>
      <c r="C58" s="509" t="s">
        <v>8132</v>
      </c>
      <c r="D58" s="509" t="s">
        <v>4330</v>
      </c>
      <c r="E58" s="509" t="s">
        <v>93</v>
      </c>
      <c r="F58" s="509" t="s">
        <v>8133</v>
      </c>
      <c r="G58" s="509" t="s">
        <v>117</v>
      </c>
      <c r="H58" s="509" t="s">
        <v>6864</v>
      </c>
      <c r="I58" s="510">
        <v>1</v>
      </c>
      <c r="J58" s="509" t="s">
        <v>6861</v>
      </c>
      <c r="K58" s="509" t="s">
        <v>8111</v>
      </c>
      <c r="L58" s="509" t="s">
        <v>6934</v>
      </c>
      <c r="M58" s="509" t="s">
        <v>7986</v>
      </c>
      <c r="N58" s="509" t="s">
        <v>7235</v>
      </c>
      <c r="O58" s="498" t="s">
        <v>203</v>
      </c>
      <c r="P58" s="498" t="s">
        <v>93</v>
      </c>
      <c r="Q58" s="498" t="s">
        <v>1493</v>
      </c>
      <c r="R58" s="498" t="s">
        <v>8134</v>
      </c>
      <c r="S58" s="374" t="s">
        <v>8113</v>
      </c>
      <c r="T58" s="374"/>
      <c r="U58" s="374" t="s">
        <v>203</v>
      </c>
      <c r="V58" s="498" t="s">
        <v>8115</v>
      </c>
      <c r="W58" s="509"/>
    </row>
    <row r="59" spans="2:23">
      <c r="B59" s="498" t="s">
        <v>6858</v>
      </c>
      <c r="C59" s="509" t="s">
        <v>8135</v>
      </c>
      <c r="D59" s="509" t="s">
        <v>4330</v>
      </c>
      <c r="E59" s="509" t="s">
        <v>93</v>
      </c>
      <c r="F59" s="509" t="s">
        <v>8136</v>
      </c>
      <c r="G59" s="509" t="s">
        <v>117</v>
      </c>
      <c r="H59" s="509" t="s">
        <v>6864</v>
      </c>
      <c r="I59" s="510">
        <v>1</v>
      </c>
      <c r="J59" s="509" t="s">
        <v>6861</v>
      </c>
      <c r="K59" s="509" t="s">
        <v>8111</v>
      </c>
      <c r="L59" s="509" t="s">
        <v>6934</v>
      </c>
      <c r="M59" s="509" t="s">
        <v>7986</v>
      </c>
      <c r="N59" s="509" t="s">
        <v>7235</v>
      </c>
      <c r="O59" s="498" t="s">
        <v>203</v>
      </c>
      <c r="P59" s="498" t="s">
        <v>93</v>
      </c>
      <c r="Q59" s="498" t="s">
        <v>1493</v>
      </c>
      <c r="R59" s="498" t="s">
        <v>8137</v>
      </c>
      <c r="S59" s="374" t="s">
        <v>8113</v>
      </c>
      <c r="T59" s="374"/>
      <c r="U59" s="374" t="s">
        <v>8138</v>
      </c>
      <c r="V59" s="498" t="s">
        <v>8115</v>
      </c>
      <c r="W59" s="509"/>
    </row>
    <row r="60" spans="2:23">
      <c r="B60" s="498" t="s">
        <v>6858</v>
      </c>
      <c r="C60" s="509" t="s">
        <v>8139</v>
      </c>
      <c r="D60" s="509" t="s">
        <v>4330</v>
      </c>
      <c r="E60" s="509" t="s">
        <v>93</v>
      </c>
      <c r="F60" s="509" t="s">
        <v>8140</v>
      </c>
      <c r="G60" s="509" t="s">
        <v>117</v>
      </c>
      <c r="H60" s="509" t="s">
        <v>6864</v>
      </c>
      <c r="I60" s="510">
        <v>1</v>
      </c>
      <c r="J60" s="509" t="s">
        <v>6861</v>
      </c>
      <c r="K60" s="509" t="s">
        <v>8111</v>
      </c>
      <c r="L60" s="509" t="s">
        <v>6934</v>
      </c>
      <c r="M60" s="509" t="s">
        <v>7986</v>
      </c>
      <c r="N60" s="509" t="s">
        <v>7235</v>
      </c>
      <c r="O60" s="498" t="s">
        <v>203</v>
      </c>
      <c r="P60" s="498" t="s">
        <v>93</v>
      </c>
      <c r="Q60" s="498" t="s">
        <v>1493</v>
      </c>
      <c r="R60" s="498" t="s">
        <v>8141</v>
      </c>
      <c r="S60" s="374" t="s">
        <v>8113</v>
      </c>
      <c r="T60" s="374"/>
      <c r="U60" s="374" t="s">
        <v>203</v>
      </c>
      <c r="V60" s="498" t="s">
        <v>8115</v>
      </c>
      <c r="W60" s="509"/>
    </row>
    <row r="61" spans="2:23">
      <c r="B61" s="498" t="s">
        <v>6858</v>
      </c>
      <c r="C61" s="509" t="s">
        <v>8142</v>
      </c>
      <c r="D61" s="509" t="s">
        <v>4330</v>
      </c>
      <c r="E61" s="509" t="s">
        <v>93</v>
      </c>
      <c r="F61" s="509" t="s">
        <v>8143</v>
      </c>
      <c r="G61" s="509" t="s">
        <v>117</v>
      </c>
      <c r="H61" s="509" t="s">
        <v>6864</v>
      </c>
      <c r="I61" s="510">
        <v>1</v>
      </c>
      <c r="J61" s="509" t="s">
        <v>6861</v>
      </c>
      <c r="K61" s="509" t="s">
        <v>8111</v>
      </c>
      <c r="L61" s="509" t="s">
        <v>6934</v>
      </c>
      <c r="M61" s="509" t="s">
        <v>7986</v>
      </c>
      <c r="N61" s="509" t="s">
        <v>7235</v>
      </c>
      <c r="O61" s="498" t="s">
        <v>203</v>
      </c>
      <c r="P61" s="498" t="s">
        <v>93</v>
      </c>
      <c r="Q61" s="498" t="s">
        <v>1493</v>
      </c>
      <c r="R61" s="498" t="s">
        <v>8144</v>
      </c>
      <c r="S61" s="374" t="s">
        <v>8113</v>
      </c>
      <c r="T61" s="374"/>
      <c r="U61" s="374" t="s">
        <v>203</v>
      </c>
      <c r="V61" s="498" t="s">
        <v>8115</v>
      </c>
      <c r="W61" s="509"/>
    </row>
    <row r="62" spans="2:23">
      <c r="B62" s="498" t="s">
        <v>6858</v>
      </c>
      <c r="C62" s="509" t="s">
        <v>8145</v>
      </c>
      <c r="D62" s="509" t="s">
        <v>4330</v>
      </c>
      <c r="E62" s="509" t="s">
        <v>93</v>
      </c>
      <c r="F62" s="515" t="s">
        <v>8146</v>
      </c>
      <c r="G62" s="509" t="s">
        <v>117</v>
      </c>
      <c r="H62" s="509" t="s">
        <v>6864</v>
      </c>
      <c r="I62" s="510">
        <v>1</v>
      </c>
      <c r="J62" s="509" t="s">
        <v>6861</v>
      </c>
      <c r="K62" s="509" t="s">
        <v>8111</v>
      </c>
      <c r="L62" s="509" t="s">
        <v>6934</v>
      </c>
      <c r="M62" s="509" t="s">
        <v>7986</v>
      </c>
      <c r="N62" s="509" t="s">
        <v>7235</v>
      </c>
      <c r="O62" s="498" t="s">
        <v>203</v>
      </c>
      <c r="P62" s="498" t="s">
        <v>93</v>
      </c>
      <c r="Q62" s="498" t="s">
        <v>1493</v>
      </c>
      <c r="R62" s="498" t="s">
        <v>8147</v>
      </c>
      <c r="S62" s="374" t="s">
        <v>8113</v>
      </c>
      <c r="T62" s="374"/>
      <c r="U62" s="374" t="s">
        <v>203</v>
      </c>
      <c r="V62" s="498" t="s">
        <v>8115</v>
      </c>
      <c r="W62" s="509"/>
    </row>
    <row r="63" spans="2:23">
      <c r="B63" s="498" t="s">
        <v>6858</v>
      </c>
      <c r="C63" s="509" t="s">
        <v>4363</v>
      </c>
      <c r="D63" s="509" t="s">
        <v>4330</v>
      </c>
      <c r="E63" s="509" t="s">
        <v>93</v>
      </c>
      <c r="F63" s="509" t="s">
        <v>8148</v>
      </c>
      <c r="G63" s="509" t="s">
        <v>117</v>
      </c>
      <c r="H63" s="509" t="s">
        <v>6864</v>
      </c>
      <c r="I63" s="510">
        <v>1</v>
      </c>
      <c r="J63" s="509" t="s">
        <v>6861</v>
      </c>
      <c r="K63" s="509" t="s">
        <v>8111</v>
      </c>
      <c r="L63" s="509" t="s">
        <v>6934</v>
      </c>
      <c r="M63" s="509" t="s">
        <v>7986</v>
      </c>
      <c r="N63" s="509" t="s">
        <v>7235</v>
      </c>
      <c r="O63" s="498" t="s">
        <v>203</v>
      </c>
      <c r="P63" s="498" t="s">
        <v>93</v>
      </c>
      <c r="Q63" s="498" t="s">
        <v>1493</v>
      </c>
      <c r="R63" s="498" t="s">
        <v>8149</v>
      </c>
      <c r="S63" s="374" t="s">
        <v>8113</v>
      </c>
      <c r="T63" s="374"/>
      <c r="U63" s="374" t="s">
        <v>203</v>
      </c>
      <c r="V63" s="498" t="s">
        <v>8115</v>
      </c>
      <c r="W63" s="509"/>
    </row>
    <row r="64" spans="2:23">
      <c r="B64" s="498" t="s">
        <v>6858</v>
      </c>
      <c r="C64" s="509" t="s">
        <v>8150</v>
      </c>
      <c r="D64" s="509" t="s">
        <v>5936</v>
      </c>
      <c r="E64" s="509" t="s">
        <v>93</v>
      </c>
      <c r="F64" s="509" t="s">
        <v>8151</v>
      </c>
      <c r="G64" s="509" t="s">
        <v>26</v>
      </c>
      <c r="H64" s="509" t="s">
        <v>8152</v>
      </c>
      <c r="I64" s="510" t="s">
        <v>326</v>
      </c>
      <c r="J64" s="509" t="s">
        <v>6861</v>
      </c>
      <c r="K64" s="498" t="s">
        <v>8153</v>
      </c>
      <c r="L64" s="509" t="s">
        <v>6934</v>
      </c>
      <c r="M64" s="509" t="s">
        <v>7986</v>
      </c>
      <c r="N64" s="509" t="s">
        <v>7235</v>
      </c>
      <c r="O64" s="498" t="s">
        <v>1193</v>
      </c>
      <c r="P64" s="498" t="s">
        <v>1194</v>
      </c>
      <c r="Q64" s="498" t="s">
        <v>722</v>
      </c>
      <c r="R64" s="498" t="s">
        <v>1212</v>
      </c>
      <c r="S64" s="498" t="s">
        <v>203</v>
      </c>
      <c r="T64" s="498" t="s">
        <v>8154</v>
      </c>
      <c r="U64" s="498" t="s">
        <v>203</v>
      </c>
      <c r="V64" s="498" t="s">
        <v>8155</v>
      </c>
      <c r="W64" s="509"/>
    </row>
    <row r="65" spans="2:23">
      <c r="B65" s="498" t="s">
        <v>6858</v>
      </c>
      <c r="C65" s="509" t="s">
        <v>8156</v>
      </c>
      <c r="D65" s="509" t="s">
        <v>5936</v>
      </c>
      <c r="E65" s="509" t="s">
        <v>93</v>
      </c>
      <c r="F65" s="509" t="s">
        <v>8157</v>
      </c>
      <c r="G65" s="509" t="s">
        <v>26</v>
      </c>
      <c r="H65" s="509" t="s">
        <v>8152</v>
      </c>
      <c r="I65" s="510" t="s">
        <v>326</v>
      </c>
      <c r="J65" s="509" t="s">
        <v>6861</v>
      </c>
      <c r="K65" s="498" t="s">
        <v>8153</v>
      </c>
      <c r="L65" s="509" t="s">
        <v>6934</v>
      </c>
      <c r="M65" s="509" t="s">
        <v>7986</v>
      </c>
      <c r="N65" s="509" t="s">
        <v>7235</v>
      </c>
      <c r="O65" s="498" t="s">
        <v>1193</v>
      </c>
      <c r="P65" s="498" t="s">
        <v>1194</v>
      </c>
      <c r="Q65" s="498" t="s">
        <v>722</v>
      </c>
      <c r="R65" s="498" t="s">
        <v>7820</v>
      </c>
      <c r="S65" s="498" t="s">
        <v>203</v>
      </c>
      <c r="T65" s="498" t="s">
        <v>8154</v>
      </c>
      <c r="U65" s="498" t="s">
        <v>203</v>
      </c>
      <c r="V65" s="498" t="s">
        <v>8155</v>
      </c>
      <c r="W65" s="509"/>
    </row>
    <row r="66" spans="2:23">
      <c r="B66" s="498" t="s">
        <v>6858</v>
      </c>
      <c r="C66" s="509" t="s">
        <v>4266</v>
      </c>
      <c r="D66" s="509" t="s">
        <v>5936</v>
      </c>
      <c r="E66" s="509" t="s">
        <v>93</v>
      </c>
      <c r="F66" s="509" t="s">
        <v>8158</v>
      </c>
      <c r="G66" s="509" t="s">
        <v>26</v>
      </c>
      <c r="H66" s="509" t="s">
        <v>8152</v>
      </c>
      <c r="I66" s="510" t="s">
        <v>326</v>
      </c>
      <c r="J66" s="509" t="s">
        <v>6861</v>
      </c>
      <c r="K66" s="498" t="s">
        <v>8153</v>
      </c>
      <c r="L66" s="509" t="s">
        <v>6934</v>
      </c>
      <c r="M66" s="509" t="s">
        <v>7986</v>
      </c>
      <c r="N66" s="509" t="s">
        <v>7235</v>
      </c>
      <c r="O66" s="498" t="s">
        <v>1193</v>
      </c>
      <c r="P66" s="498" t="s">
        <v>1194</v>
      </c>
      <c r="Q66" s="498" t="s">
        <v>722</v>
      </c>
      <c r="R66" s="498" t="s">
        <v>7590</v>
      </c>
      <c r="S66" s="498" t="s">
        <v>203</v>
      </c>
      <c r="T66" s="498" t="s">
        <v>8154</v>
      </c>
      <c r="U66" s="498" t="s">
        <v>203</v>
      </c>
      <c r="V66" s="498" t="s">
        <v>8155</v>
      </c>
      <c r="W66" s="509"/>
    </row>
    <row r="67" spans="2:23" s="503" customFormat="1">
      <c r="B67" s="516" t="s">
        <v>6858</v>
      </c>
      <c r="C67" s="511" t="s">
        <v>4354</v>
      </c>
      <c r="D67" s="511" t="s">
        <v>5936</v>
      </c>
      <c r="E67" s="511" t="s">
        <v>93</v>
      </c>
      <c r="F67" s="511" t="s">
        <v>8159</v>
      </c>
      <c r="G67" s="511" t="s">
        <v>7882</v>
      </c>
      <c r="H67" s="511" t="s">
        <v>7882</v>
      </c>
      <c r="I67" s="512" t="s">
        <v>326</v>
      </c>
      <c r="J67" s="511" t="s">
        <v>7882</v>
      </c>
      <c r="K67" s="503" t="s">
        <v>8160</v>
      </c>
      <c r="L67" s="511" t="s">
        <v>7882</v>
      </c>
      <c r="M67" s="511" t="s">
        <v>7882</v>
      </c>
      <c r="N67" s="511" t="s">
        <v>7882</v>
      </c>
      <c r="O67" s="503" t="s">
        <v>203</v>
      </c>
      <c r="P67" s="503" t="s">
        <v>93</v>
      </c>
      <c r="Q67" s="503" t="s">
        <v>1453</v>
      </c>
      <c r="R67" s="503" t="s">
        <v>8161</v>
      </c>
      <c r="S67" s="503" t="s">
        <v>203</v>
      </c>
      <c r="T67" s="503" t="s">
        <v>203</v>
      </c>
      <c r="U67" s="503" t="s">
        <v>203</v>
      </c>
      <c r="V67" s="503" t="s">
        <v>8155</v>
      </c>
      <c r="W67" s="511"/>
    </row>
    <row r="68" spans="2:23">
      <c r="B68" s="498" t="s">
        <v>6858</v>
      </c>
      <c r="C68" s="509" t="s">
        <v>4237</v>
      </c>
      <c r="D68" s="509" t="s">
        <v>5936</v>
      </c>
      <c r="E68" s="509" t="s">
        <v>93</v>
      </c>
      <c r="F68" s="509" t="s">
        <v>8162</v>
      </c>
      <c r="G68" s="509" t="s">
        <v>26</v>
      </c>
      <c r="H68" s="509" t="s">
        <v>8152</v>
      </c>
      <c r="I68" s="510" t="s">
        <v>326</v>
      </c>
      <c r="J68" s="509" t="s">
        <v>6861</v>
      </c>
      <c r="K68" s="498" t="s">
        <v>8153</v>
      </c>
      <c r="L68" s="509" t="s">
        <v>6934</v>
      </c>
      <c r="M68" s="509" t="s">
        <v>7986</v>
      </c>
      <c r="N68" s="509" t="s">
        <v>7235</v>
      </c>
      <c r="O68" s="498" t="s">
        <v>1193</v>
      </c>
      <c r="P68" s="498" t="s">
        <v>1194</v>
      </c>
      <c r="Q68" s="498" t="s">
        <v>722</v>
      </c>
      <c r="R68" s="498" t="s">
        <v>1728</v>
      </c>
      <c r="S68" s="498" t="s">
        <v>203</v>
      </c>
      <c r="T68" s="498" t="s">
        <v>8154</v>
      </c>
      <c r="U68" s="498" t="s">
        <v>203</v>
      </c>
      <c r="V68" s="498" t="s">
        <v>8155</v>
      </c>
      <c r="W68" s="509"/>
    </row>
    <row r="69" spans="2:23">
      <c r="B69" s="498" t="s">
        <v>6858</v>
      </c>
      <c r="C69" s="509" t="s">
        <v>6842</v>
      </c>
      <c r="D69" s="509" t="s">
        <v>5936</v>
      </c>
      <c r="E69" s="509" t="s">
        <v>93</v>
      </c>
      <c r="F69" s="509" t="s">
        <v>8163</v>
      </c>
      <c r="G69" s="509" t="s">
        <v>26</v>
      </c>
      <c r="H69" s="509" t="s">
        <v>8152</v>
      </c>
      <c r="I69" s="510" t="s">
        <v>326</v>
      </c>
      <c r="J69" s="509" t="s">
        <v>6861</v>
      </c>
      <c r="K69" s="498" t="s">
        <v>8153</v>
      </c>
      <c r="L69" s="509" t="s">
        <v>6934</v>
      </c>
      <c r="M69" s="509" t="s">
        <v>7986</v>
      </c>
      <c r="N69" s="509" t="s">
        <v>7235</v>
      </c>
      <c r="O69" s="498" t="s">
        <v>1193</v>
      </c>
      <c r="P69" s="498" t="s">
        <v>1194</v>
      </c>
      <c r="Q69" s="498" t="s">
        <v>722</v>
      </c>
      <c r="R69" s="498" t="s">
        <v>6866</v>
      </c>
      <c r="S69" s="498" t="s">
        <v>203</v>
      </c>
      <c r="T69" s="498" t="s">
        <v>8154</v>
      </c>
      <c r="U69" s="498" t="s">
        <v>203</v>
      </c>
      <c r="V69" s="498" t="s">
        <v>8155</v>
      </c>
      <c r="W69" s="509"/>
    </row>
    <row r="70" spans="2:23" s="503" customFormat="1">
      <c r="B70" s="516" t="s">
        <v>6858</v>
      </c>
      <c r="C70" s="511" t="s">
        <v>6950</v>
      </c>
      <c r="D70" s="511" t="s">
        <v>5936</v>
      </c>
      <c r="E70" s="511" t="s">
        <v>93</v>
      </c>
      <c r="F70" s="511" t="s">
        <v>8164</v>
      </c>
      <c r="G70" s="511" t="s">
        <v>7882</v>
      </c>
      <c r="H70" s="511" t="s">
        <v>7882</v>
      </c>
      <c r="I70" s="512" t="s">
        <v>326</v>
      </c>
      <c r="J70" s="511" t="s">
        <v>7882</v>
      </c>
      <c r="K70" s="503" t="s">
        <v>8160</v>
      </c>
      <c r="L70" s="511" t="s">
        <v>7882</v>
      </c>
      <c r="M70" s="511" t="s">
        <v>7882</v>
      </c>
      <c r="N70" s="511" t="s">
        <v>7882</v>
      </c>
      <c r="O70" s="503" t="s">
        <v>203</v>
      </c>
      <c r="P70" s="503" t="s">
        <v>93</v>
      </c>
      <c r="Q70" s="503" t="s">
        <v>1453</v>
      </c>
      <c r="R70" s="503" t="s">
        <v>8165</v>
      </c>
      <c r="S70" s="503" t="s">
        <v>203</v>
      </c>
      <c r="T70" s="503" t="s">
        <v>203</v>
      </c>
      <c r="U70" s="503" t="s">
        <v>203</v>
      </c>
      <c r="V70" s="503" t="s">
        <v>8155</v>
      </c>
      <c r="W70" s="511"/>
    </row>
    <row r="71" spans="2:23" s="503" customFormat="1">
      <c r="B71" s="516" t="s">
        <v>6858</v>
      </c>
      <c r="C71" s="511" t="s">
        <v>8166</v>
      </c>
      <c r="D71" s="511" t="s">
        <v>5936</v>
      </c>
      <c r="E71" s="511" t="s">
        <v>93</v>
      </c>
      <c r="F71" s="511" t="s">
        <v>8167</v>
      </c>
      <c r="G71" s="511" t="s">
        <v>8168</v>
      </c>
      <c r="H71" s="511" t="s">
        <v>7882</v>
      </c>
      <c r="I71" s="512" t="s">
        <v>326</v>
      </c>
      <c r="J71" s="511" t="s">
        <v>7882</v>
      </c>
      <c r="K71" s="503" t="s">
        <v>8160</v>
      </c>
      <c r="L71" s="511" t="s">
        <v>7882</v>
      </c>
      <c r="M71" s="511" t="s">
        <v>7882</v>
      </c>
      <c r="N71" s="511" t="s">
        <v>7882</v>
      </c>
      <c r="O71" s="503" t="s">
        <v>203</v>
      </c>
      <c r="P71" s="503" t="s">
        <v>93</v>
      </c>
      <c r="Q71" s="503" t="s">
        <v>1294</v>
      </c>
      <c r="R71" s="503" t="s">
        <v>8169</v>
      </c>
      <c r="S71" s="503" t="s">
        <v>8170</v>
      </c>
      <c r="T71" s="503" t="s">
        <v>203</v>
      </c>
      <c r="U71" s="503" t="s">
        <v>203</v>
      </c>
      <c r="V71" s="503" t="s">
        <v>8155</v>
      </c>
      <c r="W71" s="511"/>
    </row>
  </sheetData>
  <autoFilter ref="B1:W71" xr:uid="{8A0B8F47-7D20-4AC4-9E8C-7C42B9B14F28}"/>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40CA9-D814-4D3A-94E2-90FA557E0081}">
  <sheetPr>
    <tabColor rgb="FFFFFF00"/>
  </sheetPr>
  <dimension ref="A1:Y177"/>
  <sheetViews>
    <sheetView workbookViewId="0">
      <selection activeCell="E20" sqref="E20"/>
    </sheetView>
  </sheetViews>
  <sheetFormatPr defaultColWidth="8.7109375" defaultRowHeight="15"/>
  <cols>
    <col min="1" max="1" width="14" bestFit="1" customWidth="1"/>
    <col min="2" max="2" width="21.5703125" style="374" bestFit="1" customWidth="1"/>
    <col min="3" max="3" width="27.85546875" style="374" bestFit="1" customWidth="1"/>
    <col min="4" max="4" width="32.42578125" style="374" bestFit="1" customWidth="1"/>
    <col min="5" max="5" width="14.5703125" style="374" bestFit="1" customWidth="1"/>
    <col min="6" max="6" width="132.42578125" style="374" bestFit="1" customWidth="1"/>
    <col min="7" max="7" width="32.7109375" style="374" bestFit="1" customWidth="1"/>
    <col min="8" max="10" width="34.140625" style="374" customWidth="1"/>
    <col min="11" max="11" width="56.5703125" style="374" bestFit="1" customWidth="1"/>
    <col min="12" max="13" width="34.140625" style="374" customWidth="1"/>
    <col min="14" max="15" width="12.5703125" style="374" customWidth="1"/>
    <col min="16" max="16" width="11.140625" style="374" customWidth="1"/>
    <col min="17" max="17" width="10.85546875" style="374" customWidth="1"/>
    <col min="18" max="18" width="11.140625" style="374" customWidth="1"/>
    <col min="19" max="19" width="12.140625" style="374" customWidth="1"/>
    <col min="20" max="21" width="13" style="374" customWidth="1"/>
    <col min="22" max="22" width="9.140625" style="374" customWidth="1"/>
    <col min="23" max="24" width="17" style="374" bestFit="1" customWidth="1"/>
    <col min="25" max="25" width="41.5703125" style="374" bestFit="1" customWidth="1"/>
    <col min="26" max="27" width="9.140625" bestFit="1" customWidth="1"/>
  </cols>
  <sheetData>
    <row r="1" spans="2:21">
      <c r="B1" s="358" t="s">
        <v>2157</v>
      </c>
      <c r="C1" s="358" t="s">
        <v>336</v>
      </c>
      <c r="D1" s="358" t="s">
        <v>337</v>
      </c>
      <c r="E1" s="358" t="s">
        <v>338</v>
      </c>
      <c r="F1" s="358" t="s">
        <v>339</v>
      </c>
      <c r="G1" s="403" t="s">
        <v>2158</v>
      </c>
      <c r="H1" s="403" t="s">
        <v>425</v>
      </c>
      <c r="I1" s="403" t="s">
        <v>426</v>
      </c>
      <c r="J1" s="403" t="s">
        <v>427</v>
      </c>
      <c r="K1" s="403" t="s">
        <v>8171</v>
      </c>
      <c r="L1" s="403" t="s">
        <v>2162</v>
      </c>
      <c r="M1" s="403" t="s">
        <v>428</v>
      </c>
      <c r="N1" s="403" t="s">
        <v>416</v>
      </c>
      <c r="O1" s="403" t="s">
        <v>417</v>
      </c>
      <c r="P1" s="403" t="s">
        <v>418</v>
      </c>
      <c r="Q1" s="403" t="s">
        <v>419</v>
      </c>
      <c r="R1" s="403" t="s">
        <v>420</v>
      </c>
      <c r="S1" s="403" t="s">
        <v>421</v>
      </c>
      <c r="T1" s="403" t="s">
        <v>422</v>
      </c>
      <c r="U1" s="403" t="s">
        <v>423</v>
      </c>
    </row>
    <row r="2" spans="2:21">
      <c r="B2" s="374" t="s">
        <v>6151</v>
      </c>
      <c r="C2" t="s">
        <v>4313</v>
      </c>
      <c r="D2" t="s">
        <v>6152</v>
      </c>
      <c r="E2" s="374" t="s">
        <v>112</v>
      </c>
      <c r="F2" s="374" t="s">
        <v>8172</v>
      </c>
      <c r="G2" s="374" t="s">
        <v>544</v>
      </c>
      <c r="H2" s="374" t="s">
        <v>8173</v>
      </c>
      <c r="I2" s="374" t="s">
        <v>547</v>
      </c>
      <c r="J2" s="374" t="s">
        <v>8174</v>
      </c>
      <c r="M2" s="374" t="s">
        <v>8175</v>
      </c>
      <c r="N2" s="374" t="s">
        <v>435</v>
      </c>
      <c r="O2" s="374" t="s">
        <v>435</v>
      </c>
      <c r="P2" s="374">
        <v>128</v>
      </c>
      <c r="Q2" s="374">
        <v>128</v>
      </c>
      <c r="R2" s="374" t="s">
        <v>431</v>
      </c>
      <c r="S2" s="374" t="s">
        <v>8176</v>
      </c>
    </row>
    <row r="3" spans="2:21">
      <c r="B3" s="374" t="s">
        <v>6151</v>
      </c>
      <c r="C3" t="s">
        <v>6157</v>
      </c>
      <c r="D3" t="s">
        <v>6152</v>
      </c>
      <c r="E3" s="374" t="s">
        <v>112</v>
      </c>
      <c r="F3" s="374" t="s">
        <v>8177</v>
      </c>
      <c r="G3" s="474" t="s">
        <v>551</v>
      </c>
      <c r="I3" s="374" t="s">
        <v>1735</v>
      </c>
      <c r="J3" s="374" t="s">
        <v>8178</v>
      </c>
      <c r="K3" s="374" t="s">
        <v>8179</v>
      </c>
    </row>
    <row r="4" spans="2:21">
      <c r="B4" s="374" t="s">
        <v>6151</v>
      </c>
      <c r="C4" t="s">
        <v>6163</v>
      </c>
      <c r="D4" t="s">
        <v>6152</v>
      </c>
      <c r="E4" s="374" t="s">
        <v>112</v>
      </c>
      <c r="F4" s="374" t="s">
        <v>8180</v>
      </c>
      <c r="G4" s="474" t="s">
        <v>551</v>
      </c>
      <c r="H4" s="374" t="s">
        <v>8173</v>
      </c>
      <c r="I4" s="374" t="s">
        <v>547</v>
      </c>
      <c r="J4" s="374" t="s">
        <v>8181</v>
      </c>
      <c r="M4" s="374" t="s">
        <v>8182</v>
      </c>
      <c r="N4" s="374" t="s">
        <v>435</v>
      </c>
      <c r="O4" s="374" t="s">
        <v>435</v>
      </c>
      <c r="P4" s="374">
        <v>200</v>
      </c>
      <c r="Q4" s="374">
        <v>200</v>
      </c>
      <c r="R4" s="374" t="s">
        <v>431</v>
      </c>
      <c r="S4" s="374" t="s">
        <v>8183</v>
      </c>
    </row>
    <row r="5" spans="2:21">
      <c r="B5" s="374" t="s">
        <v>6151</v>
      </c>
      <c r="C5" t="s">
        <v>8184</v>
      </c>
      <c r="D5" t="s">
        <v>6152</v>
      </c>
      <c r="E5" s="374" t="s">
        <v>112</v>
      </c>
      <c r="F5" s="374" t="s">
        <v>8185</v>
      </c>
      <c r="G5" s="474" t="s">
        <v>551</v>
      </c>
      <c r="H5" s="374" t="s">
        <v>8173</v>
      </c>
      <c r="I5" s="374" t="s">
        <v>547</v>
      </c>
      <c r="J5" t="s">
        <v>8186</v>
      </c>
      <c r="M5" s="374" t="s">
        <v>8187</v>
      </c>
      <c r="N5" s="374" t="s">
        <v>435</v>
      </c>
      <c r="O5" s="374" t="s">
        <v>435</v>
      </c>
      <c r="P5" s="374">
        <v>200</v>
      </c>
      <c r="Q5" s="374">
        <v>200</v>
      </c>
      <c r="R5" s="374" t="s">
        <v>431</v>
      </c>
      <c r="S5" s="374" t="s">
        <v>8183</v>
      </c>
    </row>
    <row r="6" spans="2:21">
      <c r="B6" s="458" t="s">
        <v>6151</v>
      </c>
      <c r="C6" s="453" t="s">
        <v>5265</v>
      </c>
      <c r="D6" s="453" t="s">
        <v>6152</v>
      </c>
      <c r="E6" s="458" t="s">
        <v>112</v>
      </c>
      <c r="F6" s="374" t="s">
        <v>8188</v>
      </c>
      <c r="G6" s="374" t="s">
        <v>2527</v>
      </c>
      <c r="H6" s="452" t="s">
        <v>8189</v>
      </c>
      <c r="I6" s="458" t="s">
        <v>8189</v>
      </c>
    </row>
    <row r="7" spans="2:21">
      <c r="B7" s="374" t="s">
        <v>6151</v>
      </c>
      <c r="C7" t="s">
        <v>159</v>
      </c>
      <c r="D7" t="s">
        <v>6152</v>
      </c>
      <c r="E7" s="374" t="s">
        <v>112</v>
      </c>
      <c r="F7" s="374" t="s">
        <v>8190</v>
      </c>
      <c r="G7" s="474" t="s">
        <v>2196</v>
      </c>
      <c r="H7" s="374" t="s">
        <v>8173</v>
      </c>
      <c r="I7" s="374" t="s">
        <v>547</v>
      </c>
      <c r="J7" s="374" t="s">
        <v>8191</v>
      </c>
      <c r="M7" s="374" t="s">
        <v>8192</v>
      </c>
      <c r="N7" s="374" t="s">
        <v>435</v>
      </c>
      <c r="O7" s="374" t="s">
        <v>435</v>
      </c>
      <c r="P7" s="374">
        <v>200</v>
      </c>
      <c r="Q7" s="374">
        <v>200</v>
      </c>
      <c r="R7" s="374" t="s">
        <v>431</v>
      </c>
      <c r="S7" s="374" t="s">
        <v>8183</v>
      </c>
    </row>
    <row r="8" spans="2:21">
      <c r="B8" s="374" t="s">
        <v>6151</v>
      </c>
      <c r="C8" t="s">
        <v>4186</v>
      </c>
      <c r="D8" t="s">
        <v>6152</v>
      </c>
      <c r="E8" s="374" t="s">
        <v>112</v>
      </c>
      <c r="F8" s="374" t="s">
        <v>8193</v>
      </c>
      <c r="G8" s="474" t="s">
        <v>551</v>
      </c>
      <c r="H8" s="374" t="s">
        <v>8173</v>
      </c>
      <c r="I8" s="374" t="s">
        <v>547</v>
      </c>
      <c r="J8" s="374" t="s">
        <v>8194</v>
      </c>
      <c r="M8" s="374" t="s">
        <v>8195</v>
      </c>
      <c r="N8" s="374" t="s">
        <v>435</v>
      </c>
      <c r="O8" s="374" t="s">
        <v>435</v>
      </c>
      <c r="P8" s="374">
        <v>200</v>
      </c>
      <c r="Q8" s="374">
        <v>200</v>
      </c>
      <c r="R8" s="374" t="s">
        <v>431</v>
      </c>
      <c r="S8" s="374" t="s">
        <v>8183</v>
      </c>
    </row>
    <row r="9" spans="2:21">
      <c r="B9" s="374" t="s">
        <v>6151</v>
      </c>
      <c r="C9" t="s">
        <v>6170</v>
      </c>
      <c r="D9" t="s">
        <v>6152</v>
      </c>
      <c r="E9" s="374" t="s">
        <v>112</v>
      </c>
      <c r="F9" s="374" t="s">
        <v>8196</v>
      </c>
      <c r="G9" s="474" t="s">
        <v>551</v>
      </c>
      <c r="H9" s="374" t="s">
        <v>8173</v>
      </c>
      <c r="I9" s="374" t="s">
        <v>547</v>
      </c>
      <c r="J9" t="s">
        <v>8197</v>
      </c>
      <c r="M9" s="374" t="s">
        <v>8198</v>
      </c>
      <c r="N9" s="374" t="s">
        <v>8199</v>
      </c>
      <c r="O9" s="374" t="s">
        <v>8199</v>
      </c>
      <c r="R9" s="374" t="s">
        <v>8199</v>
      </c>
      <c r="S9" s="374" t="s">
        <v>8199</v>
      </c>
    </row>
    <row r="10" spans="2:21">
      <c r="B10" s="374" t="s">
        <v>6151</v>
      </c>
      <c r="C10" t="s">
        <v>6175</v>
      </c>
      <c r="D10" t="s">
        <v>6152</v>
      </c>
      <c r="E10" s="374" t="s">
        <v>112</v>
      </c>
      <c r="F10" s="374" t="s">
        <v>8200</v>
      </c>
      <c r="G10" s="474" t="s">
        <v>551</v>
      </c>
    </row>
    <row r="11" spans="2:21">
      <c r="B11" s="374" t="s">
        <v>6151</v>
      </c>
      <c r="C11" t="s">
        <v>2637</v>
      </c>
      <c r="D11" t="s">
        <v>6152</v>
      </c>
      <c r="E11" t="s">
        <v>112</v>
      </c>
      <c r="F11" s="374" t="s">
        <v>8201</v>
      </c>
      <c r="G11" s="474" t="s">
        <v>551</v>
      </c>
    </row>
    <row r="12" spans="2:21" ht="60">
      <c r="B12" s="458" t="s">
        <v>6151</v>
      </c>
      <c r="C12" s="453" t="s">
        <v>8202</v>
      </c>
      <c r="D12" s="453" t="s">
        <v>6152</v>
      </c>
      <c r="E12" s="453" t="s">
        <v>112</v>
      </c>
      <c r="F12" s="374" t="s">
        <v>8203</v>
      </c>
      <c r="G12" s="374" t="s">
        <v>8204</v>
      </c>
      <c r="H12" s="374" t="s">
        <v>8173</v>
      </c>
      <c r="I12" s="457" t="s">
        <v>8205</v>
      </c>
      <c r="J12" s="457" t="s">
        <v>8206</v>
      </c>
    </row>
    <row r="13" spans="2:21">
      <c r="B13" s="374" t="s">
        <v>8207</v>
      </c>
      <c r="C13" t="s">
        <v>8208</v>
      </c>
      <c r="D13" t="s">
        <v>8209</v>
      </c>
      <c r="E13" t="s">
        <v>112</v>
      </c>
      <c r="F13" t="s">
        <v>8210</v>
      </c>
      <c r="G13" s="374" t="s">
        <v>8204</v>
      </c>
    </row>
    <row r="14" spans="2:21">
      <c r="B14" s="374" t="s">
        <v>8207</v>
      </c>
      <c r="C14" t="s">
        <v>2169</v>
      </c>
      <c r="D14" t="s">
        <v>8211</v>
      </c>
      <c r="E14" t="s">
        <v>112</v>
      </c>
      <c r="F14" t="s">
        <v>8212</v>
      </c>
      <c r="G14" s="374" t="s">
        <v>8204</v>
      </c>
    </row>
    <row r="15" spans="2:21">
      <c r="B15" s="374" t="s">
        <v>8207</v>
      </c>
      <c r="C15" t="s">
        <v>8213</v>
      </c>
      <c r="D15" t="s">
        <v>8209</v>
      </c>
      <c r="E15" t="s">
        <v>112</v>
      </c>
      <c r="F15" t="s">
        <v>8190</v>
      </c>
      <c r="G15" s="374" t="s">
        <v>8204</v>
      </c>
    </row>
    <row r="16" spans="2:21">
      <c r="B16" s="374" t="s">
        <v>8207</v>
      </c>
      <c r="C16" t="s">
        <v>8214</v>
      </c>
      <c r="D16" t="s">
        <v>8209</v>
      </c>
      <c r="E16" t="s">
        <v>112</v>
      </c>
      <c r="F16" t="s">
        <v>8215</v>
      </c>
      <c r="G16" s="374" t="s">
        <v>8204</v>
      </c>
    </row>
    <row r="17" spans="2:7">
      <c r="B17" s="374" t="s">
        <v>8207</v>
      </c>
      <c r="C17" t="s">
        <v>8216</v>
      </c>
      <c r="D17" t="s">
        <v>8209</v>
      </c>
      <c r="E17" t="s">
        <v>112</v>
      </c>
      <c r="F17" s="422" t="s">
        <v>8217</v>
      </c>
      <c r="G17" s="374" t="s">
        <v>8204</v>
      </c>
    </row>
    <row r="18" spans="2:7">
      <c r="B18" s="374" t="s">
        <v>8207</v>
      </c>
      <c r="C18" t="s">
        <v>8218</v>
      </c>
      <c r="D18" t="s">
        <v>8209</v>
      </c>
      <c r="E18" t="s">
        <v>112</v>
      </c>
      <c r="F18" t="s">
        <v>8219</v>
      </c>
      <c r="G18" s="374" t="s">
        <v>8204</v>
      </c>
    </row>
    <row r="19" spans="2:7">
      <c r="B19" s="374" t="s">
        <v>8207</v>
      </c>
      <c r="C19" t="s">
        <v>8220</v>
      </c>
      <c r="D19" t="s">
        <v>8209</v>
      </c>
      <c r="E19" t="s">
        <v>112</v>
      </c>
      <c r="F19" t="s">
        <v>8221</v>
      </c>
      <c r="G19" s="374" t="s">
        <v>8204</v>
      </c>
    </row>
    <row r="20" spans="2:7">
      <c r="B20" s="374" t="s">
        <v>8207</v>
      </c>
      <c r="C20" t="s">
        <v>8222</v>
      </c>
      <c r="D20" t="s">
        <v>8209</v>
      </c>
      <c r="E20" t="s">
        <v>112</v>
      </c>
      <c r="F20" s="422" t="s">
        <v>8223</v>
      </c>
      <c r="G20" s="374" t="s">
        <v>8204</v>
      </c>
    </row>
    <row r="21" spans="2:7">
      <c r="B21" s="374" t="s">
        <v>8207</v>
      </c>
      <c r="C21" t="s">
        <v>8224</v>
      </c>
      <c r="D21" t="s">
        <v>8209</v>
      </c>
      <c r="E21" t="s">
        <v>112</v>
      </c>
      <c r="F21" t="s">
        <v>8225</v>
      </c>
      <c r="G21" s="374" t="s">
        <v>8204</v>
      </c>
    </row>
    <row r="22" spans="2:7">
      <c r="B22" s="374" t="s">
        <v>8207</v>
      </c>
      <c r="C22" t="s">
        <v>8226</v>
      </c>
      <c r="D22" t="s">
        <v>8209</v>
      </c>
      <c r="E22" t="s">
        <v>112</v>
      </c>
      <c r="F22" t="s">
        <v>8227</v>
      </c>
      <c r="G22" s="374" t="s">
        <v>8204</v>
      </c>
    </row>
    <row r="23" spans="2:7">
      <c r="B23" s="374" t="s">
        <v>8207</v>
      </c>
      <c r="C23" t="s">
        <v>8228</v>
      </c>
      <c r="D23" t="s">
        <v>8209</v>
      </c>
      <c r="E23" t="s">
        <v>112</v>
      </c>
      <c r="F23" t="s">
        <v>8227</v>
      </c>
      <c r="G23" s="374" t="s">
        <v>8204</v>
      </c>
    </row>
    <row r="24" spans="2:7">
      <c r="B24" s="374" t="s">
        <v>8207</v>
      </c>
      <c r="C24" t="s">
        <v>16</v>
      </c>
      <c r="D24" t="s">
        <v>8209</v>
      </c>
      <c r="E24" t="s">
        <v>112</v>
      </c>
      <c r="F24" t="s">
        <v>8229</v>
      </c>
      <c r="G24" s="374" t="s">
        <v>8204</v>
      </c>
    </row>
    <row r="25" spans="2:7">
      <c r="B25" s="374" t="s">
        <v>8207</v>
      </c>
      <c r="C25" t="s">
        <v>8230</v>
      </c>
      <c r="D25" t="s">
        <v>8231</v>
      </c>
      <c r="E25" t="s">
        <v>112</v>
      </c>
      <c r="F25" t="s">
        <v>8232</v>
      </c>
      <c r="G25" s="374" t="s">
        <v>8204</v>
      </c>
    </row>
    <row r="26" spans="2:7">
      <c r="B26" s="374" t="s">
        <v>8207</v>
      </c>
      <c r="C26" t="s">
        <v>8233</v>
      </c>
      <c r="D26" t="s">
        <v>8231</v>
      </c>
      <c r="E26" t="s">
        <v>112</v>
      </c>
      <c r="F26" t="s">
        <v>8232</v>
      </c>
      <c r="G26" s="374" t="s">
        <v>8204</v>
      </c>
    </row>
    <row r="33" spans="1:5">
      <c r="B33" s="452" t="s">
        <v>8234</v>
      </c>
      <c r="C33" s="374" t="s">
        <v>8235</v>
      </c>
    </row>
    <row r="34" spans="1:5">
      <c r="A34" s="454" t="s">
        <v>8236</v>
      </c>
      <c r="B34" t="s">
        <v>8237</v>
      </c>
      <c r="E34"/>
    </row>
    <row r="36" spans="1:5">
      <c r="B36" s="152" t="s">
        <v>8238</v>
      </c>
    </row>
    <row r="37" spans="1:5">
      <c r="B37" s="152" t="s">
        <v>8239</v>
      </c>
    </row>
    <row r="38" spans="1:5">
      <c r="B38" s="152" t="s">
        <v>8240</v>
      </c>
    </row>
    <row r="39" spans="1:5">
      <c r="B39" s="152" t="s">
        <v>8241</v>
      </c>
    </row>
    <row r="40" spans="1:5">
      <c r="B40" s="152" t="s">
        <v>8242</v>
      </c>
    </row>
    <row r="41" spans="1:5">
      <c r="B41" s="152" t="s">
        <v>8243</v>
      </c>
    </row>
    <row r="42" spans="1:5">
      <c r="B42" s="152" t="s">
        <v>8244</v>
      </c>
    </row>
    <row r="43" spans="1:5">
      <c r="B43" s="152" t="s">
        <v>8245</v>
      </c>
    </row>
    <row r="44" spans="1:5">
      <c r="B44" s="152" t="s">
        <v>8246</v>
      </c>
    </row>
    <row r="45" spans="1:5">
      <c r="B45" s="152" t="s">
        <v>8247</v>
      </c>
    </row>
    <row r="46" spans="1:5">
      <c r="B46" s="152" t="s">
        <v>8248</v>
      </c>
    </row>
    <row r="47" spans="1:5">
      <c r="B47" s="152" t="s">
        <v>8249</v>
      </c>
    </row>
    <row r="48" spans="1:5">
      <c r="B48" s="152" t="s">
        <v>8250</v>
      </c>
    </row>
    <row r="49" spans="2:2">
      <c r="B49" s="152" t="s">
        <v>8251</v>
      </c>
    </row>
    <row r="50" spans="2:2">
      <c r="B50" s="152" t="s">
        <v>8252</v>
      </c>
    </row>
    <row r="51" spans="2:2">
      <c r="B51" s="152" t="s">
        <v>8253</v>
      </c>
    </row>
    <row r="52" spans="2:2">
      <c r="B52" s="152" t="s">
        <v>8254</v>
      </c>
    </row>
    <row r="53" spans="2:2">
      <c r="B53" s="152" t="s">
        <v>8255</v>
      </c>
    </row>
    <row r="54" spans="2:2">
      <c r="B54" s="152" t="s">
        <v>8256</v>
      </c>
    </row>
    <row r="55" spans="2:2">
      <c r="B55" s="152" t="s">
        <v>8257</v>
      </c>
    </row>
    <row r="56" spans="2:2">
      <c r="B56" s="152" t="s">
        <v>8258</v>
      </c>
    </row>
    <row r="57" spans="2:2">
      <c r="B57" s="152" t="s">
        <v>8259</v>
      </c>
    </row>
    <row r="58" spans="2:2">
      <c r="B58" s="152" t="s">
        <v>8260</v>
      </c>
    </row>
    <row r="59" spans="2:2">
      <c r="B59" s="152" t="s">
        <v>8261</v>
      </c>
    </row>
    <row r="60" spans="2:2">
      <c r="B60" s="152" t="s">
        <v>8262</v>
      </c>
    </row>
    <row r="61" spans="2:2">
      <c r="B61" s="152" t="s">
        <v>8263</v>
      </c>
    </row>
    <row r="62" spans="2:2">
      <c r="B62" s="152" t="s">
        <v>8264</v>
      </c>
    </row>
    <row r="63" spans="2:2">
      <c r="B63" s="152" t="s">
        <v>8265</v>
      </c>
    </row>
    <row r="64" spans="2:2">
      <c r="B64" s="152" t="s">
        <v>8266</v>
      </c>
    </row>
    <row r="65" spans="2:2">
      <c r="B65" s="152" t="s">
        <v>8267</v>
      </c>
    </row>
    <row r="66" spans="2:2">
      <c r="B66" s="152" t="s">
        <v>8268</v>
      </c>
    </row>
    <row r="67" spans="2:2">
      <c r="B67" s="152" t="s">
        <v>8269</v>
      </c>
    </row>
    <row r="68" spans="2:2">
      <c r="B68" s="152" t="s">
        <v>8270</v>
      </c>
    </row>
    <row r="69" spans="2:2">
      <c r="B69" s="152" t="s">
        <v>8271</v>
      </c>
    </row>
    <row r="70" spans="2:2">
      <c r="B70" s="152" t="s">
        <v>8272</v>
      </c>
    </row>
    <row r="71" spans="2:2">
      <c r="B71" s="152" t="s">
        <v>8273</v>
      </c>
    </row>
    <row r="72" spans="2:2">
      <c r="B72" s="152" t="s">
        <v>8274</v>
      </c>
    </row>
    <row r="73" spans="2:2">
      <c r="B73" s="152" t="s">
        <v>8275</v>
      </c>
    </row>
    <row r="74" spans="2:2">
      <c r="B74" s="152" t="s">
        <v>8276</v>
      </c>
    </row>
    <row r="75" spans="2:2">
      <c r="B75" s="152" t="s">
        <v>8277</v>
      </c>
    </row>
    <row r="76" spans="2:2">
      <c r="B76" s="152" t="s">
        <v>8278</v>
      </c>
    </row>
    <row r="77" spans="2:2">
      <c r="B77" s="152" t="s">
        <v>8279</v>
      </c>
    </row>
    <row r="78" spans="2:2">
      <c r="B78" s="152" t="s">
        <v>8280</v>
      </c>
    </row>
    <row r="79" spans="2:2">
      <c r="B79" s="152" t="s">
        <v>8281</v>
      </c>
    </row>
    <row r="80" spans="2:2">
      <c r="B80" s="152" t="s">
        <v>8282</v>
      </c>
    </row>
    <row r="81" spans="2:2">
      <c r="B81" s="152" t="s">
        <v>8283</v>
      </c>
    </row>
    <row r="82" spans="2:2">
      <c r="B82" s="152" t="s">
        <v>8284</v>
      </c>
    </row>
    <row r="83" spans="2:2">
      <c r="B83" s="152" t="s">
        <v>8285</v>
      </c>
    </row>
    <row r="84" spans="2:2">
      <c r="B84" s="152" t="s">
        <v>8286</v>
      </c>
    </row>
    <row r="85" spans="2:2">
      <c r="B85" s="152" t="s">
        <v>8287</v>
      </c>
    </row>
    <row r="86" spans="2:2">
      <c r="B86" s="152" t="s">
        <v>8288</v>
      </c>
    </row>
    <row r="87" spans="2:2">
      <c r="B87" s="152" t="s">
        <v>8289</v>
      </c>
    </row>
    <row r="88" spans="2:2">
      <c r="B88" s="152" t="s">
        <v>8290</v>
      </c>
    </row>
    <row r="89" spans="2:2">
      <c r="B89" s="152" t="s">
        <v>8291</v>
      </c>
    </row>
    <row r="90" spans="2:2">
      <c r="B90" s="152" t="s">
        <v>8292</v>
      </c>
    </row>
    <row r="91" spans="2:2">
      <c r="B91" s="152" t="s">
        <v>8293</v>
      </c>
    </row>
    <row r="92" spans="2:2">
      <c r="B92" s="152" t="s">
        <v>8294</v>
      </c>
    </row>
    <row r="93" spans="2:2">
      <c r="B93" s="152" t="s">
        <v>8295</v>
      </c>
    </row>
    <row r="94" spans="2:2">
      <c r="B94" s="152" t="s">
        <v>8296</v>
      </c>
    </row>
    <row r="95" spans="2:2">
      <c r="B95" s="152" t="s">
        <v>8297</v>
      </c>
    </row>
    <row r="96" spans="2:2">
      <c r="B96" s="152" t="s">
        <v>8298</v>
      </c>
    </row>
    <row r="97" spans="2:2">
      <c r="B97" s="152" t="s">
        <v>8299</v>
      </c>
    </row>
    <row r="98" spans="2:2">
      <c r="B98" s="152" t="s">
        <v>8300</v>
      </c>
    </row>
    <row r="99" spans="2:2">
      <c r="B99" s="152" t="s">
        <v>8301</v>
      </c>
    </row>
    <row r="100" spans="2:2">
      <c r="B100" s="152" t="s">
        <v>8302</v>
      </c>
    </row>
    <row r="101" spans="2:2">
      <c r="B101" s="152" t="s">
        <v>8303</v>
      </c>
    </row>
    <row r="102" spans="2:2">
      <c r="B102" s="152" t="s">
        <v>8304</v>
      </c>
    </row>
    <row r="103" spans="2:2">
      <c r="B103" s="152" t="s">
        <v>8305</v>
      </c>
    </row>
    <row r="104" spans="2:2">
      <c r="B104" s="152" t="s">
        <v>8306</v>
      </c>
    </row>
    <row r="105" spans="2:2">
      <c r="B105" s="152" t="s">
        <v>8307</v>
      </c>
    </row>
    <row r="106" spans="2:2">
      <c r="B106" s="152" t="s">
        <v>8308</v>
      </c>
    </row>
    <row r="107" spans="2:2">
      <c r="B107" s="152" t="s">
        <v>8309</v>
      </c>
    </row>
    <row r="108" spans="2:2">
      <c r="B108" s="152" t="s">
        <v>8310</v>
      </c>
    </row>
    <row r="109" spans="2:2">
      <c r="B109" s="152" t="s">
        <v>8311</v>
      </c>
    </row>
    <row r="110" spans="2:2">
      <c r="B110" s="152" t="s">
        <v>8312</v>
      </c>
    </row>
    <row r="111" spans="2:2">
      <c r="B111" s="152" t="s">
        <v>8313</v>
      </c>
    </row>
    <row r="112" spans="2:2">
      <c r="B112" s="152" t="s">
        <v>8314</v>
      </c>
    </row>
    <row r="113" spans="2:2">
      <c r="B113" s="152" t="s">
        <v>8315</v>
      </c>
    </row>
    <row r="114" spans="2:2">
      <c r="B114" s="152" t="s">
        <v>8316</v>
      </c>
    </row>
    <row r="115" spans="2:2">
      <c r="B115" s="152" t="s">
        <v>8317</v>
      </c>
    </row>
    <row r="116" spans="2:2">
      <c r="B116" s="152" t="s">
        <v>8318</v>
      </c>
    </row>
    <row r="117" spans="2:2">
      <c r="B117" s="152" t="s">
        <v>8319</v>
      </c>
    </row>
    <row r="118" spans="2:2">
      <c r="B118" s="152" t="s">
        <v>8320</v>
      </c>
    </row>
    <row r="119" spans="2:2">
      <c r="B119" s="152" t="s">
        <v>8321</v>
      </c>
    </row>
    <row r="120" spans="2:2">
      <c r="B120" s="152" t="s">
        <v>8322</v>
      </c>
    </row>
    <row r="121" spans="2:2">
      <c r="B121" s="152" t="s">
        <v>8323</v>
      </c>
    </row>
    <row r="122" spans="2:2">
      <c r="B122" s="152" t="s">
        <v>8324</v>
      </c>
    </row>
    <row r="123" spans="2:2">
      <c r="B123" s="152" t="s">
        <v>8325</v>
      </c>
    </row>
    <row r="124" spans="2:2">
      <c r="B124" s="152" t="s">
        <v>8326</v>
      </c>
    </row>
    <row r="125" spans="2:2">
      <c r="B125" s="152" t="s">
        <v>8327</v>
      </c>
    </row>
    <row r="126" spans="2:2">
      <c r="B126" s="152" t="s">
        <v>8328</v>
      </c>
    </row>
    <row r="127" spans="2:2">
      <c r="B127" s="152" t="s">
        <v>8329</v>
      </c>
    </row>
    <row r="128" spans="2:2">
      <c r="B128" s="152" t="s">
        <v>8330</v>
      </c>
    </row>
    <row r="129" spans="2:2">
      <c r="B129" s="152" t="s">
        <v>8331</v>
      </c>
    </row>
    <row r="130" spans="2:2">
      <c r="B130" s="152" t="s">
        <v>8332</v>
      </c>
    </row>
    <row r="131" spans="2:2">
      <c r="B131" s="152" t="s">
        <v>8333</v>
      </c>
    </row>
    <row r="132" spans="2:2">
      <c r="B132" s="152" t="s">
        <v>8334</v>
      </c>
    </row>
    <row r="133" spans="2:2">
      <c r="B133" s="152" t="s">
        <v>8335</v>
      </c>
    </row>
    <row r="134" spans="2:2">
      <c r="B134" s="152" t="s">
        <v>8336</v>
      </c>
    </row>
    <row r="135" spans="2:2">
      <c r="B135" s="152" t="s">
        <v>8337</v>
      </c>
    </row>
    <row r="136" spans="2:2">
      <c r="B136" s="152" t="s">
        <v>8338</v>
      </c>
    </row>
    <row r="137" spans="2:2">
      <c r="B137" s="152" t="s">
        <v>8339</v>
      </c>
    </row>
    <row r="138" spans="2:2">
      <c r="B138" s="152" t="s">
        <v>8340</v>
      </c>
    </row>
    <row r="139" spans="2:2">
      <c r="B139" s="152" t="s">
        <v>8341</v>
      </c>
    </row>
    <row r="140" spans="2:2">
      <c r="B140" s="152" t="s">
        <v>8342</v>
      </c>
    </row>
    <row r="141" spans="2:2">
      <c r="B141" s="152" t="s">
        <v>8343</v>
      </c>
    </row>
    <row r="142" spans="2:2">
      <c r="B142" s="152" t="s">
        <v>8344</v>
      </c>
    </row>
    <row r="143" spans="2:2">
      <c r="B143" s="152" t="s">
        <v>8345</v>
      </c>
    </row>
    <row r="144" spans="2:2">
      <c r="B144" s="152" t="s">
        <v>8346</v>
      </c>
    </row>
    <row r="145" spans="2:2">
      <c r="B145" s="152" t="s">
        <v>8347</v>
      </c>
    </row>
    <row r="146" spans="2:2">
      <c r="B146" s="152" t="s">
        <v>8348</v>
      </c>
    </row>
    <row r="147" spans="2:2">
      <c r="B147" s="152" t="s">
        <v>8349</v>
      </c>
    </row>
    <row r="148" spans="2:2">
      <c r="B148" s="152" t="s">
        <v>8350</v>
      </c>
    </row>
    <row r="149" spans="2:2">
      <c r="B149" s="152" t="s">
        <v>8351</v>
      </c>
    </row>
    <row r="150" spans="2:2">
      <c r="B150" s="152" t="s">
        <v>8352</v>
      </c>
    </row>
    <row r="151" spans="2:2">
      <c r="B151" s="152" t="s">
        <v>8353</v>
      </c>
    </row>
    <row r="152" spans="2:2">
      <c r="B152" s="152" t="s">
        <v>8354</v>
      </c>
    </row>
    <row r="153" spans="2:2">
      <c r="B153" s="152" t="s">
        <v>8355</v>
      </c>
    </row>
    <row r="154" spans="2:2">
      <c r="B154" s="152" t="s">
        <v>8356</v>
      </c>
    </row>
    <row r="155" spans="2:2">
      <c r="B155" s="152" t="s">
        <v>8357</v>
      </c>
    </row>
    <row r="156" spans="2:2">
      <c r="B156" s="152" t="s">
        <v>8358</v>
      </c>
    </row>
    <row r="157" spans="2:2">
      <c r="B157" s="152" t="s">
        <v>8359</v>
      </c>
    </row>
    <row r="158" spans="2:2">
      <c r="B158" s="152" t="s">
        <v>8360</v>
      </c>
    </row>
    <row r="159" spans="2:2">
      <c r="B159" s="152" t="s">
        <v>8361</v>
      </c>
    </row>
    <row r="160" spans="2:2">
      <c r="B160" s="152" t="s">
        <v>8362</v>
      </c>
    </row>
    <row r="161" spans="2:2">
      <c r="B161" s="152" t="s">
        <v>8363</v>
      </c>
    </row>
    <row r="162" spans="2:2">
      <c r="B162" s="152" t="s">
        <v>8364</v>
      </c>
    </row>
    <row r="163" spans="2:2">
      <c r="B163" s="152" t="s">
        <v>8365</v>
      </c>
    </row>
    <row r="164" spans="2:2">
      <c r="B164" s="152" t="s">
        <v>8366</v>
      </c>
    </row>
    <row r="165" spans="2:2">
      <c r="B165" s="152" t="s">
        <v>8367</v>
      </c>
    </row>
    <row r="166" spans="2:2">
      <c r="B166" s="152" t="s">
        <v>8368</v>
      </c>
    </row>
    <row r="167" spans="2:2">
      <c r="B167" s="152" t="s">
        <v>8369</v>
      </c>
    </row>
    <row r="168" spans="2:2">
      <c r="B168" s="152" t="s">
        <v>8370</v>
      </c>
    </row>
    <row r="169" spans="2:2">
      <c r="B169" s="152" t="s">
        <v>8371</v>
      </c>
    </row>
    <row r="170" spans="2:2">
      <c r="B170" s="152" t="s">
        <v>8372</v>
      </c>
    </row>
    <row r="171" spans="2:2">
      <c r="B171" s="152" t="s">
        <v>8373</v>
      </c>
    </row>
    <row r="172" spans="2:2">
      <c r="B172" s="152" t="s">
        <v>8374</v>
      </c>
    </row>
    <row r="173" spans="2:2">
      <c r="B173" s="152" t="s">
        <v>8375</v>
      </c>
    </row>
    <row r="174" spans="2:2">
      <c r="B174" s="152" t="s">
        <v>8376</v>
      </c>
    </row>
    <row r="175" spans="2:2">
      <c r="B175" s="152" t="s">
        <v>8377</v>
      </c>
    </row>
    <row r="176" spans="2:2">
      <c r="B176" s="152" t="s">
        <v>8378</v>
      </c>
    </row>
    <row r="177" spans="2:2">
      <c r="B177" s="152" t="s">
        <v>8379</v>
      </c>
    </row>
  </sheetData>
  <autoFilter ref="B1:U26" xr:uid="{2D240CA9-D814-4D3A-94E2-90FA557E0081}"/>
  <conditionalFormatting sqref="C13:C26">
    <cfRule type="duplicateValues" dxfId="3" priority="1"/>
  </conditionalFormatting>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D9AB-0E06-4F0B-BE83-7FB52EFBBFBC}">
  <sheetPr>
    <tabColor theme="9" tint="0.79998168889431442"/>
  </sheetPr>
  <dimension ref="B1:S12"/>
  <sheetViews>
    <sheetView workbookViewId="0">
      <selection activeCell="E7" sqref="E7"/>
    </sheetView>
  </sheetViews>
  <sheetFormatPr defaultColWidth="8.7109375" defaultRowHeight="15"/>
  <cols>
    <col min="2" max="2" width="19.42578125" style="374" customWidth="1"/>
    <col min="3" max="3" width="29.42578125" style="374" customWidth="1"/>
    <col min="6" max="6" width="97.5703125" style="374" bestFit="1" customWidth="1"/>
    <col min="17" max="17" width="37.42578125" style="374" bestFit="1" customWidth="1"/>
  </cols>
  <sheetData>
    <row r="1" spans="2:19">
      <c r="B1" s="358" t="s">
        <v>2157</v>
      </c>
      <c r="C1" s="358" t="s">
        <v>336</v>
      </c>
      <c r="D1" s="358" t="s">
        <v>337</v>
      </c>
      <c r="E1" s="358" t="s">
        <v>338</v>
      </c>
      <c r="F1" s="358" t="s">
        <v>339</v>
      </c>
      <c r="G1" t="s">
        <v>416</v>
      </c>
      <c r="H1" t="s">
        <v>417</v>
      </c>
      <c r="I1" t="s">
        <v>418</v>
      </c>
      <c r="J1" t="s">
        <v>419</v>
      </c>
      <c r="K1" t="s">
        <v>420</v>
      </c>
      <c r="L1" t="s">
        <v>421</v>
      </c>
      <c r="M1" t="s">
        <v>422</v>
      </c>
      <c r="N1" t="s">
        <v>423</v>
      </c>
      <c r="O1" t="s">
        <v>424</v>
      </c>
      <c r="P1" t="s">
        <v>425</v>
      </c>
      <c r="Q1" t="s">
        <v>426</v>
      </c>
      <c r="R1" t="s">
        <v>427</v>
      </c>
      <c r="S1" t="s">
        <v>428</v>
      </c>
    </row>
    <row r="2" spans="2:19">
      <c r="B2" s="340" t="s">
        <v>6151</v>
      </c>
      <c r="C2" t="s">
        <v>4313</v>
      </c>
      <c r="D2" t="s">
        <v>6152</v>
      </c>
      <c r="E2" s="340" t="s">
        <v>113</v>
      </c>
      <c r="F2" s="340" t="s">
        <v>8380</v>
      </c>
      <c r="G2" s="340" t="s">
        <v>8381</v>
      </c>
      <c r="H2" s="340" t="s">
        <v>8382</v>
      </c>
      <c r="I2" s="340" t="s">
        <v>8383</v>
      </c>
      <c r="J2" s="340" t="s">
        <v>8384</v>
      </c>
      <c r="K2" s="340" t="s">
        <v>8385</v>
      </c>
      <c r="L2" s="340" t="s">
        <v>8386</v>
      </c>
      <c r="M2" s="340" t="s">
        <v>6930</v>
      </c>
      <c r="N2" s="340" t="s">
        <v>6930</v>
      </c>
      <c r="O2" s="340" t="s">
        <v>8387</v>
      </c>
      <c r="P2" s="340" t="s">
        <v>1762</v>
      </c>
      <c r="Q2" s="340" t="s">
        <v>1763</v>
      </c>
      <c r="R2" s="340" t="s">
        <v>1379</v>
      </c>
      <c r="S2" s="340" t="s">
        <v>8388</v>
      </c>
    </row>
    <row r="3" spans="2:19">
      <c r="B3" s="8" t="s">
        <v>6151</v>
      </c>
      <c r="C3" t="s">
        <v>6157</v>
      </c>
      <c r="D3" t="s">
        <v>6152</v>
      </c>
      <c r="E3" s="8" t="s">
        <v>113</v>
      </c>
      <c r="F3" s="8" t="s">
        <v>8389</v>
      </c>
      <c r="G3" s="8" t="s">
        <v>435</v>
      </c>
      <c r="H3" s="8" t="s">
        <v>431</v>
      </c>
      <c r="I3" s="8" t="s">
        <v>8383</v>
      </c>
      <c r="J3" s="8" t="s">
        <v>8390</v>
      </c>
      <c r="K3" s="8" t="s">
        <v>8391</v>
      </c>
      <c r="L3" s="8" t="s">
        <v>431</v>
      </c>
      <c r="M3" s="8" t="s">
        <v>8392</v>
      </c>
      <c r="N3" s="8" t="s">
        <v>8393</v>
      </c>
      <c r="O3" s="8" t="s">
        <v>8387</v>
      </c>
      <c r="P3" s="8" t="s">
        <v>1762</v>
      </c>
      <c r="Q3" s="8" t="s">
        <v>1763</v>
      </c>
      <c r="R3" s="8" t="s">
        <v>8394</v>
      </c>
      <c r="S3" s="8" t="s">
        <v>8395</v>
      </c>
    </row>
    <row r="4" spans="2:19">
      <c r="B4" s="8" t="s">
        <v>6151</v>
      </c>
      <c r="C4" t="s">
        <v>6160</v>
      </c>
      <c r="D4" t="s">
        <v>6152</v>
      </c>
      <c r="E4" s="8" t="s">
        <v>113</v>
      </c>
      <c r="F4" s="8" t="s">
        <v>8396</v>
      </c>
      <c r="G4" s="8" t="s">
        <v>435</v>
      </c>
      <c r="H4" s="8" t="s">
        <v>431</v>
      </c>
      <c r="I4" s="8" t="s">
        <v>8383</v>
      </c>
      <c r="J4" s="8" t="s">
        <v>8397</v>
      </c>
      <c r="K4" s="8" t="s">
        <v>8391</v>
      </c>
      <c r="L4" s="8" t="s">
        <v>431</v>
      </c>
      <c r="M4" s="8" t="s">
        <v>8392</v>
      </c>
      <c r="N4" s="8" t="s">
        <v>8393</v>
      </c>
      <c r="O4" s="8" t="s">
        <v>8387</v>
      </c>
      <c r="P4" s="8" t="s">
        <v>1762</v>
      </c>
      <c r="Q4" s="8" t="s">
        <v>1763</v>
      </c>
      <c r="R4" s="8" t="s">
        <v>8398</v>
      </c>
      <c r="S4" s="8" t="s">
        <v>8399</v>
      </c>
    </row>
    <row r="5" spans="2:19">
      <c r="B5" s="8" t="s">
        <v>6151</v>
      </c>
      <c r="C5" t="s">
        <v>6163</v>
      </c>
      <c r="D5" t="s">
        <v>6152</v>
      </c>
      <c r="E5" s="8" t="s">
        <v>113</v>
      </c>
      <c r="F5" s="8" t="s">
        <v>8400</v>
      </c>
      <c r="G5" s="8" t="s">
        <v>435</v>
      </c>
      <c r="H5" s="8" t="s">
        <v>431</v>
      </c>
      <c r="I5" s="8" t="s">
        <v>8383</v>
      </c>
      <c r="J5" s="8" t="s">
        <v>8397</v>
      </c>
      <c r="K5" s="8" t="s">
        <v>8391</v>
      </c>
      <c r="L5" s="8" t="s">
        <v>431</v>
      </c>
      <c r="M5" s="8" t="s">
        <v>8401</v>
      </c>
      <c r="N5" s="8" t="s">
        <v>8402</v>
      </c>
      <c r="O5" s="8" t="s">
        <v>8387</v>
      </c>
      <c r="P5" s="8" t="s">
        <v>1762</v>
      </c>
      <c r="Q5" s="8" t="s">
        <v>8403</v>
      </c>
      <c r="R5" s="8" t="s">
        <v>8404</v>
      </c>
      <c r="S5" s="8" t="s">
        <v>8405</v>
      </c>
    </row>
    <row r="6" spans="2:19">
      <c r="B6" s="420" t="s">
        <v>6151</v>
      </c>
      <c r="C6" t="s">
        <v>5265</v>
      </c>
      <c r="D6" t="s">
        <v>6152</v>
      </c>
      <c r="E6" s="420" t="s">
        <v>113</v>
      </c>
      <c r="F6" s="420" t="s">
        <v>8406</v>
      </c>
      <c r="G6" s="420" t="s">
        <v>435</v>
      </c>
      <c r="H6" s="420" t="s">
        <v>431</v>
      </c>
      <c r="I6" s="420" t="s">
        <v>8383</v>
      </c>
      <c r="J6" s="420" t="s">
        <v>8407</v>
      </c>
      <c r="K6" s="420" t="s">
        <v>8408</v>
      </c>
      <c r="L6" s="420" t="s">
        <v>8409</v>
      </c>
      <c r="M6" s="420" t="s">
        <v>8410</v>
      </c>
      <c r="N6" s="420" t="s">
        <v>8411</v>
      </c>
      <c r="O6" s="420" t="s">
        <v>8387</v>
      </c>
      <c r="P6" s="420" t="s">
        <v>1762</v>
      </c>
      <c r="Q6" s="420" t="s">
        <v>1763</v>
      </c>
      <c r="R6" s="420" t="s">
        <v>752</v>
      </c>
      <c r="S6" s="420" t="s">
        <v>8412</v>
      </c>
    </row>
    <row r="7" spans="2:19">
      <c r="B7" s="374" t="s">
        <v>6151</v>
      </c>
      <c r="C7" t="s">
        <v>159</v>
      </c>
      <c r="D7" t="s">
        <v>6152</v>
      </c>
      <c r="E7" s="374" t="s">
        <v>113</v>
      </c>
      <c r="F7" s="374" t="s">
        <v>8413</v>
      </c>
      <c r="G7" s="374" t="s">
        <v>435</v>
      </c>
      <c r="H7" s="374" t="s">
        <v>431</v>
      </c>
      <c r="I7" s="374" t="s">
        <v>8383</v>
      </c>
      <c r="J7" s="374" t="s">
        <v>8390</v>
      </c>
      <c r="K7" s="374" t="s">
        <v>8391</v>
      </c>
      <c r="L7" s="374" t="s">
        <v>431</v>
      </c>
      <c r="M7" s="374" t="s">
        <v>8414</v>
      </c>
      <c r="N7" s="374" t="s">
        <v>8415</v>
      </c>
      <c r="O7" s="374" t="s">
        <v>8387</v>
      </c>
      <c r="P7" s="374" t="s">
        <v>1762</v>
      </c>
      <c r="Q7" s="374" t="s">
        <v>8416</v>
      </c>
      <c r="R7" s="374" t="s">
        <v>8417</v>
      </c>
      <c r="S7" s="374" t="s">
        <v>8418</v>
      </c>
    </row>
    <row r="8" spans="2:19">
      <c r="B8" s="340" t="s">
        <v>6151</v>
      </c>
      <c r="C8" t="s">
        <v>4186</v>
      </c>
      <c r="D8" t="s">
        <v>6152</v>
      </c>
      <c r="E8" s="340" t="s">
        <v>113</v>
      </c>
      <c r="F8" s="340" t="s">
        <v>8419</v>
      </c>
      <c r="G8" s="340" t="s">
        <v>435</v>
      </c>
      <c r="H8" s="340" t="s">
        <v>431</v>
      </c>
      <c r="I8" s="340" t="s">
        <v>8383</v>
      </c>
      <c r="J8" s="340" t="s">
        <v>8390</v>
      </c>
      <c r="K8" s="340" t="s">
        <v>8391</v>
      </c>
      <c r="L8" s="340" t="s">
        <v>431</v>
      </c>
      <c r="M8" s="340" t="s">
        <v>6930</v>
      </c>
      <c r="N8" s="340" t="s">
        <v>8420</v>
      </c>
      <c r="O8" s="340" t="s">
        <v>8387</v>
      </c>
      <c r="P8" s="340" t="s">
        <v>1762</v>
      </c>
      <c r="Q8" s="340" t="s">
        <v>1763</v>
      </c>
      <c r="R8" s="340" t="s">
        <v>8421</v>
      </c>
      <c r="S8" s="340" t="s">
        <v>8422</v>
      </c>
    </row>
    <row r="9" spans="2:19">
      <c r="B9" s="8" t="s">
        <v>6151</v>
      </c>
      <c r="C9" t="s">
        <v>6170</v>
      </c>
      <c r="D9" t="s">
        <v>6152</v>
      </c>
      <c r="E9" s="8" t="s">
        <v>113</v>
      </c>
      <c r="F9" s="8" t="s">
        <v>8423</v>
      </c>
      <c r="G9" s="8" t="s">
        <v>435</v>
      </c>
      <c r="H9" s="8" t="s">
        <v>8424</v>
      </c>
      <c r="I9" s="8" t="s">
        <v>8383</v>
      </c>
      <c r="J9" s="8" t="s">
        <v>8425</v>
      </c>
      <c r="K9" s="8" t="s">
        <v>8426</v>
      </c>
      <c r="L9" s="8" t="s">
        <v>8427</v>
      </c>
      <c r="M9" s="8" t="s">
        <v>6930</v>
      </c>
      <c r="N9" s="8" t="s">
        <v>6930</v>
      </c>
      <c r="O9" s="8" t="s">
        <v>8387</v>
      </c>
      <c r="P9" s="8" t="s">
        <v>1762</v>
      </c>
      <c r="Q9" s="8" t="s">
        <v>1763</v>
      </c>
      <c r="R9" s="8" t="s">
        <v>8428</v>
      </c>
      <c r="S9" s="8" t="s">
        <v>8429</v>
      </c>
    </row>
    <row r="10" spans="2:19">
      <c r="B10" s="8" t="s">
        <v>6151</v>
      </c>
      <c r="C10" t="s">
        <v>6175</v>
      </c>
      <c r="D10" t="s">
        <v>6152</v>
      </c>
      <c r="E10" s="8" t="s">
        <v>113</v>
      </c>
      <c r="F10" s="8" t="s">
        <v>8430</v>
      </c>
      <c r="G10" s="8" t="s">
        <v>435</v>
      </c>
      <c r="H10" s="8" t="s">
        <v>431</v>
      </c>
      <c r="I10" s="8" t="s">
        <v>8383</v>
      </c>
      <c r="J10" s="8" t="s">
        <v>8407</v>
      </c>
      <c r="K10" s="8" t="s">
        <v>8391</v>
      </c>
      <c r="L10" s="8" t="s">
        <v>431</v>
      </c>
      <c r="M10" s="8" t="s">
        <v>6930</v>
      </c>
      <c r="N10" s="8" t="s">
        <v>6930</v>
      </c>
      <c r="O10" s="8" t="s">
        <v>8387</v>
      </c>
      <c r="P10" s="8" t="s">
        <v>1762</v>
      </c>
      <c r="Q10" s="8" t="s">
        <v>8431</v>
      </c>
      <c r="R10" s="8" t="s">
        <v>8432</v>
      </c>
      <c r="S10" s="8" t="s">
        <v>8433</v>
      </c>
    </row>
    <row r="11" spans="2:19">
      <c r="B11" s="420" t="s">
        <v>6151</v>
      </c>
      <c r="C11" t="s">
        <v>6180</v>
      </c>
      <c r="D11" t="s">
        <v>6152</v>
      </c>
      <c r="E11" s="420" t="s">
        <v>113</v>
      </c>
      <c r="F11" s="420" t="s">
        <v>8434</v>
      </c>
      <c r="G11" s="420" t="s">
        <v>8381</v>
      </c>
      <c r="H11" s="420" t="s">
        <v>375</v>
      </c>
      <c r="I11" s="420" t="s">
        <v>8383</v>
      </c>
      <c r="J11" s="420" t="s">
        <v>6930</v>
      </c>
      <c r="K11" s="420" t="s">
        <v>8435</v>
      </c>
      <c r="L11" s="420" t="s">
        <v>6930</v>
      </c>
      <c r="M11" s="420" t="s">
        <v>6930</v>
      </c>
      <c r="N11" s="420" t="s">
        <v>6930</v>
      </c>
      <c r="O11" s="420" t="s">
        <v>8387</v>
      </c>
      <c r="P11" s="420" t="s">
        <v>1762</v>
      </c>
      <c r="Q11" s="420" t="s">
        <v>1763</v>
      </c>
      <c r="R11" s="420" t="s">
        <v>1379</v>
      </c>
      <c r="S11" s="420" t="s">
        <v>8436</v>
      </c>
    </row>
    <row r="12" spans="2:19">
      <c r="C12"/>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6358F-4414-4BE0-8F1E-3B962A0A49D4}">
  <sheetPr filterMode="1">
    <tabColor theme="9" tint="0.79998168889431442"/>
  </sheetPr>
  <dimension ref="A1:R26"/>
  <sheetViews>
    <sheetView workbookViewId="0">
      <selection activeCell="B1" sqref="B1"/>
    </sheetView>
  </sheetViews>
  <sheetFormatPr defaultColWidth="8.7109375" defaultRowHeight="15"/>
  <cols>
    <col min="1" max="1" width="12.5703125" style="374" bestFit="1" customWidth="1"/>
    <col min="2" max="2" width="19.85546875" style="374" bestFit="1" customWidth="1"/>
    <col min="3" max="3" width="11.42578125" style="374" bestFit="1" customWidth="1"/>
    <col min="4" max="4" width="18.42578125" style="374" bestFit="1" customWidth="1"/>
    <col min="5" max="5" width="63.42578125" style="374" customWidth="1"/>
  </cols>
  <sheetData>
    <row r="1" spans="1:18">
      <c r="A1" s="358" t="s">
        <v>2157</v>
      </c>
      <c r="B1" s="358" t="s">
        <v>336</v>
      </c>
      <c r="C1" s="358" t="s">
        <v>337</v>
      </c>
      <c r="D1" s="358" t="s">
        <v>338</v>
      </c>
      <c r="E1" s="358" t="s">
        <v>339</v>
      </c>
      <c r="F1" t="s">
        <v>416</v>
      </c>
      <c r="G1" t="s">
        <v>417</v>
      </c>
      <c r="H1" t="s">
        <v>418</v>
      </c>
      <c r="I1" t="s">
        <v>419</v>
      </c>
      <c r="J1" t="s">
        <v>420</v>
      </c>
      <c r="K1" t="s">
        <v>421</v>
      </c>
      <c r="L1" t="s">
        <v>422</v>
      </c>
      <c r="M1" t="s">
        <v>423</v>
      </c>
      <c r="N1" t="s">
        <v>424</v>
      </c>
      <c r="O1" t="s">
        <v>425</v>
      </c>
      <c r="P1" t="s">
        <v>426</v>
      </c>
      <c r="Q1" t="s">
        <v>427</v>
      </c>
      <c r="R1" t="s">
        <v>428</v>
      </c>
    </row>
    <row r="2" spans="1:18" hidden="1">
      <c r="A2" s="340" t="s">
        <v>8437</v>
      </c>
      <c r="B2" t="s">
        <v>8438</v>
      </c>
      <c r="C2" t="s">
        <v>8439</v>
      </c>
      <c r="D2" t="s">
        <v>81</v>
      </c>
      <c r="E2" t="s">
        <v>8440</v>
      </c>
      <c r="F2" s="340" t="s">
        <v>435</v>
      </c>
      <c r="G2" s="340" t="s">
        <v>435</v>
      </c>
      <c r="H2" s="340">
        <v>15</v>
      </c>
      <c r="I2" s="340" t="s">
        <v>8441</v>
      </c>
      <c r="J2" s="340" t="s">
        <v>431</v>
      </c>
      <c r="K2" s="340" t="s">
        <v>8441</v>
      </c>
      <c r="L2" s="340" t="s">
        <v>8442</v>
      </c>
      <c r="M2" s="340" t="s">
        <v>8442</v>
      </c>
      <c r="N2" s="340" t="s">
        <v>49</v>
      </c>
      <c r="O2" s="340" t="s">
        <v>8443</v>
      </c>
      <c r="P2" s="340" t="s">
        <v>8444</v>
      </c>
      <c r="Q2" s="340" t="s">
        <v>8445</v>
      </c>
      <c r="R2" s="340" t="s">
        <v>49</v>
      </c>
    </row>
    <row r="3" spans="1:18" hidden="1">
      <c r="A3" s="420" t="s">
        <v>8437</v>
      </c>
      <c r="B3" t="s">
        <v>8446</v>
      </c>
      <c r="C3" t="s">
        <v>8439</v>
      </c>
      <c r="D3" t="s">
        <v>81</v>
      </c>
      <c r="E3" t="s">
        <v>8447</v>
      </c>
      <c r="F3" s="420" t="s">
        <v>435</v>
      </c>
      <c r="G3" s="420" t="s">
        <v>435</v>
      </c>
      <c r="H3" s="420">
        <v>15</v>
      </c>
      <c r="I3" s="420" t="s">
        <v>8441</v>
      </c>
      <c r="J3" s="420" t="s">
        <v>431</v>
      </c>
      <c r="K3" s="420" t="s">
        <v>8441</v>
      </c>
      <c r="L3" s="420" t="s">
        <v>8442</v>
      </c>
      <c r="M3" s="420" t="s">
        <v>8442</v>
      </c>
      <c r="N3" s="420" t="s">
        <v>49</v>
      </c>
      <c r="O3" s="420" t="s">
        <v>8443</v>
      </c>
      <c r="P3" s="420" t="s">
        <v>8444</v>
      </c>
      <c r="Q3" s="420" t="s">
        <v>8448</v>
      </c>
      <c r="R3" s="420" t="s">
        <v>49</v>
      </c>
    </row>
    <row r="4" spans="1:18">
      <c r="A4" s="374" t="s">
        <v>8437</v>
      </c>
      <c r="B4" t="s">
        <v>8449</v>
      </c>
      <c r="C4" t="s">
        <v>8439</v>
      </c>
      <c r="D4" t="s">
        <v>81</v>
      </c>
      <c r="E4" t="s">
        <v>8450</v>
      </c>
      <c r="F4" s="374" t="s">
        <v>435</v>
      </c>
      <c r="G4" s="374" t="s">
        <v>6265</v>
      </c>
      <c r="H4" s="374">
        <v>30</v>
      </c>
      <c r="I4" s="374" t="s">
        <v>8451</v>
      </c>
      <c r="J4" s="374" t="s">
        <v>6265</v>
      </c>
      <c r="K4" s="374" t="s">
        <v>8451</v>
      </c>
      <c r="L4" s="374" t="s">
        <v>8442</v>
      </c>
      <c r="M4" s="374" t="s">
        <v>8442</v>
      </c>
      <c r="N4" s="374" t="s">
        <v>49</v>
      </c>
      <c r="O4" s="374" t="s">
        <v>8443</v>
      </c>
      <c r="P4" s="374" t="s">
        <v>8439</v>
      </c>
      <c r="Q4" s="374" t="s">
        <v>8452</v>
      </c>
      <c r="R4" s="374" t="s">
        <v>49</v>
      </c>
    </row>
    <row r="5" spans="1:18" hidden="1">
      <c r="A5" s="340" t="s">
        <v>8437</v>
      </c>
      <c r="B5" t="s">
        <v>6617</v>
      </c>
      <c r="C5" t="s">
        <v>8439</v>
      </c>
      <c r="D5" t="s">
        <v>81</v>
      </c>
      <c r="E5" t="s">
        <v>8453</v>
      </c>
      <c r="F5" s="340" t="s">
        <v>435</v>
      </c>
      <c r="G5" s="340" t="s">
        <v>435</v>
      </c>
      <c r="H5" s="340">
        <v>8</v>
      </c>
      <c r="I5" s="340" t="s">
        <v>8454</v>
      </c>
      <c r="J5" s="340" t="s">
        <v>431</v>
      </c>
      <c r="K5" s="340" t="s">
        <v>8454</v>
      </c>
      <c r="L5" s="340" t="s">
        <v>8442</v>
      </c>
      <c r="M5" s="340" t="s">
        <v>8442</v>
      </c>
      <c r="N5" s="340" t="s">
        <v>49</v>
      </c>
      <c r="O5" s="340" t="s">
        <v>8443</v>
      </c>
      <c r="P5" s="340" t="s">
        <v>8455</v>
      </c>
      <c r="Q5" s="340" t="s">
        <v>8456</v>
      </c>
      <c r="R5" s="340" t="s">
        <v>49</v>
      </c>
    </row>
    <row r="6" spans="1:18" hidden="1">
      <c r="A6" s="8" t="s">
        <v>8437</v>
      </c>
      <c r="B6" t="s">
        <v>8457</v>
      </c>
      <c r="C6" t="s">
        <v>8439</v>
      </c>
      <c r="D6" t="s">
        <v>81</v>
      </c>
      <c r="E6" t="s">
        <v>8458</v>
      </c>
      <c r="F6" s="8" t="s">
        <v>2191</v>
      </c>
      <c r="G6" s="8" t="s">
        <v>6265</v>
      </c>
      <c r="H6" s="8">
        <v>152</v>
      </c>
      <c r="I6" s="8" t="s">
        <v>8451</v>
      </c>
      <c r="J6" s="8" t="s">
        <v>431</v>
      </c>
      <c r="K6" s="8" t="s">
        <v>8451</v>
      </c>
      <c r="L6" s="8" t="s">
        <v>8459</v>
      </c>
      <c r="M6" s="8" t="s">
        <v>8460</v>
      </c>
      <c r="N6" s="8" t="s">
        <v>49</v>
      </c>
      <c r="O6" s="8" t="s">
        <v>8443</v>
      </c>
      <c r="P6" s="8" t="s">
        <v>8461</v>
      </c>
      <c r="Q6" s="8" t="s">
        <v>8462</v>
      </c>
      <c r="R6" s="8" t="s">
        <v>182</v>
      </c>
    </row>
    <row r="7" spans="1:18" hidden="1">
      <c r="A7" s="8" t="s">
        <v>8437</v>
      </c>
      <c r="B7" t="s">
        <v>8463</v>
      </c>
      <c r="C7" t="s">
        <v>8439</v>
      </c>
      <c r="D7" t="s">
        <v>81</v>
      </c>
      <c r="E7" t="s">
        <v>8464</v>
      </c>
      <c r="F7" s="8" t="s">
        <v>2191</v>
      </c>
      <c r="G7" s="8" t="s">
        <v>6265</v>
      </c>
      <c r="H7" s="8">
        <v>50</v>
      </c>
      <c r="I7" s="8" t="s">
        <v>8465</v>
      </c>
      <c r="J7" s="8" t="s">
        <v>431</v>
      </c>
      <c r="K7" s="8" t="s">
        <v>8465</v>
      </c>
      <c r="L7" s="8" t="s">
        <v>8466</v>
      </c>
      <c r="M7" s="8" t="s">
        <v>8467</v>
      </c>
      <c r="N7" s="8" t="s">
        <v>49</v>
      </c>
      <c r="O7" s="8" t="s">
        <v>8443</v>
      </c>
      <c r="P7" s="8" t="s">
        <v>8468</v>
      </c>
      <c r="Q7" s="8" t="s">
        <v>8462</v>
      </c>
      <c r="R7" s="8" t="s">
        <v>182</v>
      </c>
    </row>
    <row r="8" spans="1:18" hidden="1">
      <c r="A8" s="8" t="s">
        <v>8437</v>
      </c>
      <c r="B8" t="s">
        <v>7029</v>
      </c>
      <c r="C8" t="s">
        <v>8439</v>
      </c>
      <c r="D8" t="s">
        <v>81</v>
      </c>
      <c r="E8" t="s">
        <v>8469</v>
      </c>
      <c r="F8" s="8" t="s">
        <v>2400</v>
      </c>
      <c r="G8" s="8" t="s">
        <v>2400</v>
      </c>
      <c r="H8" s="8" t="s">
        <v>49</v>
      </c>
      <c r="I8" s="8" t="s">
        <v>8470</v>
      </c>
      <c r="J8" s="8" t="s">
        <v>2400</v>
      </c>
      <c r="K8" s="8" t="s">
        <v>8470</v>
      </c>
      <c r="L8" s="8" t="s">
        <v>8442</v>
      </c>
      <c r="M8" s="8" t="s">
        <v>8471</v>
      </c>
      <c r="N8" s="8" t="s">
        <v>49</v>
      </c>
      <c r="O8" s="8" t="s">
        <v>8443</v>
      </c>
      <c r="P8" s="8" t="s">
        <v>8439</v>
      </c>
      <c r="Q8" s="8" t="s">
        <v>8472</v>
      </c>
      <c r="R8" s="8" t="s">
        <v>182</v>
      </c>
    </row>
    <row r="9" spans="1:18" hidden="1">
      <c r="A9" s="8" t="s">
        <v>8437</v>
      </c>
      <c r="B9" t="s">
        <v>8473</v>
      </c>
      <c r="C9" t="s">
        <v>8439</v>
      </c>
      <c r="D9" t="s">
        <v>81</v>
      </c>
      <c r="E9" t="s">
        <v>8474</v>
      </c>
      <c r="F9" s="8" t="s">
        <v>2191</v>
      </c>
      <c r="G9" s="8" t="s">
        <v>6265</v>
      </c>
      <c r="H9" s="8">
        <v>152</v>
      </c>
      <c r="I9" s="8" t="s">
        <v>8451</v>
      </c>
      <c r="J9" s="8" t="s">
        <v>431</v>
      </c>
      <c r="K9" s="8" t="s">
        <v>8451</v>
      </c>
      <c r="L9" s="8" t="s">
        <v>8459</v>
      </c>
      <c r="M9" s="8" t="s">
        <v>8460</v>
      </c>
      <c r="N9" s="8" t="s">
        <v>49</v>
      </c>
      <c r="O9" s="8" t="s">
        <v>8443</v>
      </c>
      <c r="P9" s="8" t="s">
        <v>8475</v>
      </c>
      <c r="Q9" s="8" t="s">
        <v>8476</v>
      </c>
      <c r="R9" s="8" t="s">
        <v>182</v>
      </c>
    </row>
    <row r="10" spans="1:18" hidden="1">
      <c r="A10" s="8" t="s">
        <v>8437</v>
      </c>
      <c r="B10" t="s">
        <v>8477</v>
      </c>
      <c r="C10" t="s">
        <v>8439</v>
      </c>
      <c r="D10" t="s">
        <v>81</v>
      </c>
      <c r="E10" t="s">
        <v>8478</v>
      </c>
      <c r="F10" s="8" t="s">
        <v>435</v>
      </c>
      <c r="G10" s="8" t="s">
        <v>6265</v>
      </c>
      <c r="H10" s="8">
        <v>50</v>
      </c>
      <c r="I10" s="8" t="s">
        <v>8451</v>
      </c>
      <c r="J10" s="8" t="s">
        <v>431</v>
      </c>
      <c r="K10" s="8" t="s">
        <v>8451</v>
      </c>
      <c r="L10" s="8" t="s">
        <v>8442</v>
      </c>
      <c r="M10" s="8" t="s">
        <v>8442</v>
      </c>
      <c r="N10" s="8" t="s">
        <v>49</v>
      </c>
      <c r="O10" s="8" t="s">
        <v>8443</v>
      </c>
      <c r="P10" s="8" t="s">
        <v>8475</v>
      </c>
      <c r="Q10" s="8" t="s">
        <v>8479</v>
      </c>
      <c r="R10" s="8" t="s">
        <v>182</v>
      </c>
    </row>
    <row r="11" spans="1:18" hidden="1">
      <c r="A11" s="8" t="s">
        <v>8437</v>
      </c>
      <c r="B11" t="s">
        <v>8480</v>
      </c>
      <c r="C11" t="s">
        <v>8439</v>
      </c>
      <c r="D11" t="s">
        <v>81</v>
      </c>
      <c r="E11" t="s">
        <v>8481</v>
      </c>
      <c r="F11" s="8" t="s">
        <v>435</v>
      </c>
      <c r="G11" s="8" t="s">
        <v>6265</v>
      </c>
      <c r="H11" s="8" t="s">
        <v>49</v>
      </c>
      <c r="I11" s="8" t="s">
        <v>8451</v>
      </c>
      <c r="J11" s="8" t="s">
        <v>431</v>
      </c>
      <c r="K11" s="8" t="s">
        <v>8451</v>
      </c>
      <c r="L11" s="8" t="s">
        <v>8442</v>
      </c>
      <c r="M11" s="8" t="s">
        <v>8442</v>
      </c>
      <c r="N11" s="8" t="s">
        <v>49</v>
      </c>
      <c r="O11" s="8" t="s">
        <v>8443</v>
      </c>
      <c r="P11" s="8" t="s">
        <v>8482</v>
      </c>
      <c r="Q11" s="8" t="s">
        <v>8479</v>
      </c>
      <c r="R11" s="8" t="s">
        <v>182</v>
      </c>
    </row>
    <row r="12" spans="1:18" hidden="1">
      <c r="A12" s="8" t="s">
        <v>8437</v>
      </c>
      <c r="B12" t="s">
        <v>8483</v>
      </c>
      <c r="C12" t="s">
        <v>8439</v>
      </c>
      <c r="D12" t="s">
        <v>81</v>
      </c>
      <c r="E12" t="s">
        <v>8484</v>
      </c>
      <c r="F12" s="8" t="s">
        <v>435</v>
      </c>
      <c r="G12" s="8" t="s">
        <v>6265</v>
      </c>
      <c r="H12" s="8">
        <v>50</v>
      </c>
      <c r="I12" s="8" t="s">
        <v>8485</v>
      </c>
      <c r="J12" s="8" t="s">
        <v>431</v>
      </c>
      <c r="K12" s="8" t="s">
        <v>8485</v>
      </c>
      <c r="L12" s="8" t="s">
        <v>8442</v>
      </c>
      <c r="M12" s="8" t="s">
        <v>8442</v>
      </c>
      <c r="N12" s="8" t="s">
        <v>49</v>
      </c>
      <c r="O12" s="8" t="s">
        <v>8443</v>
      </c>
      <c r="P12" s="8" t="s">
        <v>8486</v>
      </c>
      <c r="Q12" s="8" t="s">
        <v>8487</v>
      </c>
      <c r="R12" s="8" t="s">
        <v>49</v>
      </c>
    </row>
    <row r="13" spans="1:18" hidden="1">
      <c r="A13" s="8" t="s">
        <v>8437</v>
      </c>
      <c r="B13" t="s">
        <v>8488</v>
      </c>
      <c r="C13" t="s">
        <v>8439</v>
      </c>
      <c r="D13" t="s">
        <v>81</v>
      </c>
      <c r="E13" t="s">
        <v>8489</v>
      </c>
      <c r="F13" s="8" t="s">
        <v>435</v>
      </c>
      <c r="G13" s="8" t="s">
        <v>435</v>
      </c>
      <c r="H13" s="8">
        <v>20</v>
      </c>
      <c r="I13" s="8" t="s">
        <v>8465</v>
      </c>
      <c r="J13" s="8" t="s">
        <v>431</v>
      </c>
      <c r="K13" s="8" t="s">
        <v>8465</v>
      </c>
      <c r="L13" s="8" t="s">
        <v>8442</v>
      </c>
      <c r="M13" s="8" t="s">
        <v>8442</v>
      </c>
      <c r="N13" s="8" t="s">
        <v>49</v>
      </c>
      <c r="O13" s="8" t="s">
        <v>8443</v>
      </c>
      <c r="P13" s="8" t="s">
        <v>8490</v>
      </c>
      <c r="Q13" s="8" t="s">
        <v>8491</v>
      </c>
      <c r="R13" s="8" t="s">
        <v>49</v>
      </c>
    </row>
    <row r="14" spans="1:18" hidden="1">
      <c r="A14" s="8" t="s">
        <v>8437</v>
      </c>
      <c r="B14" t="s">
        <v>2900</v>
      </c>
      <c r="C14" t="s">
        <v>8439</v>
      </c>
      <c r="D14" t="s">
        <v>81</v>
      </c>
      <c r="E14" t="s">
        <v>8492</v>
      </c>
      <c r="F14" s="8" t="s">
        <v>435</v>
      </c>
      <c r="G14" s="8" t="s">
        <v>435</v>
      </c>
      <c r="H14" s="8">
        <v>100</v>
      </c>
      <c r="I14" s="8" t="s">
        <v>8493</v>
      </c>
      <c r="J14" s="8" t="s">
        <v>431</v>
      </c>
      <c r="K14" s="8" t="s">
        <v>8493</v>
      </c>
      <c r="L14" s="8" t="s">
        <v>8442</v>
      </c>
      <c r="M14" s="8" t="s">
        <v>8442</v>
      </c>
      <c r="N14" s="8" t="s">
        <v>49</v>
      </c>
      <c r="O14" s="8" t="s">
        <v>8443</v>
      </c>
      <c r="P14" s="8" t="s">
        <v>8444</v>
      </c>
      <c r="Q14" s="8" t="s">
        <v>8494</v>
      </c>
      <c r="R14" s="8" t="s">
        <v>182</v>
      </c>
    </row>
    <row r="15" spans="1:18" hidden="1">
      <c r="A15" s="8" t="s">
        <v>8437</v>
      </c>
      <c r="B15" t="s">
        <v>8495</v>
      </c>
      <c r="C15" t="s">
        <v>8439</v>
      </c>
      <c r="D15" t="s">
        <v>81</v>
      </c>
      <c r="E15" t="s">
        <v>8496</v>
      </c>
      <c r="F15" s="8" t="s">
        <v>435</v>
      </c>
      <c r="G15" s="8" t="s">
        <v>435</v>
      </c>
      <c r="H15" s="8" t="s">
        <v>49</v>
      </c>
      <c r="I15" s="8" t="s">
        <v>8497</v>
      </c>
      <c r="J15" s="8" t="s">
        <v>431</v>
      </c>
      <c r="K15" s="8" t="s">
        <v>8497</v>
      </c>
      <c r="L15" s="8" t="s">
        <v>8442</v>
      </c>
      <c r="M15" s="8" t="s">
        <v>8442</v>
      </c>
      <c r="N15" s="8" t="s">
        <v>49</v>
      </c>
      <c r="O15" s="8" t="s">
        <v>8443</v>
      </c>
      <c r="P15" s="8" t="s">
        <v>8455</v>
      </c>
      <c r="Q15" s="8" t="s">
        <v>8498</v>
      </c>
      <c r="R15" s="8" t="s">
        <v>182</v>
      </c>
    </row>
    <row r="16" spans="1:18" hidden="1">
      <c r="A16" s="8" t="s">
        <v>8437</v>
      </c>
      <c r="B16" t="s">
        <v>8499</v>
      </c>
      <c r="C16" t="s">
        <v>8439</v>
      </c>
      <c r="D16" t="s">
        <v>81</v>
      </c>
      <c r="E16" t="s">
        <v>8500</v>
      </c>
      <c r="F16" s="8" t="s">
        <v>2400</v>
      </c>
      <c r="G16" s="8" t="s">
        <v>2400</v>
      </c>
      <c r="H16" s="8" t="s">
        <v>49</v>
      </c>
      <c r="I16" s="8" t="s">
        <v>6936</v>
      </c>
      <c r="J16" s="8" t="s">
        <v>2400</v>
      </c>
      <c r="K16" s="8" t="s">
        <v>6936</v>
      </c>
      <c r="L16" s="8" t="s">
        <v>8442</v>
      </c>
      <c r="M16" s="8" t="s">
        <v>8442</v>
      </c>
      <c r="N16" s="8" t="s">
        <v>49</v>
      </c>
      <c r="O16" s="8" t="s">
        <v>8443</v>
      </c>
      <c r="P16" s="8" t="s">
        <v>8439</v>
      </c>
      <c r="Q16" s="8" t="s">
        <v>8501</v>
      </c>
      <c r="R16" s="8" t="s">
        <v>49</v>
      </c>
    </row>
    <row r="17" spans="1:18" hidden="1">
      <c r="A17" s="8" t="s">
        <v>8437</v>
      </c>
      <c r="B17" t="s">
        <v>2308</v>
      </c>
      <c r="C17" t="s">
        <v>8439</v>
      </c>
      <c r="D17" t="s">
        <v>81</v>
      </c>
      <c r="E17" t="s">
        <v>8502</v>
      </c>
      <c r="F17" s="8" t="s">
        <v>435</v>
      </c>
      <c r="G17" s="8" t="s">
        <v>435</v>
      </c>
      <c r="H17" s="8">
        <v>10</v>
      </c>
      <c r="I17" s="8" t="s">
        <v>8503</v>
      </c>
      <c r="J17" s="8" t="s">
        <v>431</v>
      </c>
      <c r="K17" s="8" t="s">
        <v>8503</v>
      </c>
      <c r="L17" s="8" t="s">
        <v>8442</v>
      </c>
      <c r="M17" s="8" t="s">
        <v>8442</v>
      </c>
      <c r="N17" s="8" t="s">
        <v>49</v>
      </c>
      <c r="O17" s="8" t="s">
        <v>8443</v>
      </c>
      <c r="P17" s="8" t="s">
        <v>8444</v>
      </c>
      <c r="Q17" s="8" t="s">
        <v>8504</v>
      </c>
      <c r="R17" s="8" t="s">
        <v>49</v>
      </c>
    </row>
    <row r="18" spans="1:18" hidden="1">
      <c r="A18" s="8" t="s">
        <v>8437</v>
      </c>
      <c r="B18" t="s">
        <v>8505</v>
      </c>
      <c r="C18" t="s">
        <v>8439</v>
      </c>
      <c r="D18" t="s">
        <v>81</v>
      </c>
      <c r="E18" t="s">
        <v>8506</v>
      </c>
      <c r="F18" s="8" t="s">
        <v>435</v>
      </c>
      <c r="G18" s="8" t="s">
        <v>435</v>
      </c>
      <c r="H18" s="8">
        <v>50</v>
      </c>
      <c r="I18" s="8" t="s">
        <v>8497</v>
      </c>
      <c r="J18" s="8" t="s">
        <v>431</v>
      </c>
      <c r="K18" s="8" t="s">
        <v>8497</v>
      </c>
      <c r="L18" s="8" t="s">
        <v>8442</v>
      </c>
      <c r="M18" s="8" t="s">
        <v>8442</v>
      </c>
      <c r="N18" s="8" t="s">
        <v>49</v>
      </c>
      <c r="O18" s="8" t="s">
        <v>8443</v>
      </c>
      <c r="P18" s="8" t="s">
        <v>8444</v>
      </c>
      <c r="Q18" s="8" t="s">
        <v>8507</v>
      </c>
      <c r="R18" s="8" t="s">
        <v>49</v>
      </c>
    </row>
    <row r="19" spans="1:18" hidden="1">
      <c r="A19" s="8" t="s">
        <v>8437</v>
      </c>
      <c r="B19" t="s">
        <v>8508</v>
      </c>
      <c r="C19" t="s">
        <v>8439</v>
      </c>
      <c r="D19" t="s">
        <v>81</v>
      </c>
      <c r="E19" t="s">
        <v>8509</v>
      </c>
      <c r="F19" s="8" t="s">
        <v>435</v>
      </c>
      <c r="G19" s="8" t="s">
        <v>435</v>
      </c>
      <c r="H19" s="8">
        <v>50</v>
      </c>
      <c r="I19" s="8" t="s">
        <v>8497</v>
      </c>
      <c r="J19" s="8" t="s">
        <v>431</v>
      </c>
      <c r="K19" s="8" t="s">
        <v>8497</v>
      </c>
      <c r="L19" s="8" t="s">
        <v>8442</v>
      </c>
      <c r="M19" s="8" t="s">
        <v>8442</v>
      </c>
      <c r="N19" s="8" t="s">
        <v>49</v>
      </c>
      <c r="O19" s="8" t="s">
        <v>8443</v>
      </c>
      <c r="P19" s="8" t="s">
        <v>8444</v>
      </c>
      <c r="Q19" s="8" t="s">
        <v>8510</v>
      </c>
      <c r="R19" s="8" t="s">
        <v>49</v>
      </c>
    </row>
    <row r="20" spans="1:18" hidden="1">
      <c r="A20" s="8" t="s">
        <v>8437</v>
      </c>
      <c r="B20" t="s">
        <v>8511</v>
      </c>
      <c r="C20" t="s">
        <v>8439</v>
      </c>
      <c r="D20" t="s">
        <v>81</v>
      </c>
      <c r="E20" t="s">
        <v>8512</v>
      </c>
      <c r="F20" s="8" t="s">
        <v>435</v>
      </c>
      <c r="G20" s="8" t="s">
        <v>435</v>
      </c>
      <c r="H20" s="8">
        <v>50</v>
      </c>
      <c r="I20" s="8" t="s">
        <v>8497</v>
      </c>
      <c r="J20" s="8" t="s">
        <v>431</v>
      </c>
      <c r="K20" s="8" t="s">
        <v>8497</v>
      </c>
      <c r="L20" s="8" t="s">
        <v>8442</v>
      </c>
      <c r="M20" s="8" t="s">
        <v>8442</v>
      </c>
      <c r="N20" s="8" t="s">
        <v>49</v>
      </c>
      <c r="O20" s="8" t="s">
        <v>8443</v>
      </c>
      <c r="P20" s="8" t="s">
        <v>8444</v>
      </c>
      <c r="Q20" s="8" t="s">
        <v>8513</v>
      </c>
      <c r="R20" s="8" t="s">
        <v>49</v>
      </c>
    </row>
    <row r="21" spans="1:18" hidden="1">
      <c r="A21" s="8" t="s">
        <v>8437</v>
      </c>
      <c r="B21" t="s">
        <v>8514</v>
      </c>
      <c r="C21" t="s">
        <v>8439</v>
      </c>
      <c r="D21" t="s">
        <v>81</v>
      </c>
      <c r="E21" t="s">
        <v>8515</v>
      </c>
      <c r="F21" s="8" t="s">
        <v>6265</v>
      </c>
      <c r="G21" s="8" t="s">
        <v>435</v>
      </c>
      <c r="H21" s="8">
        <v>15</v>
      </c>
      <c r="I21" s="8" t="s">
        <v>8441</v>
      </c>
      <c r="J21" s="8" t="s">
        <v>6265</v>
      </c>
      <c r="K21" s="8" t="s">
        <v>8441</v>
      </c>
      <c r="L21" s="8" t="s">
        <v>8442</v>
      </c>
      <c r="M21" s="8" t="s">
        <v>8442</v>
      </c>
      <c r="N21" s="8" t="s">
        <v>49</v>
      </c>
      <c r="O21" s="8" t="s">
        <v>8443</v>
      </c>
      <c r="P21" s="8" t="s">
        <v>8444</v>
      </c>
      <c r="Q21" s="8" t="s">
        <v>8516</v>
      </c>
      <c r="R21" s="8" t="s">
        <v>49</v>
      </c>
    </row>
    <row r="22" spans="1:18" hidden="1">
      <c r="A22" s="8" t="s">
        <v>8437</v>
      </c>
      <c r="B22" t="s">
        <v>2782</v>
      </c>
      <c r="C22" t="s">
        <v>8439</v>
      </c>
      <c r="D22" t="s">
        <v>81</v>
      </c>
      <c r="E22" t="s">
        <v>8517</v>
      </c>
      <c r="F22" s="8" t="s">
        <v>435</v>
      </c>
      <c r="G22" s="8" t="s">
        <v>435</v>
      </c>
      <c r="H22" s="8">
        <v>50</v>
      </c>
      <c r="I22" s="8" t="s">
        <v>8497</v>
      </c>
      <c r="J22" s="8" t="s">
        <v>431</v>
      </c>
      <c r="K22" s="8" t="s">
        <v>8497</v>
      </c>
      <c r="L22" s="8" t="s">
        <v>8442</v>
      </c>
      <c r="M22" s="8" t="s">
        <v>8442</v>
      </c>
      <c r="N22" s="8" t="s">
        <v>49</v>
      </c>
      <c r="O22" s="8" t="s">
        <v>8443</v>
      </c>
      <c r="P22" s="8" t="s">
        <v>8518</v>
      </c>
      <c r="Q22" s="8" t="s">
        <v>8519</v>
      </c>
      <c r="R22" s="8" t="s">
        <v>49</v>
      </c>
    </row>
    <row r="23" spans="1:18" hidden="1">
      <c r="A23" s="8" t="s">
        <v>8437</v>
      </c>
      <c r="B23" t="s">
        <v>8520</v>
      </c>
      <c r="C23" t="s">
        <v>8439</v>
      </c>
      <c r="D23" t="s">
        <v>81</v>
      </c>
      <c r="E23" t="s">
        <v>8521</v>
      </c>
      <c r="F23" s="8" t="s">
        <v>2191</v>
      </c>
      <c r="G23" s="8" t="s">
        <v>435</v>
      </c>
      <c r="H23" s="8">
        <v>50</v>
      </c>
      <c r="I23" s="8" t="s">
        <v>8522</v>
      </c>
      <c r="J23" s="8" t="s">
        <v>431</v>
      </c>
      <c r="K23" s="8" t="s">
        <v>8522</v>
      </c>
      <c r="L23" s="8" t="s">
        <v>8523</v>
      </c>
      <c r="M23" s="8" t="s">
        <v>8524</v>
      </c>
      <c r="N23" s="8" t="s">
        <v>49</v>
      </c>
      <c r="O23" s="8" t="s">
        <v>8443</v>
      </c>
      <c r="P23" s="8" t="s">
        <v>8525</v>
      </c>
      <c r="Q23" s="8" t="s">
        <v>8526</v>
      </c>
      <c r="R23" s="8" t="s">
        <v>49</v>
      </c>
    </row>
    <row r="24" spans="1:18" hidden="1">
      <c r="A24" s="8" t="s">
        <v>8437</v>
      </c>
      <c r="B24" t="s">
        <v>8527</v>
      </c>
      <c r="C24" t="s">
        <v>8439</v>
      </c>
      <c r="D24" t="s">
        <v>81</v>
      </c>
      <c r="E24" t="s">
        <v>8528</v>
      </c>
      <c r="F24" s="8" t="s">
        <v>2400</v>
      </c>
      <c r="G24" s="8" t="s">
        <v>2400</v>
      </c>
      <c r="H24" s="8" t="s">
        <v>49</v>
      </c>
      <c r="I24" s="8" t="s">
        <v>2207</v>
      </c>
      <c r="J24" s="8" t="s">
        <v>2400</v>
      </c>
      <c r="K24" s="8" t="s">
        <v>2207</v>
      </c>
      <c r="L24" s="8" t="s">
        <v>8442</v>
      </c>
      <c r="M24" s="8" t="s">
        <v>8529</v>
      </c>
      <c r="N24" s="8" t="s">
        <v>49</v>
      </c>
      <c r="O24" s="8" t="s">
        <v>8443</v>
      </c>
      <c r="P24" s="8" t="s">
        <v>8439</v>
      </c>
      <c r="Q24" s="8" t="s">
        <v>8530</v>
      </c>
      <c r="R24" s="8" t="s">
        <v>49</v>
      </c>
    </row>
    <row r="25" spans="1:18" hidden="1">
      <c r="A25" s="8" t="s">
        <v>8437</v>
      </c>
      <c r="B25" t="s">
        <v>8531</v>
      </c>
      <c r="C25" t="s">
        <v>8439</v>
      </c>
      <c r="D25" t="s">
        <v>81</v>
      </c>
      <c r="E25" t="s">
        <v>8532</v>
      </c>
      <c r="F25" s="8" t="s">
        <v>8533</v>
      </c>
      <c r="G25" s="8" t="s">
        <v>8533</v>
      </c>
      <c r="H25" s="8" t="s">
        <v>49</v>
      </c>
      <c r="I25" s="8" t="s">
        <v>8534</v>
      </c>
      <c r="J25" s="8" t="s">
        <v>8533</v>
      </c>
      <c r="K25" s="8" t="s">
        <v>8534</v>
      </c>
      <c r="L25" s="8" t="s">
        <v>8442</v>
      </c>
      <c r="M25" s="8" t="s">
        <v>8535</v>
      </c>
      <c r="N25" s="8" t="s">
        <v>49</v>
      </c>
      <c r="O25" s="8" t="s">
        <v>8443</v>
      </c>
      <c r="P25" s="8" t="s">
        <v>8439</v>
      </c>
      <c r="Q25" s="8" t="s">
        <v>8536</v>
      </c>
      <c r="R25" s="8" t="s">
        <v>49</v>
      </c>
    </row>
    <row r="26" spans="1:18" hidden="1">
      <c r="A26" s="420" t="s">
        <v>8437</v>
      </c>
      <c r="B26" t="s">
        <v>2637</v>
      </c>
      <c r="C26" t="s">
        <v>8439</v>
      </c>
      <c r="D26" t="s">
        <v>81</v>
      </c>
      <c r="E26" t="s">
        <v>8537</v>
      </c>
      <c r="F26" s="420" t="s">
        <v>435</v>
      </c>
      <c r="G26" s="420" t="s">
        <v>435</v>
      </c>
      <c r="H26" s="420" t="s">
        <v>49</v>
      </c>
      <c r="I26" s="420" t="s">
        <v>8538</v>
      </c>
      <c r="J26" s="420" t="s">
        <v>431</v>
      </c>
      <c r="K26" s="420" t="s">
        <v>8538</v>
      </c>
      <c r="L26" s="420" t="s">
        <v>8442</v>
      </c>
      <c r="M26" s="420" t="s">
        <v>8442</v>
      </c>
      <c r="N26" s="420" t="s">
        <v>49</v>
      </c>
      <c r="O26" s="420" t="s">
        <v>8443</v>
      </c>
      <c r="P26" s="420" t="s">
        <v>2637</v>
      </c>
      <c r="Q26" s="420" t="s">
        <v>16</v>
      </c>
      <c r="R26" s="420" t="s">
        <v>49</v>
      </c>
    </row>
  </sheetData>
  <autoFilter ref="A1:R26" xr:uid="{8EB6358F-4414-4BE0-8F1E-3B962A0A49D4}">
    <filterColumn colId="1">
      <filters>
        <filter val="Lead Reference No"/>
      </filters>
    </filterColumn>
  </autoFilter>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4ED4A-317E-4562-BEDA-685A25066450}">
  <sheetPr>
    <tabColor rgb="FFFFFF00"/>
  </sheetPr>
  <dimension ref="A1:X29"/>
  <sheetViews>
    <sheetView topLeftCell="B1" workbookViewId="0">
      <selection activeCell="B10" sqref="B10"/>
    </sheetView>
  </sheetViews>
  <sheetFormatPr defaultColWidth="8.7109375" defaultRowHeight="15" customHeight="1"/>
  <cols>
    <col min="1" max="1" width="15.28515625" style="374" customWidth="1"/>
    <col min="2" max="2" width="29.140625" style="374" customWidth="1"/>
    <col min="3" max="3" width="21.140625" style="374" bestFit="1" customWidth="1"/>
    <col min="4" max="4" width="14.85546875" style="374" bestFit="1" customWidth="1"/>
    <col min="5" max="5" width="90.85546875" style="374" customWidth="1"/>
    <col min="6" max="6" width="36.85546875" style="374" customWidth="1"/>
    <col min="7" max="7" width="18" style="374" bestFit="1" customWidth="1"/>
    <col min="8" max="8" width="19" style="374" bestFit="1" customWidth="1"/>
    <col min="9" max="9" width="12.140625" style="374" bestFit="1" customWidth="1"/>
    <col min="10" max="10" width="21.5703125" style="374" bestFit="1" customWidth="1"/>
    <col min="11" max="11" width="24" style="374" bestFit="1" customWidth="1"/>
    <col min="12" max="12" width="40.85546875" style="374" customWidth="1"/>
    <col min="13" max="13" width="41.85546875" style="374" customWidth="1"/>
    <col min="14" max="14" width="42.85546875" style="374" customWidth="1"/>
    <col min="15" max="15" width="15.85546875" style="374" customWidth="1"/>
    <col min="24" max="24" width="30.140625" style="374" customWidth="1"/>
  </cols>
  <sheetData>
    <row r="1" spans="1:24">
      <c r="A1" s="358" t="s">
        <v>2157</v>
      </c>
      <c r="B1" s="358" t="s">
        <v>336</v>
      </c>
      <c r="C1" s="358" t="s">
        <v>337</v>
      </c>
      <c r="D1" s="358" t="s">
        <v>338</v>
      </c>
      <c r="E1" s="358" t="s">
        <v>339</v>
      </c>
      <c r="F1" s="358" t="s">
        <v>2158</v>
      </c>
      <c r="G1" s="358" t="s">
        <v>2159</v>
      </c>
      <c r="H1" s="419" t="s">
        <v>425</v>
      </c>
      <c r="I1" s="419" t="s">
        <v>2160</v>
      </c>
      <c r="J1" s="419" t="s">
        <v>426</v>
      </c>
      <c r="K1" s="419" t="s">
        <v>427</v>
      </c>
      <c r="L1" s="419" t="s">
        <v>2161</v>
      </c>
      <c r="M1" s="419" t="s">
        <v>2162</v>
      </c>
      <c r="N1" s="419" t="s">
        <v>16</v>
      </c>
      <c r="O1" s="419" t="s">
        <v>428</v>
      </c>
      <c r="P1" s="419" t="s">
        <v>416</v>
      </c>
      <c r="Q1" s="419" t="s">
        <v>417</v>
      </c>
      <c r="R1" s="419" t="s">
        <v>418</v>
      </c>
      <c r="S1" s="419" t="s">
        <v>419</v>
      </c>
      <c r="T1" s="419" t="s">
        <v>420</v>
      </c>
      <c r="U1" s="419" t="s">
        <v>421</v>
      </c>
      <c r="V1" s="419" t="s">
        <v>422</v>
      </c>
      <c r="W1" s="419" t="s">
        <v>423</v>
      </c>
      <c r="X1" s="419" t="s">
        <v>424</v>
      </c>
    </row>
    <row r="2" spans="1:24">
      <c r="A2" t="s">
        <v>8539</v>
      </c>
      <c r="B2" s="453" t="s">
        <v>8540</v>
      </c>
      <c r="C2" t="s">
        <v>341</v>
      </c>
      <c r="D2" t="s">
        <v>132</v>
      </c>
      <c r="E2" t="s">
        <v>8541</v>
      </c>
      <c r="F2" t="s">
        <v>2196</v>
      </c>
      <c r="G2" t="s">
        <v>2546</v>
      </c>
      <c r="H2" t="s">
        <v>1282</v>
      </c>
      <c r="I2" t="s">
        <v>1288</v>
      </c>
      <c r="J2" t="s">
        <v>8542</v>
      </c>
      <c r="K2" t="s">
        <v>8543</v>
      </c>
      <c r="L2" t="s">
        <v>8544</v>
      </c>
      <c r="M2"/>
      <c r="N2"/>
      <c r="O2"/>
      <c r="X2"/>
    </row>
    <row r="3" spans="1:24">
      <c r="A3" t="s">
        <v>8539</v>
      </c>
      <c r="B3" s="453" t="s">
        <v>8545</v>
      </c>
      <c r="C3" t="s">
        <v>5325</v>
      </c>
      <c r="D3" t="s">
        <v>132</v>
      </c>
      <c r="E3" t="s">
        <v>8546</v>
      </c>
      <c r="F3" t="s">
        <v>2196</v>
      </c>
      <c r="G3" t="s">
        <v>2546</v>
      </c>
      <c r="H3" t="s">
        <v>1282</v>
      </c>
      <c r="I3" t="s">
        <v>1281</v>
      </c>
      <c r="J3" t="s">
        <v>1283</v>
      </c>
      <c r="K3" t="s">
        <v>8547</v>
      </c>
      <c r="L3" t="s">
        <v>8544</v>
      </c>
      <c r="M3"/>
      <c r="N3" t="s">
        <v>8548</v>
      </c>
      <c r="O3"/>
      <c r="X3"/>
    </row>
    <row r="4" spans="1:24">
      <c r="A4" t="s">
        <v>8539</v>
      </c>
      <c r="B4" s="453" t="s">
        <v>8549</v>
      </c>
      <c r="C4" t="s">
        <v>5325</v>
      </c>
      <c r="D4" t="s">
        <v>132</v>
      </c>
      <c r="E4" t="s">
        <v>8550</v>
      </c>
      <c r="F4" t="s">
        <v>2196</v>
      </c>
      <c r="G4" t="s">
        <v>2546</v>
      </c>
      <c r="H4" t="s">
        <v>1282</v>
      </c>
      <c r="I4" t="s">
        <v>1281</v>
      </c>
      <c r="J4" t="s">
        <v>1283</v>
      </c>
      <c r="K4" t="s">
        <v>8551</v>
      </c>
      <c r="L4" t="s">
        <v>8544</v>
      </c>
      <c r="M4"/>
      <c r="N4"/>
      <c r="O4"/>
      <c r="X4"/>
    </row>
    <row r="5" spans="1:24">
      <c r="A5" t="s">
        <v>8539</v>
      </c>
      <c r="B5" s="453" t="s">
        <v>8552</v>
      </c>
      <c r="C5" t="s">
        <v>5325</v>
      </c>
      <c r="D5" t="s">
        <v>132</v>
      </c>
      <c r="E5" t="s">
        <v>8553</v>
      </c>
      <c r="F5" t="s">
        <v>2196</v>
      </c>
      <c r="G5" t="s">
        <v>2546</v>
      </c>
      <c r="H5" t="s">
        <v>1282</v>
      </c>
      <c r="I5" t="s">
        <v>1281</v>
      </c>
      <c r="J5" t="s">
        <v>1283</v>
      </c>
      <c r="K5" t="s">
        <v>8554</v>
      </c>
      <c r="L5" t="s">
        <v>8544</v>
      </c>
      <c r="M5"/>
      <c r="N5"/>
      <c r="O5"/>
      <c r="X5"/>
    </row>
    <row r="6" spans="1:24">
      <c r="A6" t="s">
        <v>8539</v>
      </c>
      <c r="B6" s="453" t="s">
        <v>7440</v>
      </c>
      <c r="C6" t="s">
        <v>5325</v>
      </c>
      <c r="D6" t="s">
        <v>132</v>
      </c>
      <c r="E6" t="s">
        <v>8555</v>
      </c>
      <c r="F6" t="s">
        <v>2196</v>
      </c>
      <c r="G6" t="s">
        <v>2546</v>
      </c>
      <c r="H6" t="s">
        <v>1282</v>
      </c>
      <c r="I6" t="s">
        <v>1281</v>
      </c>
      <c r="J6" t="s">
        <v>1283</v>
      </c>
      <c r="K6" t="s">
        <v>8556</v>
      </c>
      <c r="L6" t="s">
        <v>8544</v>
      </c>
      <c r="M6"/>
      <c r="N6"/>
      <c r="O6"/>
      <c r="X6"/>
    </row>
    <row r="7" spans="1:24">
      <c r="A7" t="s">
        <v>8539</v>
      </c>
      <c r="B7" s="453" t="s">
        <v>8557</v>
      </c>
      <c r="C7" t="s">
        <v>5325</v>
      </c>
      <c r="D7" t="s">
        <v>132</v>
      </c>
      <c r="E7" t="s">
        <v>8558</v>
      </c>
      <c r="F7" t="s">
        <v>2196</v>
      </c>
      <c r="G7" t="s">
        <v>2546</v>
      </c>
      <c r="H7" t="s">
        <v>1282</v>
      </c>
      <c r="I7" t="s">
        <v>1281</v>
      </c>
      <c r="J7" t="s">
        <v>1283</v>
      </c>
      <c r="K7" t="s">
        <v>8559</v>
      </c>
      <c r="L7" t="s">
        <v>8544</v>
      </c>
      <c r="M7"/>
      <c r="N7"/>
      <c r="O7"/>
      <c r="X7"/>
    </row>
    <row r="8" spans="1:24">
      <c r="A8" t="s">
        <v>8539</v>
      </c>
      <c r="B8" s="453" t="s">
        <v>8560</v>
      </c>
      <c r="C8" t="s">
        <v>8561</v>
      </c>
      <c r="D8" t="s">
        <v>132</v>
      </c>
      <c r="E8" t="s">
        <v>8562</v>
      </c>
      <c r="F8" t="s">
        <v>2196</v>
      </c>
      <c r="G8" t="s">
        <v>2546</v>
      </c>
      <c r="H8" t="s">
        <v>1282</v>
      </c>
      <c r="I8" t="s">
        <v>8563</v>
      </c>
      <c r="J8" t="s">
        <v>578</v>
      </c>
      <c r="K8" s="434" t="s">
        <v>8564</v>
      </c>
      <c r="L8" t="s">
        <v>8565</v>
      </c>
      <c r="M8"/>
      <c r="N8"/>
      <c r="O8"/>
      <c r="X8"/>
    </row>
    <row r="9" spans="1:24">
      <c r="A9" t="s">
        <v>8539</v>
      </c>
      <c r="B9" s="453" t="s">
        <v>8566</v>
      </c>
      <c r="C9" t="s">
        <v>8561</v>
      </c>
      <c r="D9" t="s">
        <v>132</v>
      </c>
      <c r="E9" t="s">
        <v>8567</v>
      </c>
      <c r="F9" t="s">
        <v>2196</v>
      </c>
      <c r="G9" t="s">
        <v>2546</v>
      </c>
      <c r="H9" t="s">
        <v>1282</v>
      </c>
      <c r="I9" t="s">
        <v>1281</v>
      </c>
      <c r="J9" t="s">
        <v>1283</v>
      </c>
      <c r="K9" t="s">
        <v>8568</v>
      </c>
      <c r="L9" t="s">
        <v>8544</v>
      </c>
      <c r="M9"/>
      <c r="N9"/>
      <c r="O9"/>
      <c r="X9"/>
    </row>
    <row r="10" spans="1:24">
      <c r="A10" t="s">
        <v>8539</v>
      </c>
      <c r="B10" s="453" t="s">
        <v>8569</v>
      </c>
      <c r="C10" t="s">
        <v>8561</v>
      </c>
      <c r="D10" t="s">
        <v>132</v>
      </c>
      <c r="E10" t="s">
        <v>8570</v>
      </c>
      <c r="F10" t="s">
        <v>2196</v>
      </c>
      <c r="G10" t="s">
        <v>2546</v>
      </c>
      <c r="H10" t="s">
        <v>1282</v>
      </c>
      <c r="I10" t="s">
        <v>1281</v>
      </c>
      <c r="J10" t="s">
        <v>1283</v>
      </c>
      <c r="K10" t="s">
        <v>8571</v>
      </c>
      <c r="L10" t="s">
        <v>8544</v>
      </c>
      <c r="M10"/>
      <c r="N10"/>
      <c r="O10"/>
      <c r="X10"/>
    </row>
    <row r="11" spans="1:24">
      <c r="A11" t="s">
        <v>8539</v>
      </c>
      <c r="B11" t="s">
        <v>4307</v>
      </c>
      <c r="C11" t="s">
        <v>5487</v>
      </c>
      <c r="D11" t="s">
        <v>132</v>
      </c>
      <c r="E11" t="s">
        <v>8572</v>
      </c>
      <c r="F11" t="s">
        <v>2527</v>
      </c>
      <c r="G11" t="s">
        <v>2546</v>
      </c>
      <c r="H11" t="s">
        <v>1282</v>
      </c>
      <c r="I11" t="s">
        <v>1281</v>
      </c>
      <c r="J11" t="s">
        <v>1283</v>
      </c>
      <c r="K11" t="s">
        <v>8573</v>
      </c>
      <c r="L11" t="s">
        <v>8544</v>
      </c>
      <c r="M11"/>
      <c r="N11"/>
      <c r="O11"/>
      <c r="X11"/>
    </row>
    <row r="12" spans="1:24">
      <c r="A12" t="s">
        <v>8539</v>
      </c>
      <c r="B12" t="s">
        <v>8574</v>
      </c>
      <c r="C12" t="s">
        <v>5487</v>
      </c>
      <c r="D12" t="s">
        <v>132</v>
      </c>
      <c r="E12" t="s">
        <v>8575</v>
      </c>
      <c r="F12" t="s">
        <v>2527</v>
      </c>
      <c r="G12" t="s">
        <v>2546</v>
      </c>
      <c r="H12" t="s">
        <v>1282</v>
      </c>
      <c r="I12" t="s">
        <v>1281</v>
      </c>
      <c r="J12" t="s">
        <v>1525</v>
      </c>
      <c r="K12" t="s">
        <v>8576</v>
      </c>
      <c r="L12"/>
      <c r="M12"/>
      <c r="N12"/>
      <c r="O12"/>
      <c r="X12"/>
    </row>
    <row r="13" spans="1:24">
      <c r="A13" t="s">
        <v>8539</v>
      </c>
      <c r="B13" t="s">
        <v>8577</v>
      </c>
      <c r="C13" t="s">
        <v>5487</v>
      </c>
      <c r="D13" t="s">
        <v>132</v>
      </c>
      <c r="E13" t="s">
        <v>8578</v>
      </c>
      <c r="F13" t="s">
        <v>2527</v>
      </c>
      <c r="G13" t="s">
        <v>2546</v>
      </c>
      <c r="H13" t="s">
        <v>1282</v>
      </c>
      <c r="I13" t="s">
        <v>1281</v>
      </c>
      <c r="J13" t="s">
        <v>1525</v>
      </c>
      <c r="K13" t="s">
        <v>8579</v>
      </c>
      <c r="L13"/>
      <c r="M13"/>
      <c r="N13"/>
      <c r="O13"/>
      <c r="X13"/>
    </row>
    <row r="14" spans="1:24">
      <c r="A14" t="s">
        <v>8539</v>
      </c>
      <c r="B14" t="s">
        <v>8580</v>
      </c>
      <c r="C14" t="s">
        <v>5487</v>
      </c>
      <c r="D14" t="s">
        <v>132</v>
      </c>
      <c r="E14" t="s">
        <v>8581</v>
      </c>
      <c r="F14" t="s">
        <v>2527</v>
      </c>
      <c r="G14" t="s">
        <v>8582</v>
      </c>
      <c r="H14"/>
      <c r="I14" t="s">
        <v>361</v>
      </c>
      <c r="J14" t="s">
        <v>361</v>
      </c>
      <c r="K14" t="s">
        <v>361</v>
      </c>
      <c r="L14"/>
      <c r="M14"/>
      <c r="N14"/>
      <c r="O14"/>
      <c r="X14"/>
    </row>
    <row r="15" spans="1:24">
      <c r="A15" t="s">
        <v>8539</v>
      </c>
      <c r="B15" t="s">
        <v>8583</v>
      </c>
      <c r="C15" t="s">
        <v>5487</v>
      </c>
      <c r="D15" t="s">
        <v>132</v>
      </c>
      <c r="E15" t="s">
        <v>8584</v>
      </c>
      <c r="F15" t="s">
        <v>2527</v>
      </c>
      <c r="G15" t="s">
        <v>8582</v>
      </c>
      <c r="H15"/>
      <c r="I15" t="s">
        <v>361</v>
      </c>
      <c r="J15" t="s">
        <v>361</v>
      </c>
      <c r="K15" t="s">
        <v>361</v>
      </c>
      <c r="L15"/>
      <c r="M15"/>
      <c r="N15"/>
      <c r="O15"/>
      <c r="X15"/>
    </row>
    <row r="16" spans="1:24">
      <c r="A16" t="s">
        <v>8539</v>
      </c>
      <c r="B16" t="s">
        <v>8585</v>
      </c>
      <c r="C16" t="s">
        <v>8586</v>
      </c>
      <c r="D16" t="s">
        <v>132</v>
      </c>
      <c r="E16" t="s">
        <v>8587</v>
      </c>
      <c r="F16" t="s">
        <v>2527</v>
      </c>
      <c r="G16" t="s">
        <v>2546</v>
      </c>
      <c r="H16" t="s">
        <v>1282</v>
      </c>
      <c r="I16" t="s">
        <v>1281</v>
      </c>
      <c r="J16" t="s">
        <v>1305</v>
      </c>
      <c r="K16" t="s">
        <v>8588</v>
      </c>
      <c r="L16"/>
      <c r="M16"/>
      <c r="N16"/>
      <c r="O16"/>
      <c r="X16"/>
    </row>
    <row r="17" spans="1:24">
      <c r="A17" t="s">
        <v>8539</v>
      </c>
      <c r="B17" t="s">
        <v>4237</v>
      </c>
      <c r="C17" t="s">
        <v>8586</v>
      </c>
      <c r="D17" t="s">
        <v>132</v>
      </c>
      <c r="E17" t="s">
        <v>8589</v>
      </c>
      <c r="F17" t="s">
        <v>2527</v>
      </c>
      <c r="G17" t="s">
        <v>2546</v>
      </c>
      <c r="H17" t="s">
        <v>1282</v>
      </c>
      <c r="I17" t="s">
        <v>1281</v>
      </c>
      <c r="J17" t="s">
        <v>1697</v>
      </c>
      <c r="K17" t="s">
        <v>8590</v>
      </c>
      <c r="L17"/>
      <c r="M17"/>
      <c r="N17"/>
      <c r="O17"/>
      <c r="X17"/>
    </row>
    <row r="18" spans="1:24">
      <c r="A18" t="s">
        <v>8539</v>
      </c>
      <c r="B18" t="s">
        <v>8591</v>
      </c>
      <c r="C18" t="s">
        <v>8586</v>
      </c>
      <c r="D18" t="s">
        <v>132</v>
      </c>
      <c r="E18" t="s">
        <v>8592</v>
      </c>
      <c r="F18" t="s">
        <v>2527</v>
      </c>
      <c r="G18" t="s">
        <v>2546</v>
      </c>
      <c r="H18" t="s">
        <v>1282</v>
      </c>
      <c r="I18" t="s">
        <v>1281</v>
      </c>
      <c r="J18" t="s">
        <v>1305</v>
      </c>
      <c r="K18" t="s">
        <v>8593</v>
      </c>
      <c r="L18"/>
      <c r="M18"/>
      <c r="N18"/>
      <c r="O18"/>
      <c r="X18"/>
    </row>
    <row r="19" spans="1:24">
      <c r="A19" t="s">
        <v>8539</v>
      </c>
      <c r="B19" t="s">
        <v>4427</v>
      </c>
      <c r="C19" t="s">
        <v>8586</v>
      </c>
      <c r="D19" t="s">
        <v>132</v>
      </c>
      <c r="E19" t="s">
        <v>8594</v>
      </c>
      <c r="F19" t="s">
        <v>2527</v>
      </c>
      <c r="G19" t="s">
        <v>2546</v>
      </c>
      <c r="H19" t="s">
        <v>1282</v>
      </c>
      <c r="I19" t="s">
        <v>1281</v>
      </c>
      <c r="J19" t="s">
        <v>1698</v>
      </c>
      <c r="K19" t="s">
        <v>6819</v>
      </c>
      <c r="L19"/>
      <c r="M19"/>
      <c r="N19"/>
      <c r="O19"/>
      <c r="X19"/>
    </row>
    <row r="20" spans="1:24">
      <c r="A20" t="s">
        <v>8539</v>
      </c>
      <c r="B20" t="s">
        <v>8595</v>
      </c>
      <c r="C20" t="s">
        <v>8586</v>
      </c>
      <c r="D20" t="s">
        <v>132</v>
      </c>
      <c r="E20" t="s">
        <v>8596</v>
      </c>
      <c r="F20" t="s">
        <v>2527</v>
      </c>
      <c r="G20" t="s">
        <v>2546</v>
      </c>
      <c r="H20" t="s">
        <v>1282</v>
      </c>
      <c r="I20" t="s">
        <v>1281</v>
      </c>
      <c r="J20" t="s">
        <v>1305</v>
      </c>
      <c r="K20" t="s">
        <v>8597</v>
      </c>
      <c r="L20"/>
      <c r="M20"/>
      <c r="N20"/>
      <c r="O20"/>
      <c r="X20"/>
    </row>
    <row r="21" spans="1:24">
      <c r="A21" t="s">
        <v>8539</v>
      </c>
      <c r="B21" t="s">
        <v>5789</v>
      </c>
      <c r="C21" t="s">
        <v>8586</v>
      </c>
      <c r="D21" t="s">
        <v>132</v>
      </c>
      <c r="E21" t="s">
        <v>8598</v>
      </c>
      <c r="F21" t="s">
        <v>2527</v>
      </c>
      <c r="G21" t="s">
        <v>2546</v>
      </c>
      <c r="H21" t="s">
        <v>1282</v>
      </c>
      <c r="I21" t="s">
        <v>1281</v>
      </c>
      <c r="J21" t="s">
        <v>1283</v>
      </c>
      <c r="K21" t="s">
        <v>8599</v>
      </c>
      <c r="L21" t="s">
        <v>8544</v>
      </c>
      <c r="M21"/>
      <c r="N21"/>
      <c r="O21"/>
      <c r="X21"/>
    </row>
    <row r="22" spans="1:24">
      <c r="A22" t="s">
        <v>8539</v>
      </c>
      <c r="B22" t="s">
        <v>8600</v>
      </c>
      <c r="C22" t="s">
        <v>8586</v>
      </c>
      <c r="D22" t="s">
        <v>132</v>
      </c>
      <c r="E22" t="s">
        <v>8601</v>
      </c>
      <c r="F22" t="s">
        <v>2527</v>
      </c>
      <c r="G22" t="s">
        <v>2546</v>
      </c>
      <c r="H22" t="s">
        <v>1282</v>
      </c>
      <c r="I22" t="s">
        <v>1281</v>
      </c>
      <c r="J22" t="s">
        <v>1305</v>
      </c>
      <c r="K22" t="s">
        <v>8602</v>
      </c>
      <c r="L22"/>
      <c r="M22"/>
      <c r="N22"/>
      <c r="O22"/>
      <c r="X22"/>
    </row>
    <row r="23" spans="1:24">
      <c r="A23" t="s">
        <v>8539</v>
      </c>
      <c r="B23" t="s">
        <v>8603</v>
      </c>
      <c r="C23" t="s">
        <v>8586</v>
      </c>
      <c r="D23" t="s">
        <v>132</v>
      </c>
      <c r="E23" t="s">
        <v>8604</v>
      </c>
      <c r="F23" t="s">
        <v>2527</v>
      </c>
      <c r="G23" t="s">
        <v>2546</v>
      </c>
      <c r="H23" t="s">
        <v>1282</v>
      </c>
      <c r="I23" t="s">
        <v>1281</v>
      </c>
      <c r="J23" t="s">
        <v>1305</v>
      </c>
      <c r="K23" t="s">
        <v>8605</v>
      </c>
      <c r="L23"/>
      <c r="M23"/>
      <c r="N23"/>
      <c r="O23"/>
      <c r="X23"/>
    </row>
    <row r="24" spans="1:24">
      <c r="A24" t="s">
        <v>8539</v>
      </c>
      <c r="B24" t="s">
        <v>8606</v>
      </c>
      <c r="C24" t="s">
        <v>8586</v>
      </c>
      <c r="D24" t="s">
        <v>132</v>
      </c>
      <c r="E24" t="s">
        <v>8607</v>
      </c>
      <c r="F24" t="s">
        <v>2527</v>
      </c>
      <c r="G24" t="s">
        <v>2546</v>
      </c>
      <c r="H24" t="s">
        <v>1282</v>
      </c>
      <c r="I24" t="s">
        <v>1281</v>
      </c>
      <c r="J24" t="s">
        <v>1305</v>
      </c>
      <c r="K24" t="s">
        <v>8608</v>
      </c>
      <c r="L24"/>
      <c r="M24"/>
      <c r="N24"/>
      <c r="O24"/>
      <c r="X24"/>
    </row>
    <row r="25" spans="1:24">
      <c r="A25" t="s">
        <v>8539</v>
      </c>
      <c r="B25" t="s">
        <v>8609</v>
      </c>
      <c r="C25" t="s">
        <v>8586</v>
      </c>
      <c r="D25" t="s">
        <v>132</v>
      </c>
      <c r="E25" t="s">
        <v>8610</v>
      </c>
      <c r="F25" t="s">
        <v>2527</v>
      </c>
      <c r="G25" t="s">
        <v>2546</v>
      </c>
      <c r="H25" t="s">
        <v>1282</v>
      </c>
      <c r="I25" t="s">
        <v>1281</v>
      </c>
      <c r="J25" t="s">
        <v>1283</v>
      </c>
      <c r="K25" t="s">
        <v>8611</v>
      </c>
      <c r="L25" t="s">
        <v>8544</v>
      </c>
      <c r="M25"/>
      <c r="N25"/>
      <c r="O25"/>
      <c r="X25"/>
    </row>
    <row r="26" spans="1:24" ht="15" customHeight="1">
      <c r="A26" t="s">
        <v>6858</v>
      </c>
      <c r="B26" s="439" t="s">
        <v>4580</v>
      </c>
      <c r="C26" t="s">
        <v>7993</v>
      </c>
      <c r="D26" t="s">
        <v>132</v>
      </c>
      <c r="E26" t="s">
        <v>8612</v>
      </c>
      <c r="F26" t="s">
        <v>2527</v>
      </c>
      <c r="G26" t="s">
        <v>8582</v>
      </c>
      <c r="H26"/>
      <c r="I26"/>
      <c r="J26"/>
      <c r="K26"/>
      <c r="L26"/>
      <c r="M26"/>
      <c r="N26"/>
      <c r="O26"/>
      <c r="X26"/>
    </row>
    <row r="27" spans="1:24" ht="15" customHeight="1">
      <c r="A27" t="s">
        <v>6858</v>
      </c>
      <c r="B27" s="439" t="s">
        <v>7998</v>
      </c>
      <c r="C27" t="s">
        <v>7993</v>
      </c>
      <c r="D27" t="s">
        <v>132</v>
      </c>
      <c r="E27" t="s">
        <v>8612</v>
      </c>
      <c r="F27" t="s">
        <v>2527</v>
      </c>
      <c r="G27" t="s">
        <v>8582</v>
      </c>
      <c r="H27"/>
      <c r="I27"/>
      <c r="J27"/>
      <c r="K27"/>
      <c r="L27"/>
      <c r="M27"/>
      <c r="N27"/>
      <c r="O27"/>
      <c r="X27"/>
    </row>
    <row r="28" spans="1:24" ht="15" customHeight="1">
      <c r="A28" t="s">
        <v>6858</v>
      </c>
      <c r="B28" s="439" t="s">
        <v>8001</v>
      </c>
      <c r="C28" t="s">
        <v>7993</v>
      </c>
      <c r="D28" t="s">
        <v>132</v>
      </c>
      <c r="E28" t="s">
        <v>8612</v>
      </c>
      <c r="F28" t="s">
        <v>2527</v>
      </c>
      <c r="G28" t="s">
        <v>8582</v>
      </c>
      <c r="H28"/>
      <c r="I28"/>
      <c r="J28"/>
      <c r="K28"/>
      <c r="L28"/>
      <c r="M28"/>
      <c r="N28"/>
      <c r="O28"/>
      <c r="X28"/>
    </row>
    <row r="29" spans="1:24" ht="15" customHeight="1">
      <c r="A29" t="s">
        <v>6858</v>
      </c>
      <c r="B29" s="439" t="s">
        <v>8004</v>
      </c>
      <c r="C29" t="s">
        <v>7993</v>
      </c>
      <c r="D29" t="s">
        <v>132</v>
      </c>
      <c r="E29" t="s">
        <v>8612</v>
      </c>
      <c r="F29" t="s">
        <v>2527</v>
      </c>
      <c r="G29" t="s">
        <v>8582</v>
      </c>
      <c r="H29"/>
      <c r="I29"/>
      <c r="J29"/>
      <c r="K29"/>
      <c r="L29"/>
      <c r="M29"/>
      <c r="N29"/>
      <c r="O29"/>
      <c r="X29"/>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4A9C4-45D2-43D1-8373-F2397F4C8E6F}">
  <sheetPr>
    <tabColor theme="9" tint="0.79998168889431442"/>
  </sheetPr>
  <dimension ref="B1:S74"/>
  <sheetViews>
    <sheetView workbookViewId="0">
      <selection activeCell="R9" sqref="R9"/>
    </sheetView>
  </sheetViews>
  <sheetFormatPr defaultRowHeight="15"/>
  <cols>
    <col min="3" max="3" width="28.5703125" style="8" bestFit="1" customWidth="1"/>
    <col min="4" max="4" width="17.7109375" style="8" customWidth="1"/>
    <col min="5" max="5" width="11.42578125" style="8" bestFit="1" customWidth="1"/>
    <col min="6" max="6" width="96" style="8" bestFit="1" customWidth="1"/>
    <col min="17" max="17" width="37.42578125" style="8" bestFit="1" customWidth="1"/>
  </cols>
  <sheetData>
    <row r="1" spans="2:19" ht="57.95" customHeight="1">
      <c r="B1" s="358" t="s">
        <v>2157</v>
      </c>
      <c r="C1" s="358" t="s">
        <v>336</v>
      </c>
      <c r="D1" s="358" t="s">
        <v>337</v>
      </c>
      <c r="E1" s="358" t="s">
        <v>338</v>
      </c>
      <c r="F1" s="358" t="s">
        <v>339</v>
      </c>
      <c r="G1" t="s">
        <v>416</v>
      </c>
      <c r="H1" t="s">
        <v>417</v>
      </c>
      <c r="I1" t="s">
        <v>418</v>
      </c>
      <c r="J1" t="s">
        <v>419</v>
      </c>
      <c r="K1" t="s">
        <v>420</v>
      </c>
      <c r="L1" t="s">
        <v>421</v>
      </c>
      <c r="M1" t="s">
        <v>422</v>
      </c>
      <c r="N1" t="s">
        <v>423</v>
      </c>
      <c r="O1" t="s">
        <v>424</v>
      </c>
      <c r="P1" t="s">
        <v>425</v>
      </c>
      <c r="Q1" t="s">
        <v>426</v>
      </c>
      <c r="R1" t="s">
        <v>427</v>
      </c>
      <c r="S1" t="s">
        <v>428</v>
      </c>
    </row>
    <row r="2" spans="2:19">
      <c r="B2" s="8" t="s">
        <v>8613</v>
      </c>
      <c r="C2" t="s">
        <v>340</v>
      </c>
      <c r="D2" t="s">
        <v>341</v>
      </c>
      <c r="E2" t="s">
        <v>47</v>
      </c>
      <c r="F2" t="s">
        <v>342</v>
      </c>
      <c r="H2" t="s">
        <v>8614</v>
      </c>
      <c r="J2">
        <v>30</v>
      </c>
      <c r="P2" t="s">
        <v>1760</v>
      </c>
      <c r="Q2" t="s">
        <v>1761</v>
      </c>
      <c r="R2" t="s">
        <v>6627</v>
      </c>
    </row>
    <row r="3" spans="2:19">
      <c r="B3" s="8" t="s">
        <v>8613</v>
      </c>
      <c r="C3" t="s">
        <v>343</v>
      </c>
      <c r="D3" t="s">
        <v>341</v>
      </c>
      <c r="E3" t="s">
        <v>47</v>
      </c>
      <c r="F3" t="s">
        <v>344</v>
      </c>
      <c r="H3" t="s">
        <v>8614</v>
      </c>
      <c r="J3">
        <v>100</v>
      </c>
      <c r="P3" t="s">
        <v>1760</v>
      </c>
      <c r="Q3" t="s">
        <v>8615</v>
      </c>
      <c r="R3" t="s">
        <v>8616</v>
      </c>
    </row>
    <row r="4" spans="2:19">
      <c r="B4" s="8" t="s">
        <v>8613</v>
      </c>
      <c r="C4" t="s">
        <v>345</v>
      </c>
      <c r="D4" t="s">
        <v>341</v>
      </c>
      <c r="E4" t="s">
        <v>47</v>
      </c>
      <c r="F4" t="s">
        <v>8617</v>
      </c>
      <c r="H4" t="s">
        <v>8614</v>
      </c>
      <c r="J4">
        <v>100</v>
      </c>
      <c r="P4" t="s">
        <v>1760</v>
      </c>
      <c r="Q4" t="s">
        <v>8618</v>
      </c>
      <c r="R4" t="s">
        <v>8619</v>
      </c>
    </row>
    <row r="5" spans="2:19">
      <c r="B5" s="8" t="s">
        <v>8613</v>
      </c>
      <c r="C5" t="s">
        <v>347</v>
      </c>
      <c r="D5" t="s">
        <v>341</v>
      </c>
      <c r="E5" t="s">
        <v>47</v>
      </c>
      <c r="F5" t="s">
        <v>348</v>
      </c>
      <c r="H5" t="s">
        <v>8614</v>
      </c>
      <c r="J5">
        <v>1</v>
      </c>
      <c r="P5" t="s">
        <v>1760</v>
      </c>
      <c r="Q5" t="s">
        <v>1761</v>
      </c>
      <c r="R5" t="s">
        <v>6631</v>
      </c>
    </row>
    <row r="6" spans="2:19">
      <c r="B6" s="8" t="s">
        <v>8613</v>
      </c>
      <c r="C6" t="s">
        <v>352</v>
      </c>
      <c r="D6" t="s">
        <v>341</v>
      </c>
      <c r="E6" t="s">
        <v>47</v>
      </c>
      <c r="F6" t="s">
        <v>353</v>
      </c>
      <c r="H6" t="s">
        <v>8614</v>
      </c>
      <c r="J6">
        <v>5</v>
      </c>
      <c r="P6" t="s">
        <v>1760</v>
      </c>
      <c r="Q6" t="s">
        <v>1761</v>
      </c>
      <c r="R6" t="s">
        <v>8620</v>
      </c>
    </row>
    <row r="7" spans="2:19">
      <c r="B7" s="8" t="s">
        <v>8613</v>
      </c>
      <c r="C7" t="s">
        <v>356</v>
      </c>
      <c r="D7" t="s">
        <v>350</v>
      </c>
      <c r="E7" t="s">
        <v>47</v>
      </c>
      <c r="F7" t="s">
        <v>357</v>
      </c>
      <c r="H7" t="s">
        <v>8614</v>
      </c>
      <c r="J7">
        <v>10</v>
      </c>
      <c r="P7" t="s">
        <v>1760</v>
      </c>
      <c r="Q7" t="s">
        <v>1761</v>
      </c>
      <c r="R7" t="s">
        <v>8621</v>
      </c>
    </row>
    <row r="8" spans="2:19">
      <c r="B8" s="8" t="s">
        <v>8613</v>
      </c>
      <c r="C8" t="s">
        <v>8622</v>
      </c>
      <c r="D8" t="s">
        <v>350</v>
      </c>
      <c r="E8" t="s">
        <v>47</v>
      </c>
      <c r="F8" t="s">
        <v>8623</v>
      </c>
      <c r="H8" s="8" t="s">
        <v>8614</v>
      </c>
      <c r="J8" s="8">
        <v>50</v>
      </c>
      <c r="P8" s="8" t="s">
        <v>1760</v>
      </c>
      <c r="Q8" s="8" t="s">
        <v>8624</v>
      </c>
      <c r="R8" s="8" t="s">
        <v>8625</v>
      </c>
    </row>
    <row r="9" spans="2:19">
      <c r="B9" s="8" t="s">
        <v>8613</v>
      </c>
      <c r="C9" t="s">
        <v>358</v>
      </c>
      <c r="D9" t="s">
        <v>350</v>
      </c>
      <c r="E9" t="s">
        <v>47</v>
      </c>
      <c r="F9" t="s">
        <v>8626</v>
      </c>
      <c r="H9" t="s">
        <v>7323</v>
      </c>
      <c r="P9" t="s">
        <v>1760</v>
      </c>
      <c r="Q9" t="s">
        <v>1761</v>
      </c>
      <c r="R9" t="s">
        <v>8627</v>
      </c>
    </row>
    <row r="10" spans="2:19">
      <c r="B10" s="8" t="s">
        <v>8613</v>
      </c>
      <c r="C10" t="s">
        <v>354</v>
      </c>
      <c r="D10" t="s">
        <v>350</v>
      </c>
      <c r="E10" t="s">
        <v>47</v>
      </c>
      <c r="F10" t="s">
        <v>355</v>
      </c>
      <c r="H10" t="s">
        <v>7363</v>
      </c>
      <c r="J10" t="s">
        <v>8628</v>
      </c>
      <c r="P10" t="s">
        <v>1760</v>
      </c>
      <c r="Q10" t="s">
        <v>1761</v>
      </c>
      <c r="R10" t="s">
        <v>8629</v>
      </c>
    </row>
    <row r="11" spans="2:19">
      <c r="B11" s="8" t="s">
        <v>8613</v>
      </c>
      <c r="C11" t="s">
        <v>8630</v>
      </c>
      <c r="D11" t="s">
        <v>350</v>
      </c>
      <c r="E11" t="s">
        <v>47</v>
      </c>
      <c r="F11" t="s">
        <v>8631</v>
      </c>
      <c r="H11" s="8" t="s">
        <v>7363</v>
      </c>
      <c r="J11" s="8" t="s">
        <v>8628</v>
      </c>
      <c r="P11" s="8" t="s">
        <v>1760</v>
      </c>
      <c r="Q11" s="8" t="s">
        <v>1761</v>
      </c>
      <c r="R11" s="8" t="s">
        <v>8632</v>
      </c>
    </row>
    <row r="12" spans="2:19">
      <c r="B12" s="8" t="s">
        <v>8613</v>
      </c>
      <c r="C12" t="s">
        <v>349</v>
      </c>
      <c r="D12" t="s">
        <v>350</v>
      </c>
      <c r="E12" t="s">
        <v>47</v>
      </c>
      <c r="F12" t="s">
        <v>351</v>
      </c>
      <c r="H12" t="s">
        <v>8614</v>
      </c>
      <c r="J12">
        <v>1</v>
      </c>
      <c r="P12" t="s">
        <v>1760</v>
      </c>
      <c r="Q12" t="s">
        <v>1761</v>
      </c>
      <c r="R12" t="s">
        <v>8633</v>
      </c>
    </row>
    <row r="13" spans="2:19">
      <c r="B13" s="8" t="s">
        <v>8613</v>
      </c>
      <c r="C13" t="s">
        <v>362</v>
      </c>
      <c r="D13" t="s">
        <v>350</v>
      </c>
      <c r="E13" t="s">
        <v>47</v>
      </c>
      <c r="F13" t="s">
        <v>363</v>
      </c>
      <c r="H13" t="s">
        <v>8634</v>
      </c>
      <c r="P13" t="s">
        <v>1760</v>
      </c>
      <c r="Q13" t="s">
        <v>1761</v>
      </c>
      <c r="R13" t="s">
        <v>8635</v>
      </c>
    </row>
    <row r="14" spans="2:19">
      <c r="B14" s="8" t="s">
        <v>8613</v>
      </c>
      <c r="C14" t="s">
        <v>8636</v>
      </c>
      <c r="D14" t="s">
        <v>350</v>
      </c>
      <c r="E14" t="s">
        <v>47</v>
      </c>
      <c r="F14" t="s">
        <v>8637</v>
      </c>
      <c r="H14" s="8" t="s">
        <v>6873</v>
      </c>
      <c r="J14" s="8">
        <v>1</v>
      </c>
      <c r="P14" s="8" t="s">
        <v>1760</v>
      </c>
      <c r="Q14" s="8" t="s">
        <v>1761</v>
      </c>
      <c r="R14" s="8" t="s">
        <v>8638</v>
      </c>
    </row>
    <row r="15" spans="2:19">
      <c r="B15" s="8" t="s">
        <v>8613</v>
      </c>
      <c r="C15" t="s">
        <v>8639</v>
      </c>
      <c r="D15" t="s">
        <v>8640</v>
      </c>
      <c r="E15" t="s">
        <v>47</v>
      </c>
      <c r="F15" t="s">
        <v>8641</v>
      </c>
      <c r="H15" s="8" t="s">
        <v>8614</v>
      </c>
      <c r="J15" s="8">
        <v>400</v>
      </c>
      <c r="P15" s="8" t="s">
        <v>1760</v>
      </c>
      <c r="Q15" s="8" t="s">
        <v>8642</v>
      </c>
      <c r="R15" s="8" t="s">
        <v>2183</v>
      </c>
    </row>
    <row r="16" spans="2:19">
      <c r="B16" s="8" t="s">
        <v>8613</v>
      </c>
      <c r="C16" t="s">
        <v>8643</v>
      </c>
      <c r="D16" t="s">
        <v>8640</v>
      </c>
      <c r="E16" t="s">
        <v>47</v>
      </c>
      <c r="F16" t="s">
        <v>8644</v>
      </c>
      <c r="H16" s="8" t="s">
        <v>8614</v>
      </c>
      <c r="J16" s="8">
        <v>5</v>
      </c>
      <c r="P16" s="8" t="s">
        <v>1760</v>
      </c>
      <c r="Q16" s="8" t="s">
        <v>8642</v>
      </c>
      <c r="R16" s="8" t="s">
        <v>3488</v>
      </c>
    </row>
    <row r="17" spans="2:18">
      <c r="B17" s="8" t="s">
        <v>8613</v>
      </c>
      <c r="C17" t="s">
        <v>8645</v>
      </c>
      <c r="D17" t="s">
        <v>8640</v>
      </c>
      <c r="E17" t="s">
        <v>47</v>
      </c>
      <c r="F17" t="s">
        <v>8646</v>
      </c>
      <c r="H17" s="8" t="s">
        <v>8614</v>
      </c>
      <c r="J17" s="8">
        <v>500</v>
      </c>
      <c r="P17" s="8" t="s">
        <v>1760</v>
      </c>
      <c r="Q17" s="8" t="s">
        <v>8647</v>
      </c>
      <c r="R17" s="8" t="s">
        <v>8648</v>
      </c>
    </row>
    <row r="18" spans="2:18">
      <c r="B18" s="8" t="s">
        <v>8613</v>
      </c>
      <c r="C18" t="s">
        <v>8649</v>
      </c>
      <c r="D18" t="s">
        <v>8640</v>
      </c>
      <c r="E18" t="s">
        <v>47</v>
      </c>
      <c r="F18" t="s">
        <v>8650</v>
      </c>
      <c r="H18" s="8" t="s">
        <v>8614</v>
      </c>
      <c r="J18" s="8">
        <v>300</v>
      </c>
      <c r="P18" s="8" t="s">
        <v>1760</v>
      </c>
      <c r="Q18" s="8" t="s">
        <v>8647</v>
      </c>
      <c r="R18" s="8" t="s">
        <v>8651</v>
      </c>
    </row>
    <row r="19" spans="2:18">
      <c r="B19" s="8" t="s">
        <v>8613</v>
      </c>
      <c r="C19" t="s">
        <v>8652</v>
      </c>
      <c r="D19" t="s">
        <v>8640</v>
      </c>
      <c r="E19" t="s">
        <v>47</v>
      </c>
      <c r="F19" t="s">
        <v>8653</v>
      </c>
      <c r="H19" s="8" t="s">
        <v>7363</v>
      </c>
      <c r="J19" s="8" t="s">
        <v>8628</v>
      </c>
      <c r="P19" s="8" t="s">
        <v>1760</v>
      </c>
      <c r="Q19" s="8" t="s">
        <v>8647</v>
      </c>
      <c r="R19" s="8" t="s">
        <v>8654</v>
      </c>
    </row>
    <row r="20" spans="2:18">
      <c r="B20" s="8" t="s">
        <v>8613</v>
      </c>
      <c r="C20" t="s">
        <v>8655</v>
      </c>
      <c r="D20" t="s">
        <v>8640</v>
      </c>
      <c r="E20" t="s">
        <v>47</v>
      </c>
      <c r="F20" t="s">
        <v>8656</v>
      </c>
      <c r="H20" s="8" t="s">
        <v>8614</v>
      </c>
      <c r="J20" s="8">
        <v>500</v>
      </c>
      <c r="P20" s="8" t="s">
        <v>1760</v>
      </c>
      <c r="Q20" s="8" t="s">
        <v>8647</v>
      </c>
      <c r="R20" s="8" t="s">
        <v>8657</v>
      </c>
    </row>
    <row r="21" spans="2:18">
      <c r="B21" s="8" t="s">
        <v>8613</v>
      </c>
      <c r="C21" t="s">
        <v>8658</v>
      </c>
      <c r="D21" t="s">
        <v>8659</v>
      </c>
      <c r="E21" t="s">
        <v>47</v>
      </c>
      <c r="F21" t="s">
        <v>8660</v>
      </c>
      <c r="H21" s="8" t="s">
        <v>8614</v>
      </c>
      <c r="J21" s="8">
        <v>2</v>
      </c>
      <c r="P21" s="8" t="s">
        <v>1760</v>
      </c>
      <c r="Q21" s="8" t="s">
        <v>1761</v>
      </c>
      <c r="R21" s="8" t="s">
        <v>8661</v>
      </c>
    </row>
    <row r="22" spans="2:18">
      <c r="B22" s="8" t="s">
        <v>8613</v>
      </c>
      <c r="C22" t="s">
        <v>8662</v>
      </c>
      <c r="D22" t="s">
        <v>8659</v>
      </c>
      <c r="E22" t="s">
        <v>47</v>
      </c>
      <c r="F22" t="s">
        <v>8663</v>
      </c>
      <c r="H22" s="8" t="s">
        <v>8614</v>
      </c>
      <c r="J22" s="8">
        <v>200</v>
      </c>
      <c r="P22" s="8" t="s">
        <v>1760</v>
      </c>
      <c r="Q22" s="8" t="s">
        <v>1761</v>
      </c>
      <c r="R22" s="8" t="s">
        <v>8664</v>
      </c>
    </row>
    <row r="23" spans="2:18">
      <c r="B23" s="8" t="s">
        <v>8613</v>
      </c>
      <c r="C23" t="s">
        <v>8665</v>
      </c>
      <c r="D23" t="s">
        <v>8659</v>
      </c>
      <c r="E23" t="s">
        <v>47</v>
      </c>
      <c r="F23" t="s">
        <v>8666</v>
      </c>
      <c r="H23" s="8" t="s">
        <v>8614</v>
      </c>
      <c r="J23" s="8">
        <v>5</v>
      </c>
      <c r="P23" s="8" t="s">
        <v>1760</v>
      </c>
      <c r="Q23" s="8" t="s">
        <v>1761</v>
      </c>
      <c r="R23" s="8" t="s">
        <v>8667</v>
      </c>
    </row>
    <row r="24" spans="2:18">
      <c r="B24" s="8" t="s">
        <v>8613</v>
      </c>
      <c r="C24" t="s">
        <v>8668</v>
      </c>
      <c r="D24" t="s">
        <v>8659</v>
      </c>
      <c r="E24" t="s">
        <v>47</v>
      </c>
      <c r="F24" t="s">
        <v>8669</v>
      </c>
      <c r="H24" s="8" t="s">
        <v>8614</v>
      </c>
      <c r="J24" s="8">
        <v>200</v>
      </c>
      <c r="P24" s="8" t="s">
        <v>1760</v>
      </c>
      <c r="Q24" s="8" t="s">
        <v>1761</v>
      </c>
      <c r="R24" s="8" t="s">
        <v>8664</v>
      </c>
    </row>
    <row r="25" spans="2:18">
      <c r="B25" s="8" t="s">
        <v>8613</v>
      </c>
      <c r="C25" t="s">
        <v>8670</v>
      </c>
      <c r="D25" t="s">
        <v>8659</v>
      </c>
      <c r="E25" t="s">
        <v>47</v>
      </c>
      <c r="F25" t="s">
        <v>8671</v>
      </c>
      <c r="H25" s="8" t="s">
        <v>8614</v>
      </c>
      <c r="J25" s="8">
        <v>10</v>
      </c>
      <c r="P25" s="8" t="s">
        <v>1760</v>
      </c>
      <c r="Q25" s="8" t="s">
        <v>1761</v>
      </c>
      <c r="R25" s="8" t="s">
        <v>8672</v>
      </c>
    </row>
    <row r="26" spans="2:18">
      <c r="B26" s="8" t="s">
        <v>8613</v>
      </c>
      <c r="C26" t="s">
        <v>8673</v>
      </c>
      <c r="D26" t="s">
        <v>8659</v>
      </c>
      <c r="E26" t="s">
        <v>47</v>
      </c>
      <c r="F26" t="s">
        <v>8674</v>
      </c>
      <c r="H26" s="8" t="s">
        <v>6873</v>
      </c>
      <c r="J26" s="8">
        <v>1</v>
      </c>
      <c r="P26" s="8" t="s">
        <v>1760</v>
      </c>
      <c r="Q26" s="8" t="s">
        <v>1761</v>
      </c>
      <c r="R26" s="8" t="s">
        <v>8675</v>
      </c>
    </row>
    <row r="27" spans="2:18">
      <c r="B27" s="8" t="s">
        <v>8613</v>
      </c>
      <c r="C27" t="s">
        <v>8676</v>
      </c>
      <c r="D27" t="s">
        <v>8659</v>
      </c>
      <c r="E27" t="s">
        <v>47</v>
      </c>
      <c r="F27" t="s">
        <v>8677</v>
      </c>
      <c r="H27" s="8" t="s">
        <v>8614</v>
      </c>
      <c r="J27" s="8">
        <v>2</v>
      </c>
      <c r="P27" s="8" t="s">
        <v>1760</v>
      </c>
      <c r="Q27" s="8" t="s">
        <v>1761</v>
      </c>
      <c r="R27" s="8" t="s">
        <v>8678</v>
      </c>
    </row>
    <row r="28" spans="2:18">
      <c r="B28" s="8" t="s">
        <v>8613</v>
      </c>
      <c r="C28" t="s">
        <v>8679</v>
      </c>
      <c r="D28" t="s">
        <v>8659</v>
      </c>
      <c r="E28" t="s">
        <v>47</v>
      </c>
      <c r="F28" t="s">
        <v>8680</v>
      </c>
      <c r="H28" s="8" t="s">
        <v>7363</v>
      </c>
      <c r="J28" s="8" t="s">
        <v>8628</v>
      </c>
      <c r="P28" s="8" t="s">
        <v>1760</v>
      </c>
      <c r="Q28" s="8" t="s">
        <v>8681</v>
      </c>
      <c r="R28" s="8" t="s">
        <v>8682</v>
      </c>
    </row>
    <row r="29" spans="2:18">
      <c r="B29" s="8" t="s">
        <v>8613</v>
      </c>
      <c r="C29" t="s">
        <v>8683</v>
      </c>
      <c r="D29" t="s">
        <v>8659</v>
      </c>
      <c r="E29" t="s">
        <v>47</v>
      </c>
      <c r="F29" t="s">
        <v>8684</v>
      </c>
      <c r="H29" s="8" t="s">
        <v>8685</v>
      </c>
      <c r="P29" s="8" t="s">
        <v>1760</v>
      </c>
      <c r="Q29" s="8" t="s">
        <v>8681</v>
      </c>
      <c r="R29" s="8" t="s">
        <v>8686</v>
      </c>
    </row>
    <row r="30" spans="2:18">
      <c r="B30" s="8" t="s">
        <v>8613</v>
      </c>
      <c r="C30" t="s">
        <v>8687</v>
      </c>
      <c r="D30" t="s">
        <v>8659</v>
      </c>
      <c r="E30" t="s">
        <v>47</v>
      </c>
      <c r="F30" t="s">
        <v>8688</v>
      </c>
      <c r="H30" s="8" t="s">
        <v>8614</v>
      </c>
      <c r="J30" s="8">
        <v>200</v>
      </c>
      <c r="P30" s="8" t="s">
        <v>1760</v>
      </c>
      <c r="Q30" s="8" t="s">
        <v>1761</v>
      </c>
      <c r="R30" s="8" t="s">
        <v>8689</v>
      </c>
    </row>
    <row r="31" spans="2:18">
      <c r="B31" s="8" t="s">
        <v>8613</v>
      </c>
      <c r="C31" t="s">
        <v>8690</v>
      </c>
      <c r="D31" t="s">
        <v>8659</v>
      </c>
      <c r="E31" t="s">
        <v>47</v>
      </c>
      <c r="F31" t="s">
        <v>8671</v>
      </c>
      <c r="H31" s="8" t="s">
        <v>8614</v>
      </c>
      <c r="J31" s="8">
        <v>10</v>
      </c>
      <c r="P31" s="8" t="s">
        <v>1760</v>
      </c>
      <c r="Q31" s="8" t="s">
        <v>1761</v>
      </c>
      <c r="R31" s="8" t="s">
        <v>8672</v>
      </c>
    </row>
    <row r="32" spans="2:18">
      <c r="B32" s="8" t="s">
        <v>8613</v>
      </c>
      <c r="C32" t="s">
        <v>8691</v>
      </c>
      <c r="D32" t="s">
        <v>8659</v>
      </c>
      <c r="E32" t="s">
        <v>47</v>
      </c>
      <c r="F32" t="s">
        <v>8692</v>
      </c>
      <c r="H32" s="8" t="s">
        <v>7363</v>
      </c>
      <c r="J32" s="8" t="s">
        <v>8628</v>
      </c>
      <c r="P32" s="8" t="s">
        <v>1760</v>
      </c>
      <c r="Q32" s="8" t="s">
        <v>8681</v>
      </c>
      <c r="R32" s="8" t="s">
        <v>8693</v>
      </c>
    </row>
    <row r="33" spans="2:18">
      <c r="B33" s="8" t="s">
        <v>8613</v>
      </c>
      <c r="C33" t="s">
        <v>8694</v>
      </c>
      <c r="D33" t="s">
        <v>8659</v>
      </c>
      <c r="E33" t="s">
        <v>47</v>
      </c>
      <c r="F33" t="s">
        <v>8695</v>
      </c>
      <c r="H33" s="8" t="s">
        <v>8685</v>
      </c>
      <c r="P33" s="8" t="s">
        <v>1760</v>
      </c>
      <c r="Q33" s="8" t="s">
        <v>8681</v>
      </c>
      <c r="R33" s="8" t="s">
        <v>8696</v>
      </c>
    </row>
    <row r="34" spans="2:18">
      <c r="B34" s="8" t="s">
        <v>8613</v>
      </c>
      <c r="C34" t="s">
        <v>4363</v>
      </c>
      <c r="D34" t="s">
        <v>8659</v>
      </c>
      <c r="E34" t="s">
        <v>47</v>
      </c>
      <c r="F34" t="s">
        <v>8697</v>
      </c>
      <c r="H34" s="8" t="s">
        <v>7363</v>
      </c>
      <c r="J34" s="8" t="s">
        <v>8628</v>
      </c>
      <c r="P34" s="8" t="s">
        <v>1760</v>
      </c>
      <c r="Q34" s="8" t="s">
        <v>8698</v>
      </c>
      <c r="R34" s="8" t="s">
        <v>8149</v>
      </c>
    </row>
    <row r="35" spans="2:18">
      <c r="B35" s="8" t="s">
        <v>8613</v>
      </c>
      <c r="C35" t="s">
        <v>8699</v>
      </c>
      <c r="D35" t="s">
        <v>8659</v>
      </c>
      <c r="E35" t="s">
        <v>47</v>
      </c>
      <c r="F35" t="s">
        <v>8700</v>
      </c>
      <c r="H35" s="8" t="s">
        <v>2400</v>
      </c>
      <c r="P35" s="8" t="s">
        <v>1760</v>
      </c>
      <c r="Q35" s="8" t="s">
        <v>8698</v>
      </c>
      <c r="R35" s="8" t="s">
        <v>8134</v>
      </c>
    </row>
    <row r="36" spans="2:18">
      <c r="B36" s="8" t="s">
        <v>8613</v>
      </c>
      <c r="C36" t="s">
        <v>8701</v>
      </c>
      <c r="D36" t="s">
        <v>8659</v>
      </c>
      <c r="E36" t="s">
        <v>47</v>
      </c>
      <c r="F36" t="s">
        <v>8702</v>
      </c>
      <c r="H36" s="8" t="s">
        <v>2400</v>
      </c>
      <c r="P36" s="8" t="s">
        <v>1760</v>
      </c>
      <c r="Q36" s="8" t="s">
        <v>8698</v>
      </c>
      <c r="R36" s="8" t="s">
        <v>8703</v>
      </c>
    </row>
    <row r="37" spans="2:18">
      <c r="B37" s="8" t="s">
        <v>8613</v>
      </c>
      <c r="C37" t="s">
        <v>8704</v>
      </c>
      <c r="D37" t="s">
        <v>8659</v>
      </c>
      <c r="E37" t="s">
        <v>47</v>
      </c>
      <c r="F37" t="s">
        <v>8705</v>
      </c>
      <c r="H37" s="8" t="s">
        <v>2400</v>
      </c>
      <c r="P37" s="8" t="s">
        <v>1760</v>
      </c>
      <c r="Q37" s="8" t="s">
        <v>8698</v>
      </c>
      <c r="R37" s="8" t="s">
        <v>8706</v>
      </c>
    </row>
    <row r="38" spans="2:18">
      <c r="B38" s="8" t="s">
        <v>8613</v>
      </c>
      <c r="C38" t="s">
        <v>8707</v>
      </c>
      <c r="D38" t="s">
        <v>8659</v>
      </c>
      <c r="E38" t="s">
        <v>47</v>
      </c>
      <c r="F38" t="s">
        <v>8708</v>
      </c>
      <c r="H38" s="8" t="s">
        <v>8634</v>
      </c>
      <c r="P38" s="8" t="s">
        <v>1760</v>
      </c>
      <c r="Q38" s="8" t="s">
        <v>8681</v>
      </c>
      <c r="R38" s="8" t="s">
        <v>8709</v>
      </c>
    </row>
    <row r="39" spans="2:18">
      <c r="B39" s="8" t="s">
        <v>8613</v>
      </c>
      <c r="C39" t="s">
        <v>8710</v>
      </c>
      <c r="D39" t="s">
        <v>8659</v>
      </c>
      <c r="E39" t="s">
        <v>47</v>
      </c>
      <c r="F39" t="s">
        <v>8711</v>
      </c>
      <c r="H39" s="8" t="s">
        <v>8685</v>
      </c>
      <c r="P39" s="8" t="s">
        <v>1760</v>
      </c>
      <c r="Q39" s="8" t="s">
        <v>8681</v>
      </c>
      <c r="R39" s="8" t="s">
        <v>8712</v>
      </c>
    </row>
    <row r="40" spans="2:18">
      <c r="B40" s="8" t="s">
        <v>8613</v>
      </c>
      <c r="C40" t="s">
        <v>8713</v>
      </c>
      <c r="D40" t="s">
        <v>8659</v>
      </c>
      <c r="E40" t="s">
        <v>47</v>
      </c>
      <c r="F40" t="s">
        <v>8714</v>
      </c>
      <c r="H40" s="8" t="s">
        <v>8685</v>
      </c>
      <c r="P40" s="8" t="s">
        <v>1760</v>
      </c>
      <c r="Q40" s="8" t="s">
        <v>8681</v>
      </c>
      <c r="R40" s="8" t="s">
        <v>8715</v>
      </c>
    </row>
    <row r="41" spans="2:18">
      <c r="B41" s="8" t="s">
        <v>8613</v>
      </c>
      <c r="C41" t="s">
        <v>8716</v>
      </c>
      <c r="D41" t="s">
        <v>3919</v>
      </c>
      <c r="E41" t="s">
        <v>47</v>
      </c>
      <c r="F41" t="s">
        <v>8717</v>
      </c>
      <c r="H41" s="8" t="s">
        <v>8614</v>
      </c>
      <c r="J41" s="8">
        <v>10</v>
      </c>
      <c r="P41" s="8" t="s">
        <v>1760</v>
      </c>
      <c r="Q41" s="8" t="s">
        <v>8647</v>
      </c>
      <c r="R41" s="8" t="s">
        <v>8718</v>
      </c>
    </row>
    <row r="42" spans="2:18">
      <c r="B42" s="8" t="s">
        <v>8613</v>
      </c>
      <c r="C42" t="s">
        <v>8719</v>
      </c>
      <c r="D42" t="s">
        <v>3919</v>
      </c>
      <c r="E42" t="s">
        <v>47</v>
      </c>
      <c r="F42" t="s">
        <v>8720</v>
      </c>
      <c r="H42" s="8" t="s">
        <v>8614</v>
      </c>
      <c r="J42" s="8">
        <v>10</v>
      </c>
      <c r="P42" s="8" t="s">
        <v>1760</v>
      </c>
      <c r="Q42" s="8" t="s">
        <v>8647</v>
      </c>
      <c r="R42" s="8" t="s">
        <v>8721</v>
      </c>
    </row>
    <row r="43" spans="2:18">
      <c r="B43" s="8" t="s">
        <v>8613</v>
      </c>
      <c r="C43" t="s">
        <v>8722</v>
      </c>
      <c r="D43" t="s">
        <v>3919</v>
      </c>
      <c r="E43" t="s">
        <v>47</v>
      </c>
      <c r="F43" t="s">
        <v>8723</v>
      </c>
      <c r="H43" s="8" t="s">
        <v>6873</v>
      </c>
      <c r="J43" s="8">
        <v>1</v>
      </c>
      <c r="P43" s="8" t="s">
        <v>1760</v>
      </c>
      <c r="Q43" s="8" t="s">
        <v>8647</v>
      </c>
      <c r="R43" s="8" t="s">
        <v>8724</v>
      </c>
    </row>
    <row r="44" spans="2:18">
      <c r="B44" s="8" t="s">
        <v>8613</v>
      </c>
      <c r="C44" t="s">
        <v>8725</v>
      </c>
      <c r="D44" t="s">
        <v>3919</v>
      </c>
      <c r="E44" t="s">
        <v>47</v>
      </c>
      <c r="F44" t="s">
        <v>8726</v>
      </c>
      <c r="H44" s="8" t="s">
        <v>8614</v>
      </c>
      <c r="J44" s="8">
        <v>10</v>
      </c>
      <c r="P44" s="8" t="s">
        <v>1760</v>
      </c>
      <c r="Q44" s="8" t="s">
        <v>8647</v>
      </c>
      <c r="R44" s="8" t="s">
        <v>8727</v>
      </c>
    </row>
    <row r="45" spans="2:18">
      <c r="B45" s="8" t="s">
        <v>8613</v>
      </c>
      <c r="C45" t="s">
        <v>8728</v>
      </c>
      <c r="D45" t="s">
        <v>3919</v>
      </c>
      <c r="E45" t="s">
        <v>47</v>
      </c>
      <c r="F45" t="s">
        <v>8729</v>
      </c>
      <c r="H45" s="8" t="s">
        <v>8614</v>
      </c>
      <c r="J45" s="8">
        <v>20</v>
      </c>
      <c r="P45" s="8" t="s">
        <v>1760</v>
      </c>
      <c r="Q45" s="8" t="s">
        <v>1761</v>
      </c>
      <c r="R45" s="8" t="s">
        <v>8730</v>
      </c>
    </row>
    <row r="46" spans="2:18">
      <c r="B46" s="8" t="s">
        <v>8613</v>
      </c>
      <c r="C46" t="s">
        <v>6646</v>
      </c>
      <c r="D46" t="s">
        <v>3919</v>
      </c>
      <c r="E46" t="s">
        <v>47</v>
      </c>
      <c r="F46" t="s">
        <v>8731</v>
      </c>
      <c r="H46" s="8" t="s">
        <v>8614</v>
      </c>
      <c r="J46" s="8">
        <v>20</v>
      </c>
      <c r="P46" s="8" t="s">
        <v>1760</v>
      </c>
      <c r="Q46" s="8" t="s">
        <v>1761</v>
      </c>
      <c r="R46" s="8" t="s">
        <v>8732</v>
      </c>
    </row>
    <row r="47" spans="2:18">
      <c r="B47" s="8" t="s">
        <v>8613</v>
      </c>
      <c r="C47" t="s">
        <v>8733</v>
      </c>
      <c r="D47" t="s">
        <v>3919</v>
      </c>
      <c r="E47" t="s">
        <v>47</v>
      </c>
      <c r="F47" t="s">
        <v>8734</v>
      </c>
      <c r="H47" s="8" t="s">
        <v>6873</v>
      </c>
      <c r="J47" s="8">
        <v>1</v>
      </c>
      <c r="P47" s="8" t="s">
        <v>1760</v>
      </c>
      <c r="Q47" s="8" t="s">
        <v>8647</v>
      </c>
      <c r="R47" s="8" t="s">
        <v>8735</v>
      </c>
    </row>
    <row r="48" spans="2:18">
      <c r="B48" s="8" t="s">
        <v>8613</v>
      </c>
      <c r="C48" t="s">
        <v>5797</v>
      </c>
      <c r="D48" t="s">
        <v>3919</v>
      </c>
      <c r="E48" t="s">
        <v>47</v>
      </c>
      <c r="F48" t="s">
        <v>8736</v>
      </c>
      <c r="H48" s="8" t="s">
        <v>6906</v>
      </c>
      <c r="P48" s="8" t="s">
        <v>1760</v>
      </c>
      <c r="Q48" s="8" t="s">
        <v>1761</v>
      </c>
      <c r="R48" s="8" t="s">
        <v>8737</v>
      </c>
    </row>
    <row r="49" spans="2:18">
      <c r="B49" s="8" t="s">
        <v>8613</v>
      </c>
      <c r="C49" t="s">
        <v>8738</v>
      </c>
      <c r="D49" t="s">
        <v>3919</v>
      </c>
      <c r="E49" t="s">
        <v>47</v>
      </c>
      <c r="F49" t="s">
        <v>8739</v>
      </c>
      <c r="H49" s="8" t="s">
        <v>8614</v>
      </c>
      <c r="J49" s="8">
        <v>20</v>
      </c>
      <c r="P49" s="8" t="s">
        <v>1760</v>
      </c>
      <c r="Q49" s="8" t="s">
        <v>8647</v>
      </c>
      <c r="R49" s="8" t="s">
        <v>8740</v>
      </c>
    </row>
    <row r="50" spans="2:18">
      <c r="B50" s="8" t="s">
        <v>8613</v>
      </c>
      <c r="C50" t="s">
        <v>8741</v>
      </c>
      <c r="D50" t="s">
        <v>8742</v>
      </c>
      <c r="E50" t="s">
        <v>47</v>
      </c>
      <c r="F50" t="s">
        <v>8743</v>
      </c>
      <c r="H50" s="8" t="s">
        <v>8614</v>
      </c>
      <c r="J50" s="8">
        <v>20</v>
      </c>
      <c r="P50" s="8" t="s">
        <v>1760</v>
      </c>
      <c r="Q50" s="8" t="s">
        <v>8647</v>
      </c>
      <c r="R50" s="8" t="s">
        <v>8744</v>
      </c>
    </row>
    <row r="51" spans="2:18">
      <c r="B51" s="8" t="s">
        <v>8613</v>
      </c>
      <c r="C51" t="s">
        <v>8745</v>
      </c>
      <c r="D51" t="s">
        <v>8742</v>
      </c>
      <c r="E51" t="s">
        <v>47</v>
      </c>
      <c r="F51" t="s">
        <v>8746</v>
      </c>
      <c r="H51" s="8" t="s">
        <v>7363</v>
      </c>
      <c r="J51" s="8" t="s">
        <v>8628</v>
      </c>
      <c r="P51" s="8" t="s">
        <v>1760</v>
      </c>
      <c r="Q51" s="8" t="s">
        <v>8647</v>
      </c>
      <c r="R51" s="8" t="s">
        <v>8747</v>
      </c>
    </row>
    <row r="52" spans="2:18">
      <c r="B52" s="8" t="s">
        <v>8613</v>
      </c>
      <c r="C52" t="s">
        <v>8748</v>
      </c>
      <c r="D52" t="s">
        <v>8742</v>
      </c>
      <c r="E52" t="s">
        <v>47</v>
      </c>
      <c r="F52" t="s">
        <v>8749</v>
      </c>
      <c r="H52" s="8" t="s">
        <v>8614</v>
      </c>
      <c r="J52" s="8">
        <v>20</v>
      </c>
      <c r="P52" s="8" t="s">
        <v>1760</v>
      </c>
      <c r="Q52" s="8" t="s">
        <v>8647</v>
      </c>
      <c r="R52" s="8" t="s">
        <v>8748</v>
      </c>
    </row>
    <row r="53" spans="2:18">
      <c r="B53" s="8" t="s">
        <v>8613</v>
      </c>
      <c r="C53" t="s">
        <v>8750</v>
      </c>
      <c r="D53" t="s">
        <v>8742</v>
      </c>
      <c r="E53" t="s">
        <v>47</v>
      </c>
      <c r="F53" t="s">
        <v>8751</v>
      </c>
      <c r="H53" s="8" t="s">
        <v>8614</v>
      </c>
      <c r="J53" s="8">
        <v>20</v>
      </c>
      <c r="P53" s="8" t="s">
        <v>1760</v>
      </c>
      <c r="Q53" s="8" t="s">
        <v>8647</v>
      </c>
      <c r="R53" s="8" t="s">
        <v>8752</v>
      </c>
    </row>
    <row r="54" spans="2:18">
      <c r="B54" s="8" t="s">
        <v>8613</v>
      </c>
      <c r="C54" t="s">
        <v>8753</v>
      </c>
      <c r="D54" t="s">
        <v>8742</v>
      </c>
      <c r="E54" t="s">
        <v>47</v>
      </c>
      <c r="F54" t="s">
        <v>8754</v>
      </c>
      <c r="H54" s="8" t="s">
        <v>8614</v>
      </c>
      <c r="J54" s="8">
        <v>20</v>
      </c>
      <c r="P54" s="8" t="s">
        <v>1760</v>
      </c>
      <c r="Q54" s="8" t="s">
        <v>8647</v>
      </c>
      <c r="R54" s="8" t="s">
        <v>8755</v>
      </c>
    </row>
    <row r="55" spans="2:18">
      <c r="B55" s="8" t="s">
        <v>8613</v>
      </c>
      <c r="C55" t="s">
        <v>8756</v>
      </c>
      <c r="D55" t="s">
        <v>8742</v>
      </c>
      <c r="E55" t="s">
        <v>47</v>
      </c>
      <c r="F55" t="s">
        <v>8757</v>
      </c>
      <c r="H55" s="8" t="s">
        <v>8614</v>
      </c>
      <c r="J55" s="8">
        <v>20</v>
      </c>
      <c r="P55" s="8" t="s">
        <v>1760</v>
      </c>
      <c r="Q55" s="8" t="s">
        <v>8647</v>
      </c>
      <c r="R55" s="8" t="s">
        <v>8758</v>
      </c>
    </row>
    <row r="56" spans="2:18">
      <c r="B56" s="8" t="s">
        <v>8613</v>
      </c>
      <c r="C56" t="s">
        <v>2637</v>
      </c>
      <c r="D56" t="s">
        <v>3919</v>
      </c>
      <c r="E56" t="s">
        <v>47</v>
      </c>
      <c r="F56" t="s">
        <v>8759</v>
      </c>
      <c r="H56" s="8" t="s">
        <v>8614</v>
      </c>
      <c r="J56" s="8">
        <v>1000</v>
      </c>
      <c r="P56" s="8" t="s">
        <v>1760</v>
      </c>
      <c r="Q56" s="8" t="s">
        <v>8760</v>
      </c>
      <c r="R56" s="8" t="s">
        <v>8761</v>
      </c>
    </row>
    <row r="57" spans="2:18">
      <c r="B57" s="8" t="s">
        <v>8613</v>
      </c>
      <c r="C57" t="s">
        <v>2400</v>
      </c>
      <c r="D57" t="s">
        <v>8762</v>
      </c>
      <c r="E57" t="s">
        <v>47</v>
      </c>
      <c r="F57" t="s">
        <v>8763</v>
      </c>
      <c r="H57" s="8" t="s">
        <v>8634</v>
      </c>
      <c r="P57" s="8" t="s">
        <v>1760</v>
      </c>
      <c r="Q57" s="8" t="s">
        <v>8764</v>
      </c>
      <c r="R57" s="8" t="s">
        <v>8765</v>
      </c>
    </row>
    <row r="58" spans="2:18">
      <c r="B58" s="8" t="s">
        <v>8613</v>
      </c>
      <c r="C58" t="s">
        <v>356</v>
      </c>
      <c r="D58" t="s">
        <v>8762</v>
      </c>
      <c r="E58" t="s">
        <v>47</v>
      </c>
      <c r="F58" t="s">
        <v>8766</v>
      </c>
      <c r="H58" s="8" t="s">
        <v>8614</v>
      </c>
      <c r="J58" s="8">
        <v>10</v>
      </c>
      <c r="P58" s="8" t="s">
        <v>1760</v>
      </c>
      <c r="Q58" s="8" t="s">
        <v>8764</v>
      </c>
      <c r="R58" s="8" t="s">
        <v>8767</v>
      </c>
    </row>
    <row r="59" spans="2:18">
      <c r="B59" s="8" t="s">
        <v>8613</v>
      </c>
      <c r="C59" t="s">
        <v>8122</v>
      </c>
      <c r="D59" t="s">
        <v>8762</v>
      </c>
      <c r="E59" t="s">
        <v>47</v>
      </c>
      <c r="F59" t="s">
        <v>8768</v>
      </c>
      <c r="H59" s="8" t="s">
        <v>8614</v>
      </c>
      <c r="J59" s="8">
        <v>2</v>
      </c>
      <c r="P59" s="8" t="s">
        <v>1760</v>
      </c>
      <c r="Q59" s="8" t="s">
        <v>8764</v>
      </c>
      <c r="R59" s="8" t="s">
        <v>8769</v>
      </c>
    </row>
    <row r="60" spans="2:18">
      <c r="B60" s="8" t="s">
        <v>8613</v>
      </c>
      <c r="C60" t="s">
        <v>8770</v>
      </c>
      <c r="D60" t="s">
        <v>8762</v>
      </c>
      <c r="E60" t="s">
        <v>47</v>
      </c>
      <c r="F60" t="s">
        <v>8771</v>
      </c>
      <c r="H60" s="8" t="s">
        <v>8614</v>
      </c>
      <c r="J60" s="8">
        <v>200</v>
      </c>
      <c r="P60" s="8" t="s">
        <v>1760</v>
      </c>
      <c r="Q60" s="8" t="s">
        <v>8764</v>
      </c>
      <c r="R60" s="8" t="s">
        <v>8772</v>
      </c>
    </row>
    <row r="61" spans="2:18">
      <c r="B61" s="8" t="s">
        <v>8613</v>
      </c>
      <c r="C61" t="s">
        <v>5416</v>
      </c>
      <c r="D61" t="s">
        <v>8762</v>
      </c>
      <c r="E61" t="s">
        <v>47</v>
      </c>
      <c r="F61" t="s">
        <v>8773</v>
      </c>
      <c r="H61" s="8" t="s">
        <v>7363</v>
      </c>
      <c r="J61" s="8" t="s">
        <v>8628</v>
      </c>
      <c r="P61" s="8" t="s">
        <v>1760</v>
      </c>
      <c r="Q61" s="8" t="s">
        <v>8764</v>
      </c>
      <c r="R61" s="8" t="s">
        <v>8774</v>
      </c>
    </row>
    <row r="62" spans="2:18">
      <c r="B62" s="8" t="s">
        <v>8613</v>
      </c>
      <c r="C62" t="s">
        <v>8775</v>
      </c>
      <c r="D62" t="s">
        <v>8762</v>
      </c>
      <c r="E62" t="s">
        <v>47</v>
      </c>
      <c r="F62" t="s">
        <v>8776</v>
      </c>
      <c r="H62" s="8" t="s">
        <v>6873</v>
      </c>
      <c r="J62" s="8">
        <v>1</v>
      </c>
      <c r="P62" s="8" t="s">
        <v>1760</v>
      </c>
      <c r="Q62" s="8" t="s">
        <v>8764</v>
      </c>
      <c r="R62" s="8" t="s">
        <v>8777</v>
      </c>
    </row>
    <row r="63" spans="2:18">
      <c r="B63" s="8" t="s">
        <v>8613</v>
      </c>
      <c r="C63" t="s">
        <v>8778</v>
      </c>
      <c r="D63" t="s">
        <v>8779</v>
      </c>
      <c r="E63" t="s">
        <v>47</v>
      </c>
      <c r="F63" t="s">
        <v>8780</v>
      </c>
      <c r="H63" s="8" t="s">
        <v>8685</v>
      </c>
      <c r="P63" s="8" t="s">
        <v>1760</v>
      </c>
      <c r="Q63" s="8" t="s">
        <v>8781</v>
      </c>
      <c r="R63" s="8" t="s">
        <v>8782</v>
      </c>
    </row>
    <row r="64" spans="2:18">
      <c r="B64" s="8" t="s">
        <v>8613</v>
      </c>
      <c r="C64" t="s">
        <v>6812</v>
      </c>
      <c r="D64" t="s">
        <v>8779</v>
      </c>
      <c r="E64" t="s">
        <v>47</v>
      </c>
      <c r="F64" t="s">
        <v>8783</v>
      </c>
      <c r="H64" s="8" t="s">
        <v>8685</v>
      </c>
      <c r="P64" s="8" t="s">
        <v>1760</v>
      </c>
      <c r="Q64" s="8" t="s">
        <v>8781</v>
      </c>
      <c r="R64" s="8" t="s">
        <v>8784</v>
      </c>
    </row>
    <row r="65" spans="2:18">
      <c r="B65" s="8" t="s">
        <v>8613</v>
      </c>
      <c r="C65" t="s">
        <v>6950</v>
      </c>
      <c r="D65" t="s">
        <v>8779</v>
      </c>
      <c r="E65" t="s">
        <v>47</v>
      </c>
      <c r="F65" t="s">
        <v>8785</v>
      </c>
      <c r="H65" s="8" t="s">
        <v>8614</v>
      </c>
      <c r="J65" s="8">
        <v>20</v>
      </c>
      <c r="P65" s="8" t="s">
        <v>1760</v>
      </c>
      <c r="Q65" s="8" t="s">
        <v>8781</v>
      </c>
      <c r="R65" s="8" t="s">
        <v>4195</v>
      </c>
    </row>
    <row r="66" spans="2:18">
      <c r="B66" s="8" t="s">
        <v>8613</v>
      </c>
      <c r="C66" t="s">
        <v>2400</v>
      </c>
      <c r="D66" t="s">
        <v>8779</v>
      </c>
      <c r="E66" t="s">
        <v>47</v>
      </c>
      <c r="F66" t="s">
        <v>8786</v>
      </c>
      <c r="H66" s="8" t="s">
        <v>8634</v>
      </c>
      <c r="P66" s="8" t="s">
        <v>1760</v>
      </c>
      <c r="Q66" s="8" t="s">
        <v>8781</v>
      </c>
      <c r="R66" s="8" t="s">
        <v>8787</v>
      </c>
    </row>
    <row r="67" spans="2:18">
      <c r="B67" s="8" t="s">
        <v>8613</v>
      </c>
      <c r="C67" t="s">
        <v>8788</v>
      </c>
      <c r="D67" t="s">
        <v>8779</v>
      </c>
      <c r="E67" t="s">
        <v>47</v>
      </c>
      <c r="F67" t="s">
        <v>8789</v>
      </c>
      <c r="H67" s="8" t="s">
        <v>8614</v>
      </c>
      <c r="J67" s="8">
        <v>100</v>
      </c>
      <c r="P67" s="8" t="s">
        <v>1760</v>
      </c>
      <c r="Q67" s="8" t="s">
        <v>8781</v>
      </c>
      <c r="R67" s="8" t="s">
        <v>8790</v>
      </c>
    </row>
    <row r="68" spans="2:18">
      <c r="B68" s="8" t="s">
        <v>8613</v>
      </c>
      <c r="C68" t="s">
        <v>6812</v>
      </c>
      <c r="D68" t="s">
        <v>8791</v>
      </c>
      <c r="E68" t="s">
        <v>47</v>
      </c>
      <c r="F68" t="s">
        <v>8792</v>
      </c>
      <c r="H68" s="8" t="s">
        <v>8685</v>
      </c>
      <c r="P68" s="8" t="s">
        <v>1760</v>
      </c>
      <c r="Q68" s="8" t="s">
        <v>8793</v>
      </c>
      <c r="R68" s="8" t="s">
        <v>8782</v>
      </c>
    </row>
    <row r="69" spans="2:18">
      <c r="B69" s="8" t="s">
        <v>8613</v>
      </c>
      <c r="C69" t="s">
        <v>8794</v>
      </c>
      <c r="D69" t="s">
        <v>8791</v>
      </c>
      <c r="E69" t="s">
        <v>47</v>
      </c>
      <c r="F69" t="s">
        <v>8795</v>
      </c>
      <c r="H69" s="8" t="s">
        <v>8614</v>
      </c>
      <c r="J69" s="8">
        <v>10</v>
      </c>
      <c r="P69" s="8" t="s">
        <v>1760</v>
      </c>
      <c r="Q69" s="8" t="s">
        <v>8793</v>
      </c>
      <c r="R69" s="8" t="s">
        <v>8796</v>
      </c>
    </row>
    <row r="70" spans="2:18">
      <c r="B70" s="8" t="s">
        <v>8613</v>
      </c>
      <c r="C70" t="s">
        <v>5313</v>
      </c>
      <c r="D70" t="s">
        <v>8791</v>
      </c>
      <c r="E70" t="s">
        <v>47</v>
      </c>
      <c r="F70" t="s">
        <v>8797</v>
      </c>
      <c r="H70" s="8" t="s">
        <v>8614</v>
      </c>
      <c r="J70" s="8">
        <v>1</v>
      </c>
      <c r="P70" s="8" t="s">
        <v>1760</v>
      </c>
      <c r="Q70" s="8" t="s">
        <v>8793</v>
      </c>
      <c r="R70" s="8" t="s">
        <v>8769</v>
      </c>
    </row>
    <row r="71" spans="2:18">
      <c r="B71" s="8" t="s">
        <v>8613</v>
      </c>
      <c r="C71" t="s">
        <v>8798</v>
      </c>
      <c r="D71" t="s">
        <v>8791</v>
      </c>
      <c r="E71" t="s">
        <v>47</v>
      </c>
      <c r="F71" t="s">
        <v>8799</v>
      </c>
      <c r="H71" s="8" t="s">
        <v>6906</v>
      </c>
      <c r="P71" s="8" t="s">
        <v>1760</v>
      </c>
      <c r="Q71" s="8" t="s">
        <v>8793</v>
      </c>
      <c r="R71" s="8" t="s">
        <v>8800</v>
      </c>
    </row>
    <row r="72" spans="2:18">
      <c r="B72" s="8" t="s">
        <v>8613</v>
      </c>
      <c r="C72" t="s">
        <v>8801</v>
      </c>
      <c r="D72" t="s">
        <v>8791</v>
      </c>
      <c r="E72" t="s">
        <v>47</v>
      </c>
      <c r="F72" t="s">
        <v>8802</v>
      </c>
      <c r="H72" s="8" t="s">
        <v>7323</v>
      </c>
      <c r="P72" s="8" t="s">
        <v>1760</v>
      </c>
      <c r="Q72" s="8" t="s">
        <v>8793</v>
      </c>
      <c r="R72" s="8" t="s">
        <v>8803</v>
      </c>
    </row>
    <row r="73" spans="2:18">
      <c r="B73" s="8" t="s">
        <v>8613</v>
      </c>
      <c r="C73" t="s">
        <v>8804</v>
      </c>
      <c r="D73" t="s">
        <v>8791</v>
      </c>
      <c r="E73" t="s">
        <v>47</v>
      </c>
      <c r="F73" t="s">
        <v>8805</v>
      </c>
      <c r="H73" s="8" t="s">
        <v>7323</v>
      </c>
      <c r="P73" s="8" t="s">
        <v>1760</v>
      </c>
      <c r="Q73" s="8" t="s">
        <v>8793</v>
      </c>
      <c r="R73" s="8" t="s">
        <v>8806</v>
      </c>
    </row>
    <row r="74" spans="2:18">
      <c r="B74" s="8" t="s">
        <v>8613</v>
      </c>
      <c r="C74" t="s">
        <v>8807</v>
      </c>
      <c r="D74" t="s">
        <v>8791</v>
      </c>
      <c r="E74" t="s">
        <v>47</v>
      </c>
      <c r="F74" t="s">
        <v>8808</v>
      </c>
      <c r="H74" s="8" t="s">
        <v>8634</v>
      </c>
      <c r="P74" s="8" t="s">
        <v>1760</v>
      </c>
      <c r="Q74" s="8" t="s">
        <v>8793</v>
      </c>
      <c r="R74" s="8" t="s">
        <v>8809</v>
      </c>
    </row>
  </sheetData>
  <autoFilter ref="B1:S74" xr:uid="{40F4A9C4-45D2-43D1-8373-F2397F4C8E6F}"/>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1201-52A8-46C3-8A21-F7A147760692}">
  <sheetPr>
    <tabColor theme="9" tint="0.79998168889431442"/>
  </sheetPr>
  <dimension ref="A1:X191"/>
  <sheetViews>
    <sheetView topLeftCell="G1" workbookViewId="0">
      <selection activeCell="K1" sqref="K1"/>
    </sheetView>
  </sheetViews>
  <sheetFormatPr defaultRowHeight="15"/>
  <cols>
    <col min="1" max="1" width="13.5703125" style="8" bestFit="1" customWidth="1"/>
    <col min="2" max="2" width="41.5703125" style="8" bestFit="1" customWidth="1"/>
    <col min="3" max="3" width="36" style="8" customWidth="1"/>
    <col min="4" max="4" width="12.42578125" style="8" customWidth="1"/>
    <col min="5" max="5" width="57.42578125" style="8" customWidth="1"/>
    <col min="6" max="6" width="18.5703125" style="8" customWidth="1"/>
    <col min="7" max="7" width="26.28515625" style="8" bestFit="1" customWidth="1"/>
    <col min="8" max="8" width="13.5703125" style="8" customWidth="1"/>
    <col min="9" max="9" width="12.85546875" style="8" bestFit="1" customWidth="1"/>
    <col min="10" max="10" width="27.42578125" style="8" bestFit="1" customWidth="1"/>
    <col min="11" max="11" width="24.42578125" style="8" bestFit="1" customWidth="1"/>
    <col min="12" max="12" width="157" style="8" customWidth="1"/>
    <col min="13" max="13" width="27" style="8" customWidth="1"/>
    <col min="14" max="14" width="44.42578125" style="8" hidden="1" customWidth="1"/>
    <col min="15" max="15" width="53.5703125" style="8" bestFit="1" customWidth="1"/>
    <col min="16" max="16" width="17.5703125" style="8" customWidth="1"/>
    <col min="24" max="24" width="16.5703125" style="8" customWidth="1"/>
  </cols>
  <sheetData>
    <row r="1" spans="1:24">
      <c r="A1" s="358" t="s">
        <v>2157</v>
      </c>
      <c r="B1" s="358" t="s">
        <v>336</v>
      </c>
      <c r="C1" s="358" t="s">
        <v>337</v>
      </c>
      <c r="D1" s="358" t="s">
        <v>338</v>
      </c>
      <c r="E1" s="358" t="s">
        <v>339</v>
      </c>
      <c r="F1" s="403" t="s">
        <v>2158</v>
      </c>
      <c r="G1" s="403" t="s">
        <v>2159</v>
      </c>
      <c r="H1" s="403" t="s">
        <v>2160</v>
      </c>
      <c r="I1" s="488" t="s">
        <v>8810</v>
      </c>
      <c r="J1" s="403" t="s">
        <v>426</v>
      </c>
      <c r="K1" s="403" t="s">
        <v>427</v>
      </c>
      <c r="L1" s="403" t="s">
        <v>2161</v>
      </c>
      <c r="M1" s="403" t="s">
        <v>2162</v>
      </c>
      <c r="N1" s="403" t="s">
        <v>6856</v>
      </c>
      <c r="O1" s="403" t="s">
        <v>16</v>
      </c>
      <c r="P1" s="403" t="s">
        <v>416</v>
      </c>
      <c r="Q1" s="403" t="s">
        <v>417</v>
      </c>
      <c r="R1" s="403" t="s">
        <v>418</v>
      </c>
      <c r="S1" s="403" t="s">
        <v>419</v>
      </c>
      <c r="T1" s="403" t="s">
        <v>420</v>
      </c>
      <c r="U1" s="403" t="s">
        <v>421</v>
      </c>
      <c r="V1" s="403" t="s">
        <v>422</v>
      </c>
      <c r="W1" t="s">
        <v>423</v>
      </c>
      <c r="X1" t="s">
        <v>428</v>
      </c>
    </row>
    <row r="2" spans="1:24">
      <c r="A2" t="s">
        <v>8539</v>
      </c>
      <c r="B2" t="s">
        <v>8811</v>
      </c>
      <c r="C2" t="s">
        <v>341</v>
      </c>
      <c r="D2" t="s">
        <v>39</v>
      </c>
      <c r="E2" t="s">
        <v>8812</v>
      </c>
      <c r="F2" t="s">
        <v>2172</v>
      </c>
      <c r="G2" t="s">
        <v>2173</v>
      </c>
      <c r="H2" t="s">
        <v>1288</v>
      </c>
      <c r="I2" t="s">
        <v>1282</v>
      </c>
      <c r="J2" t="s">
        <v>578</v>
      </c>
      <c r="K2" t="s">
        <v>8813</v>
      </c>
      <c r="L2" t="s">
        <v>8565</v>
      </c>
      <c r="M2" t="s">
        <v>361</v>
      </c>
      <c r="N2" t="s">
        <v>2177</v>
      </c>
      <c r="O2" t="s">
        <v>361</v>
      </c>
      <c r="P2" t="s">
        <v>361</v>
      </c>
      <c r="Q2" t="s">
        <v>361</v>
      </c>
      <c r="R2" t="s">
        <v>361</v>
      </c>
      <c r="S2" t="s">
        <v>361</v>
      </c>
      <c r="T2" t="s">
        <v>361</v>
      </c>
      <c r="U2" t="s">
        <v>361</v>
      </c>
      <c r="V2" t="s">
        <v>361</v>
      </c>
      <c r="W2" t="s">
        <v>361</v>
      </c>
      <c r="X2" t="s">
        <v>361</v>
      </c>
    </row>
    <row r="3" spans="1:24">
      <c r="A3" t="s">
        <v>8539</v>
      </c>
      <c r="B3" t="s">
        <v>8814</v>
      </c>
      <c r="C3" t="s">
        <v>341</v>
      </c>
      <c r="D3" t="s">
        <v>39</v>
      </c>
      <c r="E3" t="s">
        <v>8815</v>
      </c>
      <c r="F3" t="s">
        <v>2527</v>
      </c>
      <c r="G3" t="s">
        <v>2173</v>
      </c>
      <c r="H3" t="s">
        <v>1288</v>
      </c>
      <c r="I3" t="s">
        <v>1282</v>
      </c>
      <c r="J3" t="s">
        <v>578</v>
      </c>
      <c r="K3" t="s">
        <v>1518</v>
      </c>
      <c r="L3" t="s">
        <v>8565</v>
      </c>
      <c r="M3" t="s">
        <v>361</v>
      </c>
      <c r="N3" t="s">
        <v>2177</v>
      </c>
      <c r="O3" t="s">
        <v>361</v>
      </c>
      <c r="P3" t="s">
        <v>361</v>
      </c>
      <c r="Q3" t="s">
        <v>361</v>
      </c>
      <c r="R3" t="s">
        <v>361</v>
      </c>
      <c r="S3" t="s">
        <v>361</v>
      </c>
      <c r="T3" t="s">
        <v>361</v>
      </c>
      <c r="U3" t="s">
        <v>361</v>
      </c>
      <c r="V3" t="s">
        <v>361</v>
      </c>
      <c r="W3" t="s">
        <v>361</v>
      </c>
      <c r="X3" t="s">
        <v>361</v>
      </c>
    </row>
    <row r="4" spans="1:24">
      <c r="A4" t="s">
        <v>8539</v>
      </c>
      <c r="B4" t="s">
        <v>1120</v>
      </c>
      <c r="C4" t="s">
        <v>341</v>
      </c>
      <c r="D4" t="s">
        <v>39</v>
      </c>
      <c r="E4" t="s">
        <v>8816</v>
      </c>
      <c r="F4" t="s">
        <v>2196</v>
      </c>
      <c r="G4" t="s">
        <v>2173</v>
      </c>
      <c r="H4" t="s">
        <v>1288</v>
      </c>
      <c r="I4" t="s">
        <v>1282</v>
      </c>
      <c r="J4" t="s">
        <v>578</v>
      </c>
      <c r="K4" t="s">
        <v>8817</v>
      </c>
      <c r="L4" t="s">
        <v>8565</v>
      </c>
      <c r="M4" t="s">
        <v>361</v>
      </c>
      <c r="N4" t="s">
        <v>2177</v>
      </c>
      <c r="O4" t="s">
        <v>361</v>
      </c>
      <c r="P4" t="s">
        <v>361</v>
      </c>
      <c r="Q4" t="s">
        <v>361</v>
      </c>
      <c r="R4" t="s">
        <v>361</v>
      </c>
      <c r="S4" t="s">
        <v>361</v>
      </c>
      <c r="T4" t="s">
        <v>361</v>
      </c>
      <c r="U4" t="s">
        <v>361</v>
      </c>
      <c r="V4" t="s">
        <v>361</v>
      </c>
      <c r="W4" t="s">
        <v>361</v>
      </c>
      <c r="X4" t="s">
        <v>361</v>
      </c>
    </row>
    <row r="5" spans="1:24">
      <c r="A5" t="s">
        <v>8539</v>
      </c>
      <c r="B5" t="s">
        <v>2669</v>
      </c>
      <c r="C5" t="s">
        <v>341</v>
      </c>
      <c r="D5" t="s">
        <v>39</v>
      </c>
      <c r="E5" t="s">
        <v>8818</v>
      </c>
      <c r="F5" t="s">
        <v>2196</v>
      </c>
      <c r="G5" t="s">
        <v>2173</v>
      </c>
      <c r="H5" t="s">
        <v>1288</v>
      </c>
      <c r="I5" t="s">
        <v>1282</v>
      </c>
      <c r="J5" t="s">
        <v>578</v>
      </c>
      <c r="K5" t="s">
        <v>8819</v>
      </c>
      <c r="L5" t="s">
        <v>8565</v>
      </c>
      <c r="M5" t="s">
        <v>361</v>
      </c>
      <c r="N5" t="s">
        <v>2177</v>
      </c>
      <c r="O5" t="s">
        <v>361</v>
      </c>
      <c r="P5" t="s">
        <v>361</v>
      </c>
      <c r="Q5" t="s">
        <v>361</v>
      </c>
      <c r="R5" t="s">
        <v>361</v>
      </c>
      <c r="S5" t="s">
        <v>361</v>
      </c>
      <c r="T5" t="s">
        <v>361</v>
      </c>
      <c r="U5" t="s">
        <v>361</v>
      </c>
      <c r="V5" t="s">
        <v>361</v>
      </c>
      <c r="W5" t="s">
        <v>361</v>
      </c>
      <c r="X5" t="s">
        <v>361</v>
      </c>
    </row>
    <row r="6" spans="1:24">
      <c r="A6" t="s">
        <v>8539</v>
      </c>
      <c r="B6" t="s">
        <v>3616</v>
      </c>
      <c r="C6" t="s">
        <v>341</v>
      </c>
      <c r="D6" t="s">
        <v>39</v>
      </c>
      <c r="E6" t="s">
        <v>8820</v>
      </c>
      <c r="F6" t="s">
        <v>2527</v>
      </c>
      <c r="G6" t="s">
        <v>2173</v>
      </c>
      <c r="H6" t="s">
        <v>1288</v>
      </c>
      <c r="I6" t="s">
        <v>1282</v>
      </c>
      <c r="J6" t="s">
        <v>578</v>
      </c>
      <c r="K6" t="s">
        <v>1629</v>
      </c>
      <c r="L6" t="s">
        <v>8565</v>
      </c>
      <c r="M6" t="s">
        <v>361</v>
      </c>
      <c r="N6" t="s">
        <v>2177</v>
      </c>
      <c r="O6" t="s">
        <v>361</v>
      </c>
      <c r="P6" t="s">
        <v>361</v>
      </c>
      <c r="Q6" t="s">
        <v>361</v>
      </c>
      <c r="R6" t="s">
        <v>361</v>
      </c>
      <c r="S6" t="s">
        <v>361</v>
      </c>
      <c r="T6" t="s">
        <v>361</v>
      </c>
      <c r="U6" t="s">
        <v>361</v>
      </c>
      <c r="V6" t="s">
        <v>361</v>
      </c>
      <c r="W6" t="s">
        <v>361</v>
      </c>
      <c r="X6" t="s">
        <v>361</v>
      </c>
    </row>
    <row r="7" spans="1:24">
      <c r="A7" t="s">
        <v>8539</v>
      </c>
      <c r="B7" t="s">
        <v>3619</v>
      </c>
      <c r="C7" t="s">
        <v>341</v>
      </c>
      <c r="D7" t="s">
        <v>39</v>
      </c>
      <c r="E7" t="s">
        <v>8820</v>
      </c>
      <c r="F7" t="s">
        <v>2527</v>
      </c>
      <c r="G7" t="s">
        <v>2173</v>
      </c>
      <c r="H7" t="s">
        <v>1288</v>
      </c>
      <c r="I7" t="s">
        <v>1282</v>
      </c>
      <c r="J7" t="s">
        <v>1628</v>
      </c>
      <c r="K7" t="s">
        <v>8821</v>
      </c>
      <c r="L7" t="s">
        <v>8822</v>
      </c>
      <c r="M7" t="s">
        <v>361</v>
      </c>
      <c r="N7" t="s">
        <v>2177</v>
      </c>
      <c r="O7" t="s">
        <v>361</v>
      </c>
      <c r="P7" t="s">
        <v>361</v>
      </c>
      <c r="Q7" t="s">
        <v>361</v>
      </c>
      <c r="R7" t="s">
        <v>361</v>
      </c>
      <c r="S7" t="s">
        <v>361</v>
      </c>
      <c r="T7" t="s">
        <v>361</v>
      </c>
      <c r="U7" t="s">
        <v>361</v>
      </c>
      <c r="V7" t="s">
        <v>361</v>
      </c>
      <c r="W7" t="s">
        <v>361</v>
      </c>
      <c r="X7" t="s">
        <v>361</v>
      </c>
    </row>
    <row r="8" spans="1:24">
      <c r="A8" t="s">
        <v>8539</v>
      </c>
      <c r="B8" t="s">
        <v>8823</v>
      </c>
      <c r="C8" t="s">
        <v>341</v>
      </c>
      <c r="D8" t="s">
        <v>39</v>
      </c>
      <c r="E8" t="s">
        <v>8824</v>
      </c>
      <c r="F8" t="s">
        <v>2527</v>
      </c>
      <c r="G8" t="s">
        <v>2173</v>
      </c>
      <c r="H8" t="s">
        <v>8825</v>
      </c>
      <c r="I8" t="s">
        <v>1282</v>
      </c>
      <c r="J8" t="s">
        <v>595</v>
      </c>
      <c r="K8" t="s">
        <v>7197</v>
      </c>
      <c r="L8" t="s">
        <v>8826</v>
      </c>
      <c r="M8" t="s">
        <v>361</v>
      </c>
      <c r="N8" t="s">
        <v>2177</v>
      </c>
      <c r="O8" t="s">
        <v>361</v>
      </c>
      <c r="P8" t="s">
        <v>361</v>
      </c>
      <c r="Q8" t="s">
        <v>361</v>
      </c>
      <c r="R8" t="s">
        <v>361</v>
      </c>
      <c r="S8" t="s">
        <v>361</v>
      </c>
      <c r="T8" t="s">
        <v>361</v>
      </c>
      <c r="U8" t="s">
        <v>361</v>
      </c>
      <c r="V8" t="s">
        <v>361</v>
      </c>
      <c r="W8" t="s">
        <v>361</v>
      </c>
      <c r="X8" t="s">
        <v>361</v>
      </c>
    </row>
    <row r="9" spans="1:24">
      <c r="A9" t="s">
        <v>8539</v>
      </c>
      <c r="B9" t="s">
        <v>159</v>
      </c>
      <c r="C9" t="s">
        <v>341</v>
      </c>
      <c r="D9" t="s">
        <v>39</v>
      </c>
      <c r="E9" t="s">
        <v>8827</v>
      </c>
      <c r="F9" t="s">
        <v>2196</v>
      </c>
      <c r="G9" t="s">
        <v>2173</v>
      </c>
      <c r="H9" t="s">
        <v>1288</v>
      </c>
      <c r="I9" t="s">
        <v>1282</v>
      </c>
      <c r="J9" t="s">
        <v>578</v>
      </c>
      <c r="K9" t="s">
        <v>2307</v>
      </c>
      <c r="L9" t="s">
        <v>8565</v>
      </c>
      <c r="M9" t="s">
        <v>361</v>
      </c>
      <c r="N9" t="s">
        <v>2177</v>
      </c>
      <c r="O9" t="s">
        <v>361</v>
      </c>
      <c r="P9" t="s">
        <v>361</v>
      </c>
      <c r="Q9" t="s">
        <v>361</v>
      </c>
      <c r="R9" t="s">
        <v>361</v>
      </c>
      <c r="S9" t="s">
        <v>361</v>
      </c>
      <c r="T9" t="s">
        <v>361</v>
      </c>
      <c r="U9" t="s">
        <v>361</v>
      </c>
      <c r="V9" t="s">
        <v>361</v>
      </c>
      <c r="W9" t="s">
        <v>361</v>
      </c>
      <c r="X9" t="s">
        <v>361</v>
      </c>
    </row>
    <row r="10" spans="1:24">
      <c r="A10" t="s">
        <v>8539</v>
      </c>
      <c r="B10" t="s">
        <v>8828</v>
      </c>
      <c r="C10" t="s">
        <v>341</v>
      </c>
      <c r="D10" t="s">
        <v>39</v>
      </c>
      <c r="E10" t="s">
        <v>8829</v>
      </c>
      <c r="F10" t="s">
        <v>2527</v>
      </c>
      <c r="G10" t="s">
        <v>2173</v>
      </c>
      <c r="H10" t="s">
        <v>1288</v>
      </c>
      <c r="I10" t="s">
        <v>1282</v>
      </c>
      <c r="J10" t="s">
        <v>578</v>
      </c>
      <c r="K10" t="s">
        <v>8830</v>
      </c>
      <c r="L10" t="s">
        <v>8565</v>
      </c>
      <c r="M10" t="s">
        <v>361</v>
      </c>
      <c r="N10" t="s">
        <v>2177</v>
      </c>
      <c r="O10" t="s">
        <v>361</v>
      </c>
      <c r="P10" t="s">
        <v>361</v>
      </c>
      <c r="Q10" t="s">
        <v>361</v>
      </c>
      <c r="R10" t="s">
        <v>361</v>
      </c>
      <c r="S10" t="s">
        <v>361</v>
      </c>
      <c r="T10" t="s">
        <v>361</v>
      </c>
      <c r="U10" t="s">
        <v>361</v>
      </c>
      <c r="V10" t="s">
        <v>361</v>
      </c>
      <c r="W10" t="s">
        <v>361</v>
      </c>
      <c r="X10" t="s">
        <v>361</v>
      </c>
    </row>
    <row r="11" spans="1:24">
      <c r="A11" t="s">
        <v>8539</v>
      </c>
      <c r="B11" t="s">
        <v>8831</v>
      </c>
      <c r="C11" t="s">
        <v>341</v>
      </c>
      <c r="D11" t="s">
        <v>39</v>
      </c>
      <c r="E11" t="s">
        <v>8832</v>
      </c>
      <c r="F11" t="s">
        <v>2527</v>
      </c>
      <c r="G11" t="s">
        <v>2173</v>
      </c>
      <c r="H11" t="s">
        <v>1288</v>
      </c>
      <c r="I11" t="s">
        <v>1282</v>
      </c>
      <c r="J11" t="s">
        <v>578</v>
      </c>
      <c r="K11" t="s">
        <v>8833</v>
      </c>
      <c r="L11" t="s">
        <v>8565</v>
      </c>
      <c r="M11" t="s">
        <v>361</v>
      </c>
      <c r="N11" t="s">
        <v>2177</v>
      </c>
      <c r="O11" t="s">
        <v>361</v>
      </c>
      <c r="P11" t="s">
        <v>361</v>
      </c>
      <c r="Q11" t="s">
        <v>361</v>
      </c>
      <c r="R11" t="s">
        <v>361</v>
      </c>
      <c r="S11" t="s">
        <v>361</v>
      </c>
      <c r="T11" t="s">
        <v>361</v>
      </c>
      <c r="U11" t="s">
        <v>361</v>
      </c>
      <c r="V11" t="s">
        <v>361</v>
      </c>
      <c r="W11" t="s">
        <v>361</v>
      </c>
      <c r="X11" t="s">
        <v>361</v>
      </c>
    </row>
    <row r="12" spans="1:24">
      <c r="A12" t="s">
        <v>8539</v>
      </c>
      <c r="B12" t="s">
        <v>4066</v>
      </c>
      <c r="C12" t="s">
        <v>341</v>
      </c>
      <c r="D12" t="s">
        <v>39</v>
      </c>
      <c r="E12" t="s">
        <v>8834</v>
      </c>
      <c r="F12" t="s">
        <v>2196</v>
      </c>
      <c r="G12" t="s">
        <v>2173</v>
      </c>
      <c r="H12" t="s">
        <v>1288</v>
      </c>
      <c r="I12" t="s">
        <v>1282</v>
      </c>
      <c r="J12" t="s">
        <v>578</v>
      </c>
      <c r="K12" t="s">
        <v>8835</v>
      </c>
      <c r="L12" t="s">
        <v>8565</v>
      </c>
      <c r="M12" t="s">
        <v>361</v>
      </c>
      <c r="N12" t="s">
        <v>2177</v>
      </c>
      <c r="O12" t="s">
        <v>361</v>
      </c>
      <c r="P12" t="s">
        <v>361</v>
      </c>
      <c r="Q12" t="s">
        <v>361</v>
      </c>
      <c r="R12" t="s">
        <v>361</v>
      </c>
      <c r="S12" t="s">
        <v>361</v>
      </c>
      <c r="T12" t="s">
        <v>361</v>
      </c>
      <c r="U12" t="s">
        <v>361</v>
      </c>
      <c r="V12" t="s">
        <v>361</v>
      </c>
      <c r="W12" t="s">
        <v>361</v>
      </c>
      <c r="X12" t="s">
        <v>361</v>
      </c>
    </row>
    <row r="13" spans="1:24">
      <c r="A13" t="s">
        <v>8539</v>
      </c>
      <c r="B13" t="s">
        <v>8836</v>
      </c>
      <c r="C13" t="s">
        <v>5325</v>
      </c>
      <c r="D13" t="s">
        <v>39</v>
      </c>
      <c r="E13" t="s">
        <v>8837</v>
      </c>
      <c r="F13" t="s">
        <v>2196</v>
      </c>
      <c r="G13" t="s">
        <v>2173</v>
      </c>
      <c r="H13" t="s">
        <v>1288</v>
      </c>
      <c r="I13" t="s">
        <v>1282</v>
      </c>
      <c r="J13" t="s">
        <v>578</v>
      </c>
      <c r="K13" t="s">
        <v>8838</v>
      </c>
      <c r="L13" t="s">
        <v>8565</v>
      </c>
      <c r="M13" t="s">
        <v>361</v>
      </c>
      <c r="N13" t="s">
        <v>2177</v>
      </c>
      <c r="O13" t="s">
        <v>361</v>
      </c>
      <c r="P13" t="s">
        <v>361</v>
      </c>
      <c r="Q13" t="s">
        <v>361</v>
      </c>
      <c r="R13" t="s">
        <v>361</v>
      </c>
      <c r="S13" t="s">
        <v>361</v>
      </c>
      <c r="T13" t="s">
        <v>361</v>
      </c>
      <c r="U13" t="s">
        <v>361</v>
      </c>
      <c r="V13" t="s">
        <v>361</v>
      </c>
      <c r="W13" t="s">
        <v>361</v>
      </c>
      <c r="X13" t="s">
        <v>361</v>
      </c>
    </row>
    <row r="14" spans="1:24">
      <c r="A14" t="s">
        <v>8539</v>
      </c>
      <c r="B14" t="s">
        <v>7512</v>
      </c>
      <c r="C14" t="s">
        <v>5325</v>
      </c>
      <c r="D14" t="s">
        <v>39</v>
      </c>
      <c r="E14" t="s">
        <v>8839</v>
      </c>
      <c r="F14" t="s">
        <v>2196</v>
      </c>
      <c r="G14" t="s">
        <v>2173</v>
      </c>
      <c r="H14" t="s">
        <v>1288</v>
      </c>
      <c r="I14" t="s">
        <v>1282</v>
      </c>
      <c r="J14" t="s">
        <v>578</v>
      </c>
      <c r="K14" t="s">
        <v>7512</v>
      </c>
      <c r="L14" t="s">
        <v>8565</v>
      </c>
      <c r="M14" t="s">
        <v>361</v>
      </c>
      <c r="N14" t="s">
        <v>2177</v>
      </c>
      <c r="O14" t="s">
        <v>361</v>
      </c>
      <c r="P14" t="s">
        <v>361</v>
      </c>
      <c r="Q14" t="s">
        <v>361</v>
      </c>
      <c r="R14" t="s">
        <v>361</v>
      </c>
      <c r="S14" t="s">
        <v>361</v>
      </c>
      <c r="T14" t="s">
        <v>361</v>
      </c>
      <c r="U14" t="s">
        <v>361</v>
      </c>
      <c r="V14" t="s">
        <v>361</v>
      </c>
      <c r="W14" t="s">
        <v>361</v>
      </c>
      <c r="X14" t="s">
        <v>361</v>
      </c>
    </row>
    <row r="15" spans="1:24">
      <c r="A15" t="s">
        <v>8539</v>
      </c>
      <c r="B15" t="s">
        <v>7566</v>
      </c>
      <c r="C15" t="s">
        <v>5325</v>
      </c>
      <c r="D15" t="s">
        <v>39</v>
      </c>
      <c r="E15" t="s">
        <v>8840</v>
      </c>
      <c r="F15" t="s">
        <v>2196</v>
      </c>
      <c r="G15" t="s">
        <v>2173</v>
      </c>
      <c r="H15" t="s">
        <v>1288</v>
      </c>
      <c r="I15" t="s">
        <v>1282</v>
      </c>
      <c r="J15" t="s">
        <v>578</v>
      </c>
      <c r="K15" t="s">
        <v>8841</v>
      </c>
      <c r="L15" t="s">
        <v>8565</v>
      </c>
      <c r="M15" t="s">
        <v>361</v>
      </c>
      <c r="N15" t="s">
        <v>2177</v>
      </c>
      <c r="O15" t="s">
        <v>361</v>
      </c>
      <c r="P15" t="s">
        <v>361</v>
      </c>
      <c r="Q15" t="s">
        <v>361</v>
      </c>
      <c r="R15" t="s">
        <v>361</v>
      </c>
      <c r="S15" t="s">
        <v>361</v>
      </c>
      <c r="T15" t="s">
        <v>361</v>
      </c>
      <c r="U15" t="s">
        <v>361</v>
      </c>
      <c r="V15" t="s">
        <v>361</v>
      </c>
      <c r="W15" t="s">
        <v>361</v>
      </c>
      <c r="X15" t="s">
        <v>361</v>
      </c>
    </row>
    <row r="16" spans="1:24">
      <c r="A16" t="s">
        <v>8539</v>
      </c>
      <c r="B16" t="s">
        <v>8842</v>
      </c>
      <c r="C16" t="s">
        <v>5325</v>
      </c>
      <c r="D16" t="s">
        <v>39</v>
      </c>
      <c r="E16" t="s">
        <v>8843</v>
      </c>
      <c r="F16" t="s">
        <v>8844</v>
      </c>
      <c r="G16" t="s">
        <v>8844</v>
      </c>
      <c r="H16" t="s">
        <v>361</v>
      </c>
      <c r="I16"/>
      <c r="J16"/>
      <c r="K16"/>
      <c r="L16" t="s">
        <v>361</v>
      </c>
      <c r="M16" t="s">
        <v>361</v>
      </c>
      <c r="N16" t="s">
        <v>3576</v>
      </c>
      <c r="O16" t="s">
        <v>361</v>
      </c>
      <c r="P16" t="s">
        <v>361</v>
      </c>
      <c r="Q16" t="s">
        <v>361</v>
      </c>
      <c r="R16" t="s">
        <v>361</v>
      </c>
      <c r="S16" t="s">
        <v>361</v>
      </c>
      <c r="T16" t="s">
        <v>361</v>
      </c>
      <c r="U16" t="s">
        <v>361</v>
      </c>
      <c r="V16" t="s">
        <v>361</v>
      </c>
      <c r="W16" t="s">
        <v>361</v>
      </c>
      <c r="X16" t="s">
        <v>361</v>
      </c>
    </row>
    <row r="17" spans="1:24">
      <c r="A17" t="s">
        <v>8539</v>
      </c>
      <c r="B17" t="s">
        <v>8845</v>
      </c>
      <c r="C17" t="s">
        <v>5325</v>
      </c>
      <c r="D17" t="s">
        <v>39</v>
      </c>
      <c r="E17" t="s">
        <v>8846</v>
      </c>
      <c r="F17" t="s">
        <v>8844</v>
      </c>
      <c r="G17" t="s">
        <v>8844</v>
      </c>
      <c r="H17" t="s">
        <v>361</v>
      </c>
      <c r="I17" t="s">
        <v>361</v>
      </c>
      <c r="J17" t="s">
        <v>361</v>
      </c>
      <c r="K17" t="s">
        <v>361</v>
      </c>
      <c r="L17" t="s">
        <v>361</v>
      </c>
      <c r="M17" t="s">
        <v>361</v>
      </c>
      <c r="N17" t="s">
        <v>3576</v>
      </c>
      <c r="O17" t="s">
        <v>361</v>
      </c>
      <c r="P17" t="s">
        <v>361</v>
      </c>
      <c r="Q17" t="s">
        <v>361</v>
      </c>
      <c r="R17" t="s">
        <v>361</v>
      </c>
      <c r="S17" t="s">
        <v>361</v>
      </c>
      <c r="T17" t="s">
        <v>361</v>
      </c>
      <c r="U17" t="s">
        <v>361</v>
      </c>
      <c r="V17" t="s">
        <v>361</v>
      </c>
      <c r="W17" t="s">
        <v>361</v>
      </c>
      <c r="X17" t="s">
        <v>361</v>
      </c>
    </row>
    <row r="18" spans="1:24">
      <c r="A18" t="s">
        <v>8539</v>
      </c>
      <c r="B18" t="s">
        <v>4307</v>
      </c>
      <c r="C18" t="s">
        <v>5325</v>
      </c>
      <c r="D18" t="s">
        <v>39</v>
      </c>
      <c r="E18" t="s">
        <v>8847</v>
      </c>
      <c r="F18" t="s">
        <v>2527</v>
      </c>
      <c r="G18" t="s">
        <v>2173</v>
      </c>
      <c r="H18" t="s">
        <v>1288</v>
      </c>
      <c r="I18" t="s">
        <v>1282</v>
      </c>
      <c r="J18" t="s">
        <v>578</v>
      </c>
      <c r="K18" t="s">
        <v>8848</v>
      </c>
      <c r="L18" t="s">
        <v>8565</v>
      </c>
      <c r="M18" t="s">
        <v>361</v>
      </c>
      <c r="N18" t="s">
        <v>2177</v>
      </c>
      <c r="O18" t="s">
        <v>361</v>
      </c>
      <c r="P18" t="s">
        <v>361</v>
      </c>
      <c r="Q18" t="s">
        <v>361</v>
      </c>
      <c r="R18" t="s">
        <v>361</v>
      </c>
      <c r="S18" t="s">
        <v>361</v>
      </c>
      <c r="T18" t="s">
        <v>361</v>
      </c>
      <c r="U18" t="s">
        <v>361</v>
      </c>
      <c r="V18" t="s">
        <v>361</v>
      </c>
      <c r="W18" t="s">
        <v>361</v>
      </c>
      <c r="X18" t="s">
        <v>361</v>
      </c>
    </row>
    <row r="19" spans="1:24">
      <c r="A19" t="s">
        <v>8539</v>
      </c>
      <c r="B19" t="s">
        <v>8849</v>
      </c>
      <c r="C19" t="s">
        <v>5325</v>
      </c>
      <c r="D19" t="s">
        <v>39</v>
      </c>
      <c r="E19" t="s">
        <v>8850</v>
      </c>
      <c r="F19" t="s">
        <v>2527</v>
      </c>
      <c r="G19" t="s">
        <v>2173</v>
      </c>
      <c r="H19" t="s">
        <v>1288</v>
      </c>
      <c r="I19" t="s">
        <v>1282</v>
      </c>
      <c r="J19" t="s">
        <v>578</v>
      </c>
      <c r="K19" t="s">
        <v>8851</v>
      </c>
      <c r="L19" t="s">
        <v>8565</v>
      </c>
      <c r="M19" t="s">
        <v>361</v>
      </c>
      <c r="N19" t="s">
        <v>2177</v>
      </c>
      <c r="O19" t="s">
        <v>361</v>
      </c>
      <c r="P19" t="s">
        <v>361</v>
      </c>
      <c r="Q19" t="s">
        <v>361</v>
      </c>
      <c r="R19" t="s">
        <v>361</v>
      </c>
      <c r="S19" t="s">
        <v>361</v>
      </c>
      <c r="T19" t="s">
        <v>361</v>
      </c>
      <c r="U19" t="s">
        <v>361</v>
      </c>
      <c r="V19" t="s">
        <v>361</v>
      </c>
      <c r="W19" t="s">
        <v>361</v>
      </c>
      <c r="X19" t="s">
        <v>361</v>
      </c>
    </row>
    <row r="20" spans="1:24">
      <c r="A20" t="s">
        <v>8539</v>
      </c>
      <c r="B20" t="s">
        <v>8852</v>
      </c>
      <c r="C20" t="s">
        <v>5325</v>
      </c>
      <c r="D20" t="s">
        <v>39</v>
      </c>
      <c r="E20" t="s">
        <v>8853</v>
      </c>
      <c r="F20" t="s">
        <v>2527</v>
      </c>
      <c r="G20" t="s">
        <v>2173</v>
      </c>
      <c r="H20" t="s">
        <v>1288</v>
      </c>
      <c r="I20" t="s">
        <v>1282</v>
      </c>
      <c r="J20" t="s">
        <v>578</v>
      </c>
      <c r="K20" t="s">
        <v>8854</v>
      </c>
      <c r="L20" t="s">
        <v>8565</v>
      </c>
      <c r="M20" t="s">
        <v>361</v>
      </c>
      <c r="N20" t="s">
        <v>2177</v>
      </c>
      <c r="O20" t="s">
        <v>361</v>
      </c>
      <c r="P20" t="s">
        <v>361</v>
      </c>
      <c r="Q20" t="s">
        <v>361</v>
      </c>
      <c r="R20" t="s">
        <v>361</v>
      </c>
      <c r="S20" t="s">
        <v>361</v>
      </c>
      <c r="T20" t="s">
        <v>361</v>
      </c>
      <c r="U20" t="s">
        <v>361</v>
      </c>
      <c r="V20" t="s">
        <v>361</v>
      </c>
      <c r="W20" t="s">
        <v>361</v>
      </c>
      <c r="X20" t="s">
        <v>361</v>
      </c>
    </row>
    <row r="21" spans="1:24">
      <c r="A21" t="s">
        <v>8539</v>
      </c>
      <c r="B21" t="s">
        <v>4339</v>
      </c>
      <c r="C21" t="s">
        <v>5325</v>
      </c>
      <c r="D21" t="s">
        <v>39</v>
      </c>
      <c r="E21" t="s">
        <v>8855</v>
      </c>
      <c r="F21" t="s">
        <v>2527</v>
      </c>
      <c r="G21" t="s">
        <v>2173</v>
      </c>
      <c r="H21" t="s">
        <v>1288</v>
      </c>
      <c r="I21" t="s">
        <v>1282</v>
      </c>
      <c r="J21" t="s">
        <v>578</v>
      </c>
      <c r="K21" t="s">
        <v>8856</v>
      </c>
      <c r="L21" t="s">
        <v>8565</v>
      </c>
      <c r="M21" t="s">
        <v>361</v>
      </c>
      <c r="N21" t="s">
        <v>2177</v>
      </c>
      <c r="O21" t="s">
        <v>361</v>
      </c>
      <c r="P21" t="s">
        <v>361</v>
      </c>
      <c r="Q21" t="s">
        <v>361</v>
      </c>
      <c r="R21" t="s">
        <v>361</v>
      </c>
      <c r="S21" t="s">
        <v>361</v>
      </c>
      <c r="T21" t="s">
        <v>361</v>
      </c>
      <c r="U21" t="s">
        <v>361</v>
      </c>
      <c r="V21" t="s">
        <v>361</v>
      </c>
      <c r="W21" t="s">
        <v>361</v>
      </c>
      <c r="X21" t="s">
        <v>361</v>
      </c>
    </row>
    <row r="22" spans="1:24">
      <c r="A22" t="s">
        <v>8539</v>
      </c>
      <c r="B22" t="s">
        <v>8857</v>
      </c>
      <c r="C22" t="s">
        <v>5325</v>
      </c>
      <c r="D22" t="s">
        <v>39</v>
      </c>
      <c r="E22" t="s">
        <v>8858</v>
      </c>
      <c r="F22" t="s">
        <v>2527</v>
      </c>
      <c r="G22" t="s">
        <v>2173</v>
      </c>
      <c r="H22" t="s">
        <v>1288</v>
      </c>
      <c r="I22" t="s">
        <v>1282</v>
      </c>
      <c r="J22" t="s">
        <v>578</v>
      </c>
      <c r="K22" t="s">
        <v>8859</v>
      </c>
      <c r="L22" t="s">
        <v>8565</v>
      </c>
      <c r="M22" t="s">
        <v>361</v>
      </c>
      <c r="N22" t="s">
        <v>2177</v>
      </c>
      <c r="O22" t="s">
        <v>361</v>
      </c>
      <c r="P22" t="s">
        <v>361</v>
      </c>
      <c r="Q22" t="s">
        <v>361</v>
      </c>
      <c r="R22" t="s">
        <v>361</v>
      </c>
      <c r="S22" t="s">
        <v>361</v>
      </c>
      <c r="T22" t="s">
        <v>361</v>
      </c>
      <c r="U22" t="s">
        <v>361</v>
      </c>
      <c r="V22" t="s">
        <v>361</v>
      </c>
      <c r="W22" t="s">
        <v>361</v>
      </c>
      <c r="X22" t="s">
        <v>361</v>
      </c>
    </row>
    <row r="23" spans="1:24">
      <c r="A23" t="s">
        <v>8539</v>
      </c>
      <c r="B23" t="s">
        <v>8860</v>
      </c>
      <c r="C23" t="s">
        <v>5325</v>
      </c>
      <c r="D23" t="s">
        <v>39</v>
      </c>
      <c r="E23" t="s">
        <v>8861</v>
      </c>
      <c r="F23" t="s">
        <v>2527</v>
      </c>
      <c r="G23" t="s">
        <v>2173</v>
      </c>
      <c r="H23" t="s">
        <v>1288</v>
      </c>
      <c r="I23" t="s">
        <v>1282</v>
      </c>
      <c r="J23" t="s">
        <v>578</v>
      </c>
      <c r="K23" t="s">
        <v>8862</v>
      </c>
      <c r="L23" t="s">
        <v>8565</v>
      </c>
      <c r="M23" t="s">
        <v>361</v>
      </c>
      <c r="N23" t="s">
        <v>2177</v>
      </c>
      <c r="O23" t="s">
        <v>361</v>
      </c>
      <c r="P23" t="s">
        <v>361</v>
      </c>
      <c r="Q23" t="s">
        <v>361</v>
      </c>
      <c r="R23" t="s">
        <v>361</v>
      </c>
      <c r="S23" t="s">
        <v>361</v>
      </c>
      <c r="T23" t="s">
        <v>361</v>
      </c>
      <c r="U23" t="s">
        <v>361</v>
      </c>
      <c r="V23" t="s">
        <v>361</v>
      </c>
      <c r="W23" t="s">
        <v>361</v>
      </c>
      <c r="X23" t="s">
        <v>361</v>
      </c>
    </row>
    <row r="24" spans="1:24">
      <c r="A24" t="s">
        <v>8539</v>
      </c>
      <c r="B24" t="s">
        <v>8863</v>
      </c>
      <c r="C24" t="s">
        <v>5325</v>
      </c>
      <c r="D24" t="s">
        <v>39</v>
      </c>
      <c r="E24" t="s">
        <v>8864</v>
      </c>
      <c r="F24" t="s">
        <v>2527</v>
      </c>
      <c r="G24" t="s">
        <v>2173</v>
      </c>
      <c r="H24" t="s">
        <v>1288</v>
      </c>
      <c r="I24" t="s">
        <v>1282</v>
      </c>
      <c r="J24" t="s">
        <v>578</v>
      </c>
      <c r="K24" t="s">
        <v>8865</v>
      </c>
      <c r="L24" t="s">
        <v>8565</v>
      </c>
      <c r="M24" t="s">
        <v>361</v>
      </c>
      <c r="N24" t="s">
        <v>2177</v>
      </c>
      <c r="O24" t="s">
        <v>361</v>
      </c>
      <c r="P24" t="s">
        <v>361</v>
      </c>
      <c r="Q24" t="s">
        <v>361</v>
      </c>
      <c r="R24" t="s">
        <v>361</v>
      </c>
      <c r="S24" t="s">
        <v>361</v>
      </c>
      <c r="T24" t="s">
        <v>361</v>
      </c>
      <c r="U24" t="s">
        <v>361</v>
      </c>
      <c r="V24" t="s">
        <v>361</v>
      </c>
      <c r="W24" t="s">
        <v>361</v>
      </c>
      <c r="X24" t="s">
        <v>361</v>
      </c>
    </row>
    <row r="25" spans="1:24">
      <c r="A25" t="s">
        <v>8539</v>
      </c>
      <c r="B25" t="s">
        <v>4580</v>
      </c>
      <c r="C25" t="s">
        <v>5325</v>
      </c>
      <c r="D25" t="s">
        <v>39</v>
      </c>
      <c r="E25" t="s">
        <v>8866</v>
      </c>
      <c r="F25" t="s">
        <v>2527</v>
      </c>
      <c r="G25" t="s">
        <v>2546</v>
      </c>
      <c r="H25" t="s">
        <v>1288</v>
      </c>
      <c r="I25" t="s">
        <v>1282</v>
      </c>
      <c r="J25" t="s">
        <v>578</v>
      </c>
      <c r="K25" t="s">
        <v>8867</v>
      </c>
      <c r="L25" t="s">
        <v>8565</v>
      </c>
      <c r="M25" t="s">
        <v>361</v>
      </c>
      <c r="N25" t="s">
        <v>3576</v>
      </c>
      <c r="O25" t="s">
        <v>361</v>
      </c>
      <c r="P25" t="s">
        <v>361</v>
      </c>
      <c r="Q25" t="s">
        <v>361</v>
      </c>
      <c r="R25" t="s">
        <v>361</v>
      </c>
      <c r="S25" t="s">
        <v>361</v>
      </c>
      <c r="T25" t="s">
        <v>361</v>
      </c>
      <c r="U25" t="s">
        <v>361</v>
      </c>
      <c r="V25" t="s">
        <v>361</v>
      </c>
      <c r="W25" t="s">
        <v>361</v>
      </c>
      <c r="X25" t="s">
        <v>361</v>
      </c>
    </row>
    <row r="26" spans="1:24">
      <c r="A26" t="s">
        <v>8539</v>
      </c>
      <c r="B26" t="s">
        <v>8868</v>
      </c>
      <c r="C26" t="s">
        <v>5325</v>
      </c>
      <c r="D26" t="s">
        <v>39</v>
      </c>
      <c r="E26" t="s">
        <v>8869</v>
      </c>
      <c r="F26" t="s">
        <v>2527</v>
      </c>
      <c r="G26" t="s">
        <v>2173</v>
      </c>
      <c r="H26" t="s">
        <v>1288</v>
      </c>
      <c r="I26" t="s">
        <v>1282</v>
      </c>
      <c r="J26" t="s">
        <v>578</v>
      </c>
      <c r="K26" t="s">
        <v>8854</v>
      </c>
      <c r="L26" t="s">
        <v>8565</v>
      </c>
      <c r="M26" t="s">
        <v>361</v>
      </c>
      <c r="N26" t="s">
        <v>2177</v>
      </c>
      <c r="O26" t="s">
        <v>361</v>
      </c>
      <c r="P26" t="s">
        <v>361</v>
      </c>
      <c r="Q26" t="s">
        <v>361</v>
      </c>
      <c r="R26" t="s">
        <v>361</v>
      </c>
      <c r="S26" t="s">
        <v>361</v>
      </c>
      <c r="T26" t="s">
        <v>361</v>
      </c>
      <c r="U26" t="s">
        <v>361</v>
      </c>
      <c r="V26" t="s">
        <v>361</v>
      </c>
      <c r="W26" t="s">
        <v>361</v>
      </c>
      <c r="X26" t="s">
        <v>361</v>
      </c>
    </row>
    <row r="27" spans="1:24" ht="30">
      <c r="A27" t="s">
        <v>8539</v>
      </c>
      <c r="B27" t="s">
        <v>8870</v>
      </c>
      <c r="C27" t="s">
        <v>5325</v>
      </c>
      <c r="D27" t="s">
        <v>39</v>
      </c>
      <c r="E27" t="s">
        <v>8871</v>
      </c>
      <c r="F27" t="s">
        <v>2527</v>
      </c>
      <c r="G27" t="s">
        <v>8872</v>
      </c>
      <c r="H27" s="490" t="s">
        <v>1288</v>
      </c>
      <c r="I27" s="490" t="s">
        <v>1282</v>
      </c>
      <c r="J27" s="489" t="s">
        <v>8873</v>
      </c>
      <c r="K27" t="s">
        <v>8874</v>
      </c>
      <c r="L27" s="12" t="s">
        <v>8875</v>
      </c>
      <c r="M27" t="s">
        <v>361</v>
      </c>
      <c r="N27" t="s">
        <v>3576</v>
      </c>
      <c r="O27" t="s">
        <v>361</v>
      </c>
      <c r="P27" t="s">
        <v>361</v>
      </c>
      <c r="Q27" t="s">
        <v>361</v>
      </c>
      <c r="R27" t="s">
        <v>361</v>
      </c>
      <c r="S27" t="s">
        <v>361</v>
      </c>
      <c r="T27" t="s">
        <v>361</v>
      </c>
      <c r="U27" t="s">
        <v>361</v>
      </c>
      <c r="V27" t="s">
        <v>361</v>
      </c>
      <c r="W27" t="s">
        <v>361</v>
      </c>
      <c r="X27" t="s">
        <v>361</v>
      </c>
    </row>
    <row r="28" spans="1:24">
      <c r="A28" t="s">
        <v>8539</v>
      </c>
      <c r="B28" t="s">
        <v>8876</v>
      </c>
      <c r="C28" t="s">
        <v>8877</v>
      </c>
      <c r="D28" t="s">
        <v>39</v>
      </c>
      <c r="E28" t="s">
        <v>8878</v>
      </c>
      <c r="F28" t="s">
        <v>2527</v>
      </c>
      <c r="G28" t="s">
        <v>2173</v>
      </c>
      <c r="H28" t="s">
        <v>1288</v>
      </c>
      <c r="I28" t="s">
        <v>1282</v>
      </c>
      <c r="J28" t="s">
        <v>1549</v>
      </c>
      <c r="K28" t="s">
        <v>8879</v>
      </c>
      <c r="L28" t="s">
        <v>8880</v>
      </c>
      <c r="M28" t="s">
        <v>361</v>
      </c>
      <c r="N28" t="s">
        <v>2177</v>
      </c>
      <c r="O28" t="s">
        <v>361</v>
      </c>
      <c r="P28" t="s">
        <v>361</v>
      </c>
      <c r="Q28" t="s">
        <v>361</v>
      </c>
      <c r="R28" t="s">
        <v>361</v>
      </c>
      <c r="S28" t="s">
        <v>361</v>
      </c>
      <c r="T28" t="s">
        <v>361</v>
      </c>
      <c r="U28" t="s">
        <v>361</v>
      </c>
      <c r="V28" t="s">
        <v>361</v>
      </c>
      <c r="W28" t="s">
        <v>361</v>
      </c>
      <c r="X28" t="s">
        <v>361</v>
      </c>
    </row>
    <row r="29" spans="1:24">
      <c r="A29" t="s">
        <v>8539</v>
      </c>
      <c r="B29" t="s">
        <v>8881</v>
      </c>
      <c r="C29" t="s">
        <v>8877</v>
      </c>
      <c r="D29" t="s">
        <v>39</v>
      </c>
      <c r="E29" t="s">
        <v>8882</v>
      </c>
      <c r="F29" t="s">
        <v>2527</v>
      </c>
      <c r="G29" t="s">
        <v>2173</v>
      </c>
      <c r="H29" t="s">
        <v>8825</v>
      </c>
      <c r="I29" t="s">
        <v>1282</v>
      </c>
      <c r="J29" t="s">
        <v>595</v>
      </c>
      <c r="K29" t="s">
        <v>8883</v>
      </c>
      <c r="L29" t="s">
        <v>8826</v>
      </c>
      <c r="M29" t="s">
        <v>361</v>
      </c>
      <c r="N29" t="s">
        <v>2177</v>
      </c>
      <c r="O29" t="s">
        <v>361</v>
      </c>
      <c r="P29" t="s">
        <v>361</v>
      </c>
      <c r="Q29" t="s">
        <v>361</v>
      </c>
      <c r="R29" t="s">
        <v>361</v>
      </c>
      <c r="S29" t="s">
        <v>361</v>
      </c>
      <c r="T29" t="s">
        <v>361</v>
      </c>
      <c r="U29" t="s">
        <v>361</v>
      </c>
      <c r="V29" t="s">
        <v>361</v>
      </c>
      <c r="W29" t="s">
        <v>361</v>
      </c>
      <c r="X29" t="s">
        <v>361</v>
      </c>
    </row>
    <row r="30" spans="1:24">
      <c r="A30" t="s">
        <v>8539</v>
      </c>
      <c r="B30" t="s">
        <v>8884</v>
      </c>
      <c r="C30" t="s">
        <v>8877</v>
      </c>
      <c r="D30" t="s">
        <v>39</v>
      </c>
      <c r="E30" t="s">
        <v>8885</v>
      </c>
      <c r="F30" t="s">
        <v>2527</v>
      </c>
      <c r="G30" t="s">
        <v>2173</v>
      </c>
      <c r="H30" t="s">
        <v>1288</v>
      </c>
      <c r="I30" t="s">
        <v>1282</v>
      </c>
      <c r="J30" t="s">
        <v>1688</v>
      </c>
      <c r="K30" t="s">
        <v>8886</v>
      </c>
      <c r="L30" t="s">
        <v>361</v>
      </c>
      <c r="M30" t="s">
        <v>361</v>
      </c>
      <c r="N30" t="s">
        <v>2177</v>
      </c>
      <c r="O30" t="s">
        <v>361</v>
      </c>
      <c r="P30" t="s">
        <v>361</v>
      </c>
      <c r="Q30" t="s">
        <v>361</v>
      </c>
      <c r="R30" t="s">
        <v>361</v>
      </c>
      <c r="S30" t="s">
        <v>361</v>
      </c>
      <c r="T30" t="s">
        <v>361</v>
      </c>
      <c r="U30" t="s">
        <v>361</v>
      </c>
      <c r="V30" t="s">
        <v>361</v>
      </c>
      <c r="W30" t="s">
        <v>361</v>
      </c>
      <c r="X30" t="s">
        <v>361</v>
      </c>
    </row>
    <row r="31" spans="1:24">
      <c r="A31" t="s">
        <v>8539</v>
      </c>
      <c r="B31" t="s">
        <v>8887</v>
      </c>
      <c r="C31" t="s">
        <v>8877</v>
      </c>
      <c r="D31" t="s">
        <v>39</v>
      </c>
      <c r="E31" t="s">
        <v>8888</v>
      </c>
      <c r="F31" t="s">
        <v>2527</v>
      </c>
      <c r="G31" t="s">
        <v>2173</v>
      </c>
      <c r="H31" t="s">
        <v>1288</v>
      </c>
      <c r="I31" t="s">
        <v>1282</v>
      </c>
      <c r="J31" t="s">
        <v>1515</v>
      </c>
      <c r="K31" t="s">
        <v>8889</v>
      </c>
      <c r="L31" t="s">
        <v>8890</v>
      </c>
      <c r="M31" t="s">
        <v>361</v>
      </c>
      <c r="N31" t="s">
        <v>2177</v>
      </c>
      <c r="O31" t="s">
        <v>361</v>
      </c>
      <c r="P31" t="s">
        <v>361</v>
      </c>
      <c r="Q31" t="s">
        <v>361</v>
      </c>
      <c r="R31" t="s">
        <v>361</v>
      </c>
      <c r="S31" t="s">
        <v>361</v>
      </c>
      <c r="T31" t="s">
        <v>361</v>
      </c>
      <c r="U31" t="s">
        <v>361</v>
      </c>
      <c r="V31" t="s">
        <v>361</v>
      </c>
      <c r="W31" t="s">
        <v>361</v>
      </c>
      <c r="X31" t="s">
        <v>361</v>
      </c>
    </row>
    <row r="32" spans="1:24">
      <c r="A32" t="s">
        <v>8539</v>
      </c>
      <c r="B32" t="s">
        <v>8891</v>
      </c>
      <c r="C32" t="s">
        <v>8877</v>
      </c>
      <c r="D32" t="s">
        <v>39</v>
      </c>
      <c r="E32" t="s">
        <v>8892</v>
      </c>
      <c r="F32" t="s">
        <v>2527</v>
      </c>
      <c r="G32" t="s">
        <v>2173</v>
      </c>
      <c r="H32" t="s">
        <v>1288</v>
      </c>
      <c r="I32" t="s">
        <v>1282</v>
      </c>
      <c r="J32" t="s">
        <v>1515</v>
      </c>
      <c r="K32" t="s">
        <v>8893</v>
      </c>
      <c r="L32" t="s">
        <v>8890</v>
      </c>
      <c r="M32" t="s">
        <v>361</v>
      </c>
      <c r="N32" t="s">
        <v>2177</v>
      </c>
      <c r="O32" t="s">
        <v>361</v>
      </c>
      <c r="P32" t="s">
        <v>361</v>
      </c>
      <c r="Q32" t="s">
        <v>361</v>
      </c>
      <c r="R32" t="s">
        <v>361</v>
      </c>
      <c r="S32" t="s">
        <v>361</v>
      </c>
      <c r="T32" t="s">
        <v>361</v>
      </c>
      <c r="U32" t="s">
        <v>361</v>
      </c>
      <c r="V32" t="s">
        <v>361</v>
      </c>
      <c r="W32" t="s">
        <v>361</v>
      </c>
      <c r="X32" t="s">
        <v>361</v>
      </c>
    </row>
    <row r="33" spans="1:24">
      <c r="A33" t="s">
        <v>8539</v>
      </c>
      <c r="B33" t="s">
        <v>8894</v>
      </c>
      <c r="C33" t="s">
        <v>8877</v>
      </c>
      <c r="D33" t="s">
        <v>39</v>
      </c>
      <c r="E33" t="s">
        <v>8895</v>
      </c>
      <c r="F33" t="s">
        <v>2527</v>
      </c>
      <c r="G33" t="s">
        <v>2173</v>
      </c>
      <c r="H33" t="s">
        <v>1288</v>
      </c>
      <c r="I33" t="s">
        <v>1282</v>
      </c>
      <c r="J33" t="s">
        <v>1515</v>
      </c>
      <c r="K33" t="s">
        <v>8896</v>
      </c>
      <c r="L33" t="s">
        <v>8890</v>
      </c>
      <c r="M33" t="s">
        <v>361</v>
      </c>
      <c r="N33" t="s">
        <v>2177</v>
      </c>
      <c r="O33" t="s">
        <v>361</v>
      </c>
      <c r="P33" t="s">
        <v>361</v>
      </c>
      <c r="Q33" t="s">
        <v>361</v>
      </c>
      <c r="R33" t="s">
        <v>361</v>
      </c>
      <c r="S33" t="s">
        <v>361</v>
      </c>
      <c r="T33" t="s">
        <v>361</v>
      </c>
      <c r="U33" t="s">
        <v>361</v>
      </c>
      <c r="V33" t="s">
        <v>361</v>
      </c>
      <c r="W33" t="s">
        <v>361</v>
      </c>
      <c r="X33" t="s">
        <v>361</v>
      </c>
    </row>
    <row r="34" spans="1:24">
      <c r="A34" t="s">
        <v>8539</v>
      </c>
      <c r="B34" t="s">
        <v>8897</v>
      </c>
      <c r="C34" t="s">
        <v>8877</v>
      </c>
      <c r="D34" t="s">
        <v>39</v>
      </c>
      <c r="E34" t="s">
        <v>8898</v>
      </c>
      <c r="F34" t="s">
        <v>2527</v>
      </c>
      <c r="G34" t="s">
        <v>2173</v>
      </c>
      <c r="H34" t="s">
        <v>1288</v>
      </c>
      <c r="I34" t="s">
        <v>1282</v>
      </c>
      <c r="J34" t="s">
        <v>1515</v>
      </c>
      <c r="K34" t="s">
        <v>8899</v>
      </c>
      <c r="L34" t="s">
        <v>8890</v>
      </c>
      <c r="M34" t="s">
        <v>361</v>
      </c>
      <c r="N34" t="s">
        <v>2177</v>
      </c>
      <c r="O34" t="s">
        <v>361</v>
      </c>
      <c r="P34" t="s">
        <v>361</v>
      </c>
      <c r="Q34" t="s">
        <v>361</v>
      </c>
      <c r="R34" t="s">
        <v>361</v>
      </c>
      <c r="S34" t="s">
        <v>361</v>
      </c>
      <c r="T34" t="s">
        <v>361</v>
      </c>
      <c r="U34" t="s">
        <v>361</v>
      </c>
      <c r="V34" t="s">
        <v>361</v>
      </c>
      <c r="W34" t="s">
        <v>361</v>
      </c>
      <c r="X34" t="s">
        <v>361</v>
      </c>
    </row>
    <row r="35" spans="1:24">
      <c r="A35" t="s">
        <v>8539</v>
      </c>
      <c r="B35" t="s">
        <v>8900</v>
      </c>
      <c r="C35" t="s">
        <v>8877</v>
      </c>
      <c r="D35" t="s">
        <v>39</v>
      </c>
      <c r="E35" t="s">
        <v>8901</v>
      </c>
      <c r="F35" t="s">
        <v>2527</v>
      </c>
      <c r="G35" t="s">
        <v>2173</v>
      </c>
      <c r="H35" t="s">
        <v>1288</v>
      </c>
      <c r="I35" t="s">
        <v>1282</v>
      </c>
      <c r="J35" t="s">
        <v>1515</v>
      </c>
      <c r="K35" t="s">
        <v>8902</v>
      </c>
      <c r="L35" t="s">
        <v>8890</v>
      </c>
      <c r="M35" t="s">
        <v>361</v>
      </c>
      <c r="N35" t="s">
        <v>2177</v>
      </c>
      <c r="O35" t="s">
        <v>361</v>
      </c>
      <c r="P35" t="s">
        <v>361</v>
      </c>
      <c r="Q35" t="s">
        <v>361</v>
      </c>
      <c r="R35" t="s">
        <v>361</v>
      </c>
      <c r="S35" t="s">
        <v>361</v>
      </c>
      <c r="T35" t="s">
        <v>361</v>
      </c>
      <c r="U35" t="s">
        <v>361</v>
      </c>
      <c r="V35" t="s">
        <v>361</v>
      </c>
      <c r="W35" t="s">
        <v>361</v>
      </c>
      <c r="X35" t="s">
        <v>361</v>
      </c>
    </row>
    <row r="36" spans="1:24">
      <c r="A36" t="s">
        <v>8539</v>
      </c>
      <c r="B36" t="s">
        <v>8903</v>
      </c>
      <c r="C36" t="s">
        <v>8877</v>
      </c>
      <c r="D36" t="s">
        <v>39</v>
      </c>
      <c r="E36" t="s">
        <v>8904</v>
      </c>
      <c r="F36" t="s">
        <v>2527</v>
      </c>
      <c r="G36" t="s">
        <v>2173</v>
      </c>
      <c r="H36" t="s">
        <v>1288</v>
      </c>
      <c r="I36" t="s">
        <v>1282</v>
      </c>
      <c r="J36" t="s">
        <v>1515</v>
      </c>
      <c r="K36" t="s">
        <v>8905</v>
      </c>
      <c r="L36" t="s">
        <v>8890</v>
      </c>
      <c r="M36" t="s">
        <v>361</v>
      </c>
      <c r="N36" t="s">
        <v>2177</v>
      </c>
      <c r="O36" t="s">
        <v>361</v>
      </c>
      <c r="P36" t="s">
        <v>361</v>
      </c>
      <c r="Q36" t="s">
        <v>361</v>
      </c>
      <c r="R36" t="s">
        <v>361</v>
      </c>
      <c r="S36" t="s">
        <v>361</v>
      </c>
      <c r="T36" t="s">
        <v>361</v>
      </c>
      <c r="U36" t="s">
        <v>361</v>
      </c>
      <c r="V36" t="s">
        <v>361</v>
      </c>
      <c r="W36" t="s">
        <v>361</v>
      </c>
      <c r="X36" t="s">
        <v>361</v>
      </c>
    </row>
    <row r="37" spans="1:24">
      <c r="A37" t="s">
        <v>8539</v>
      </c>
      <c r="B37" t="s">
        <v>8906</v>
      </c>
      <c r="C37" t="s">
        <v>8877</v>
      </c>
      <c r="D37" t="s">
        <v>39</v>
      </c>
      <c r="E37" t="s">
        <v>8907</v>
      </c>
      <c r="F37" t="s">
        <v>2527</v>
      </c>
      <c r="G37" t="s">
        <v>2173</v>
      </c>
      <c r="H37" t="s">
        <v>1288</v>
      </c>
      <c r="I37" t="s">
        <v>1282</v>
      </c>
      <c r="J37" t="s">
        <v>1515</v>
      </c>
      <c r="K37" t="s">
        <v>8908</v>
      </c>
      <c r="L37" t="s">
        <v>8890</v>
      </c>
      <c r="M37" t="s">
        <v>361</v>
      </c>
      <c r="N37" t="s">
        <v>2177</v>
      </c>
      <c r="O37" t="s">
        <v>361</v>
      </c>
      <c r="P37" t="s">
        <v>361</v>
      </c>
      <c r="Q37" t="s">
        <v>361</v>
      </c>
      <c r="R37" t="s">
        <v>361</v>
      </c>
      <c r="S37" t="s">
        <v>361</v>
      </c>
      <c r="T37" t="s">
        <v>361</v>
      </c>
      <c r="U37" t="s">
        <v>361</v>
      </c>
      <c r="V37" t="s">
        <v>361</v>
      </c>
      <c r="W37" t="s">
        <v>361</v>
      </c>
      <c r="X37" t="s">
        <v>361</v>
      </c>
    </row>
    <row r="38" spans="1:24">
      <c r="A38" t="s">
        <v>8539</v>
      </c>
      <c r="B38" t="s">
        <v>8909</v>
      </c>
      <c r="C38" t="s">
        <v>8877</v>
      </c>
      <c r="D38" t="s">
        <v>39</v>
      </c>
      <c r="E38" t="s">
        <v>8910</v>
      </c>
      <c r="F38" t="s">
        <v>2527</v>
      </c>
      <c r="G38" t="s">
        <v>2173</v>
      </c>
      <c r="H38" t="s">
        <v>1288</v>
      </c>
      <c r="I38" t="s">
        <v>1282</v>
      </c>
      <c r="J38" t="s">
        <v>1515</v>
      </c>
      <c r="K38" t="s">
        <v>8911</v>
      </c>
      <c r="L38" t="s">
        <v>8890</v>
      </c>
      <c r="M38" t="s">
        <v>361</v>
      </c>
      <c r="N38" t="s">
        <v>2177</v>
      </c>
      <c r="O38" t="s">
        <v>361</v>
      </c>
      <c r="P38" t="s">
        <v>361</v>
      </c>
      <c r="Q38" t="s">
        <v>361</v>
      </c>
      <c r="R38" t="s">
        <v>361</v>
      </c>
      <c r="S38" t="s">
        <v>361</v>
      </c>
      <c r="T38" t="s">
        <v>361</v>
      </c>
      <c r="U38" t="s">
        <v>361</v>
      </c>
      <c r="V38" t="s">
        <v>361</v>
      </c>
      <c r="W38" t="s">
        <v>361</v>
      </c>
      <c r="X38" t="s">
        <v>361</v>
      </c>
    </row>
    <row r="39" spans="1:24">
      <c r="A39" t="s">
        <v>8539</v>
      </c>
      <c r="B39" t="s">
        <v>8912</v>
      </c>
      <c r="C39" t="s">
        <v>8877</v>
      </c>
      <c r="D39" t="s">
        <v>39</v>
      </c>
      <c r="E39" t="s">
        <v>8913</v>
      </c>
      <c r="F39" t="s">
        <v>2527</v>
      </c>
      <c r="G39" t="s">
        <v>2173</v>
      </c>
      <c r="H39" t="s">
        <v>1288</v>
      </c>
      <c r="I39" t="s">
        <v>1282</v>
      </c>
      <c r="J39" t="s">
        <v>1515</v>
      </c>
      <c r="K39" t="s">
        <v>8914</v>
      </c>
      <c r="L39" t="s">
        <v>8890</v>
      </c>
      <c r="M39" t="s">
        <v>361</v>
      </c>
      <c r="N39" t="s">
        <v>2177</v>
      </c>
      <c r="O39" t="s">
        <v>361</v>
      </c>
      <c r="P39" t="s">
        <v>361</v>
      </c>
      <c r="Q39" t="s">
        <v>361</v>
      </c>
      <c r="R39" t="s">
        <v>361</v>
      </c>
      <c r="S39" t="s">
        <v>361</v>
      </c>
      <c r="T39" t="s">
        <v>361</v>
      </c>
      <c r="U39" t="s">
        <v>361</v>
      </c>
      <c r="V39" t="s">
        <v>361</v>
      </c>
      <c r="W39" t="s">
        <v>361</v>
      </c>
      <c r="X39" t="s">
        <v>361</v>
      </c>
    </row>
    <row r="40" spans="1:24">
      <c r="A40" t="s">
        <v>8539</v>
      </c>
      <c r="B40" t="s">
        <v>8915</v>
      </c>
      <c r="C40" t="s">
        <v>8877</v>
      </c>
      <c r="D40" t="s">
        <v>39</v>
      </c>
      <c r="E40" t="s">
        <v>8916</v>
      </c>
      <c r="F40" t="s">
        <v>2527</v>
      </c>
      <c r="G40" t="s">
        <v>2173</v>
      </c>
      <c r="H40" t="s">
        <v>1288</v>
      </c>
      <c r="I40" t="s">
        <v>1282</v>
      </c>
      <c r="J40" t="s">
        <v>1515</v>
      </c>
      <c r="K40" t="s">
        <v>8917</v>
      </c>
      <c r="L40" t="s">
        <v>8890</v>
      </c>
      <c r="M40" t="s">
        <v>361</v>
      </c>
      <c r="N40" t="s">
        <v>2177</v>
      </c>
      <c r="O40" t="s">
        <v>361</v>
      </c>
      <c r="P40" t="s">
        <v>361</v>
      </c>
      <c r="Q40" t="s">
        <v>361</v>
      </c>
      <c r="R40" t="s">
        <v>361</v>
      </c>
      <c r="S40" t="s">
        <v>361</v>
      </c>
      <c r="T40" t="s">
        <v>361</v>
      </c>
      <c r="U40" t="s">
        <v>361</v>
      </c>
      <c r="V40" t="s">
        <v>361</v>
      </c>
      <c r="W40" t="s">
        <v>361</v>
      </c>
      <c r="X40" t="s">
        <v>361</v>
      </c>
    </row>
    <row r="41" spans="1:24">
      <c r="A41" t="s">
        <v>8539</v>
      </c>
      <c r="B41" t="s">
        <v>8918</v>
      </c>
      <c r="C41" t="s">
        <v>8877</v>
      </c>
      <c r="D41" t="s">
        <v>39</v>
      </c>
      <c r="E41" t="s">
        <v>8919</v>
      </c>
      <c r="F41" t="s">
        <v>2527</v>
      </c>
      <c r="G41" t="s">
        <v>2173</v>
      </c>
      <c r="H41" t="s">
        <v>1288</v>
      </c>
      <c r="I41" t="s">
        <v>1282</v>
      </c>
      <c r="J41" t="s">
        <v>1515</v>
      </c>
      <c r="K41" t="s">
        <v>8920</v>
      </c>
      <c r="L41" t="s">
        <v>8890</v>
      </c>
      <c r="M41" t="s">
        <v>361</v>
      </c>
      <c r="N41" t="s">
        <v>3576</v>
      </c>
      <c r="O41" t="s">
        <v>361</v>
      </c>
      <c r="P41" t="s">
        <v>361</v>
      </c>
      <c r="Q41" t="s">
        <v>361</v>
      </c>
      <c r="R41" t="s">
        <v>361</v>
      </c>
      <c r="S41" t="s">
        <v>361</v>
      </c>
      <c r="T41" t="s">
        <v>361</v>
      </c>
      <c r="U41" t="s">
        <v>361</v>
      </c>
      <c r="V41" t="s">
        <v>361</v>
      </c>
      <c r="W41" t="s">
        <v>361</v>
      </c>
      <c r="X41" t="s">
        <v>361</v>
      </c>
    </row>
    <row r="42" spans="1:24">
      <c r="A42" t="s">
        <v>8539</v>
      </c>
      <c r="B42" t="s">
        <v>8921</v>
      </c>
      <c r="C42" t="s">
        <v>8877</v>
      </c>
      <c r="D42" t="s">
        <v>39</v>
      </c>
      <c r="E42" t="s">
        <v>8922</v>
      </c>
      <c r="F42" t="s">
        <v>2527</v>
      </c>
      <c r="G42" t="s">
        <v>2173</v>
      </c>
      <c r="H42" t="s">
        <v>1288</v>
      </c>
      <c r="I42" t="s">
        <v>1282</v>
      </c>
      <c r="J42" t="s">
        <v>1515</v>
      </c>
      <c r="K42" t="s">
        <v>8923</v>
      </c>
      <c r="L42" t="s">
        <v>361</v>
      </c>
      <c r="M42" t="s">
        <v>361</v>
      </c>
      <c r="N42" t="s">
        <v>3576</v>
      </c>
      <c r="O42" t="s">
        <v>361</v>
      </c>
      <c r="P42" t="s">
        <v>361</v>
      </c>
      <c r="Q42" t="s">
        <v>361</v>
      </c>
      <c r="R42" t="s">
        <v>361</v>
      </c>
      <c r="S42" t="s">
        <v>361</v>
      </c>
      <c r="T42" t="s">
        <v>361</v>
      </c>
      <c r="U42" t="s">
        <v>361</v>
      </c>
      <c r="V42" t="s">
        <v>361</v>
      </c>
      <c r="W42" t="s">
        <v>361</v>
      </c>
      <c r="X42" t="s">
        <v>361</v>
      </c>
    </row>
    <row r="43" spans="1:24">
      <c r="A43" t="s">
        <v>8539</v>
      </c>
      <c r="B43" t="s">
        <v>8924</v>
      </c>
      <c r="C43" t="s">
        <v>8877</v>
      </c>
      <c r="D43" t="s">
        <v>39</v>
      </c>
      <c r="E43" t="s">
        <v>8925</v>
      </c>
      <c r="F43" t="s">
        <v>2527</v>
      </c>
      <c r="G43" t="s">
        <v>2173</v>
      </c>
      <c r="H43" t="s">
        <v>1288</v>
      </c>
      <c r="I43" t="s">
        <v>1282</v>
      </c>
      <c r="J43" t="s">
        <v>1515</v>
      </c>
      <c r="K43" t="s">
        <v>8926</v>
      </c>
      <c r="L43" t="s">
        <v>8890</v>
      </c>
      <c r="M43" t="s">
        <v>361</v>
      </c>
      <c r="N43" t="s">
        <v>2177</v>
      </c>
      <c r="O43" t="s">
        <v>361</v>
      </c>
      <c r="P43" t="s">
        <v>361</v>
      </c>
      <c r="Q43" t="s">
        <v>361</v>
      </c>
      <c r="R43" t="s">
        <v>361</v>
      </c>
      <c r="S43" t="s">
        <v>361</v>
      </c>
      <c r="T43" t="s">
        <v>361</v>
      </c>
      <c r="U43" t="s">
        <v>361</v>
      </c>
      <c r="V43" t="s">
        <v>361</v>
      </c>
      <c r="W43" t="s">
        <v>361</v>
      </c>
      <c r="X43" t="s">
        <v>361</v>
      </c>
    </row>
    <row r="44" spans="1:24">
      <c r="A44" t="s">
        <v>8539</v>
      </c>
      <c r="B44" t="s">
        <v>8927</v>
      </c>
      <c r="C44" t="s">
        <v>8877</v>
      </c>
      <c r="D44" t="s">
        <v>39</v>
      </c>
      <c r="E44" t="s">
        <v>8928</v>
      </c>
      <c r="F44" t="s">
        <v>2527</v>
      </c>
      <c r="G44" t="s">
        <v>2173</v>
      </c>
      <c r="H44" t="s">
        <v>1288</v>
      </c>
      <c r="I44" t="s">
        <v>1282</v>
      </c>
      <c r="J44" t="s">
        <v>1515</v>
      </c>
      <c r="K44" t="s">
        <v>8929</v>
      </c>
      <c r="L44" t="s">
        <v>8890</v>
      </c>
      <c r="M44" t="s">
        <v>361</v>
      </c>
      <c r="N44" t="s">
        <v>2177</v>
      </c>
      <c r="O44" t="s">
        <v>361</v>
      </c>
      <c r="P44" t="s">
        <v>361</v>
      </c>
      <c r="Q44" t="s">
        <v>361</v>
      </c>
      <c r="R44" t="s">
        <v>361</v>
      </c>
      <c r="S44" t="s">
        <v>361</v>
      </c>
      <c r="T44" t="s">
        <v>361</v>
      </c>
      <c r="U44" t="s">
        <v>361</v>
      </c>
      <c r="V44" t="s">
        <v>361</v>
      </c>
      <c r="W44" t="s">
        <v>361</v>
      </c>
      <c r="X44" t="s">
        <v>361</v>
      </c>
    </row>
    <row r="45" spans="1:24" ht="30">
      <c r="A45" t="s">
        <v>8539</v>
      </c>
      <c r="B45" t="s">
        <v>8930</v>
      </c>
      <c r="C45" t="s">
        <v>8877</v>
      </c>
      <c r="D45" t="s">
        <v>39</v>
      </c>
      <c r="E45" t="s">
        <v>8931</v>
      </c>
      <c r="F45" t="s">
        <v>2527</v>
      </c>
      <c r="G45" t="s">
        <v>8872</v>
      </c>
      <c r="H45" s="490" t="s">
        <v>1288</v>
      </c>
      <c r="I45" s="490" t="s">
        <v>1282</v>
      </c>
      <c r="J45" s="489" t="s">
        <v>8873</v>
      </c>
      <c r="K45" t="s">
        <v>8932</v>
      </c>
      <c r="L45" s="12" t="s">
        <v>8875</v>
      </c>
      <c r="M45" t="s">
        <v>361</v>
      </c>
      <c r="N45" t="s">
        <v>3576</v>
      </c>
      <c r="O45" t="s">
        <v>361</v>
      </c>
      <c r="P45" t="s">
        <v>361</v>
      </c>
      <c r="Q45" t="s">
        <v>361</v>
      </c>
      <c r="R45" t="s">
        <v>361</v>
      </c>
      <c r="S45" t="s">
        <v>361</v>
      </c>
      <c r="T45" t="s">
        <v>361</v>
      </c>
      <c r="U45" t="s">
        <v>361</v>
      </c>
      <c r="V45" t="s">
        <v>361</v>
      </c>
      <c r="W45" t="s">
        <v>361</v>
      </c>
      <c r="X45" t="s">
        <v>361</v>
      </c>
    </row>
    <row r="46" spans="1:24">
      <c r="A46" t="s">
        <v>8539</v>
      </c>
      <c r="B46" t="s">
        <v>8933</v>
      </c>
      <c r="C46" t="s">
        <v>8877</v>
      </c>
      <c r="D46" t="s">
        <v>39</v>
      </c>
      <c r="E46" t="s">
        <v>8934</v>
      </c>
      <c r="F46" t="s">
        <v>2527</v>
      </c>
      <c r="G46" t="s">
        <v>2173</v>
      </c>
      <c r="H46" t="s">
        <v>1288</v>
      </c>
      <c r="I46" t="s">
        <v>1282</v>
      </c>
      <c r="J46" t="s">
        <v>1515</v>
      </c>
      <c r="K46" t="s">
        <v>8935</v>
      </c>
      <c r="L46" t="s">
        <v>8890</v>
      </c>
      <c r="M46" t="s">
        <v>361</v>
      </c>
      <c r="N46" t="s">
        <v>2177</v>
      </c>
      <c r="O46" t="s">
        <v>361</v>
      </c>
      <c r="P46" t="s">
        <v>361</v>
      </c>
      <c r="Q46" t="s">
        <v>361</v>
      </c>
      <c r="R46" t="s">
        <v>361</v>
      </c>
      <c r="S46" t="s">
        <v>361</v>
      </c>
      <c r="T46" t="s">
        <v>361</v>
      </c>
      <c r="U46" t="s">
        <v>361</v>
      </c>
      <c r="V46" t="s">
        <v>361</v>
      </c>
      <c r="W46" t="s">
        <v>361</v>
      </c>
      <c r="X46" t="s">
        <v>361</v>
      </c>
    </row>
    <row r="47" spans="1:24">
      <c r="A47" t="s">
        <v>8539</v>
      </c>
      <c r="B47" t="s">
        <v>5448</v>
      </c>
      <c r="C47" t="s">
        <v>8877</v>
      </c>
      <c r="D47" t="s">
        <v>39</v>
      </c>
      <c r="E47" t="s">
        <v>8936</v>
      </c>
      <c r="F47" t="s">
        <v>2527</v>
      </c>
      <c r="G47" t="s">
        <v>2173</v>
      </c>
      <c r="H47" t="s">
        <v>1288</v>
      </c>
      <c r="I47" t="s">
        <v>1282</v>
      </c>
      <c r="J47" t="s">
        <v>1515</v>
      </c>
      <c r="K47" t="s">
        <v>8937</v>
      </c>
      <c r="L47" t="s">
        <v>8890</v>
      </c>
      <c r="M47" t="s">
        <v>361</v>
      </c>
      <c r="N47" t="s">
        <v>2177</v>
      </c>
      <c r="O47" t="s">
        <v>361</v>
      </c>
      <c r="P47" t="s">
        <v>361</v>
      </c>
      <c r="Q47" t="s">
        <v>361</v>
      </c>
      <c r="R47" t="s">
        <v>361</v>
      </c>
      <c r="S47" t="s">
        <v>361</v>
      </c>
      <c r="T47" t="s">
        <v>361</v>
      </c>
      <c r="U47" t="s">
        <v>361</v>
      </c>
      <c r="V47" t="s">
        <v>361</v>
      </c>
      <c r="W47" t="s">
        <v>361</v>
      </c>
      <c r="X47" t="s">
        <v>361</v>
      </c>
    </row>
    <row r="48" spans="1:24">
      <c r="A48" t="s">
        <v>8539</v>
      </c>
      <c r="B48" t="s">
        <v>8938</v>
      </c>
      <c r="C48" t="s">
        <v>8877</v>
      </c>
      <c r="D48" t="s">
        <v>39</v>
      </c>
      <c r="E48" t="s">
        <v>8939</v>
      </c>
      <c r="F48" t="s">
        <v>2527</v>
      </c>
      <c r="G48" t="s">
        <v>2173</v>
      </c>
      <c r="H48" t="s">
        <v>1288</v>
      </c>
      <c r="I48" t="s">
        <v>1282</v>
      </c>
      <c r="J48" t="s">
        <v>578</v>
      </c>
      <c r="K48" t="s">
        <v>8940</v>
      </c>
      <c r="L48" t="s">
        <v>8565</v>
      </c>
      <c r="M48" t="s">
        <v>361</v>
      </c>
      <c r="N48" t="s">
        <v>2177</v>
      </c>
      <c r="O48" t="s">
        <v>361</v>
      </c>
      <c r="P48" t="s">
        <v>361</v>
      </c>
      <c r="Q48" t="s">
        <v>361</v>
      </c>
      <c r="R48" t="s">
        <v>361</v>
      </c>
      <c r="S48" t="s">
        <v>361</v>
      </c>
      <c r="T48" t="s">
        <v>361</v>
      </c>
      <c r="U48" t="s">
        <v>361</v>
      </c>
      <c r="V48" t="s">
        <v>361</v>
      </c>
      <c r="W48" t="s">
        <v>361</v>
      </c>
      <c r="X48" t="s">
        <v>361</v>
      </c>
    </row>
    <row r="49" spans="1:24">
      <c r="A49" t="s">
        <v>8539</v>
      </c>
      <c r="B49" t="s">
        <v>8941</v>
      </c>
      <c r="C49" t="s">
        <v>8877</v>
      </c>
      <c r="D49" t="s">
        <v>39</v>
      </c>
      <c r="E49" t="s">
        <v>8942</v>
      </c>
      <c r="F49" t="s">
        <v>2527</v>
      </c>
      <c r="G49" t="s">
        <v>2173</v>
      </c>
      <c r="H49" t="s">
        <v>1288</v>
      </c>
      <c r="I49" t="s">
        <v>1282</v>
      </c>
      <c r="J49" t="s">
        <v>578</v>
      </c>
      <c r="K49" t="s">
        <v>8943</v>
      </c>
      <c r="L49" t="s">
        <v>8565</v>
      </c>
      <c r="M49" t="s">
        <v>361</v>
      </c>
      <c r="N49" t="s">
        <v>2177</v>
      </c>
      <c r="O49" t="s">
        <v>361</v>
      </c>
      <c r="P49" t="s">
        <v>361</v>
      </c>
      <c r="Q49" t="s">
        <v>361</v>
      </c>
      <c r="R49" t="s">
        <v>361</v>
      </c>
      <c r="S49" t="s">
        <v>361</v>
      </c>
      <c r="T49" t="s">
        <v>361</v>
      </c>
      <c r="U49" t="s">
        <v>361</v>
      </c>
      <c r="V49" t="s">
        <v>361</v>
      </c>
      <c r="W49" t="s">
        <v>361</v>
      </c>
      <c r="X49" t="s">
        <v>361</v>
      </c>
    </row>
    <row r="50" spans="1:24">
      <c r="A50" t="s">
        <v>8539</v>
      </c>
      <c r="B50" t="s">
        <v>8944</v>
      </c>
      <c r="C50" t="s">
        <v>8877</v>
      </c>
      <c r="D50" t="s">
        <v>39</v>
      </c>
      <c r="E50" t="s">
        <v>8945</v>
      </c>
      <c r="F50" t="s">
        <v>2527</v>
      </c>
      <c r="G50" t="s">
        <v>2173</v>
      </c>
      <c r="H50" t="s">
        <v>1288</v>
      </c>
      <c r="I50" t="s">
        <v>1282</v>
      </c>
      <c r="J50" t="s">
        <v>1549</v>
      </c>
      <c r="K50" t="s">
        <v>8946</v>
      </c>
      <c r="L50" t="s">
        <v>8880</v>
      </c>
      <c r="M50" t="s">
        <v>361</v>
      </c>
      <c r="N50" t="s">
        <v>2177</v>
      </c>
      <c r="O50" t="s">
        <v>361</v>
      </c>
      <c r="P50" t="s">
        <v>361</v>
      </c>
      <c r="Q50" t="s">
        <v>361</v>
      </c>
      <c r="R50" t="s">
        <v>361</v>
      </c>
      <c r="S50" t="s">
        <v>361</v>
      </c>
      <c r="T50" t="s">
        <v>361</v>
      </c>
      <c r="U50" t="s">
        <v>361</v>
      </c>
      <c r="V50" t="s">
        <v>361</v>
      </c>
      <c r="W50" t="s">
        <v>361</v>
      </c>
      <c r="X50" t="s">
        <v>361</v>
      </c>
    </row>
    <row r="51" spans="1:24">
      <c r="A51" t="s">
        <v>8539</v>
      </c>
      <c r="B51" t="s">
        <v>8947</v>
      </c>
      <c r="C51" t="s">
        <v>8948</v>
      </c>
      <c r="D51" t="s">
        <v>39</v>
      </c>
      <c r="E51" t="s">
        <v>8949</v>
      </c>
      <c r="F51" t="s">
        <v>2527</v>
      </c>
      <c r="G51" t="s">
        <v>2173</v>
      </c>
      <c r="H51" t="s">
        <v>1288</v>
      </c>
      <c r="I51" t="s">
        <v>1282</v>
      </c>
      <c r="J51" t="s">
        <v>1564</v>
      </c>
      <c r="K51" t="s">
        <v>8950</v>
      </c>
      <c r="L51" t="s">
        <v>8951</v>
      </c>
      <c r="M51" t="s">
        <v>361</v>
      </c>
      <c r="N51" t="s">
        <v>2177</v>
      </c>
      <c r="O51" t="s">
        <v>361</v>
      </c>
      <c r="P51" t="s">
        <v>361</v>
      </c>
      <c r="Q51" t="s">
        <v>361</v>
      </c>
      <c r="R51" t="s">
        <v>361</v>
      </c>
      <c r="S51" t="s">
        <v>361</v>
      </c>
      <c r="T51" t="s">
        <v>361</v>
      </c>
      <c r="U51" t="s">
        <v>361</v>
      </c>
      <c r="V51" t="s">
        <v>361</v>
      </c>
      <c r="W51" t="s">
        <v>361</v>
      </c>
      <c r="X51" t="s">
        <v>361</v>
      </c>
    </row>
    <row r="52" spans="1:24">
      <c r="A52" t="s">
        <v>8539</v>
      </c>
      <c r="B52" t="s">
        <v>8952</v>
      </c>
      <c r="C52" t="s">
        <v>8948</v>
      </c>
      <c r="D52" t="s">
        <v>39</v>
      </c>
      <c r="E52" t="s">
        <v>8953</v>
      </c>
      <c r="F52" t="s">
        <v>2527</v>
      </c>
      <c r="G52" t="s">
        <v>2173</v>
      </c>
      <c r="H52" t="s">
        <v>1288</v>
      </c>
      <c r="I52" t="s">
        <v>1282</v>
      </c>
      <c r="J52" t="s">
        <v>1564</v>
      </c>
      <c r="K52" t="s">
        <v>1565</v>
      </c>
      <c r="L52" t="s">
        <v>8951</v>
      </c>
      <c r="M52" t="s">
        <v>361</v>
      </c>
      <c r="N52" t="s">
        <v>2177</v>
      </c>
      <c r="O52" t="s">
        <v>361</v>
      </c>
      <c r="P52" t="s">
        <v>361</v>
      </c>
      <c r="Q52" t="s">
        <v>361</v>
      </c>
      <c r="R52" t="s">
        <v>361</v>
      </c>
      <c r="S52" t="s">
        <v>361</v>
      </c>
      <c r="T52" t="s">
        <v>361</v>
      </c>
      <c r="U52" t="s">
        <v>361</v>
      </c>
      <c r="V52" t="s">
        <v>361</v>
      </c>
      <c r="W52" t="s">
        <v>361</v>
      </c>
      <c r="X52" t="s">
        <v>361</v>
      </c>
    </row>
    <row r="53" spans="1:24">
      <c r="A53" t="s">
        <v>8539</v>
      </c>
      <c r="B53" t="s">
        <v>8954</v>
      </c>
      <c r="C53" t="s">
        <v>8948</v>
      </c>
      <c r="D53" t="s">
        <v>39</v>
      </c>
      <c r="E53" t="s">
        <v>8955</v>
      </c>
      <c r="F53" t="s">
        <v>2527</v>
      </c>
      <c r="G53" t="s">
        <v>2173</v>
      </c>
      <c r="H53" t="s">
        <v>1288</v>
      </c>
      <c r="I53" t="s">
        <v>1282</v>
      </c>
      <c r="J53" t="s">
        <v>1564</v>
      </c>
      <c r="K53" t="s">
        <v>8956</v>
      </c>
      <c r="L53" t="s">
        <v>8951</v>
      </c>
      <c r="M53" t="s">
        <v>361</v>
      </c>
      <c r="N53" t="s">
        <v>2177</v>
      </c>
      <c r="O53" t="s">
        <v>361</v>
      </c>
      <c r="P53" t="s">
        <v>361</v>
      </c>
      <c r="Q53" t="s">
        <v>361</v>
      </c>
      <c r="R53" t="s">
        <v>361</v>
      </c>
      <c r="S53" t="s">
        <v>361</v>
      </c>
      <c r="T53" t="s">
        <v>361</v>
      </c>
      <c r="U53" t="s">
        <v>361</v>
      </c>
      <c r="V53" t="s">
        <v>361</v>
      </c>
      <c r="W53" t="s">
        <v>361</v>
      </c>
      <c r="X53" t="s">
        <v>361</v>
      </c>
    </row>
    <row r="54" spans="1:24">
      <c r="A54" t="s">
        <v>8539</v>
      </c>
      <c r="B54" t="s">
        <v>8957</v>
      </c>
      <c r="C54" t="s">
        <v>8948</v>
      </c>
      <c r="D54" t="s">
        <v>39</v>
      </c>
      <c r="E54" t="s">
        <v>8958</v>
      </c>
      <c r="F54" t="s">
        <v>2527</v>
      </c>
      <c r="G54" t="s">
        <v>2173</v>
      </c>
      <c r="H54" t="s">
        <v>1288</v>
      </c>
      <c r="I54" t="s">
        <v>1282</v>
      </c>
      <c r="J54" t="s">
        <v>1564</v>
      </c>
      <c r="K54" t="s">
        <v>8959</v>
      </c>
      <c r="L54" t="s">
        <v>8951</v>
      </c>
      <c r="M54" t="s">
        <v>361</v>
      </c>
      <c r="N54" t="s">
        <v>2177</v>
      </c>
      <c r="O54" t="s">
        <v>361</v>
      </c>
      <c r="P54" t="s">
        <v>361</v>
      </c>
      <c r="Q54" t="s">
        <v>361</v>
      </c>
      <c r="R54" t="s">
        <v>361</v>
      </c>
      <c r="S54" t="s">
        <v>361</v>
      </c>
      <c r="T54" t="s">
        <v>361</v>
      </c>
      <c r="U54" t="s">
        <v>361</v>
      </c>
      <c r="V54" t="s">
        <v>361</v>
      </c>
      <c r="W54" t="s">
        <v>361</v>
      </c>
      <c r="X54" t="s">
        <v>361</v>
      </c>
    </row>
    <row r="55" spans="1:24" ht="39.75" customHeight="1">
      <c r="A55" t="s">
        <v>8539</v>
      </c>
      <c r="B55" t="s">
        <v>8960</v>
      </c>
      <c r="C55" t="s">
        <v>8948</v>
      </c>
      <c r="D55" t="s">
        <v>39</v>
      </c>
      <c r="E55" t="s">
        <v>8961</v>
      </c>
      <c r="F55" t="s">
        <v>2527</v>
      </c>
      <c r="G55" t="s">
        <v>8872</v>
      </c>
      <c r="H55" s="490" t="s">
        <v>1288</v>
      </c>
      <c r="I55" s="490" t="s">
        <v>1282</v>
      </c>
      <c r="J55" s="489" t="s">
        <v>8873</v>
      </c>
      <c r="K55" t="s">
        <v>8962</v>
      </c>
      <c r="L55" s="12" t="s">
        <v>8875</v>
      </c>
      <c r="M55" t="s">
        <v>361</v>
      </c>
      <c r="N55" t="s">
        <v>3576</v>
      </c>
      <c r="O55" t="s">
        <v>361</v>
      </c>
      <c r="P55" t="s">
        <v>361</v>
      </c>
      <c r="Q55" t="s">
        <v>361</v>
      </c>
      <c r="R55" t="s">
        <v>361</v>
      </c>
      <c r="S55" t="s">
        <v>361</v>
      </c>
      <c r="T55" t="s">
        <v>361</v>
      </c>
      <c r="U55" t="s">
        <v>361</v>
      </c>
      <c r="V55" t="s">
        <v>361</v>
      </c>
      <c r="W55" t="s">
        <v>361</v>
      </c>
      <c r="X55" t="s">
        <v>361</v>
      </c>
    </row>
    <row r="56" spans="1:24" ht="30.75" customHeight="1">
      <c r="A56" t="s">
        <v>8539</v>
      </c>
      <c r="B56" t="s">
        <v>8963</v>
      </c>
      <c r="C56" t="s">
        <v>8948</v>
      </c>
      <c r="D56" t="s">
        <v>39</v>
      </c>
      <c r="E56" t="s">
        <v>8964</v>
      </c>
      <c r="F56" t="s">
        <v>2527</v>
      </c>
      <c r="G56" t="s">
        <v>2173</v>
      </c>
      <c r="H56" t="s">
        <v>1288</v>
      </c>
      <c r="I56" t="s">
        <v>1282</v>
      </c>
      <c r="J56" t="s">
        <v>1564</v>
      </c>
      <c r="K56" t="s">
        <v>8965</v>
      </c>
      <c r="L56" t="s">
        <v>8951</v>
      </c>
      <c r="M56" t="s">
        <v>361</v>
      </c>
      <c r="N56" t="s">
        <v>2177</v>
      </c>
      <c r="O56" t="s">
        <v>361</v>
      </c>
      <c r="P56" t="s">
        <v>361</v>
      </c>
      <c r="Q56" t="s">
        <v>361</v>
      </c>
      <c r="R56" t="s">
        <v>361</v>
      </c>
      <c r="S56" t="s">
        <v>361</v>
      </c>
      <c r="T56" t="s">
        <v>361</v>
      </c>
      <c r="U56" t="s">
        <v>361</v>
      </c>
      <c r="V56" t="s">
        <v>361</v>
      </c>
      <c r="W56" t="s">
        <v>361</v>
      </c>
      <c r="X56" t="s">
        <v>361</v>
      </c>
    </row>
    <row r="57" spans="1:24">
      <c r="A57" t="s">
        <v>8539</v>
      </c>
      <c r="B57" t="s">
        <v>8966</v>
      </c>
      <c r="C57" t="s">
        <v>8948</v>
      </c>
      <c r="D57" t="s">
        <v>39</v>
      </c>
      <c r="E57" t="s">
        <v>8967</v>
      </c>
      <c r="F57" t="s">
        <v>2527</v>
      </c>
      <c r="G57" t="s">
        <v>2173</v>
      </c>
      <c r="H57" t="s">
        <v>1288</v>
      </c>
      <c r="I57" t="s">
        <v>1282</v>
      </c>
      <c r="J57" t="s">
        <v>1571</v>
      </c>
      <c r="K57" t="s">
        <v>8968</v>
      </c>
      <c r="L57" t="s">
        <v>8969</v>
      </c>
      <c r="M57" t="s">
        <v>361</v>
      </c>
      <c r="N57" t="s">
        <v>2177</v>
      </c>
      <c r="O57" t="s">
        <v>361</v>
      </c>
      <c r="P57" t="s">
        <v>361</v>
      </c>
      <c r="Q57" t="s">
        <v>361</v>
      </c>
      <c r="R57" t="s">
        <v>361</v>
      </c>
      <c r="S57" t="s">
        <v>361</v>
      </c>
      <c r="T57" t="s">
        <v>361</v>
      </c>
      <c r="U57" t="s">
        <v>361</v>
      </c>
      <c r="V57" t="s">
        <v>361</v>
      </c>
      <c r="W57" t="s">
        <v>361</v>
      </c>
      <c r="X57" t="s">
        <v>361</v>
      </c>
    </row>
    <row r="58" spans="1:24">
      <c r="A58" t="s">
        <v>8539</v>
      </c>
      <c r="B58" t="s">
        <v>8970</v>
      </c>
      <c r="C58" t="s">
        <v>8948</v>
      </c>
      <c r="D58" t="s">
        <v>39</v>
      </c>
      <c r="E58" t="s">
        <v>8971</v>
      </c>
      <c r="F58" t="s">
        <v>2527</v>
      </c>
      <c r="G58" t="s">
        <v>2173</v>
      </c>
      <c r="H58" t="s">
        <v>1288</v>
      </c>
      <c r="I58" t="s">
        <v>1282</v>
      </c>
      <c r="J58" t="s">
        <v>1564</v>
      </c>
      <c r="K58" t="s">
        <v>8972</v>
      </c>
      <c r="L58" t="s">
        <v>8951</v>
      </c>
      <c r="M58" t="s">
        <v>361</v>
      </c>
      <c r="N58" t="s">
        <v>2177</v>
      </c>
      <c r="O58" t="s">
        <v>361</v>
      </c>
      <c r="P58" t="s">
        <v>361</v>
      </c>
      <c r="Q58" t="s">
        <v>361</v>
      </c>
      <c r="R58" t="s">
        <v>361</v>
      </c>
      <c r="S58" t="s">
        <v>361</v>
      </c>
      <c r="T58" t="s">
        <v>361</v>
      </c>
      <c r="U58" t="s">
        <v>361</v>
      </c>
      <c r="V58" t="s">
        <v>361</v>
      </c>
      <c r="W58" t="s">
        <v>361</v>
      </c>
      <c r="X58" t="s">
        <v>361</v>
      </c>
    </row>
    <row r="59" spans="1:24">
      <c r="A59" t="s">
        <v>8539</v>
      </c>
      <c r="B59" t="s">
        <v>8973</v>
      </c>
      <c r="C59" t="s">
        <v>8948</v>
      </c>
      <c r="D59" t="s">
        <v>39</v>
      </c>
      <c r="E59" t="s">
        <v>8974</v>
      </c>
      <c r="F59" t="s">
        <v>2527</v>
      </c>
      <c r="G59" t="s">
        <v>2173</v>
      </c>
      <c r="H59" t="s">
        <v>1288</v>
      </c>
      <c r="I59" t="s">
        <v>1282</v>
      </c>
      <c r="J59" t="s">
        <v>1564</v>
      </c>
      <c r="K59" t="s">
        <v>8975</v>
      </c>
      <c r="L59" t="s">
        <v>8951</v>
      </c>
      <c r="M59" t="s">
        <v>361</v>
      </c>
      <c r="N59" t="s">
        <v>2177</v>
      </c>
      <c r="O59" t="s">
        <v>361</v>
      </c>
      <c r="P59" t="s">
        <v>361</v>
      </c>
      <c r="Q59" t="s">
        <v>361</v>
      </c>
      <c r="R59" t="s">
        <v>361</v>
      </c>
      <c r="S59" t="s">
        <v>361</v>
      </c>
      <c r="T59" t="s">
        <v>361</v>
      </c>
      <c r="U59" t="s">
        <v>361</v>
      </c>
      <c r="V59" t="s">
        <v>361</v>
      </c>
      <c r="W59" t="s">
        <v>361</v>
      </c>
      <c r="X59" t="s">
        <v>361</v>
      </c>
    </row>
    <row r="60" spans="1:24">
      <c r="A60" t="s">
        <v>8539</v>
      </c>
      <c r="B60" t="s">
        <v>8976</v>
      </c>
      <c r="C60" t="s">
        <v>8561</v>
      </c>
      <c r="D60" t="s">
        <v>39</v>
      </c>
      <c r="E60" t="s">
        <v>8977</v>
      </c>
      <c r="F60" t="s">
        <v>2527</v>
      </c>
      <c r="G60" t="s">
        <v>2173</v>
      </c>
      <c r="H60" t="s">
        <v>8825</v>
      </c>
      <c r="I60" t="s">
        <v>1282</v>
      </c>
      <c r="J60" t="s">
        <v>595</v>
      </c>
      <c r="K60" t="s">
        <v>8978</v>
      </c>
      <c r="L60" t="s">
        <v>8826</v>
      </c>
      <c r="M60" t="s">
        <v>361</v>
      </c>
      <c r="N60" t="s">
        <v>2177</v>
      </c>
      <c r="O60" t="s">
        <v>361</v>
      </c>
      <c r="P60" t="s">
        <v>361</v>
      </c>
      <c r="Q60" t="s">
        <v>361</v>
      </c>
      <c r="R60" t="s">
        <v>361</v>
      </c>
      <c r="S60" t="s">
        <v>361</v>
      </c>
      <c r="T60" t="s">
        <v>361</v>
      </c>
      <c r="U60" t="s">
        <v>361</v>
      </c>
      <c r="V60" t="s">
        <v>361</v>
      </c>
      <c r="W60" t="s">
        <v>361</v>
      </c>
      <c r="X60" t="s">
        <v>361</v>
      </c>
    </row>
    <row r="61" spans="1:24">
      <c r="A61" t="s">
        <v>8539</v>
      </c>
      <c r="B61" t="s">
        <v>8979</v>
      </c>
      <c r="C61" t="s">
        <v>8561</v>
      </c>
      <c r="D61" t="s">
        <v>39</v>
      </c>
      <c r="E61" t="s">
        <v>8980</v>
      </c>
      <c r="F61" t="s">
        <v>2527</v>
      </c>
      <c r="G61" t="s">
        <v>2173</v>
      </c>
      <c r="H61" t="s">
        <v>8825</v>
      </c>
      <c r="I61" t="s">
        <v>1282</v>
      </c>
      <c r="J61" t="s">
        <v>595</v>
      </c>
      <c r="K61" t="s">
        <v>1398</v>
      </c>
      <c r="L61" t="s">
        <v>8826</v>
      </c>
      <c r="M61" t="s">
        <v>361</v>
      </c>
      <c r="N61" t="s">
        <v>2177</v>
      </c>
      <c r="O61" t="s">
        <v>361</v>
      </c>
      <c r="P61" t="s">
        <v>361</v>
      </c>
      <c r="Q61" t="s">
        <v>361</v>
      </c>
      <c r="R61" t="s">
        <v>361</v>
      </c>
      <c r="S61" t="s">
        <v>361</v>
      </c>
      <c r="T61" t="s">
        <v>361</v>
      </c>
      <c r="U61" t="s">
        <v>361</v>
      </c>
      <c r="V61" t="s">
        <v>361</v>
      </c>
      <c r="W61" t="s">
        <v>361</v>
      </c>
      <c r="X61" t="s">
        <v>361</v>
      </c>
    </row>
    <row r="62" spans="1:24">
      <c r="A62" t="s">
        <v>8539</v>
      </c>
      <c r="B62" t="s">
        <v>2246</v>
      </c>
      <c r="C62" t="s">
        <v>8561</v>
      </c>
      <c r="D62" t="s">
        <v>39</v>
      </c>
      <c r="E62" t="s">
        <v>8981</v>
      </c>
      <c r="F62" t="s">
        <v>2527</v>
      </c>
      <c r="G62" t="s">
        <v>2173</v>
      </c>
      <c r="H62" t="s">
        <v>8825</v>
      </c>
      <c r="I62" t="s">
        <v>1282</v>
      </c>
      <c r="J62" t="s">
        <v>595</v>
      </c>
      <c r="K62" t="s">
        <v>6675</v>
      </c>
      <c r="L62" t="s">
        <v>8826</v>
      </c>
      <c r="M62" t="s">
        <v>361</v>
      </c>
      <c r="N62" t="s">
        <v>2177</v>
      </c>
      <c r="O62" t="s">
        <v>361</v>
      </c>
      <c r="P62" t="s">
        <v>361</v>
      </c>
      <c r="Q62" t="s">
        <v>361</v>
      </c>
      <c r="R62" t="s">
        <v>361</v>
      </c>
      <c r="S62" t="s">
        <v>361</v>
      </c>
      <c r="T62" t="s">
        <v>361</v>
      </c>
      <c r="U62" t="s">
        <v>361</v>
      </c>
      <c r="V62" t="s">
        <v>361</v>
      </c>
      <c r="W62" t="s">
        <v>361</v>
      </c>
      <c r="X62" t="s">
        <v>361</v>
      </c>
    </row>
    <row r="63" spans="1:24">
      <c r="A63" t="s">
        <v>8539</v>
      </c>
      <c r="B63" t="s">
        <v>2254</v>
      </c>
      <c r="C63" t="s">
        <v>8561</v>
      </c>
      <c r="D63" t="s">
        <v>39</v>
      </c>
      <c r="E63" t="s">
        <v>8982</v>
      </c>
      <c r="F63" t="s">
        <v>2527</v>
      </c>
      <c r="G63" t="s">
        <v>2173</v>
      </c>
      <c r="H63" t="s">
        <v>8825</v>
      </c>
      <c r="I63" t="s">
        <v>1282</v>
      </c>
      <c r="J63" t="s">
        <v>595</v>
      </c>
      <c r="K63" t="s">
        <v>8983</v>
      </c>
      <c r="L63" t="s">
        <v>8826</v>
      </c>
      <c r="M63" t="s">
        <v>361</v>
      </c>
      <c r="N63" t="s">
        <v>2177</v>
      </c>
      <c r="O63" t="s">
        <v>361</v>
      </c>
      <c r="P63" t="s">
        <v>361</v>
      </c>
      <c r="Q63" t="s">
        <v>361</v>
      </c>
      <c r="R63" t="s">
        <v>361</v>
      </c>
      <c r="S63" t="s">
        <v>361</v>
      </c>
      <c r="T63" t="s">
        <v>361</v>
      </c>
      <c r="U63" t="s">
        <v>361</v>
      </c>
      <c r="V63" t="s">
        <v>361</v>
      </c>
      <c r="W63" t="s">
        <v>361</v>
      </c>
      <c r="X63" t="s">
        <v>361</v>
      </c>
    </row>
    <row r="64" spans="1:24">
      <c r="A64" t="s">
        <v>8539</v>
      </c>
      <c r="B64" t="s">
        <v>2259</v>
      </c>
      <c r="C64" t="s">
        <v>8561</v>
      </c>
      <c r="D64" t="s">
        <v>39</v>
      </c>
      <c r="E64" t="s">
        <v>8984</v>
      </c>
      <c r="F64" t="s">
        <v>2527</v>
      </c>
      <c r="G64" t="s">
        <v>2173</v>
      </c>
      <c r="H64" t="s">
        <v>8825</v>
      </c>
      <c r="I64" t="s">
        <v>1282</v>
      </c>
      <c r="J64" t="s">
        <v>595</v>
      </c>
      <c r="K64" t="s">
        <v>8985</v>
      </c>
      <c r="L64" t="s">
        <v>8826</v>
      </c>
      <c r="M64" t="s">
        <v>361</v>
      </c>
      <c r="N64" t="s">
        <v>2177</v>
      </c>
      <c r="O64" t="s">
        <v>361</v>
      </c>
      <c r="P64" t="s">
        <v>361</v>
      </c>
      <c r="Q64" t="s">
        <v>361</v>
      </c>
      <c r="R64" t="s">
        <v>361</v>
      </c>
      <c r="S64" t="s">
        <v>361</v>
      </c>
      <c r="T64" t="s">
        <v>361</v>
      </c>
      <c r="U64" t="s">
        <v>361</v>
      </c>
      <c r="V64" t="s">
        <v>361</v>
      </c>
      <c r="W64" t="s">
        <v>361</v>
      </c>
      <c r="X64" t="s">
        <v>361</v>
      </c>
    </row>
    <row r="65" spans="1:24">
      <c r="A65" t="s">
        <v>8539</v>
      </c>
      <c r="B65" t="s">
        <v>2262</v>
      </c>
      <c r="C65" t="s">
        <v>8561</v>
      </c>
      <c r="D65" t="s">
        <v>39</v>
      </c>
      <c r="E65" t="s">
        <v>8986</v>
      </c>
      <c r="F65" t="s">
        <v>2527</v>
      </c>
      <c r="G65" t="s">
        <v>2173</v>
      </c>
      <c r="H65" t="s">
        <v>8825</v>
      </c>
      <c r="I65" t="s">
        <v>1282</v>
      </c>
      <c r="J65" t="s">
        <v>595</v>
      </c>
      <c r="K65" t="s">
        <v>8987</v>
      </c>
      <c r="L65" t="s">
        <v>8826</v>
      </c>
      <c r="M65" t="s">
        <v>361</v>
      </c>
      <c r="N65" t="s">
        <v>2177</v>
      </c>
      <c r="O65" t="s">
        <v>361</v>
      </c>
      <c r="P65" t="s">
        <v>361</v>
      </c>
      <c r="Q65" t="s">
        <v>361</v>
      </c>
      <c r="R65" t="s">
        <v>361</v>
      </c>
      <c r="S65" t="s">
        <v>361</v>
      </c>
      <c r="T65" t="s">
        <v>361</v>
      </c>
      <c r="U65" t="s">
        <v>361</v>
      </c>
      <c r="V65" t="s">
        <v>361</v>
      </c>
      <c r="W65" t="s">
        <v>361</v>
      </c>
      <c r="X65" t="s">
        <v>361</v>
      </c>
    </row>
    <row r="66" spans="1:24">
      <c r="A66" t="s">
        <v>8539</v>
      </c>
      <c r="B66" t="s">
        <v>2280</v>
      </c>
      <c r="C66" t="s">
        <v>8561</v>
      </c>
      <c r="D66" t="s">
        <v>39</v>
      </c>
      <c r="E66" t="s">
        <v>8988</v>
      </c>
      <c r="F66" t="s">
        <v>2527</v>
      </c>
      <c r="G66" t="s">
        <v>2173</v>
      </c>
      <c r="H66" t="s">
        <v>8825</v>
      </c>
      <c r="I66" t="s">
        <v>1282</v>
      </c>
      <c r="J66" t="s">
        <v>595</v>
      </c>
      <c r="K66" t="s">
        <v>8989</v>
      </c>
      <c r="L66" t="s">
        <v>8826</v>
      </c>
      <c r="M66" t="s">
        <v>361</v>
      </c>
      <c r="N66" t="s">
        <v>2177</v>
      </c>
      <c r="O66" t="s">
        <v>361</v>
      </c>
      <c r="P66" t="s">
        <v>361</v>
      </c>
      <c r="Q66" t="s">
        <v>361</v>
      </c>
      <c r="R66" t="s">
        <v>361</v>
      </c>
      <c r="S66" t="s">
        <v>361</v>
      </c>
      <c r="T66" t="s">
        <v>361</v>
      </c>
      <c r="U66" t="s">
        <v>361</v>
      </c>
      <c r="V66" t="s">
        <v>361</v>
      </c>
      <c r="W66" t="s">
        <v>361</v>
      </c>
      <c r="X66" t="s">
        <v>361</v>
      </c>
    </row>
    <row r="67" spans="1:24">
      <c r="A67" t="s">
        <v>8539</v>
      </c>
      <c r="B67" t="s">
        <v>2284</v>
      </c>
      <c r="C67" t="s">
        <v>8561</v>
      </c>
      <c r="D67" t="s">
        <v>39</v>
      </c>
      <c r="E67" t="s">
        <v>8990</v>
      </c>
      <c r="F67" t="s">
        <v>2527</v>
      </c>
      <c r="G67" t="s">
        <v>2173</v>
      </c>
      <c r="H67" t="s">
        <v>8825</v>
      </c>
      <c r="I67" t="s">
        <v>1282</v>
      </c>
      <c r="J67" t="s">
        <v>595</v>
      </c>
      <c r="K67" t="s">
        <v>2286</v>
      </c>
      <c r="L67" t="s">
        <v>8826</v>
      </c>
      <c r="M67" t="s">
        <v>361</v>
      </c>
      <c r="N67" t="s">
        <v>2177</v>
      </c>
      <c r="O67" t="s">
        <v>361</v>
      </c>
      <c r="P67" t="s">
        <v>361</v>
      </c>
      <c r="Q67" t="s">
        <v>361</v>
      </c>
      <c r="R67" t="s">
        <v>361</v>
      </c>
      <c r="S67" t="s">
        <v>361</v>
      </c>
      <c r="T67" t="s">
        <v>361</v>
      </c>
      <c r="U67" t="s">
        <v>361</v>
      </c>
      <c r="V67" t="s">
        <v>361</v>
      </c>
      <c r="W67" t="s">
        <v>361</v>
      </c>
      <c r="X67" t="s">
        <v>361</v>
      </c>
    </row>
    <row r="68" spans="1:24">
      <c r="A68" t="s">
        <v>8539</v>
      </c>
      <c r="B68" t="s">
        <v>8991</v>
      </c>
      <c r="C68" t="s">
        <v>8561</v>
      </c>
      <c r="D68" t="s">
        <v>39</v>
      </c>
      <c r="E68" t="s">
        <v>8992</v>
      </c>
      <c r="F68" t="s">
        <v>2527</v>
      </c>
      <c r="G68" t="s">
        <v>2173</v>
      </c>
      <c r="H68" t="s">
        <v>8825</v>
      </c>
      <c r="I68" t="s">
        <v>1282</v>
      </c>
      <c r="J68" t="s">
        <v>595</v>
      </c>
      <c r="K68" t="s">
        <v>8993</v>
      </c>
      <c r="L68" t="s">
        <v>8826</v>
      </c>
      <c r="M68" t="s">
        <v>361</v>
      </c>
      <c r="N68" t="s">
        <v>2177</v>
      </c>
      <c r="O68" t="s">
        <v>361</v>
      </c>
      <c r="P68" t="s">
        <v>361</v>
      </c>
      <c r="Q68" t="s">
        <v>361</v>
      </c>
      <c r="R68" t="s">
        <v>361</v>
      </c>
      <c r="S68" t="s">
        <v>361</v>
      </c>
      <c r="T68" t="s">
        <v>361</v>
      </c>
      <c r="U68" t="s">
        <v>361</v>
      </c>
      <c r="V68" t="s">
        <v>361</v>
      </c>
      <c r="W68" t="s">
        <v>361</v>
      </c>
      <c r="X68" t="s">
        <v>361</v>
      </c>
    </row>
    <row r="69" spans="1:24">
      <c r="A69" s="428" t="s">
        <v>8539</v>
      </c>
      <c r="B69" s="428" t="s">
        <v>8994</v>
      </c>
      <c r="C69" s="428" t="s">
        <v>8561</v>
      </c>
      <c r="D69" s="428" t="s">
        <v>39</v>
      </c>
      <c r="E69" s="428" t="s">
        <v>8995</v>
      </c>
      <c r="F69" s="428" t="s">
        <v>7882</v>
      </c>
      <c r="G69" s="428" t="s">
        <v>7882</v>
      </c>
      <c r="H69" s="428" t="s">
        <v>361</v>
      </c>
      <c r="I69" s="428" t="s">
        <v>361</v>
      </c>
      <c r="J69" s="428" t="s">
        <v>361</v>
      </c>
      <c r="K69" s="428" t="s">
        <v>361</v>
      </c>
      <c r="L69" s="428" t="s">
        <v>361</v>
      </c>
      <c r="M69" s="428" t="s">
        <v>361</v>
      </c>
      <c r="N69" t="s">
        <v>3576</v>
      </c>
      <c r="O69" s="428" t="s">
        <v>361</v>
      </c>
      <c r="P69" s="428" t="s">
        <v>361</v>
      </c>
      <c r="Q69" s="428" t="s">
        <v>361</v>
      </c>
      <c r="R69" s="428" t="s">
        <v>361</v>
      </c>
      <c r="S69" s="428" t="s">
        <v>361</v>
      </c>
      <c r="T69" s="428" t="s">
        <v>361</v>
      </c>
      <c r="U69" s="428" t="s">
        <v>361</v>
      </c>
      <c r="V69" s="428" t="s">
        <v>361</v>
      </c>
      <c r="W69" s="428" t="s">
        <v>361</v>
      </c>
      <c r="X69" s="428" t="s">
        <v>361</v>
      </c>
    </row>
    <row r="70" spans="1:24">
      <c r="A70" t="s">
        <v>8539</v>
      </c>
      <c r="B70" t="s">
        <v>8996</v>
      </c>
      <c r="C70" t="s">
        <v>8561</v>
      </c>
      <c r="D70" t="s">
        <v>39</v>
      </c>
      <c r="E70" t="s">
        <v>8997</v>
      </c>
      <c r="F70" t="s">
        <v>2527</v>
      </c>
      <c r="G70" t="s">
        <v>2173</v>
      </c>
      <c r="H70" t="s">
        <v>8825</v>
      </c>
      <c r="I70" t="s">
        <v>1282</v>
      </c>
      <c r="J70" t="s">
        <v>595</v>
      </c>
      <c r="K70" t="s">
        <v>8998</v>
      </c>
      <c r="L70" t="s">
        <v>8826</v>
      </c>
      <c r="M70" t="s">
        <v>361</v>
      </c>
      <c r="N70" t="s">
        <v>2177</v>
      </c>
      <c r="O70" t="s">
        <v>361</v>
      </c>
      <c r="P70" t="s">
        <v>361</v>
      </c>
      <c r="Q70" t="s">
        <v>361</v>
      </c>
      <c r="R70" t="s">
        <v>361</v>
      </c>
      <c r="S70" t="s">
        <v>361</v>
      </c>
      <c r="T70" t="s">
        <v>361</v>
      </c>
      <c r="U70" t="s">
        <v>361</v>
      </c>
      <c r="V70" t="s">
        <v>361</v>
      </c>
      <c r="W70" t="s">
        <v>361</v>
      </c>
      <c r="X70" t="s">
        <v>361</v>
      </c>
    </row>
    <row r="71" spans="1:24">
      <c r="A71" t="s">
        <v>8539</v>
      </c>
      <c r="B71" t="s">
        <v>8999</v>
      </c>
      <c r="C71" t="s">
        <v>8561</v>
      </c>
      <c r="D71" t="s">
        <v>39</v>
      </c>
      <c r="E71" t="s">
        <v>9000</v>
      </c>
      <c r="F71" t="s">
        <v>2527</v>
      </c>
      <c r="G71" t="s">
        <v>2173</v>
      </c>
      <c r="H71" t="s">
        <v>8825</v>
      </c>
      <c r="I71" t="s">
        <v>1282</v>
      </c>
      <c r="J71" t="s">
        <v>595</v>
      </c>
      <c r="K71" t="s">
        <v>9001</v>
      </c>
      <c r="L71" t="s">
        <v>8826</v>
      </c>
      <c r="M71" t="s">
        <v>361</v>
      </c>
      <c r="N71" t="s">
        <v>2177</v>
      </c>
      <c r="O71" t="s">
        <v>361</v>
      </c>
      <c r="P71" t="s">
        <v>361</v>
      </c>
      <c r="Q71" t="s">
        <v>361</v>
      </c>
      <c r="R71" t="s">
        <v>361</v>
      </c>
      <c r="S71" t="s">
        <v>361</v>
      </c>
      <c r="T71" t="s">
        <v>361</v>
      </c>
      <c r="U71" t="s">
        <v>361</v>
      </c>
      <c r="V71" t="s">
        <v>361</v>
      </c>
      <c r="W71" t="s">
        <v>361</v>
      </c>
      <c r="X71" t="s">
        <v>361</v>
      </c>
    </row>
    <row r="72" spans="1:24">
      <c r="A72" t="s">
        <v>8539</v>
      </c>
      <c r="B72" t="s">
        <v>9002</v>
      </c>
      <c r="C72" t="s">
        <v>8561</v>
      </c>
      <c r="D72" t="s">
        <v>39</v>
      </c>
      <c r="E72" t="s">
        <v>9003</v>
      </c>
      <c r="F72" t="s">
        <v>2527</v>
      </c>
      <c r="G72" t="s">
        <v>2173</v>
      </c>
      <c r="H72" t="s">
        <v>8825</v>
      </c>
      <c r="I72" t="s">
        <v>1282</v>
      </c>
      <c r="J72" t="s">
        <v>595</v>
      </c>
      <c r="K72" t="s">
        <v>9004</v>
      </c>
      <c r="L72" t="s">
        <v>8826</v>
      </c>
      <c r="M72" t="s">
        <v>361</v>
      </c>
      <c r="N72" t="s">
        <v>2177</v>
      </c>
      <c r="O72" t="s">
        <v>361</v>
      </c>
      <c r="P72" t="s">
        <v>361</v>
      </c>
      <c r="Q72" t="s">
        <v>361</v>
      </c>
      <c r="R72" t="s">
        <v>361</v>
      </c>
      <c r="S72" t="s">
        <v>361</v>
      </c>
      <c r="T72" t="s">
        <v>361</v>
      </c>
      <c r="U72" t="s">
        <v>361</v>
      </c>
      <c r="V72" t="s">
        <v>361</v>
      </c>
      <c r="W72" t="s">
        <v>361</v>
      </c>
      <c r="X72" t="s">
        <v>361</v>
      </c>
    </row>
    <row r="73" spans="1:24">
      <c r="A73" t="s">
        <v>8539</v>
      </c>
      <c r="B73" t="s">
        <v>9005</v>
      </c>
      <c r="C73" t="s">
        <v>8561</v>
      </c>
      <c r="D73" t="s">
        <v>39</v>
      </c>
      <c r="E73" t="s">
        <v>9006</v>
      </c>
      <c r="F73" t="s">
        <v>2527</v>
      </c>
      <c r="G73" t="s">
        <v>2173</v>
      </c>
      <c r="H73" t="s">
        <v>8825</v>
      </c>
      <c r="I73" t="s">
        <v>1282</v>
      </c>
      <c r="J73" t="s">
        <v>1684</v>
      </c>
      <c r="K73" t="s">
        <v>9007</v>
      </c>
      <c r="L73" t="s">
        <v>361</v>
      </c>
      <c r="M73" t="s">
        <v>361</v>
      </c>
      <c r="N73" t="s">
        <v>2177</v>
      </c>
      <c r="O73" t="s">
        <v>361</v>
      </c>
      <c r="P73" t="s">
        <v>361</v>
      </c>
      <c r="Q73" t="s">
        <v>361</v>
      </c>
      <c r="R73" t="s">
        <v>361</v>
      </c>
      <c r="S73" t="s">
        <v>361</v>
      </c>
      <c r="T73" t="s">
        <v>361</v>
      </c>
      <c r="U73" t="s">
        <v>361</v>
      </c>
      <c r="V73" t="s">
        <v>361</v>
      </c>
      <c r="W73" t="s">
        <v>361</v>
      </c>
      <c r="X73" t="s">
        <v>361</v>
      </c>
    </row>
    <row r="74" spans="1:24">
      <c r="A74" t="s">
        <v>8539</v>
      </c>
      <c r="B74" t="s">
        <v>9008</v>
      </c>
      <c r="C74" t="s">
        <v>8561</v>
      </c>
      <c r="D74" t="s">
        <v>39</v>
      </c>
      <c r="E74" t="s">
        <v>9009</v>
      </c>
      <c r="F74" t="s">
        <v>2527</v>
      </c>
      <c r="G74" t="s">
        <v>2173</v>
      </c>
      <c r="H74" t="s">
        <v>8825</v>
      </c>
      <c r="I74" t="s">
        <v>1282</v>
      </c>
      <c r="J74" t="s">
        <v>595</v>
      </c>
      <c r="K74" t="s">
        <v>9010</v>
      </c>
      <c r="L74" t="s">
        <v>8826</v>
      </c>
      <c r="M74" t="s">
        <v>361</v>
      </c>
      <c r="N74" t="s">
        <v>2177</v>
      </c>
      <c r="O74" t="s">
        <v>361</v>
      </c>
      <c r="P74" t="s">
        <v>361</v>
      </c>
      <c r="Q74" t="s">
        <v>361</v>
      </c>
      <c r="R74" t="s">
        <v>361</v>
      </c>
      <c r="S74" t="s">
        <v>361</v>
      </c>
      <c r="T74" t="s">
        <v>361</v>
      </c>
      <c r="U74" t="s">
        <v>361</v>
      </c>
      <c r="V74" t="s">
        <v>361</v>
      </c>
      <c r="W74" t="s">
        <v>361</v>
      </c>
      <c r="X74" t="s">
        <v>361</v>
      </c>
    </row>
    <row r="75" spans="1:24">
      <c r="A75" t="s">
        <v>8539</v>
      </c>
      <c r="B75" t="s">
        <v>9011</v>
      </c>
      <c r="C75" t="s">
        <v>8561</v>
      </c>
      <c r="D75" t="s">
        <v>39</v>
      </c>
      <c r="E75" t="s">
        <v>9012</v>
      </c>
      <c r="F75" t="s">
        <v>2527</v>
      </c>
      <c r="G75" t="s">
        <v>2173</v>
      </c>
      <c r="H75" t="s">
        <v>8825</v>
      </c>
      <c r="I75" t="s">
        <v>1282</v>
      </c>
      <c r="J75" t="s">
        <v>595</v>
      </c>
      <c r="K75" t="s">
        <v>9013</v>
      </c>
      <c r="L75" t="s">
        <v>8826</v>
      </c>
      <c r="M75" t="s">
        <v>361</v>
      </c>
      <c r="N75" t="s">
        <v>2177</v>
      </c>
      <c r="O75" t="s">
        <v>361</v>
      </c>
      <c r="P75" t="s">
        <v>361</v>
      </c>
      <c r="Q75" t="s">
        <v>361</v>
      </c>
      <c r="R75" t="s">
        <v>361</v>
      </c>
      <c r="S75" t="s">
        <v>361</v>
      </c>
      <c r="T75" t="s">
        <v>361</v>
      </c>
      <c r="U75" t="s">
        <v>361</v>
      </c>
      <c r="V75" t="s">
        <v>361</v>
      </c>
      <c r="W75" t="s">
        <v>361</v>
      </c>
      <c r="X75" t="s">
        <v>361</v>
      </c>
    </row>
    <row r="76" spans="1:24">
      <c r="A76" t="s">
        <v>8539</v>
      </c>
      <c r="B76" t="s">
        <v>2215</v>
      </c>
      <c r="C76" t="s">
        <v>8561</v>
      </c>
      <c r="D76" t="s">
        <v>39</v>
      </c>
      <c r="E76" t="s">
        <v>9014</v>
      </c>
      <c r="F76" t="s">
        <v>2527</v>
      </c>
      <c r="G76" t="s">
        <v>2173</v>
      </c>
      <c r="H76" t="s">
        <v>8825</v>
      </c>
      <c r="I76" t="s">
        <v>1282</v>
      </c>
      <c r="J76" t="s">
        <v>595</v>
      </c>
      <c r="K76" t="s">
        <v>9015</v>
      </c>
      <c r="L76" t="s">
        <v>8826</v>
      </c>
      <c r="M76" t="s">
        <v>361</v>
      </c>
      <c r="N76" t="s">
        <v>2177</v>
      </c>
      <c r="O76" t="s">
        <v>361</v>
      </c>
      <c r="P76" t="s">
        <v>361</v>
      </c>
      <c r="Q76" t="s">
        <v>361</v>
      </c>
      <c r="R76" t="s">
        <v>361</v>
      </c>
      <c r="S76" t="s">
        <v>361</v>
      </c>
      <c r="T76" t="s">
        <v>361</v>
      </c>
      <c r="U76" t="s">
        <v>361</v>
      </c>
      <c r="V76" t="s">
        <v>361</v>
      </c>
      <c r="W76" t="s">
        <v>361</v>
      </c>
      <c r="X76" t="s">
        <v>361</v>
      </c>
    </row>
    <row r="77" spans="1:24">
      <c r="A77" t="s">
        <v>8539</v>
      </c>
      <c r="B77" t="s">
        <v>8514</v>
      </c>
      <c r="C77" t="s">
        <v>8561</v>
      </c>
      <c r="D77" t="s">
        <v>39</v>
      </c>
      <c r="E77" t="s">
        <v>9016</v>
      </c>
      <c r="F77" t="s">
        <v>2527</v>
      </c>
      <c r="G77" t="s">
        <v>2173</v>
      </c>
      <c r="H77" t="s">
        <v>8825</v>
      </c>
      <c r="I77" t="s">
        <v>1282</v>
      </c>
      <c r="J77" t="s">
        <v>1409</v>
      </c>
      <c r="K77" t="s">
        <v>9017</v>
      </c>
      <c r="L77" t="s">
        <v>361</v>
      </c>
      <c r="M77" t="s">
        <v>361</v>
      </c>
      <c r="N77" t="s">
        <v>2177</v>
      </c>
      <c r="O77" t="s">
        <v>361</v>
      </c>
      <c r="P77" t="s">
        <v>361</v>
      </c>
      <c r="Q77" t="s">
        <v>361</v>
      </c>
      <c r="R77" t="s">
        <v>361</v>
      </c>
      <c r="S77" t="s">
        <v>361</v>
      </c>
      <c r="T77" t="s">
        <v>361</v>
      </c>
      <c r="U77" t="s">
        <v>361</v>
      </c>
      <c r="V77" t="s">
        <v>361</v>
      </c>
      <c r="W77" t="s">
        <v>361</v>
      </c>
      <c r="X77" t="s">
        <v>361</v>
      </c>
    </row>
    <row r="78" spans="1:24">
      <c r="A78" t="s">
        <v>8539</v>
      </c>
      <c r="B78" t="s">
        <v>2194</v>
      </c>
      <c r="C78" t="s">
        <v>8561</v>
      </c>
      <c r="D78" t="s">
        <v>39</v>
      </c>
      <c r="E78" t="s">
        <v>9018</v>
      </c>
      <c r="F78" t="s">
        <v>2527</v>
      </c>
      <c r="G78" t="s">
        <v>2173</v>
      </c>
      <c r="H78" t="s">
        <v>8825</v>
      </c>
      <c r="I78" t="s">
        <v>1282</v>
      </c>
      <c r="J78" t="s">
        <v>595</v>
      </c>
      <c r="K78" t="s">
        <v>9019</v>
      </c>
      <c r="L78" t="s">
        <v>8826</v>
      </c>
      <c r="M78" t="s">
        <v>361</v>
      </c>
      <c r="N78" t="s">
        <v>2177</v>
      </c>
      <c r="O78" t="s">
        <v>361</v>
      </c>
      <c r="P78" t="s">
        <v>361</v>
      </c>
      <c r="Q78" t="s">
        <v>361</v>
      </c>
      <c r="R78" t="s">
        <v>361</v>
      </c>
      <c r="S78" t="s">
        <v>361</v>
      </c>
      <c r="T78" t="s">
        <v>361</v>
      </c>
      <c r="U78" t="s">
        <v>361</v>
      </c>
      <c r="V78" t="s">
        <v>361</v>
      </c>
      <c r="W78" t="s">
        <v>361</v>
      </c>
      <c r="X78" t="s">
        <v>361</v>
      </c>
    </row>
    <row r="79" spans="1:24">
      <c r="A79" t="s">
        <v>8539</v>
      </c>
      <c r="B79" t="s">
        <v>9020</v>
      </c>
      <c r="C79" t="s">
        <v>8561</v>
      </c>
      <c r="D79" t="s">
        <v>39</v>
      </c>
      <c r="E79" t="s">
        <v>9021</v>
      </c>
      <c r="F79" t="s">
        <v>2527</v>
      </c>
      <c r="G79" t="s">
        <v>2173</v>
      </c>
      <c r="H79" t="s">
        <v>8825</v>
      </c>
      <c r="I79" t="s">
        <v>1282</v>
      </c>
      <c r="J79" t="s">
        <v>595</v>
      </c>
      <c r="K79" t="s">
        <v>9022</v>
      </c>
      <c r="L79" t="s">
        <v>8826</v>
      </c>
      <c r="M79" t="s">
        <v>361</v>
      </c>
      <c r="N79" t="s">
        <v>2177</v>
      </c>
      <c r="O79" t="s">
        <v>361</v>
      </c>
      <c r="P79" t="s">
        <v>361</v>
      </c>
      <c r="Q79" t="s">
        <v>361</v>
      </c>
      <c r="R79" t="s">
        <v>361</v>
      </c>
      <c r="S79" t="s">
        <v>361</v>
      </c>
      <c r="T79" t="s">
        <v>361</v>
      </c>
      <c r="U79" t="s">
        <v>361</v>
      </c>
      <c r="V79" t="s">
        <v>361</v>
      </c>
      <c r="W79" t="s">
        <v>361</v>
      </c>
      <c r="X79" t="s">
        <v>361</v>
      </c>
    </row>
    <row r="80" spans="1:24">
      <c r="A80" t="s">
        <v>8539</v>
      </c>
      <c r="B80" t="s">
        <v>9023</v>
      </c>
      <c r="C80" t="s">
        <v>8561</v>
      </c>
      <c r="D80" t="s">
        <v>39</v>
      </c>
      <c r="E80" t="s">
        <v>9024</v>
      </c>
      <c r="F80" t="s">
        <v>2527</v>
      </c>
      <c r="G80" t="s">
        <v>2173</v>
      </c>
      <c r="H80" t="s">
        <v>8825</v>
      </c>
      <c r="I80" t="s">
        <v>1282</v>
      </c>
      <c r="J80" t="s">
        <v>595</v>
      </c>
      <c r="K80" t="s">
        <v>9025</v>
      </c>
      <c r="L80" t="s">
        <v>8826</v>
      </c>
      <c r="M80" t="s">
        <v>361</v>
      </c>
      <c r="N80" t="s">
        <v>2177</v>
      </c>
      <c r="O80" t="s">
        <v>361</v>
      </c>
      <c r="P80" t="s">
        <v>361</v>
      </c>
      <c r="Q80" t="s">
        <v>361</v>
      </c>
      <c r="R80" t="s">
        <v>361</v>
      </c>
      <c r="S80" t="s">
        <v>361</v>
      </c>
      <c r="T80" t="s">
        <v>361</v>
      </c>
      <c r="U80" t="s">
        <v>361</v>
      </c>
      <c r="V80" t="s">
        <v>361</v>
      </c>
      <c r="W80" t="s">
        <v>361</v>
      </c>
      <c r="X80" t="s">
        <v>361</v>
      </c>
    </row>
    <row r="81" spans="1:24">
      <c r="A81" t="s">
        <v>8539</v>
      </c>
      <c r="B81" t="s">
        <v>2204</v>
      </c>
      <c r="C81" t="s">
        <v>8561</v>
      </c>
      <c r="D81" t="s">
        <v>39</v>
      </c>
      <c r="E81" t="s">
        <v>9026</v>
      </c>
      <c r="F81" t="s">
        <v>2527</v>
      </c>
      <c r="G81" t="s">
        <v>2173</v>
      </c>
      <c r="H81" t="s">
        <v>8825</v>
      </c>
      <c r="I81" t="s">
        <v>1282</v>
      </c>
      <c r="J81" t="s">
        <v>595</v>
      </c>
      <c r="K81" t="s">
        <v>9027</v>
      </c>
      <c r="L81" t="s">
        <v>8826</v>
      </c>
      <c r="M81" t="s">
        <v>361</v>
      </c>
      <c r="N81" t="s">
        <v>2177</v>
      </c>
      <c r="O81" t="s">
        <v>361</v>
      </c>
      <c r="P81" t="s">
        <v>361</v>
      </c>
      <c r="Q81" t="s">
        <v>361</v>
      </c>
      <c r="R81" t="s">
        <v>361</v>
      </c>
      <c r="S81" t="s">
        <v>361</v>
      </c>
      <c r="T81" t="s">
        <v>361</v>
      </c>
      <c r="U81" t="s">
        <v>361</v>
      </c>
      <c r="V81" t="s">
        <v>361</v>
      </c>
      <c r="W81" t="s">
        <v>361</v>
      </c>
      <c r="X81" t="s">
        <v>361</v>
      </c>
    </row>
    <row r="82" spans="1:24">
      <c r="A82" t="s">
        <v>8539</v>
      </c>
      <c r="B82" t="s">
        <v>6684</v>
      </c>
      <c r="C82" t="s">
        <v>8561</v>
      </c>
      <c r="D82" t="s">
        <v>39</v>
      </c>
      <c r="E82" t="s">
        <v>9028</v>
      </c>
      <c r="F82" t="s">
        <v>2527</v>
      </c>
      <c r="G82" t="s">
        <v>2173</v>
      </c>
      <c r="H82" t="s">
        <v>8825</v>
      </c>
      <c r="I82" t="s">
        <v>1282</v>
      </c>
      <c r="J82" t="s">
        <v>595</v>
      </c>
      <c r="K82" t="s">
        <v>9029</v>
      </c>
      <c r="L82" t="s">
        <v>8826</v>
      </c>
      <c r="M82" t="s">
        <v>361</v>
      </c>
      <c r="N82" t="s">
        <v>2177</v>
      </c>
      <c r="O82" t="s">
        <v>361</v>
      </c>
      <c r="P82" t="s">
        <v>361</v>
      </c>
      <c r="Q82" t="s">
        <v>361</v>
      </c>
      <c r="R82" t="s">
        <v>361</v>
      </c>
      <c r="S82" t="s">
        <v>361</v>
      </c>
      <c r="T82" t="s">
        <v>361</v>
      </c>
      <c r="U82" t="s">
        <v>361</v>
      </c>
      <c r="V82" t="s">
        <v>361</v>
      </c>
      <c r="W82" t="s">
        <v>361</v>
      </c>
      <c r="X82" t="s">
        <v>361</v>
      </c>
    </row>
    <row r="83" spans="1:24">
      <c r="A83" t="s">
        <v>8539</v>
      </c>
      <c r="B83" t="s">
        <v>8728</v>
      </c>
      <c r="C83" t="s">
        <v>8561</v>
      </c>
      <c r="D83" t="s">
        <v>39</v>
      </c>
      <c r="E83" t="s">
        <v>9030</v>
      </c>
      <c r="F83" t="s">
        <v>2527</v>
      </c>
      <c r="G83" t="s">
        <v>2173</v>
      </c>
      <c r="H83" t="s">
        <v>1288</v>
      </c>
      <c r="I83" t="s">
        <v>1282</v>
      </c>
      <c r="J83" t="s">
        <v>1523</v>
      </c>
      <c r="K83" t="s">
        <v>9031</v>
      </c>
      <c r="L83" t="s">
        <v>9032</v>
      </c>
      <c r="M83" t="s">
        <v>361</v>
      </c>
      <c r="N83" t="s">
        <v>2177</v>
      </c>
      <c r="O83" t="s">
        <v>361</v>
      </c>
      <c r="P83" t="s">
        <v>361</v>
      </c>
      <c r="Q83" t="s">
        <v>361</v>
      </c>
      <c r="R83" t="s">
        <v>361</v>
      </c>
      <c r="S83" t="s">
        <v>361</v>
      </c>
      <c r="T83" t="s">
        <v>361</v>
      </c>
      <c r="U83" t="s">
        <v>361</v>
      </c>
      <c r="V83" t="s">
        <v>361</v>
      </c>
      <c r="W83" t="s">
        <v>361</v>
      </c>
      <c r="X83" t="s">
        <v>361</v>
      </c>
    </row>
    <row r="84" spans="1:24">
      <c r="A84" t="s">
        <v>8539</v>
      </c>
      <c r="B84" t="s">
        <v>9033</v>
      </c>
      <c r="C84" t="s">
        <v>8561</v>
      </c>
      <c r="D84" t="s">
        <v>39</v>
      </c>
      <c r="E84" t="s">
        <v>9034</v>
      </c>
      <c r="F84" t="s">
        <v>2527</v>
      </c>
      <c r="G84" t="s">
        <v>2173</v>
      </c>
      <c r="H84" t="s">
        <v>1288</v>
      </c>
      <c r="I84" t="s">
        <v>1282</v>
      </c>
      <c r="J84" t="s">
        <v>1523</v>
      </c>
      <c r="K84" t="s">
        <v>9035</v>
      </c>
      <c r="L84" t="s">
        <v>9032</v>
      </c>
      <c r="M84" t="s">
        <v>361</v>
      </c>
      <c r="N84" t="s">
        <v>2177</v>
      </c>
      <c r="O84" t="s">
        <v>361</v>
      </c>
      <c r="P84" t="s">
        <v>361</v>
      </c>
      <c r="Q84" t="s">
        <v>361</v>
      </c>
      <c r="R84" t="s">
        <v>361</v>
      </c>
      <c r="S84" t="s">
        <v>361</v>
      </c>
      <c r="T84" t="s">
        <v>361</v>
      </c>
      <c r="U84" t="s">
        <v>361</v>
      </c>
      <c r="V84" t="s">
        <v>361</v>
      </c>
      <c r="W84" t="s">
        <v>361</v>
      </c>
      <c r="X84" t="s">
        <v>361</v>
      </c>
    </row>
    <row r="85" spans="1:24">
      <c r="A85" t="s">
        <v>8539</v>
      </c>
      <c r="B85" t="s">
        <v>9036</v>
      </c>
      <c r="C85" t="s">
        <v>8561</v>
      </c>
      <c r="D85" t="s">
        <v>39</v>
      </c>
      <c r="E85" t="s">
        <v>9037</v>
      </c>
      <c r="F85" t="s">
        <v>2527</v>
      </c>
      <c r="G85" t="s">
        <v>2173</v>
      </c>
      <c r="H85" t="s">
        <v>1288</v>
      </c>
      <c r="I85" t="s">
        <v>1282</v>
      </c>
      <c r="J85" t="s">
        <v>1523</v>
      </c>
      <c r="K85" t="s">
        <v>9038</v>
      </c>
      <c r="L85" t="s">
        <v>9032</v>
      </c>
      <c r="M85" t="s">
        <v>361</v>
      </c>
      <c r="N85" t="s">
        <v>2177</v>
      </c>
      <c r="O85" t="s">
        <v>361</v>
      </c>
      <c r="P85" t="s">
        <v>361</v>
      </c>
      <c r="Q85" t="s">
        <v>361</v>
      </c>
      <c r="R85" t="s">
        <v>361</v>
      </c>
      <c r="S85" t="s">
        <v>361</v>
      </c>
      <c r="T85" t="s">
        <v>361</v>
      </c>
      <c r="U85" t="s">
        <v>361</v>
      </c>
      <c r="V85" t="s">
        <v>361</v>
      </c>
      <c r="W85" t="s">
        <v>361</v>
      </c>
      <c r="X85" t="s">
        <v>361</v>
      </c>
    </row>
    <row r="86" spans="1:24">
      <c r="A86" t="s">
        <v>8539</v>
      </c>
      <c r="B86" t="s">
        <v>9039</v>
      </c>
      <c r="C86" t="s">
        <v>8561</v>
      </c>
      <c r="D86" t="s">
        <v>39</v>
      </c>
      <c r="E86" t="s">
        <v>9040</v>
      </c>
      <c r="F86" t="s">
        <v>2527</v>
      </c>
      <c r="G86" t="s">
        <v>2173</v>
      </c>
      <c r="H86" t="s">
        <v>1288</v>
      </c>
      <c r="I86" t="s">
        <v>1282</v>
      </c>
      <c r="J86" t="s">
        <v>1523</v>
      </c>
      <c r="K86" t="s">
        <v>9041</v>
      </c>
      <c r="L86" t="s">
        <v>9032</v>
      </c>
      <c r="M86" t="s">
        <v>361</v>
      </c>
      <c r="N86" t="s">
        <v>2177</v>
      </c>
      <c r="O86" t="s">
        <v>361</v>
      </c>
      <c r="P86" t="s">
        <v>361</v>
      </c>
      <c r="Q86" t="s">
        <v>361</v>
      </c>
      <c r="R86" t="s">
        <v>361</v>
      </c>
      <c r="S86" t="s">
        <v>361</v>
      </c>
      <c r="T86" t="s">
        <v>361</v>
      </c>
      <c r="U86" t="s">
        <v>361</v>
      </c>
      <c r="V86" t="s">
        <v>361</v>
      </c>
      <c r="W86" t="s">
        <v>361</v>
      </c>
      <c r="X86" t="s">
        <v>361</v>
      </c>
    </row>
    <row r="87" spans="1:24">
      <c r="A87" t="s">
        <v>8539</v>
      </c>
      <c r="B87" t="s">
        <v>9042</v>
      </c>
      <c r="C87" t="s">
        <v>8561</v>
      </c>
      <c r="D87" t="s">
        <v>39</v>
      </c>
      <c r="E87" t="s">
        <v>9043</v>
      </c>
      <c r="F87" t="s">
        <v>2196</v>
      </c>
      <c r="G87" t="s">
        <v>2173</v>
      </c>
      <c r="H87" t="s">
        <v>1288</v>
      </c>
      <c r="I87" t="s">
        <v>1282</v>
      </c>
      <c r="J87" t="s">
        <v>578</v>
      </c>
      <c r="K87" t="s">
        <v>9044</v>
      </c>
      <c r="L87" t="s">
        <v>9045</v>
      </c>
      <c r="M87" t="s">
        <v>361</v>
      </c>
      <c r="N87" t="s">
        <v>2177</v>
      </c>
      <c r="O87" t="s">
        <v>361</v>
      </c>
      <c r="P87" t="s">
        <v>361</v>
      </c>
      <c r="Q87" t="s">
        <v>361</v>
      </c>
      <c r="R87" t="s">
        <v>361</v>
      </c>
      <c r="S87" t="s">
        <v>361</v>
      </c>
      <c r="T87" t="s">
        <v>361</v>
      </c>
      <c r="U87" t="s">
        <v>361</v>
      </c>
      <c r="V87" t="s">
        <v>361</v>
      </c>
      <c r="W87" t="s">
        <v>361</v>
      </c>
      <c r="X87" t="s">
        <v>361</v>
      </c>
    </row>
    <row r="88" spans="1:24">
      <c r="A88" t="s">
        <v>8539</v>
      </c>
      <c r="B88" t="s">
        <v>134</v>
      </c>
      <c r="C88" t="s">
        <v>8561</v>
      </c>
      <c r="D88" t="s">
        <v>39</v>
      </c>
      <c r="E88" t="s">
        <v>9046</v>
      </c>
      <c r="F88" t="s">
        <v>2527</v>
      </c>
      <c r="G88" t="s">
        <v>2173</v>
      </c>
      <c r="H88" t="s">
        <v>1288</v>
      </c>
      <c r="I88" t="s">
        <v>1282</v>
      </c>
      <c r="J88" t="s">
        <v>607</v>
      </c>
      <c r="K88" t="s">
        <v>9047</v>
      </c>
      <c r="L88" t="s">
        <v>9045</v>
      </c>
      <c r="M88" t="s">
        <v>361</v>
      </c>
      <c r="N88" t="s">
        <v>2177</v>
      </c>
      <c r="O88" t="s">
        <v>361</v>
      </c>
      <c r="P88" t="s">
        <v>361</v>
      </c>
      <c r="Q88" t="s">
        <v>361</v>
      </c>
      <c r="R88" t="s">
        <v>361</v>
      </c>
      <c r="S88" t="s">
        <v>361</v>
      </c>
      <c r="T88" t="s">
        <v>361</v>
      </c>
      <c r="U88" t="s">
        <v>361</v>
      </c>
      <c r="V88" t="s">
        <v>361</v>
      </c>
      <c r="W88" t="s">
        <v>361</v>
      </c>
      <c r="X88" t="s">
        <v>361</v>
      </c>
    </row>
    <row r="89" spans="1:24">
      <c r="A89" t="s">
        <v>8539</v>
      </c>
      <c r="B89" t="s">
        <v>9048</v>
      </c>
      <c r="C89" t="s">
        <v>8561</v>
      </c>
      <c r="D89" t="s">
        <v>39</v>
      </c>
      <c r="E89" t="s">
        <v>9049</v>
      </c>
      <c r="F89" t="s">
        <v>2527</v>
      </c>
      <c r="G89" t="s">
        <v>2173</v>
      </c>
      <c r="H89" t="s">
        <v>1288</v>
      </c>
      <c r="I89" t="s">
        <v>1282</v>
      </c>
      <c r="J89" t="s">
        <v>578</v>
      </c>
      <c r="K89" t="s">
        <v>9050</v>
      </c>
      <c r="L89" t="s">
        <v>8565</v>
      </c>
      <c r="M89" t="s">
        <v>361</v>
      </c>
      <c r="N89" t="s">
        <v>2177</v>
      </c>
      <c r="O89" t="s">
        <v>361</v>
      </c>
      <c r="P89" t="s">
        <v>361</v>
      </c>
      <c r="Q89" t="s">
        <v>361</v>
      </c>
      <c r="R89" t="s">
        <v>361</v>
      </c>
      <c r="S89" t="s">
        <v>361</v>
      </c>
      <c r="T89" t="s">
        <v>361</v>
      </c>
      <c r="U89" t="s">
        <v>361</v>
      </c>
      <c r="V89" t="s">
        <v>361</v>
      </c>
      <c r="W89" t="s">
        <v>361</v>
      </c>
      <c r="X89" t="s">
        <v>361</v>
      </c>
    </row>
    <row r="90" spans="1:24">
      <c r="A90" t="s">
        <v>8539</v>
      </c>
      <c r="B90" t="s">
        <v>2900</v>
      </c>
      <c r="C90" t="s">
        <v>8561</v>
      </c>
      <c r="D90" t="s">
        <v>39</v>
      </c>
      <c r="E90" t="s">
        <v>9051</v>
      </c>
      <c r="F90" t="s">
        <v>2527</v>
      </c>
      <c r="G90" t="s">
        <v>2173</v>
      </c>
      <c r="H90" t="s">
        <v>8825</v>
      </c>
      <c r="I90" t="s">
        <v>1282</v>
      </c>
      <c r="J90" t="s">
        <v>595</v>
      </c>
      <c r="K90" t="s">
        <v>9052</v>
      </c>
      <c r="L90" t="s">
        <v>8826</v>
      </c>
      <c r="M90" t="s">
        <v>361</v>
      </c>
      <c r="N90" t="s">
        <v>2177</v>
      </c>
      <c r="O90" t="s">
        <v>361</v>
      </c>
      <c r="P90" t="s">
        <v>361</v>
      </c>
      <c r="Q90" t="s">
        <v>361</v>
      </c>
      <c r="R90" t="s">
        <v>361</v>
      </c>
      <c r="S90" t="s">
        <v>361</v>
      </c>
      <c r="T90" t="s">
        <v>361</v>
      </c>
      <c r="U90" t="s">
        <v>361</v>
      </c>
      <c r="V90" t="s">
        <v>361</v>
      </c>
      <c r="W90" t="s">
        <v>361</v>
      </c>
      <c r="X90" t="s">
        <v>361</v>
      </c>
    </row>
    <row r="91" spans="1:24">
      <c r="A91" t="s">
        <v>8539</v>
      </c>
      <c r="B91" t="s">
        <v>9005</v>
      </c>
      <c r="C91" t="s">
        <v>8561</v>
      </c>
      <c r="D91" t="s">
        <v>39</v>
      </c>
      <c r="E91" t="s">
        <v>9053</v>
      </c>
      <c r="F91" t="s">
        <v>2527</v>
      </c>
      <c r="G91" t="s">
        <v>2173</v>
      </c>
      <c r="H91" t="s">
        <v>8825</v>
      </c>
      <c r="I91" t="s">
        <v>1282</v>
      </c>
      <c r="J91" t="s">
        <v>1684</v>
      </c>
      <c r="K91" t="s">
        <v>9007</v>
      </c>
      <c r="L91" t="s">
        <v>361</v>
      </c>
      <c r="M91" t="s">
        <v>361</v>
      </c>
      <c r="N91" t="s">
        <v>2177</v>
      </c>
      <c r="O91" t="s">
        <v>361</v>
      </c>
      <c r="P91" t="s">
        <v>361</v>
      </c>
      <c r="Q91" t="s">
        <v>361</v>
      </c>
      <c r="R91" t="s">
        <v>361</v>
      </c>
      <c r="S91" t="s">
        <v>361</v>
      </c>
      <c r="T91" t="s">
        <v>361</v>
      </c>
      <c r="U91" t="s">
        <v>361</v>
      </c>
      <c r="V91" t="s">
        <v>361</v>
      </c>
      <c r="W91" t="s">
        <v>361</v>
      </c>
      <c r="X91" t="s">
        <v>361</v>
      </c>
    </row>
    <row r="92" spans="1:24">
      <c r="A92" t="s">
        <v>8539</v>
      </c>
      <c r="B92" t="s">
        <v>9054</v>
      </c>
      <c r="C92" t="s">
        <v>8561</v>
      </c>
      <c r="D92" t="s">
        <v>39</v>
      </c>
      <c r="E92" t="s">
        <v>9055</v>
      </c>
      <c r="F92" t="s">
        <v>2527</v>
      </c>
      <c r="G92" t="s">
        <v>2173</v>
      </c>
      <c r="H92" t="s">
        <v>8825</v>
      </c>
      <c r="I92" t="s">
        <v>1282</v>
      </c>
      <c r="J92" t="s">
        <v>595</v>
      </c>
      <c r="K92" t="s">
        <v>9056</v>
      </c>
      <c r="L92" t="s">
        <v>8826</v>
      </c>
      <c r="M92" t="s">
        <v>361</v>
      </c>
      <c r="N92" t="s">
        <v>2177</v>
      </c>
      <c r="O92" t="s">
        <v>361</v>
      </c>
      <c r="P92" t="s">
        <v>361</v>
      </c>
      <c r="Q92" t="s">
        <v>361</v>
      </c>
      <c r="R92" t="s">
        <v>361</v>
      </c>
      <c r="S92" t="s">
        <v>361</v>
      </c>
      <c r="T92" t="s">
        <v>361</v>
      </c>
      <c r="U92" t="s">
        <v>361</v>
      </c>
      <c r="V92" t="s">
        <v>361</v>
      </c>
      <c r="W92" t="s">
        <v>361</v>
      </c>
      <c r="X92" t="s">
        <v>361</v>
      </c>
    </row>
    <row r="93" spans="1:24">
      <c r="A93" t="s">
        <v>8539</v>
      </c>
      <c r="B93" t="s">
        <v>9057</v>
      </c>
      <c r="C93" t="s">
        <v>8561</v>
      </c>
      <c r="D93" t="s">
        <v>39</v>
      </c>
      <c r="E93" t="s">
        <v>9058</v>
      </c>
      <c r="F93" t="s">
        <v>2527</v>
      </c>
      <c r="G93" t="s">
        <v>2173</v>
      </c>
      <c r="H93" t="s">
        <v>8825</v>
      </c>
      <c r="I93" t="s">
        <v>1282</v>
      </c>
      <c r="J93" t="s">
        <v>1686</v>
      </c>
      <c r="K93" t="s">
        <v>9059</v>
      </c>
      <c r="L93" t="s">
        <v>361</v>
      </c>
      <c r="M93" t="s">
        <v>361</v>
      </c>
      <c r="N93" t="s">
        <v>2177</v>
      </c>
      <c r="O93" t="s">
        <v>361</v>
      </c>
      <c r="P93" t="s">
        <v>361</v>
      </c>
      <c r="Q93" t="s">
        <v>361</v>
      </c>
      <c r="R93" t="s">
        <v>361</v>
      </c>
      <c r="S93" t="s">
        <v>361</v>
      </c>
      <c r="T93" t="s">
        <v>361</v>
      </c>
      <c r="U93" t="s">
        <v>361</v>
      </c>
      <c r="V93" t="s">
        <v>361</v>
      </c>
      <c r="W93" t="s">
        <v>361</v>
      </c>
      <c r="X93" t="s">
        <v>361</v>
      </c>
    </row>
    <row r="94" spans="1:24">
      <c r="A94" s="428" t="s">
        <v>8539</v>
      </c>
      <c r="B94" s="428" t="s">
        <v>9060</v>
      </c>
      <c r="C94" s="428" t="s">
        <v>8561</v>
      </c>
      <c r="D94" s="428" t="s">
        <v>39</v>
      </c>
      <c r="E94" s="428" t="s">
        <v>9061</v>
      </c>
      <c r="F94" s="428" t="s">
        <v>7882</v>
      </c>
      <c r="G94" s="428" t="s">
        <v>7882</v>
      </c>
      <c r="H94" s="428" t="s">
        <v>361</v>
      </c>
      <c r="I94" s="428" t="s">
        <v>361</v>
      </c>
      <c r="J94" s="428" t="s">
        <v>361</v>
      </c>
      <c r="K94" s="428" t="s">
        <v>361</v>
      </c>
      <c r="L94" s="428" t="s">
        <v>361</v>
      </c>
      <c r="M94" s="428" t="s">
        <v>361</v>
      </c>
      <c r="N94" t="s">
        <v>3576</v>
      </c>
      <c r="O94" s="428" t="s">
        <v>361</v>
      </c>
      <c r="P94" s="428" t="s">
        <v>361</v>
      </c>
      <c r="Q94" s="428" t="s">
        <v>361</v>
      </c>
      <c r="R94" s="428" t="s">
        <v>361</v>
      </c>
      <c r="S94" s="428" t="s">
        <v>361</v>
      </c>
      <c r="T94" s="428" t="s">
        <v>361</v>
      </c>
      <c r="U94" s="428" t="s">
        <v>361</v>
      </c>
      <c r="V94" s="428" t="s">
        <v>361</v>
      </c>
      <c r="W94" s="428" t="s">
        <v>361</v>
      </c>
      <c r="X94" s="428" t="s">
        <v>361</v>
      </c>
    </row>
    <row r="95" spans="1:24">
      <c r="A95" t="s">
        <v>8539</v>
      </c>
      <c r="B95" t="s">
        <v>9062</v>
      </c>
      <c r="C95" t="s">
        <v>8561</v>
      </c>
      <c r="D95" t="s">
        <v>39</v>
      </c>
      <c r="E95" t="s">
        <v>9063</v>
      </c>
      <c r="F95" t="s">
        <v>2527</v>
      </c>
      <c r="G95" t="s">
        <v>2173</v>
      </c>
      <c r="H95" t="s">
        <v>8825</v>
      </c>
      <c r="I95" t="s">
        <v>1282</v>
      </c>
      <c r="J95" t="s">
        <v>595</v>
      </c>
      <c r="K95" t="s">
        <v>9064</v>
      </c>
      <c r="L95" t="s">
        <v>8826</v>
      </c>
      <c r="M95" t="s">
        <v>361</v>
      </c>
      <c r="N95" t="s">
        <v>2177</v>
      </c>
      <c r="O95" t="s">
        <v>361</v>
      </c>
      <c r="P95" t="s">
        <v>361</v>
      </c>
      <c r="Q95" t="s">
        <v>361</v>
      </c>
      <c r="R95" t="s">
        <v>361</v>
      </c>
      <c r="S95" t="s">
        <v>361</v>
      </c>
      <c r="T95" t="s">
        <v>361</v>
      </c>
      <c r="U95" t="s">
        <v>361</v>
      </c>
      <c r="V95" t="s">
        <v>361</v>
      </c>
      <c r="W95" t="s">
        <v>361</v>
      </c>
      <c r="X95" t="s">
        <v>361</v>
      </c>
    </row>
    <row r="96" spans="1:24">
      <c r="A96" t="s">
        <v>8539</v>
      </c>
      <c r="B96" t="s">
        <v>9065</v>
      </c>
      <c r="C96" t="s">
        <v>8561</v>
      </c>
      <c r="D96" t="s">
        <v>39</v>
      </c>
      <c r="E96" t="s">
        <v>9066</v>
      </c>
      <c r="F96" t="s">
        <v>2527</v>
      </c>
      <c r="G96" t="s">
        <v>2173</v>
      </c>
      <c r="H96" t="s">
        <v>8825</v>
      </c>
      <c r="I96" t="s">
        <v>1282</v>
      </c>
      <c r="J96" t="s">
        <v>595</v>
      </c>
      <c r="K96" t="s">
        <v>9067</v>
      </c>
      <c r="L96" t="s">
        <v>8826</v>
      </c>
      <c r="M96" t="s">
        <v>361</v>
      </c>
      <c r="N96" t="s">
        <v>2177</v>
      </c>
      <c r="O96" t="s">
        <v>361</v>
      </c>
      <c r="P96" t="s">
        <v>361</v>
      </c>
      <c r="Q96" t="s">
        <v>361</v>
      </c>
      <c r="R96" t="s">
        <v>361</v>
      </c>
      <c r="S96" t="s">
        <v>361</v>
      </c>
      <c r="T96" t="s">
        <v>361</v>
      </c>
      <c r="U96" t="s">
        <v>361</v>
      </c>
      <c r="V96" t="s">
        <v>361</v>
      </c>
      <c r="W96" t="s">
        <v>361</v>
      </c>
      <c r="X96" t="s">
        <v>361</v>
      </c>
    </row>
    <row r="97" spans="1:24">
      <c r="A97" t="s">
        <v>8539</v>
      </c>
      <c r="B97" t="s">
        <v>9068</v>
      </c>
      <c r="C97" t="s">
        <v>8561</v>
      </c>
      <c r="D97" t="s">
        <v>39</v>
      </c>
      <c r="E97" t="s">
        <v>9069</v>
      </c>
      <c r="F97" t="s">
        <v>2527</v>
      </c>
      <c r="G97" t="s">
        <v>2173</v>
      </c>
      <c r="H97" t="s">
        <v>8825</v>
      </c>
      <c r="I97" t="s">
        <v>1282</v>
      </c>
      <c r="J97" t="s">
        <v>595</v>
      </c>
      <c r="K97" t="s">
        <v>9070</v>
      </c>
      <c r="L97" t="s">
        <v>8826</v>
      </c>
      <c r="M97" t="s">
        <v>361</v>
      </c>
      <c r="N97" t="s">
        <v>2177</v>
      </c>
      <c r="O97" t="s">
        <v>361</v>
      </c>
      <c r="P97" t="s">
        <v>361</v>
      </c>
      <c r="Q97" t="s">
        <v>361</v>
      </c>
      <c r="R97" t="s">
        <v>361</v>
      </c>
      <c r="S97" t="s">
        <v>361</v>
      </c>
      <c r="T97" t="s">
        <v>361</v>
      </c>
      <c r="U97" t="s">
        <v>361</v>
      </c>
      <c r="V97" t="s">
        <v>361</v>
      </c>
      <c r="W97" t="s">
        <v>361</v>
      </c>
      <c r="X97" t="s">
        <v>361</v>
      </c>
    </row>
    <row r="98" spans="1:24">
      <c r="A98" t="s">
        <v>8539</v>
      </c>
      <c r="B98" t="s">
        <v>9071</v>
      </c>
      <c r="C98" t="s">
        <v>8561</v>
      </c>
      <c r="D98" t="s">
        <v>39</v>
      </c>
      <c r="E98" t="s">
        <v>9072</v>
      </c>
      <c r="F98" t="s">
        <v>2527</v>
      </c>
      <c r="G98" t="s">
        <v>2173</v>
      </c>
      <c r="H98" t="s">
        <v>8825</v>
      </c>
      <c r="I98" t="s">
        <v>1282</v>
      </c>
      <c r="J98" t="s">
        <v>595</v>
      </c>
      <c r="K98" t="s">
        <v>9073</v>
      </c>
      <c r="L98" t="s">
        <v>8826</v>
      </c>
      <c r="M98" t="s">
        <v>361</v>
      </c>
      <c r="N98" t="s">
        <v>2177</v>
      </c>
      <c r="O98" t="s">
        <v>361</v>
      </c>
      <c r="P98" t="s">
        <v>361</v>
      </c>
      <c r="Q98" t="s">
        <v>361</v>
      </c>
      <c r="R98" t="s">
        <v>361</v>
      </c>
      <c r="S98" t="s">
        <v>361</v>
      </c>
      <c r="T98" t="s">
        <v>361</v>
      </c>
      <c r="U98" t="s">
        <v>361</v>
      </c>
      <c r="V98" t="s">
        <v>361</v>
      </c>
      <c r="W98" t="s">
        <v>361</v>
      </c>
      <c r="X98" t="s">
        <v>361</v>
      </c>
    </row>
    <row r="99" spans="1:24">
      <c r="A99" t="s">
        <v>8539</v>
      </c>
      <c r="B99" t="s">
        <v>2490</v>
      </c>
      <c r="C99" t="s">
        <v>8561</v>
      </c>
      <c r="D99" t="s">
        <v>39</v>
      </c>
      <c r="E99" t="s">
        <v>9074</v>
      </c>
      <c r="F99" t="s">
        <v>2527</v>
      </c>
      <c r="G99" t="s">
        <v>2173</v>
      </c>
      <c r="H99" t="s">
        <v>8825</v>
      </c>
      <c r="I99" t="s">
        <v>1282</v>
      </c>
      <c r="J99" t="s">
        <v>595</v>
      </c>
      <c r="K99" t="s">
        <v>9075</v>
      </c>
      <c r="L99" t="s">
        <v>8826</v>
      </c>
      <c r="M99" t="s">
        <v>361</v>
      </c>
      <c r="N99" t="s">
        <v>2177</v>
      </c>
      <c r="O99" t="s">
        <v>361</v>
      </c>
      <c r="P99" t="s">
        <v>361</v>
      </c>
      <c r="Q99" t="s">
        <v>361</v>
      </c>
      <c r="R99" t="s">
        <v>361</v>
      </c>
      <c r="S99" t="s">
        <v>361</v>
      </c>
      <c r="T99" t="s">
        <v>361</v>
      </c>
      <c r="U99" t="s">
        <v>361</v>
      </c>
      <c r="V99" t="s">
        <v>361</v>
      </c>
      <c r="W99" t="s">
        <v>361</v>
      </c>
      <c r="X99" t="s">
        <v>361</v>
      </c>
    </row>
    <row r="100" spans="1:24">
      <c r="A100" t="s">
        <v>8539</v>
      </c>
      <c r="B100" t="s">
        <v>9076</v>
      </c>
      <c r="C100" t="s">
        <v>8561</v>
      </c>
      <c r="D100" t="s">
        <v>39</v>
      </c>
      <c r="E100" t="s">
        <v>9077</v>
      </c>
      <c r="F100" t="s">
        <v>2527</v>
      </c>
      <c r="G100" t="s">
        <v>2173</v>
      </c>
      <c r="H100" t="s">
        <v>1288</v>
      </c>
      <c r="I100" t="s">
        <v>1282</v>
      </c>
      <c r="J100" t="s">
        <v>578</v>
      </c>
      <c r="K100" t="s">
        <v>9078</v>
      </c>
      <c r="L100" t="s">
        <v>8565</v>
      </c>
      <c r="M100" t="s">
        <v>361</v>
      </c>
      <c r="N100" t="s">
        <v>2177</v>
      </c>
      <c r="O100" t="s">
        <v>361</v>
      </c>
      <c r="P100" t="s">
        <v>361</v>
      </c>
      <c r="Q100" t="s">
        <v>361</v>
      </c>
      <c r="R100" t="s">
        <v>361</v>
      </c>
      <c r="S100" t="s">
        <v>361</v>
      </c>
      <c r="T100" t="s">
        <v>361</v>
      </c>
      <c r="U100" t="s">
        <v>361</v>
      </c>
      <c r="V100" t="s">
        <v>361</v>
      </c>
      <c r="W100" t="s">
        <v>361</v>
      </c>
      <c r="X100" t="s">
        <v>361</v>
      </c>
    </row>
    <row r="101" spans="1:24">
      <c r="A101" t="s">
        <v>8539</v>
      </c>
      <c r="B101" t="s">
        <v>3664</v>
      </c>
      <c r="C101" t="s">
        <v>3664</v>
      </c>
      <c r="D101" t="s">
        <v>39</v>
      </c>
      <c r="E101" t="s">
        <v>9079</v>
      </c>
      <c r="F101" t="s">
        <v>2527</v>
      </c>
      <c r="G101" t="s">
        <v>2173</v>
      </c>
      <c r="H101" t="s">
        <v>1288</v>
      </c>
      <c r="I101" t="s">
        <v>1282</v>
      </c>
      <c r="J101" t="s">
        <v>578</v>
      </c>
      <c r="K101" t="s">
        <v>9080</v>
      </c>
      <c r="L101" t="s">
        <v>8565</v>
      </c>
      <c r="M101" t="s">
        <v>361</v>
      </c>
      <c r="N101" t="s">
        <v>2177</v>
      </c>
      <c r="O101" t="s">
        <v>361</v>
      </c>
      <c r="P101" t="s">
        <v>361</v>
      </c>
      <c r="Q101" t="s">
        <v>361</v>
      </c>
      <c r="R101" t="s">
        <v>361</v>
      </c>
      <c r="S101" t="s">
        <v>361</v>
      </c>
      <c r="T101" t="s">
        <v>361</v>
      </c>
      <c r="U101" t="s">
        <v>361</v>
      </c>
      <c r="V101" t="s">
        <v>361</v>
      </c>
      <c r="W101" t="s">
        <v>361</v>
      </c>
      <c r="X101" t="s">
        <v>361</v>
      </c>
    </row>
    <row r="102" spans="1:24">
      <c r="A102" t="s">
        <v>8539</v>
      </c>
      <c r="B102" t="s">
        <v>9081</v>
      </c>
      <c r="C102" t="s">
        <v>3664</v>
      </c>
      <c r="D102" t="s">
        <v>39</v>
      </c>
      <c r="E102" t="s">
        <v>9082</v>
      </c>
      <c r="F102" t="s">
        <v>2527</v>
      </c>
      <c r="G102" t="s">
        <v>2173</v>
      </c>
      <c r="H102" t="s">
        <v>1288</v>
      </c>
      <c r="I102" t="s">
        <v>1282</v>
      </c>
      <c r="J102" t="s">
        <v>578</v>
      </c>
      <c r="K102" t="s">
        <v>9083</v>
      </c>
      <c r="L102" t="s">
        <v>8565</v>
      </c>
      <c r="M102" t="s">
        <v>361</v>
      </c>
      <c r="N102" t="s">
        <v>2177</v>
      </c>
      <c r="O102" t="s">
        <v>361</v>
      </c>
      <c r="P102" t="s">
        <v>361</v>
      </c>
      <c r="Q102" t="s">
        <v>361</v>
      </c>
      <c r="R102" t="s">
        <v>361</v>
      </c>
      <c r="S102" t="s">
        <v>361</v>
      </c>
      <c r="T102" t="s">
        <v>361</v>
      </c>
      <c r="U102" t="s">
        <v>361</v>
      </c>
      <c r="V102" t="s">
        <v>361</v>
      </c>
      <c r="W102" t="s">
        <v>361</v>
      </c>
      <c r="X102" t="s">
        <v>361</v>
      </c>
    </row>
    <row r="103" spans="1:24">
      <c r="A103" t="s">
        <v>8539</v>
      </c>
      <c r="B103" t="s">
        <v>9084</v>
      </c>
      <c r="C103" t="s">
        <v>3664</v>
      </c>
      <c r="D103" t="s">
        <v>39</v>
      </c>
      <c r="E103" t="s">
        <v>9085</v>
      </c>
      <c r="F103" t="s">
        <v>2527</v>
      </c>
      <c r="G103" t="s">
        <v>2173</v>
      </c>
      <c r="H103" t="s">
        <v>1288</v>
      </c>
      <c r="I103" t="s">
        <v>1282</v>
      </c>
      <c r="J103" t="s">
        <v>578</v>
      </c>
      <c r="K103" t="s">
        <v>9086</v>
      </c>
      <c r="L103" t="s">
        <v>8565</v>
      </c>
      <c r="M103" t="s">
        <v>361</v>
      </c>
      <c r="N103" t="s">
        <v>2177</v>
      </c>
      <c r="O103" t="s">
        <v>361</v>
      </c>
      <c r="P103" t="s">
        <v>361</v>
      </c>
      <c r="Q103" t="s">
        <v>361</v>
      </c>
      <c r="R103" t="s">
        <v>361</v>
      </c>
      <c r="S103" t="s">
        <v>361</v>
      </c>
      <c r="T103" t="s">
        <v>361</v>
      </c>
      <c r="U103" t="s">
        <v>361</v>
      </c>
      <c r="V103" t="s">
        <v>361</v>
      </c>
      <c r="W103" t="s">
        <v>361</v>
      </c>
      <c r="X103" t="s">
        <v>361</v>
      </c>
    </row>
    <row r="104" spans="1:24">
      <c r="A104" t="s">
        <v>8539</v>
      </c>
      <c r="B104" t="s">
        <v>9087</v>
      </c>
      <c r="C104" t="s">
        <v>3664</v>
      </c>
      <c r="D104" t="s">
        <v>39</v>
      </c>
      <c r="E104" t="s">
        <v>9088</v>
      </c>
      <c r="F104" t="s">
        <v>2527</v>
      </c>
      <c r="G104" t="s">
        <v>2173</v>
      </c>
      <c r="H104" t="s">
        <v>1288</v>
      </c>
      <c r="I104" t="s">
        <v>1282</v>
      </c>
      <c r="J104" t="s">
        <v>578</v>
      </c>
      <c r="K104" t="s">
        <v>9089</v>
      </c>
      <c r="L104" t="s">
        <v>8565</v>
      </c>
      <c r="M104" t="s">
        <v>361</v>
      </c>
      <c r="N104" t="s">
        <v>2177</v>
      </c>
      <c r="O104" t="s">
        <v>361</v>
      </c>
      <c r="P104" t="s">
        <v>361</v>
      </c>
      <c r="Q104" t="s">
        <v>361</v>
      </c>
      <c r="R104" t="s">
        <v>361</v>
      </c>
      <c r="S104" t="s">
        <v>361</v>
      </c>
      <c r="T104" t="s">
        <v>361</v>
      </c>
      <c r="U104" t="s">
        <v>361</v>
      </c>
      <c r="V104" t="s">
        <v>361</v>
      </c>
      <c r="W104" t="s">
        <v>361</v>
      </c>
      <c r="X104" t="s">
        <v>361</v>
      </c>
    </row>
    <row r="105" spans="1:24">
      <c r="A105" t="s">
        <v>8539</v>
      </c>
      <c r="B105" t="s">
        <v>9090</v>
      </c>
      <c r="C105" t="s">
        <v>3664</v>
      </c>
      <c r="D105" t="s">
        <v>39</v>
      </c>
      <c r="E105" t="s">
        <v>9091</v>
      </c>
      <c r="F105" t="s">
        <v>2527</v>
      </c>
      <c r="G105" t="s">
        <v>2173</v>
      </c>
      <c r="H105" t="s">
        <v>1288</v>
      </c>
      <c r="I105" t="s">
        <v>1282</v>
      </c>
      <c r="J105" t="s">
        <v>578</v>
      </c>
      <c r="K105" t="s">
        <v>9092</v>
      </c>
      <c r="L105" t="s">
        <v>8565</v>
      </c>
      <c r="M105" t="s">
        <v>361</v>
      </c>
      <c r="N105" t="s">
        <v>2177</v>
      </c>
      <c r="O105" t="s">
        <v>361</v>
      </c>
      <c r="P105" t="s">
        <v>361</v>
      </c>
      <c r="Q105" t="s">
        <v>361</v>
      </c>
      <c r="R105" t="s">
        <v>361</v>
      </c>
      <c r="S105" t="s">
        <v>361</v>
      </c>
      <c r="T105" t="s">
        <v>361</v>
      </c>
      <c r="U105" t="s">
        <v>361</v>
      </c>
      <c r="V105" t="s">
        <v>361</v>
      </c>
      <c r="W105" t="s">
        <v>361</v>
      </c>
      <c r="X105" t="s">
        <v>361</v>
      </c>
    </row>
    <row r="106" spans="1:24">
      <c r="A106" t="s">
        <v>8539</v>
      </c>
      <c r="B106" t="s">
        <v>9093</v>
      </c>
      <c r="C106" t="s">
        <v>3664</v>
      </c>
      <c r="D106" t="s">
        <v>39</v>
      </c>
      <c r="E106" t="s">
        <v>9094</v>
      </c>
      <c r="F106" t="s">
        <v>2527</v>
      </c>
      <c r="G106" t="s">
        <v>2173</v>
      </c>
      <c r="H106" t="s">
        <v>1288</v>
      </c>
      <c r="I106" t="s">
        <v>1282</v>
      </c>
      <c r="J106" t="s">
        <v>578</v>
      </c>
      <c r="K106" t="s">
        <v>9095</v>
      </c>
      <c r="L106" t="s">
        <v>8565</v>
      </c>
      <c r="M106" t="s">
        <v>361</v>
      </c>
      <c r="N106" t="s">
        <v>2177</v>
      </c>
      <c r="O106" t="s">
        <v>361</v>
      </c>
      <c r="P106" t="s">
        <v>361</v>
      </c>
      <c r="Q106" t="s">
        <v>361</v>
      </c>
      <c r="R106" t="s">
        <v>361</v>
      </c>
      <c r="S106" t="s">
        <v>361</v>
      </c>
      <c r="T106" t="s">
        <v>361</v>
      </c>
      <c r="U106" t="s">
        <v>361</v>
      </c>
      <c r="V106" t="s">
        <v>361</v>
      </c>
      <c r="W106" t="s">
        <v>361</v>
      </c>
      <c r="X106" t="s">
        <v>361</v>
      </c>
    </row>
    <row r="107" spans="1:24">
      <c r="A107" t="s">
        <v>8539</v>
      </c>
      <c r="B107" t="s">
        <v>9096</v>
      </c>
      <c r="C107" t="s">
        <v>3664</v>
      </c>
      <c r="D107" t="s">
        <v>39</v>
      </c>
      <c r="E107" t="s">
        <v>9097</v>
      </c>
      <c r="F107" t="s">
        <v>2527</v>
      </c>
      <c r="G107" t="s">
        <v>2173</v>
      </c>
      <c r="H107" t="s">
        <v>1288</v>
      </c>
      <c r="I107" t="s">
        <v>1282</v>
      </c>
      <c r="J107" t="s">
        <v>578</v>
      </c>
      <c r="K107" t="s">
        <v>9098</v>
      </c>
      <c r="L107" t="s">
        <v>8565</v>
      </c>
      <c r="M107" t="s">
        <v>361</v>
      </c>
      <c r="N107" t="s">
        <v>2177</v>
      </c>
      <c r="O107" t="s">
        <v>361</v>
      </c>
      <c r="P107" t="s">
        <v>361</v>
      </c>
      <c r="Q107" t="s">
        <v>361</v>
      </c>
      <c r="R107" t="s">
        <v>361</v>
      </c>
      <c r="S107" t="s">
        <v>361</v>
      </c>
      <c r="T107" t="s">
        <v>361</v>
      </c>
      <c r="U107" t="s">
        <v>361</v>
      </c>
      <c r="V107" t="s">
        <v>361</v>
      </c>
      <c r="W107" t="s">
        <v>361</v>
      </c>
      <c r="X107" t="s">
        <v>361</v>
      </c>
    </row>
    <row r="108" spans="1:24" ht="30">
      <c r="A108" t="s">
        <v>8539</v>
      </c>
      <c r="B108" t="s">
        <v>9099</v>
      </c>
      <c r="C108" t="s">
        <v>3664</v>
      </c>
      <c r="D108" t="s">
        <v>39</v>
      </c>
      <c r="E108" t="s">
        <v>9100</v>
      </c>
      <c r="F108" t="s">
        <v>551</v>
      </c>
      <c r="G108" t="s">
        <v>8872</v>
      </c>
      <c r="H108" s="490" t="s">
        <v>1288</v>
      </c>
      <c r="I108" s="490" t="s">
        <v>1282</v>
      </c>
      <c r="J108" s="489" t="s">
        <v>8873</v>
      </c>
      <c r="K108" t="s">
        <v>9099</v>
      </c>
      <c r="L108" s="12" t="s">
        <v>8875</v>
      </c>
      <c r="M108" t="s">
        <v>361</v>
      </c>
      <c r="N108" t="s">
        <v>3576</v>
      </c>
      <c r="O108" t="s">
        <v>361</v>
      </c>
      <c r="P108" t="s">
        <v>361</v>
      </c>
      <c r="Q108" t="s">
        <v>361</v>
      </c>
      <c r="R108" t="s">
        <v>361</v>
      </c>
      <c r="S108" t="s">
        <v>361</v>
      </c>
      <c r="T108" t="s">
        <v>361</v>
      </c>
      <c r="U108" t="s">
        <v>361</v>
      </c>
      <c r="V108" t="s">
        <v>361</v>
      </c>
      <c r="W108" t="s">
        <v>361</v>
      </c>
      <c r="X108" t="s">
        <v>361</v>
      </c>
    </row>
    <row r="109" spans="1:24">
      <c r="A109" t="s">
        <v>8539</v>
      </c>
      <c r="B109" t="s">
        <v>9101</v>
      </c>
      <c r="C109" t="s">
        <v>3664</v>
      </c>
      <c r="D109" t="s">
        <v>39</v>
      </c>
      <c r="E109" t="s">
        <v>9102</v>
      </c>
      <c r="F109" t="s">
        <v>2527</v>
      </c>
      <c r="G109" t="s">
        <v>2173</v>
      </c>
      <c r="H109" t="s">
        <v>1288</v>
      </c>
      <c r="I109" t="s">
        <v>1282</v>
      </c>
      <c r="J109" t="s">
        <v>578</v>
      </c>
      <c r="K109" t="s">
        <v>8848</v>
      </c>
      <c r="L109" t="s">
        <v>8565</v>
      </c>
      <c r="M109" t="s">
        <v>361</v>
      </c>
      <c r="N109" t="s">
        <v>2177</v>
      </c>
      <c r="O109" t="s">
        <v>361</v>
      </c>
      <c r="P109" t="s">
        <v>361</v>
      </c>
      <c r="Q109" t="s">
        <v>361</v>
      </c>
      <c r="R109" t="s">
        <v>361</v>
      </c>
      <c r="S109" t="s">
        <v>361</v>
      </c>
      <c r="T109" t="s">
        <v>361</v>
      </c>
      <c r="U109" t="s">
        <v>361</v>
      </c>
      <c r="V109" t="s">
        <v>361</v>
      </c>
      <c r="W109" t="s">
        <v>361</v>
      </c>
      <c r="X109" t="s">
        <v>361</v>
      </c>
    </row>
    <row r="110" spans="1:24">
      <c r="A110" t="s">
        <v>8539</v>
      </c>
      <c r="B110" t="s">
        <v>9103</v>
      </c>
      <c r="C110" t="s">
        <v>3664</v>
      </c>
      <c r="D110" t="s">
        <v>39</v>
      </c>
      <c r="E110" t="s">
        <v>9104</v>
      </c>
      <c r="F110" t="s">
        <v>2527</v>
      </c>
      <c r="G110" t="s">
        <v>2173</v>
      </c>
      <c r="H110" t="s">
        <v>1288</v>
      </c>
      <c r="I110" t="s">
        <v>1282</v>
      </c>
      <c r="J110" t="s">
        <v>578</v>
      </c>
      <c r="K110" t="s">
        <v>9105</v>
      </c>
      <c r="L110" t="s">
        <v>8565</v>
      </c>
      <c r="M110" t="s">
        <v>361</v>
      </c>
      <c r="N110" t="s">
        <v>2177</v>
      </c>
      <c r="O110" t="s">
        <v>361</v>
      </c>
      <c r="P110" t="s">
        <v>361</v>
      </c>
      <c r="Q110" t="s">
        <v>361</v>
      </c>
      <c r="R110" t="s">
        <v>361</v>
      </c>
      <c r="S110" t="s">
        <v>361</v>
      </c>
      <c r="T110" t="s">
        <v>361</v>
      </c>
      <c r="U110" t="s">
        <v>361</v>
      </c>
      <c r="V110" t="s">
        <v>361</v>
      </c>
      <c r="W110" t="s">
        <v>361</v>
      </c>
      <c r="X110" t="s">
        <v>361</v>
      </c>
    </row>
    <row r="111" spans="1:24">
      <c r="A111" t="s">
        <v>8539</v>
      </c>
      <c r="B111" t="s">
        <v>9106</v>
      </c>
      <c r="C111" t="s">
        <v>3664</v>
      </c>
      <c r="D111" t="s">
        <v>39</v>
      </c>
      <c r="E111" t="s">
        <v>9107</v>
      </c>
      <c r="F111" t="s">
        <v>2527</v>
      </c>
      <c r="G111" t="s">
        <v>2173</v>
      </c>
      <c r="H111" t="s">
        <v>1288</v>
      </c>
      <c r="I111" t="s">
        <v>1282</v>
      </c>
      <c r="J111" t="s">
        <v>578</v>
      </c>
      <c r="K111" t="s">
        <v>9108</v>
      </c>
      <c r="L111" t="s">
        <v>8565</v>
      </c>
      <c r="M111" t="s">
        <v>361</v>
      </c>
      <c r="N111" t="s">
        <v>2177</v>
      </c>
      <c r="O111" t="s">
        <v>361</v>
      </c>
      <c r="P111" t="s">
        <v>361</v>
      </c>
      <c r="Q111" t="s">
        <v>361</v>
      </c>
      <c r="R111" t="s">
        <v>361</v>
      </c>
      <c r="S111" t="s">
        <v>361</v>
      </c>
      <c r="T111" t="s">
        <v>361</v>
      </c>
      <c r="U111" t="s">
        <v>361</v>
      </c>
      <c r="V111" t="s">
        <v>361</v>
      </c>
      <c r="W111" t="s">
        <v>361</v>
      </c>
      <c r="X111" t="s">
        <v>361</v>
      </c>
    </row>
    <row r="112" spans="1:24">
      <c r="A112" t="s">
        <v>8539</v>
      </c>
      <c r="B112" t="s">
        <v>9109</v>
      </c>
      <c r="C112" t="s">
        <v>3664</v>
      </c>
      <c r="D112" t="s">
        <v>39</v>
      </c>
      <c r="E112" t="s">
        <v>9110</v>
      </c>
      <c r="F112" t="s">
        <v>2527</v>
      </c>
      <c r="G112" t="s">
        <v>2173</v>
      </c>
      <c r="H112" t="s">
        <v>1288</v>
      </c>
      <c r="I112" t="s">
        <v>1282</v>
      </c>
      <c r="J112" t="s">
        <v>578</v>
      </c>
      <c r="K112" t="s">
        <v>9111</v>
      </c>
      <c r="L112" t="s">
        <v>8565</v>
      </c>
      <c r="M112" t="s">
        <v>361</v>
      </c>
      <c r="N112" t="s">
        <v>2177</v>
      </c>
      <c r="O112" t="s">
        <v>361</v>
      </c>
      <c r="P112" t="s">
        <v>361</v>
      </c>
      <c r="Q112" t="s">
        <v>361</v>
      </c>
      <c r="R112" t="s">
        <v>361</v>
      </c>
      <c r="S112" t="s">
        <v>361</v>
      </c>
      <c r="T112" t="s">
        <v>361</v>
      </c>
      <c r="U112" t="s">
        <v>361</v>
      </c>
      <c r="V112" t="s">
        <v>361</v>
      </c>
      <c r="W112" t="s">
        <v>361</v>
      </c>
      <c r="X112" t="s">
        <v>361</v>
      </c>
    </row>
    <row r="113" spans="1:24">
      <c r="A113" t="s">
        <v>8539</v>
      </c>
      <c r="B113" t="s">
        <v>9112</v>
      </c>
      <c r="C113" t="s">
        <v>3664</v>
      </c>
      <c r="D113" t="s">
        <v>39</v>
      </c>
      <c r="E113" t="s">
        <v>9113</v>
      </c>
      <c r="F113" t="s">
        <v>2527</v>
      </c>
      <c r="G113" t="s">
        <v>2173</v>
      </c>
      <c r="H113" t="s">
        <v>1288</v>
      </c>
      <c r="I113" t="s">
        <v>1282</v>
      </c>
      <c r="J113" t="s">
        <v>578</v>
      </c>
      <c r="K113" t="s">
        <v>9114</v>
      </c>
      <c r="L113" t="s">
        <v>8565</v>
      </c>
      <c r="M113" t="s">
        <v>361</v>
      </c>
      <c r="N113" t="s">
        <v>2177</v>
      </c>
      <c r="O113" t="s">
        <v>361</v>
      </c>
      <c r="P113" t="s">
        <v>361</v>
      </c>
      <c r="Q113" t="s">
        <v>361</v>
      </c>
      <c r="R113" t="s">
        <v>361</v>
      </c>
      <c r="S113" t="s">
        <v>361</v>
      </c>
      <c r="T113" t="s">
        <v>361</v>
      </c>
      <c r="U113" t="s">
        <v>361</v>
      </c>
      <c r="V113" t="s">
        <v>361</v>
      </c>
      <c r="W113" t="s">
        <v>361</v>
      </c>
      <c r="X113" t="s">
        <v>361</v>
      </c>
    </row>
    <row r="114" spans="1:24">
      <c r="A114" t="s">
        <v>8539</v>
      </c>
      <c r="B114" t="s">
        <v>9115</v>
      </c>
      <c r="C114" t="s">
        <v>3664</v>
      </c>
      <c r="D114" t="s">
        <v>39</v>
      </c>
      <c r="E114" t="s">
        <v>9116</v>
      </c>
      <c r="F114" t="s">
        <v>2527</v>
      </c>
      <c r="G114" t="s">
        <v>2173</v>
      </c>
      <c r="H114" t="s">
        <v>1288</v>
      </c>
      <c r="I114" t="s">
        <v>1282</v>
      </c>
      <c r="J114" t="s">
        <v>578</v>
      </c>
      <c r="K114" t="s">
        <v>9117</v>
      </c>
      <c r="L114" t="s">
        <v>8565</v>
      </c>
      <c r="M114" t="s">
        <v>361</v>
      </c>
      <c r="N114" t="s">
        <v>2177</v>
      </c>
      <c r="O114" t="s">
        <v>361</v>
      </c>
      <c r="P114" t="s">
        <v>361</v>
      </c>
      <c r="Q114" t="s">
        <v>361</v>
      </c>
      <c r="R114" t="s">
        <v>361</v>
      </c>
      <c r="S114" t="s">
        <v>361</v>
      </c>
      <c r="T114" t="s">
        <v>361</v>
      </c>
      <c r="U114" t="s">
        <v>361</v>
      </c>
      <c r="V114" t="s">
        <v>361</v>
      </c>
      <c r="W114" t="s">
        <v>361</v>
      </c>
      <c r="X114" t="s">
        <v>361</v>
      </c>
    </row>
    <row r="115" spans="1:24">
      <c r="A115" t="s">
        <v>8539</v>
      </c>
      <c r="B115" t="s">
        <v>9118</v>
      </c>
      <c r="C115" t="s">
        <v>3664</v>
      </c>
      <c r="D115" t="s">
        <v>39</v>
      </c>
      <c r="E115" t="s">
        <v>9119</v>
      </c>
      <c r="F115" t="s">
        <v>2527</v>
      </c>
      <c r="G115" t="s">
        <v>2173</v>
      </c>
      <c r="H115" t="s">
        <v>1288</v>
      </c>
      <c r="I115" t="s">
        <v>1282</v>
      </c>
      <c r="J115" t="s">
        <v>578</v>
      </c>
      <c r="K115" t="s">
        <v>9120</v>
      </c>
      <c r="L115" t="s">
        <v>8565</v>
      </c>
      <c r="M115" t="s">
        <v>361</v>
      </c>
      <c r="N115" t="s">
        <v>2177</v>
      </c>
      <c r="O115" t="s">
        <v>361</v>
      </c>
      <c r="P115" t="s">
        <v>361</v>
      </c>
      <c r="Q115" t="s">
        <v>361</v>
      </c>
      <c r="R115" t="s">
        <v>361</v>
      </c>
      <c r="S115" t="s">
        <v>361</v>
      </c>
      <c r="T115" t="s">
        <v>361</v>
      </c>
      <c r="U115" t="s">
        <v>361</v>
      </c>
      <c r="V115" t="s">
        <v>361</v>
      </c>
      <c r="W115" t="s">
        <v>361</v>
      </c>
      <c r="X115" t="s">
        <v>361</v>
      </c>
    </row>
    <row r="116" spans="1:24">
      <c r="A116" t="s">
        <v>8539</v>
      </c>
      <c r="B116" t="s">
        <v>9121</v>
      </c>
      <c r="C116" t="s">
        <v>3664</v>
      </c>
      <c r="D116" t="s">
        <v>39</v>
      </c>
      <c r="E116" t="s">
        <v>9122</v>
      </c>
      <c r="F116" t="s">
        <v>2527</v>
      </c>
      <c r="G116" t="s">
        <v>2173</v>
      </c>
      <c r="H116" t="s">
        <v>1288</v>
      </c>
      <c r="I116" t="s">
        <v>1282</v>
      </c>
      <c r="J116" t="s">
        <v>578</v>
      </c>
      <c r="K116" t="s">
        <v>9123</v>
      </c>
      <c r="L116" t="s">
        <v>8565</v>
      </c>
      <c r="M116" t="s">
        <v>361</v>
      </c>
      <c r="N116" t="s">
        <v>2177</v>
      </c>
      <c r="O116" t="s">
        <v>361</v>
      </c>
      <c r="P116" t="s">
        <v>361</v>
      </c>
      <c r="Q116" t="s">
        <v>361</v>
      </c>
      <c r="R116" t="s">
        <v>361</v>
      </c>
      <c r="S116" t="s">
        <v>361</v>
      </c>
      <c r="T116" t="s">
        <v>361</v>
      </c>
      <c r="U116" t="s">
        <v>361</v>
      </c>
      <c r="V116" t="s">
        <v>361</v>
      </c>
      <c r="W116" t="s">
        <v>361</v>
      </c>
      <c r="X116" t="s">
        <v>361</v>
      </c>
    </row>
    <row r="117" spans="1:24">
      <c r="A117" t="s">
        <v>8539</v>
      </c>
      <c r="B117" t="s">
        <v>9124</v>
      </c>
      <c r="C117" t="s">
        <v>3664</v>
      </c>
      <c r="D117" t="s">
        <v>39</v>
      </c>
      <c r="E117" t="s">
        <v>9125</v>
      </c>
      <c r="F117" t="s">
        <v>2527</v>
      </c>
      <c r="G117" t="s">
        <v>2173</v>
      </c>
      <c r="H117" t="s">
        <v>1288</v>
      </c>
      <c r="I117" t="s">
        <v>1282</v>
      </c>
      <c r="J117" t="s">
        <v>578</v>
      </c>
      <c r="K117" t="s">
        <v>9126</v>
      </c>
      <c r="L117" t="s">
        <v>8565</v>
      </c>
      <c r="M117" t="s">
        <v>361</v>
      </c>
      <c r="N117" t="s">
        <v>2177</v>
      </c>
      <c r="O117" t="s">
        <v>361</v>
      </c>
      <c r="P117" t="s">
        <v>361</v>
      </c>
      <c r="Q117" t="s">
        <v>361</v>
      </c>
      <c r="R117" t="s">
        <v>361</v>
      </c>
      <c r="S117" t="s">
        <v>361</v>
      </c>
      <c r="T117" t="s">
        <v>361</v>
      </c>
      <c r="U117" t="s">
        <v>361</v>
      </c>
      <c r="V117" t="s">
        <v>361</v>
      </c>
      <c r="W117" t="s">
        <v>361</v>
      </c>
      <c r="X117" t="s">
        <v>361</v>
      </c>
    </row>
    <row r="118" spans="1:24" ht="30">
      <c r="A118" t="s">
        <v>8539</v>
      </c>
      <c r="B118" t="s">
        <v>9127</v>
      </c>
      <c r="C118" t="s">
        <v>3664</v>
      </c>
      <c r="D118" t="s">
        <v>39</v>
      </c>
      <c r="E118" t="s">
        <v>9128</v>
      </c>
      <c r="F118" t="s">
        <v>551</v>
      </c>
      <c r="G118" t="s">
        <v>8872</v>
      </c>
      <c r="H118" s="490" t="s">
        <v>1288</v>
      </c>
      <c r="I118" s="490" t="s">
        <v>1282</v>
      </c>
      <c r="J118" s="489" t="s">
        <v>8873</v>
      </c>
      <c r="K118" t="s">
        <v>9129</v>
      </c>
      <c r="L118" s="12" t="s">
        <v>8875</v>
      </c>
      <c r="M118" t="s">
        <v>361</v>
      </c>
      <c r="N118" t="s">
        <v>3576</v>
      </c>
      <c r="O118" t="s">
        <v>361</v>
      </c>
      <c r="P118" t="s">
        <v>361</v>
      </c>
      <c r="Q118" t="s">
        <v>361</v>
      </c>
      <c r="R118" t="s">
        <v>361</v>
      </c>
      <c r="S118" t="s">
        <v>361</v>
      </c>
      <c r="T118" t="s">
        <v>361</v>
      </c>
      <c r="U118" t="s">
        <v>361</v>
      </c>
      <c r="V118" t="s">
        <v>361</v>
      </c>
      <c r="W118" t="s">
        <v>361</v>
      </c>
      <c r="X118" t="s">
        <v>361</v>
      </c>
    </row>
    <row r="119" spans="1:24">
      <c r="A119" t="s">
        <v>8539</v>
      </c>
      <c r="B119" t="s">
        <v>9130</v>
      </c>
      <c r="C119" t="s">
        <v>9131</v>
      </c>
      <c r="D119" t="s">
        <v>39</v>
      </c>
      <c r="E119" t="s">
        <v>9132</v>
      </c>
      <c r="F119" t="s">
        <v>2527</v>
      </c>
      <c r="G119" t="s">
        <v>2173</v>
      </c>
      <c r="H119" t="s">
        <v>361</v>
      </c>
      <c r="I119" t="s">
        <v>361</v>
      </c>
      <c r="J119" t="s">
        <v>578</v>
      </c>
      <c r="K119" t="s">
        <v>9133</v>
      </c>
      <c r="L119" t="s">
        <v>361</v>
      </c>
      <c r="M119" t="s">
        <v>361</v>
      </c>
      <c r="N119" t="s">
        <v>3576</v>
      </c>
      <c r="O119" t="s">
        <v>361</v>
      </c>
      <c r="P119" t="s">
        <v>361</v>
      </c>
      <c r="Q119" t="s">
        <v>361</v>
      </c>
      <c r="R119" t="s">
        <v>361</v>
      </c>
      <c r="S119" t="s">
        <v>361</v>
      </c>
      <c r="T119" t="s">
        <v>361</v>
      </c>
      <c r="U119" t="s">
        <v>361</v>
      </c>
      <c r="V119" t="s">
        <v>361</v>
      </c>
      <c r="W119" t="s">
        <v>361</v>
      </c>
      <c r="X119" t="s">
        <v>361</v>
      </c>
    </row>
    <row r="120" spans="1:24" ht="30">
      <c r="A120" t="s">
        <v>8539</v>
      </c>
      <c r="B120" t="s">
        <v>9134</v>
      </c>
      <c r="C120" t="s">
        <v>9131</v>
      </c>
      <c r="D120" t="s">
        <v>39</v>
      </c>
      <c r="E120" t="s">
        <v>9135</v>
      </c>
      <c r="F120" t="s">
        <v>551</v>
      </c>
      <c r="G120" t="s">
        <v>8872</v>
      </c>
      <c r="H120" s="490" t="s">
        <v>1288</v>
      </c>
      <c r="I120" s="490" t="s">
        <v>1282</v>
      </c>
      <c r="J120" s="489" t="s">
        <v>8873</v>
      </c>
      <c r="K120" s="489" t="s">
        <v>9136</v>
      </c>
      <c r="L120" s="12" t="s">
        <v>8875</v>
      </c>
      <c r="M120" t="s">
        <v>361</v>
      </c>
      <c r="N120" t="s">
        <v>3576</v>
      </c>
      <c r="O120" t="s">
        <v>361</v>
      </c>
      <c r="P120" t="s">
        <v>361</v>
      </c>
      <c r="Q120" t="s">
        <v>361</v>
      </c>
      <c r="R120" t="s">
        <v>361</v>
      </c>
      <c r="S120" t="s">
        <v>361</v>
      </c>
      <c r="T120" t="s">
        <v>361</v>
      </c>
      <c r="U120" t="s">
        <v>361</v>
      </c>
      <c r="V120" t="s">
        <v>361</v>
      </c>
      <c r="W120" t="s">
        <v>361</v>
      </c>
      <c r="X120" t="s">
        <v>361</v>
      </c>
    </row>
    <row r="121" spans="1:24">
      <c r="A121" t="s">
        <v>8539</v>
      </c>
      <c r="B121" t="s">
        <v>9137</v>
      </c>
      <c r="C121" t="s">
        <v>9131</v>
      </c>
      <c r="D121" t="s">
        <v>39</v>
      </c>
      <c r="E121" t="s">
        <v>9138</v>
      </c>
      <c r="F121" t="s">
        <v>2527</v>
      </c>
      <c r="G121" t="s">
        <v>2173</v>
      </c>
      <c r="H121" t="s">
        <v>361</v>
      </c>
      <c r="I121" t="s">
        <v>361</v>
      </c>
      <c r="J121" t="s">
        <v>578</v>
      </c>
      <c r="K121" t="s">
        <v>9139</v>
      </c>
      <c r="L121" t="s">
        <v>361</v>
      </c>
      <c r="M121" t="s">
        <v>361</v>
      </c>
      <c r="N121" t="s">
        <v>3576</v>
      </c>
      <c r="O121" t="s">
        <v>361</v>
      </c>
      <c r="P121" t="s">
        <v>361</v>
      </c>
      <c r="Q121" t="s">
        <v>361</v>
      </c>
      <c r="R121" t="s">
        <v>361</v>
      </c>
      <c r="S121" t="s">
        <v>361</v>
      </c>
      <c r="T121" t="s">
        <v>361</v>
      </c>
      <c r="U121" t="s">
        <v>361</v>
      </c>
      <c r="V121" t="s">
        <v>361</v>
      </c>
      <c r="W121" t="s">
        <v>361</v>
      </c>
      <c r="X121" t="s">
        <v>361</v>
      </c>
    </row>
    <row r="122" spans="1:24" ht="30">
      <c r="A122" t="s">
        <v>8539</v>
      </c>
      <c r="B122" t="s">
        <v>9140</v>
      </c>
      <c r="C122" t="s">
        <v>9131</v>
      </c>
      <c r="D122" t="s">
        <v>39</v>
      </c>
      <c r="E122" t="s">
        <v>9141</v>
      </c>
      <c r="F122" t="s">
        <v>551</v>
      </c>
      <c r="G122" t="s">
        <v>8872</v>
      </c>
      <c r="H122" s="490" t="s">
        <v>1288</v>
      </c>
      <c r="I122" s="490" t="s">
        <v>1282</v>
      </c>
      <c r="J122" s="489" t="s">
        <v>8873</v>
      </c>
      <c r="K122" s="489" t="s">
        <v>9142</v>
      </c>
      <c r="L122" s="12" t="s">
        <v>8875</v>
      </c>
      <c r="M122" t="s">
        <v>361</v>
      </c>
      <c r="N122" t="s">
        <v>3576</v>
      </c>
      <c r="O122" t="s">
        <v>361</v>
      </c>
      <c r="P122" t="s">
        <v>361</v>
      </c>
      <c r="Q122" t="s">
        <v>361</v>
      </c>
      <c r="R122" t="s">
        <v>361</v>
      </c>
      <c r="S122" t="s">
        <v>361</v>
      </c>
      <c r="T122" t="s">
        <v>361</v>
      </c>
      <c r="U122" t="s">
        <v>361</v>
      </c>
      <c r="V122" t="s">
        <v>361</v>
      </c>
      <c r="W122" t="s">
        <v>361</v>
      </c>
      <c r="X122" t="s">
        <v>361</v>
      </c>
    </row>
    <row r="123" spans="1:24" ht="30">
      <c r="A123" t="s">
        <v>8539</v>
      </c>
      <c r="B123" t="s">
        <v>9143</v>
      </c>
      <c r="C123" t="s">
        <v>9131</v>
      </c>
      <c r="D123" t="s">
        <v>39</v>
      </c>
      <c r="E123" t="s">
        <v>9144</v>
      </c>
      <c r="F123" t="s">
        <v>551</v>
      </c>
      <c r="G123" t="s">
        <v>8872</v>
      </c>
      <c r="H123" s="490" t="s">
        <v>1288</v>
      </c>
      <c r="I123" s="490" t="s">
        <v>1282</v>
      </c>
      <c r="J123" s="489" t="s">
        <v>8873</v>
      </c>
      <c r="K123" s="489" t="s">
        <v>9145</v>
      </c>
      <c r="L123" s="12" t="s">
        <v>8875</v>
      </c>
      <c r="M123" t="s">
        <v>361</v>
      </c>
      <c r="N123" t="s">
        <v>3576</v>
      </c>
      <c r="O123" t="s">
        <v>361</v>
      </c>
      <c r="P123" t="s">
        <v>361</v>
      </c>
      <c r="Q123" t="s">
        <v>361</v>
      </c>
      <c r="R123" t="s">
        <v>361</v>
      </c>
      <c r="S123" t="s">
        <v>361</v>
      </c>
      <c r="T123" t="s">
        <v>361</v>
      </c>
      <c r="U123" t="s">
        <v>361</v>
      </c>
      <c r="V123" t="s">
        <v>361</v>
      </c>
      <c r="W123" t="s">
        <v>361</v>
      </c>
      <c r="X123" t="s">
        <v>361</v>
      </c>
    </row>
    <row r="124" spans="1:24">
      <c r="A124" t="s">
        <v>8539</v>
      </c>
      <c r="B124" t="s">
        <v>9146</v>
      </c>
      <c r="C124" t="s">
        <v>9131</v>
      </c>
      <c r="D124" t="s">
        <v>39</v>
      </c>
      <c r="E124" t="s">
        <v>9147</v>
      </c>
      <c r="F124" t="s">
        <v>2527</v>
      </c>
      <c r="G124" t="s">
        <v>2173</v>
      </c>
      <c r="H124" t="s">
        <v>361</v>
      </c>
      <c r="I124" t="s">
        <v>361</v>
      </c>
      <c r="J124" t="s">
        <v>578</v>
      </c>
      <c r="K124" t="s">
        <v>9148</v>
      </c>
      <c r="L124" t="s">
        <v>361</v>
      </c>
      <c r="M124" t="s">
        <v>361</v>
      </c>
      <c r="N124" t="s">
        <v>3576</v>
      </c>
      <c r="O124" t="s">
        <v>361</v>
      </c>
      <c r="P124" t="s">
        <v>361</v>
      </c>
      <c r="Q124" t="s">
        <v>361</v>
      </c>
      <c r="R124" t="s">
        <v>361</v>
      </c>
      <c r="S124" t="s">
        <v>361</v>
      </c>
      <c r="T124" t="s">
        <v>361</v>
      </c>
      <c r="U124" t="s">
        <v>361</v>
      </c>
      <c r="V124" t="s">
        <v>361</v>
      </c>
      <c r="W124" t="s">
        <v>361</v>
      </c>
      <c r="X124" t="s">
        <v>361</v>
      </c>
    </row>
    <row r="125" spans="1:24">
      <c r="A125" t="s">
        <v>8539</v>
      </c>
      <c r="B125" t="s">
        <v>9149</v>
      </c>
      <c r="C125" t="s">
        <v>9131</v>
      </c>
      <c r="D125" t="s">
        <v>39</v>
      </c>
      <c r="E125" t="s">
        <v>9150</v>
      </c>
      <c r="F125" t="s">
        <v>2527</v>
      </c>
      <c r="G125" t="s">
        <v>2173</v>
      </c>
      <c r="H125" t="s">
        <v>361</v>
      </c>
      <c r="I125" t="s">
        <v>361</v>
      </c>
      <c r="J125" t="s">
        <v>578</v>
      </c>
      <c r="K125" t="s">
        <v>9151</v>
      </c>
      <c r="L125" t="s">
        <v>361</v>
      </c>
      <c r="M125" t="s">
        <v>361</v>
      </c>
      <c r="N125" t="s">
        <v>3576</v>
      </c>
      <c r="O125" t="s">
        <v>361</v>
      </c>
      <c r="P125" t="s">
        <v>361</v>
      </c>
      <c r="Q125" t="s">
        <v>361</v>
      </c>
      <c r="R125" t="s">
        <v>361</v>
      </c>
      <c r="S125" t="s">
        <v>361</v>
      </c>
      <c r="T125" t="s">
        <v>361</v>
      </c>
      <c r="U125" t="s">
        <v>361</v>
      </c>
      <c r="V125" t="s">
        <v>361</v>
      </c>
      <c r="W125" t="s">
        <v>361</v>
      </c>
      <c r="X125" t="s">
        <v>361</v>
      </c>
    </row>
    <row r="126" spans="1:24" ht="30">
      <c r="A126" t="s">
        <v>8539</v>
      </c>
      <c r="B126" t="s">
        <v>9152</v>
      </c>
      <c r="C126" t="s">
        <v>9131</v>
      </c>
      <c r="D126" t="s">
        <v>39</v>
      </c>
      <c r="E126" t="s">
        <v>9153</v>
      </c>
      <c r="F126" t="s">
        <v>551</v>
      </c>
      <c r="G126" t="s">
        <v>8872</v>
      </c>
      <c r="H126" s="490" t="s">
        <v>1288</v>
      </c>
      <c r="I126" s="490" t="s">
        <v>1282</v>
      </c>
      <c r="J126" s="489" t="s">
        <v>8873</v>
      </c>
      <c r="K126" s="489" t="s">
        <v>9154</v>
      </c>
      <c r="L126" s="12" t="s">
        <v>8875</v>
      </c>
      <c r="M126" t="s">
        <v>361</v>
      </c>
      <c r="N126" t="s">
        <v>3576</v>
      </c>
      <c r="O126" t="s">
        <v>361</v>
      </c>
      <c r="P126" t="s">
        <v>361</v>
      </c>
      <c r="Q126" t="s">
        <v>361</v>
      </c>
      <c r="R126" t="s">
        <v>361</v>
      </c>
      <c r="S126" t="s">
        <v>361</v>
      </c>
      <c r="T126" t="s">
        <v>361</v>
      </c>
      <c r="U126" t="s">
        <v>361</v>
      </c>
      <c r="V126" t="s">
        <v>361</v>
      </c>
      <c r="W126" t="s">
        <v>361</v>
      </c>
      <c r="X126" t="s">
        <v>361</v>
      </c>
    </row>
    <row r="127" spans="1:24" ht="30">
      <c r="A127" t="s">
        <v>8539</v>
      </c>
      <c r="B127" t="s">
        <v>9155</v>
      </c>
      <c r="C127" t="s">
        <v>9131</v>
      </c>
      <c r="D127" t="s">
        <v>39</v>
      </c>
      <c r="E127" t="s">
        <v>9156</v>
      </c>
      <c r="F127" t="s">
        <v>551</v>
      </c>
      <c r="G127" t="s">
        <v>8872</v>
      </c>
      <c r="H127" s="490" t="s">
        <v>1288</v>
      </c>
      <c r="I127" s="490" t="s">
        <v>1282</v>
      </c>
      <c r="J127" s="489" t="s">
        <v>8873</v>
      </c>
      <c r="K127" s="489" t="s">
        <v>9157</v>
      </c>
      <c r="L127" s="12" t="s">
        <v>8875</v>
      </c>
      <c r="M127" t="s">
        <v>361</v>
      </c>
      <c r="N127" t="s">
        <v>3576</v>
      </c>
      <c r="O127" t="s">
        <v>361</v>
      </c>
      <c r="P127" t="s">
        <v>361</v>
      </c>
      <c r="Q127" t="s">
        <v>361</v>
      </c>
      <c r="R127" t="s">
        <v>361</v>
      </c>
      <c r="S127" t="s">
        <v>361</v>
      </c>
      <c r="T127" t="s">
        <v>361</v>
      </c>
      <c r="U127" t="s">
        <v>361</v>
      </c>
      <c r="V127" t="s">
        <v>361</v>
      </c>
      <c r="W127" t="s">
        <v>361</v>
      </c>
      <c r="X127" t="s">
        <v>361</v>
      </c>
    </row>
    <row r="128" spans="1:24" ht="30">
      <c r="A128" t="s">
        <v>8539</v>
      </c>
      <c r="B128" t="s">
        <v>9158</v>
      </c>
      <c r="C128" t="s">
        <v>9131</v>
      </c>
      <c r="D128" t="s">
        <v>39</v>
      </c>
      <c r="E128" t="s">
        <v>9159</v>
      </c>
      <c r="F128" t="s">
        <v>551</v>
      </c>
      <c r="G128" t="s">
        <v>8872</v>
      </c>
      <c r="H128" s="490" t="s">
        <v>1288</v>
      </c>
      <c r="I128" s="490" t="s">
        <v>1282</v>
      </c>
      <c r="J128" s="489" t="s">
        <v>8873</v>
      </c>
      <c r="K128" s="489" t="s">
        <v>9160</v>
      </c>
      <c r="L128" s="12" t="s">
        <v>8875</v>
      </c>
      <c r="M128" t="s">
        <v>361</v>
      </c>
      <c r="N128" t="s">
        <v>3576</v>
      </c>
      <c r="O128" t="s">
        <v>361</v>
      </c>
      <c r="P128" t="s">
        <v>361</v>
      </c>
      <c r="Q128" t="s">
        <v>361</v>
      </c>
      <c r="R128" t="s">
        <v>361</v>
      </c>
      <c r="S128" t="s">
        <v>361</v>
      </c>
      <c r="T128" t="s">
        <v>361</v>
      </c>
      <c r="U128" t="s">
        <v>361</v>
      </c>
      <c r="V128" t="s">
        <v>361</v>
      </c>
      <c r="W128" t="s">
        <v>361</v>
      </c>
      <c r="X128" t="s">
        <v>361</v>
      </c>
    </row>
    <row r="129" spans="1:24">
      <c r="A129" t="s">
        <v>8539</v>
      </c>
      <c r="B129" t="s">
        <v>6666</v>
      </c>
      <c r="C129" t="s">
        <v>9161</v>
      </c>
      <c r="D129" t="s">
        <v>39</v>
      </c>
      <c r="E129" t="s">
        <v>9162</v>
      </c>
      <c r="F129" t="s">
        <v>2527</v>
      </c>
      <c r="G129" t="s">
        <v>2173</v>
      </c>
      <c r="H129" t="s">
        <v>1288</v>
      </c>
      <c r="I129" t="s">
        <v>1282</v>
      </c>
      <c r="J129" t="s">
        <v>1573</v>
      </c>
      <c r="K129" t="s">
        <v>9163</v>
      </c>
      <c r="L129" t="s">
        <v>9164</v>
      </c>
      <c r="M129" t="s">
        <v>361</v>
      </c>
      <c r="N129" t="s">
        <v>2177</v>
      </c>
      <c r="O129" t="s">
        <v>361</v>
      </c>
      <c r="P129" t="s">
        <v>361</v>
      </c>
      <c r="Q129" t="s">
        <v>361</v>
      </c>
      <c r="R129" t="s">
        <v>361</v>
      </c>
      <c r="S129" t="s">
        <v>361</v>
      </c>
      <c r="T129" t="s">
        <v>361</v>
      </c>
      <c r="U129" t="s">
        <v>361</v>
      </c>
      <c r="V129" t="s">
        <v>361</v>
      </c>
      <c r="W129" t="s">
        <v>361</v>
      </c>
      <c r="X129" t="s">
        <v>361</v>
      </c>
    </row>
    <row r="130" spans="1:24">
      <c r="A130" t="s">
        <v>8539</v>
      </c>
      <c r="B130" t="s">
        <v>9165</v>
      </c>
      <c r="C130" t="s">
        <v>9161</v>
      </c>
      <c r="D130" t="s">
        <v>39</v>
      </c>
      <c r="E130" t="s">
        <v>9166</v>
      </c>
      <c r="F130" t="s">
        <v>2527</v>
      </c>
      <c r="G130" t="s">
        <v>2173</v>
      </c>
      <c r="H130" t="s">
        <v>1288</v>
      </c>
      <c r="I130" t="s">
        <v>1282</v>
      </c>
      <c r="J130" t="s">
        <v>1573</v>
      </c>
      <c r="K130" t="s">
        <v>1574</v>
      </c>
      <c r="L130" t="s">
        <v>9164</v>
      </c>
      <c r="M130" t="s">
        <v>361</v>
      </c>
      <c r="N130" t="s">
        <v>2177</v>
      </c>
      <c r="O130" t="s">
        <v>361</v>
      </c>
      <c r="P130" t="s">
        <v>361</v>
      </c>
      <c r="Q130" t="s">
        <v>361</v>
      </c>
      <c r="R130" t="s">
        <v>361</v>
      </c>
      <c r="S130" t="s">
        <v>361</v>
      </c>
      <c r="T130" t="s">
        <v>361</v>
      </c>
      <c r="U130" t="s">
        <v>361</v>
      </c>
      <c r="V130" t="s">
        <v>361</v>
      </c>
      <c r="W130" t="s">
        <v>361</v>
      </c>
      <c r="X130" t="s">
        <v>361</v>
      </c>
    </row>
    <row r="131" spans="1:24">
      <c r="A131" t="s">
        <v>8539</v>
      </c>
      <c r="B131" t="s">
        <v>9167</v>
      </c>
      <c r="C131" t="s">
        <v>9161</v>
      </c>
      <c r="D131" t="s">
        <v>39</v>
      </c>
      <c r="E131" t="s">
        <v>9168</v>
      </c>
      <c r="F131" t="s">
        <v>2527</v>
      </c>
      <c r="G131" t="s">
        <v>2173</v>
      </c>
      <c r="H131" t="s">
        <v>1288</v>
      </c>
      <c r="I131" t="s">
        <v>1282</v>
      </c>
      <c r="J131" t="s">
        <v>1573</v>
      </c>
      <c r="K131" t="s">
        <v>9169</v>
      </c>
      <c r="L131" t="s">
        <v>9164</v>
      </c>
      <c r="M131" t="s">
        <v>361</v>
      </c>
      <c r="N131" t="s">
        <v>2177</v>
      </c>
      <c r="O131" t="s">
        <v>361</v>
      </c>
      <c r="P131" t="s">
        <v>361</v>
      </c>
      <c r="Q131" t="s">
        <v>361</v>
      </c>
      <c r="R131" t="s">
        <v>361</v>
      </c>
      <c r="S131" t="s">
        <v>361</v>
      </c>
      <c r="T131" t="s">
        <v>361</v>
      </c>
      <c r="U131" t="s">
        <v>361</v>
      </c>
      <c r="V131" t="s">
        <v>361</v>
      </c>
      <c r="W131" t="s">
        <v>361</v>
      </c>
      <c r="X131" t="s">
        <v>361</v>
      </c>
    </row>
    <row r="132" spans="1:24">
      <c r="A132" t="s">
        <v>8539</v>
      </c>
      <c r="B132" t="s">
        <v>3524</v>
      </c>
      <c r="C132" t="s">
        <v>9161</v>
      </c>
      <c r="D132" t="s">
        <v>39</v>
      </c>
      <c r="E132" t="s">
        <v>9170</v>
      </c>
      <c r="F132" t="s">
        <v>2527</v>
      </c>
      <c r="G132" t="s">
        <v>2173</v>
      </c>
      <c r="H132" t="s">
        <v>8825</v>
      </c>
      <c r="I132" t="s">
        <v>1282</v>
      </c>
      <c r="J132" t="s">
        <v>595</v>
      </c>
      <c r="K132" t="s">
        <v>7197</v>
      </c>
      <c r="L132" t="s">
        <v>8826</v>
      </c>
      <c r="M132" t="s">
        <v>361</v>
      </c>
      <c r="N132" t="s">
        <v>2177</v>
      </c>
      <c r="O132" t="s">
        <v>361</v>
      </c>
      <c r="P132" t="s">
        <v>361</v>
      </c>
      <c r="Q132" t="s">
        <v>361</v>
      </c>
      <c r="R132" t="s">
        <v>361</v>
      </c>
      <c r="S132" t="s">
        <v>361</v>
      </c>
      <c r="T132" t="s">
        <v>361</v>
      </c>
      <c r="U132" t="s">
        <v>361</v>
      </c>
      <c r="V132" t="s">
        <v>361</v>
      </c>
      <c r="W132" t="s">
        <v>361</v>
      </c>
      <c r="X132" t="s">
        <v>361</v>
      </c>
    </row>
    <row r="133" spans="1:24">
      <c r="A133" t="s">
        <v>8539</v>
      </c>
      <c r="B133" t="s">
        <v>9171</v>
      </c>
      <c r="C133" t="s">
        <v>9172</v>
      </c>
      <c r="D133" t="s">
        <v>39</v>
      </c>
      <c r="E133" t="s">
        <v>9173</v>
      </c>
      <c r="F133" t="s">
        <v>2527</v>
      </c>
      <c r="G133" t="s">
        <v>2173</v>
      </c>
      <c r="H133" t="s">
        <v>1288</v>
      </c>
      <c r="I133" t="s">
        <v>1282</v>
      </c>
      <c r="J133" t="s">
        <v>578</v>
      </c>
      <c r="K133" t="s">
        <v>9171</v>
      </c>
      <c r="L133" t="s">
        <v>8565</v>
      </c>
      <c r="M133" t="s">
        <v>361</v>
      </c>
      <c r="N133" t="s">
        <v>2177</v>
      </c>
      <c r="O133" t="s">
        <v>361</v>
      </c>
      <c r="P133" t="s">
        <v>361</v>
      </c>
      <c r="Q133" t="s">
        <v>361</v>
      </c>
      <c r="R133" t="s">
        <v>361</v>
      </c>
      <c r="S133" t="s">
        <v>361</v>
      </c>
      <c r="T133" t="s">
        <v>361</v>
      </c>
      <c r="U133" t="s">
        <v>361</v>
      </c>
      <c r="V133" t="s">
        <v>361</v>
      </c>
      <c r="W133" t="s">
        <v>361</v>
      </c>
      <c r="X133" t="s">
        <v>361</v>
      </c>
    </row>
    <row r="134" spans="1:24">
      <c r="A134" t="s">
        <v>8539</v>
      </c>
      <c r="B134" t="s">
        <v>7998</v>
      </c>
      <c r="C134" t="s">
        <v>9172</v>
      </c>
      <c r="D134" t="s">
        <v>39</v>
      </c>
      <c r="E134" t="s">
        <v>9174</v>
      </c>
      <c r="F134" t="s">
        <v>2527</v>
      </c>
      <c r="G134" t="s">
        <v>2173</v>
      </c>
      <c r="H134" t="s">
        <v>1288</v>
      </c>
      <c r="I134" t="s">
        <v>1282</v>
      </c>
      <c r="J134" t="s">
        <v>578</v>
      </c>
      <c r="K134" t="s">
        <v>9175</v>
      </c>
      <c r="L134" t="s">
        <v>8565</v>
      </c>
      <c r="M134" t="s">
        <v>361</v>
      </c>
      <c r="N134" t="s">
        <v>2177</v>
      </c>
      <c r="O134" t="s">
        <v>361</v>
      </c>
      <c r="P134" t="s">
        <v>361</v>
      </c>
      <c r="Q134" t="s">
        <v>361</v>
      </c>
      <c r="R134" t="s">
        <v>361</v>
      </c>
      <c r="S134" t="s">
        <v>361</v>
      </c>
      <c r="T134" t="s">
        <v>361</v>
      </c>
      <c r="U134" t="s">
        <v>361</v>
      </c>
      <c r="V134" t="s">
        <v>361</v>
      </c>
      <c r="W134" t="s">
        <v>361</v>
      </c>
      <c r="X134" t="s">
        <v>361</v>
      </c>
    </row>
    <row r="135" spans="1:24">
      <c r="A135" t="s">
        <v>8539</v>
      </c>
      <c r="B135" t="s">
        <v>9176</v>
      </c>
      <c r="C135" t="s">
        <v>9172</v>
      </c>
      <c r="D135" t="s">
        <v>39</v>
      </c>
      <c r="E135" t="s">
        <v>9177</v>
      </c>
      <c r="F135" t="s">
        <v>2527</v>
      </c>
      <c r="G135" t="s">
        <v>2173</v>
      </c>
      <c r="H135" t="s">
        <v>1288</v>
      </c>
      <c r="I135" t="s">
        <v>1282</v>
      </c>
      <c r="J135" t="s">
        <v>578</v>
      </c>
      <c r="K135" t="s">
        <v>9178</v>
      </c>
      <c r="L135" t="s">
        <v>8565</v>
      </c>
      <c r="M135" t="s">
        <v>361</v>
      </c>
      <c r="N135" t="s">
        <v>2177</v>
      </c>
      <c r="O135" t="s">
        <v>361</v>
      </c>
      <c r="P135" t="s">
        <v>361</v>
      </c>
      <c r="Q135" t="s">
        <v>361</v>
      </c>
      <c r="R135" t="s">
        <v>361</v>
      </c>
      <c r="S135" t="s">
        <v>361</v>
      </c>
      <c r="T135" t="s">
        <v>361</v>
      </c>
      <c r="U135" t="s">
        <v>361</v>
      </c>
      <c r="V135" t="s">
        <v>361</v>
      </c>
      <c r="W135" t="s">
        <v>361</v>
      </c>
      <c r="X135" t="s">
        <v>361</v>
      </c>
    </row>
    <row r="136" spans="1:24">
      <c r="A136" t="s">
        <v>8539</v>
      </c>
      <c r="B136" t="s">
        <v>7542</v>
      </c>
      <c r="C136" t="s">
        <v>5487</v>
      </c>
      <c r="D136" t="s">
        <v>39</v>
      </c>
      <c r="E136" t="s">
        <v>9179</v>
      </c>
      <c r="F136" t="s">
        <v>2527</v>
      </c>
      <c r="G136" t="s">
        <v>2173</v>
      </c>
      <c r="H136" t="s">
        <v>1288</v>
      </c>
      <c r="I136" t="s">
        <v>1282</v>
      </c>
      <c r="J136" t="s">
        <v>628</v>
      </c>
      <c r="K136" t="s">
        <v>9180</v>
      </c>
      <c r="L136" t="s">
        <v>9181</v>
      </c>
      <c r="M136" t="s">
        <v>361</v>
      </c>
      <c r="N136" t="s">
        <v>2177</v>
      </c>
      <c r="O136" t="s">
        <v>361</v>
      </c>
      <c r="P136" t="s">
        <v>361</v>
      </c>
      <c r="Q136" t="s">
        <v>361</v>
      </c>
      <c r="R136" t="s">
        <v>361</v>
      </c>
      <c r="S136" t="s">
        <v>361</v>
      </c>
      <c r="T136" t="s">
        <v>361</v>
      </c>
      <c r="U136" t="s">
        <v>361</v>
      </c>
      <c r="V136" t="s">
        <v>361</v>
      </c>
      <c r="W136" t="s">
        <v>361</v>
      </c>
      <c r="X136" t="s">
        <v>361</v>
      </c>
    </row>
    <row r="137" spans="1:24">
      <c r="A137" t="s">
        <v>8539</v>
      </c>
      <c r="B137" t="s">
        <v>5789</v>
      </c>
      <c r="C137" t="s">
        <v>5487</v>
      </c>
      <c r="D137" t="s">
        <v>39</v>
      </c>
      <c r="E137" t="s">
        <v>9182</v>
      </c>
      <c r="F137" t="s">
        <v>2196</v>
      </c>
      <c r="G137" t="s">
        <v>2173</v>
      </c>
      <c r="H137" t="s">
        <v>1288</v>
      </c>
      <c r="I137" t="s">
        <v>1282</v>
      </c>
      <c r="J137" t="s">
        <v>628</v>
      </c>
      <c r="K137" t="s">
        <v>7721</v>
      </c>
      <c r="L137" t="s">
        <v>9181</v>
      </c>
      <c r="M137" t="s">
        <v>361</v>
      </c>
      <c r="N137" t="s">
        <v>2177</v>
      </c>
      <c r="O137" t="s">
        <v>361</v>
      </c>
      <c r="P137" t="s">
        <v>361</v>
      </c>
      <c r="Q137" t="s">
        <v>361</v>
      </c>
      <c r="R137" t="s">
        <v>361</v>
      </c>
      <c r="S137" t="s">
        <v>361</v>
      </c>
      <c r="T137" t="s">
        <v>361</v>
      </c>
      <c r="U137" t="s">
        <v>361</v>
      </c>
      <c r="V137" t="s">
        <v>361</v>
      </c>
      <c r="W137" t="s">
        <v>361</v>
      </c>
      <c r="X137" t="s">
        <v>361</v>
      </c>
    </row>
    <row r="138" spans="1:24">
      <c r="A138" t="s">
        <v>8539</v>
      </c>
      <c r="B138" t="s">
        <v>9183</v>
      </c>
      <c r="C138" t="s">
        <v>5487</v>
      </c>
      <c r="D138" t="s">
        <v>39</v>
      </c>
      <c r="E138" t="s">
        <v>9184</v>
      </c>
      <c r="F138" t="s">
        <v>2527</v>
      </c>
      <c r="G138" t="s">
        <v>2173</v>
      </c>
      <c r="H138" t="s">
        <v>1288</v>
      </c>
      <c r="I138" t="s">
        <v>1282</v>
      </c>
      <c r="J138" t="s">
        <v>628</v>
      </c>
      <c r="K138" t="s">
        <v>9185</v>
      </c>
      <c r="L138" t="s">
        <v>9181</v>
      </c>
      <c r="M138" t="s">
        <v>361</v>
      </c>
      <c r="N138" t="s">
        <v>2177</v>
      </c>
      <c r="O138" t="s">
        <v>361</v>
      </c>
      <c r="P138" t="s">
        <v>361</v>
      </c>
      <c r="Q138" t="s">
        <v>361</v>
      </c>
      <c r="R138" t="s">
        <v>361</v>
      </c>
      <c r="S138" t="s">
        <v>361</v>
      </c>
      <c r="T138" t="s">
        <v>361</v>
      </c>
      <c r="U138" t="s">
        <v>361</v>
      </c>
      <c r="V138" t="s">
        <v>361</v>
      </c>
      <c r="W138" t="s">
        <v>361</v>
      </c>
      <c r="X138" t="s">
        <v>361</v>
      </c>
    </row>
    <row r="139" spans="1:24">
      <c r="A139" t="s">
        <v>8539</v>
      </c>
      <c r="B139" t="s">
        <v>9186</v>
      </c>
      <c r="C139" t="s">
        <v>5487</v>
      </c>
      <c r="D139" t="s">
        <v>39</v>
      </c>
      <c r="E139" t="s">
        <v>9187</v>
      </c>
      <c r="F139" t="s">
        <v>2527</v>
      </c>
      <c r="G139" t="s">
        <v>2173</v>
      </c>
      <c r="H139" t="s">
        <v>1288</v>
      </c>
      <c r="I139" t="s">
        <v>1282</v>
      </c>
      <c r="J139" t="s">
        <v>628</v>
      </c>
      <c r="K139" t="s">
        <v>9188</v>
      </c>
      <c r="L139" t="s">
        <v>9181</v>
      </c>
      <c r="M139" t="s">
        <v>361</v>
      </c>
      <c r="N139" t="s">
        <v>2177</v>
      </c>
      <c r="O139" t="s">
        <v>361</v>
      </c>
      <c r="P139" t="s">
        <v>361</v>
      </c>
      <c r="Q139" t="s">
        <v>361</v>
      </c>
      <c r="R139" t="s">
        <v>361</v>
      </c>
      <c r="S139" t="s">
        <v>361</v>
      </c>
      <c r="T139" t="s">
        <v>361</v>
      </c>
      <c r="U139" t="s">
        <v>361</v>
      </c>
      <c r="V139" t="s">
        <v>361</v>
      </c>
      <c r="W139" t="s">
        <v>361</v>
      </c>
      <c r="X139" t="s">
        <v>361</v>
      </c>
    </row>
    <row r="140" spans="1:24">
      <c r="A140" t="s">
        <v>8539</v>
      </c>
      <c r="B140" t="s">
        <v>9189</v>
      </c>
      <c r="C140" t="s">
        <v>5487</v>
      </c>
      <c r="D140" t="s">
        <v>39</v>
      </c>
      <c r="E140" t="s">
        <v>9190</v>
      </c>
      <c r="F140" t="s">
        <v>2527</v>
      </c>
      <c r="G140" t="s">
        <v>2173</v>
      </c>
      <c r="H140" t="s">
        <v>1288</v>
      </c>
      <c r="I140" t="s">
        <v>1282</v>
      </c>
      <c r="J140" t="s">
        <v>628</v>
      </c>
      <c r="K140" t="s">
        <v>9191</v>
      </c>
      <c r="L140" t="s">
        <v>9181</v>
      </c>
      <c r="M140" t="s">
        <v>361</v>
      </c>
      <c r="N140" t="s">
        <v>2177</v>
      </c>
      <c r="O140" t="s">
        <v>361</v>
      </c>
      <c r="P140" t="s">
        <v>361</v>
      </c>
      <c r="Q140" t="s">
        <v>361</v>
      </c>
      <c r="R140" t="s">
        <v>361</v>
      </c>
      <c r="S140" t="s">
        <v>361</v>
      </c>
      <c r="T140" t="s">
        <v>361</v>
      </c>
      <c r="U140" t="s">
        <v>361</v>
      </c>
      <c r="V140" t="s">
        <v>361</v>
      </c>
      <c r="W140" t="s">
        <v>361</v>
      </c>
      <c r="X140" t="s">
        <v>361</v>
      </c>
    </row>
    <row r="141" spans="1:24">
      <c r="A141" t="s">
        <v>8539</v>
      </c>
      <c r="B141" t="s">
        <v>9192</v>
      </c>
      <c r="C141" t="s">
        <v>5487</v>
      </c>
      <c r="D141" t="s">
        <v>39</v>
      </c>
      <c r="E141" t="s">
        <v>9193</v>
      </c>
      <c r="F141" t="s">
        <v>2527</v>
      </c>
      <c r="G141" t="s">
        <v>2173</v>
      </c>
      <c r="H141" t="s">
        <v>1288</v>
      </c>
      <c r="I141" t="s">
        <v>1282</v>
      </c>
      <c r="J141" t="s">
        <v>628</v>
      </c>
      <c r="K141" t="s">
        <v>9194</v>
      </c>
      <c r="L141" t="s">
        <v>9181</v>
      </c>
      <c r="M141" t="s">
        <v>361</v>
      </c>
      <c r="N141" t="s">
        <v>2177</v>
      </c>
      <c r="O141" t="s">
        <v>361</v>
      </c>
      <c r="P141" t="s">
        <v>361</v>
      </c>
      <c r="Q141" t="s">
        <v>361</v>
      </c>
      <c r="R141" t="s">
        <v>361</v>
      </c>
      <c r="S141" t="s">
        <v>361</v>
      </c>
      <c r="T141" t="s">
        <v>361</v>
      </c>
      <c r="U141" t="s">
        <v>361</v>
      </c>
      <c r="V141" t="s">
        <v>361</v>
      </c>
      <c r="W141" t="s">
        <v>361</v>
      </c>
      <c r="X141" t="s">
        <v>361</v>
      </c>
    </row>
    <row r="142" spans="1:24">
      <c r="A142" t="s">
        <v>8539</v>
      </c>
      <c r="B142" t="s">
        <v>9195</v>
      </c>
      <c r="C142" t="s">
        <v>5487</v>
      </c>
      <c r="D142" t="s">
        <v>39</v>
      </c>
      <c r="E142" t="s">
        <v>9196</v>
      </c>
      <c r="F142" t="s">
        <v>2527</v>
      </c>
      <c r="G142" t="s">
        <v>2173</v>
      </c>
      <c r="H142" t="s">
        <v>1288</v>
      </c>
      <c r="I142" t="s">
        <v>1282</v>
      </c>
      <c r="J142" t="s">
        <v>628</v>
      </c>
      <c r="K142" t="s">
        <v>9197</v>
      </c>
      <c r="L142" t="s">
        <v>9181</v>
      </c>
      <c r="M142" t="s">
        <v>361</v>
      </c>
      <c r="N142" t="s">
        <v>2177</v>
      </c>
      <c r="O142" t="s">
        <v>361</v>
      </c>
      <c r="P142" t="s">
        <v>361</v>
      </c>
      <c r="Q142" t="s">
        <v>361</v>
      </c>
      <c r="R142" t="s">
        <v>361</v>
      </c>
      <c r="S142" t="s">
        <v>361</v>
      </c>
      <c r="T142" t="s">
        <v>361</v>
      </c>
      <c r="U142" t="s">
        <v>361</v>
      </c>
      <c r="V142" t="s">
        <v>361</v>
      </c>
      <c r="W142" t="s">
        <v>361</v>
      </c>
      <c r="X142" t="s">
        <v>361</v>
      </c>
    </row>
    <row r="143" spans="1:24" ht="30">
      <c r="A143" t="s">
        <v>8539</v>
      </c>
      <c r="B143" t="s">
        <v>9198</v>
      </c>
      <c r="C143" t="s">
        <v>5487</v>
      </c>
      <c r="D143" t="s">
        <v>39</v>
      </c>
      <c r="E143" t="s">
        <v>9199</v>
      </c>
      <c r="F143" t="s">
        <v>2527</v>
      </c>
      <c r="G143" t="s">
        <v>8872</v>
      </c>
      <c r="H143" s="490" t="s">
        <v>1288</v>
      </c>
      <c r="I143" s="490" t="s">
        <v>1282</v>
      </c>
      <c r="J143" s="489" t="s">
        <v>8873</v>
      </c>
      <c r="K143" t="s">
        <v>9200</v>
      </c>
      <c r="L143" s="12" t="s">
        <v>8875</v>
      </c>
      <c r="M143" t="s">
        <v>361</v>
      </c>
      <c r="N143" t="s">
        <v>3576</v>
      </c>
      <c r="O143" t="s">
        <v>361</v>
      </c>
      <c r="P143" t="s">
        <v>361</v>
      </c>
      <c r="Q143" t="s">
        <v>361</v>
      </c>
      <c r="R143" t="s">
        <v>361</v>
      </c>
      <c r="S143" t="s">
        <v>361</v>
      </c>
      <c r="T143" t="s">
        <v>361</v>
      </c>
      <c r="U143" t="s">
        <v>361</v>
      </c>
      <c r="V143" t="s">
        <v>361</v>
      </c>
      <c r="W143" t="s">
        <v>361</v>
      </c>
      <c r="X143" t="s">
        <v>361</v>
      </c>
    </row>
    <row r="144" spans="1:24">
      <c r="A144" t="s">
        <v>8539</v>
      </c>
      <c r="B144" t="s">
        <v>7677</v>
      </c>
      <c r="C144" t="s">
        <v>3848</v>
      </c>
      <c r="D144" t="s">
        <v>39</v>
      </c>
      <c r="E144" t="s">
        <v>9201</v>
      </c>
      <c r="F144" t="s">
        <v>2527</v>
      </c>
      <c r="G144" t="s">
        <v>2173</v>
      </c>
      <c r="H144" t="s">
        <v>9202</v>
      </c>
      <c r="I144" t="s">
        <v>1282</v>
      </c>
      <c r="J144" t="s">
        <v>1630</v>
      </c>
      <c r="K144" t="s">
        <v>1631</v>
      </c>
      <c r="L144" t="s">
        <v>361</v>
      </c>
      <c r="M144" t="s">
        <v>361</v>
      </c>
      <c r="N144" t="s">
        <v>2177</v>
      </c>
      <c r="O144" t="s">
        <v>361</v>
      </c>
      <c r="P144" t="s">
        <v>361</v>
      </c>
      <c r="Q144" t="s">
        <v>361</v>
      </c>
      <c r="R144" t="s">
        <v>361</v>
      </c>
      <c r="S144" t="s">
        <v>361</v>
      </c>
      <c r="T144" t="s">
        <v>361</v>
      </c>
      <c r="U144" t="s">
        <v>361</v>
      </c>
      <c r="V144" t="s">
        <v>361</v>
      </c>
      <c r="W144" t="s">
        <v>361</v>
      </c>
      <c r="X144" t="s">
        <v>361</v>
      </c>
    </row>
    <row r="145" spans="1:24">
      <c r="A145" t="s">
        <v>8539</v>
      </c>
      <c r="B145" t="s">
        <v>7566</v>
      </c>
      <c r="C145" t="s">
        <v>3848</v>
      </c>
      <c r="D145" t="s">
        <v>39</v>
      </c>
      <c r="E145" t="s">
        <v>9203</v>
      </c>
      <c r="F145" t="s">
        <v>2527</v>
      </c>
      <c r="G145" t="s">
        <v>2173</v>
      </c>
      <c r="H145" t="s">
        <v>1288</v>
      </c>
      <c r="I145" t="s">
        <v>1282</v>
      </c>
      <c r="J145" t="s">
        <v>578</v>
      </c>
      <c r="K145" t="s">
        <v>8841</v>
      </c>
      <c r="L145" t="s">
        <v>8565</v>
      </c>
      <c r="M145" t="s">
        <v>361</v>
      </c>
      <c r="N145" t="s">
        <v>2177</v>
      </c>
      <c r="O145" t="s">
        <v>361</v>
      </c>
      <c r="P145" t="s">
        <v>361</v>
      </c>
      <c r="Q145" t="s">
        <v>361</v>
      </c>
      <c r="R145" t="s">
        <v>361</v>
      </c>
      <c r="S145" t="s">
        <v>361</v>
      </c>
      <c r="T145" t="s">
        <v>361</v>
      </c>
      <c r="U145" t="s">
        <v>361</v>
      </c>
      <c r="V145" t="s">
        <v>361</v>
      </c>
      <c r="W145" t="s">
        <v>361</v>
      </c>
      <c r="X145" t="s">
        <v>361</v>
      </c>
    </row>
    <row r="146" spans="1:24">
      <c r="A146" t="s">
        <v>8539</v>
      </c>
      <c r="B146" t="s">
        <v>9204</v>
      </c>
      <c r="C146" t="s">
        <v>3848</v>
      </c>
      <c r="D146" t="s">
        <v>39</v>
      </c>
      <c r="E146" t="s">
        <v>9205</v>
      </c>
      <c r="F146" t="s">
        <v>2527</v>
      </c>
      <c r="G146" t="s">
        <v>2173</v>
      </c>
      <c r="H146" t="s">
        <v>1288</v>
      </c>
      <c r="I146" t="s">
        <v>1282</v>
      </c>
      <c r="J146" t="s">
        <v>578</v>
      </c>
      <c r="K146" t="s">
        <v>8848</v>
      </c>
      <c r="L146" t="s">
        <v>8565</v>
      </c>
      <c r="M146" t="s">
        <v>361</v>
      </c>
      <c r="N146" t="s">
        <v>2177</v>
      </c>
      <c r="O146" t="s">
        <v>361</v>
      </c>
      <c r="P146" t="s">
        <v>361</v>
      </c>
      <c r="Q146" t="s">
        <v>361</v>
      </c>
      <c r="R146" t="s">
        <v>361</v>
      </c>
      <c r="S146" t="s">
        <v>361</v>
      </c>
      <c r="T146" t="s">
        <v>361</v>
      </c>
      <c r="U146" t="s">
        <v>361</v>
      </c>
      <c r="V146" t="s">
        <v>361</v>
      </c>
      <c r="W146" t="s">
        <v>361</v>
      </c>
      <c r="X146" t="s">
        <v>361</v>
      </c>
    </row>
    <row r="147" spans="1:24">
      <c r="A147" t="s">
        <v>8539</v>
      </c>
      <c r="B147" t="s">
        <v>9206</v>
      </c>
      <c r="C147" t="s">
        <v>3848</v>
      </c>
      <c r="D147" t="s">
        <v>39</v>
      </c>
      <c r="E147" t="s">
        <v>9207</v>
      </c>
      <c r="F147" t="s">
        <v>2527</v>
      </c>
      <c r="G147" t="s">
        <v>2173</v>
      </c>
      <c r="H147" t="s">
        <v>1288</v>
      </c>
      <c r="I147" t="s">
        <v>1282</v>
      </c>
      <c r="J147" t="s">
        <v>578</v>
      </c>
      <c r="K147" t="s">
        <v>7512</v>
      </c>
      <c r="L147" t="s">
        <v>8565</v>
      </c>
      <c r="M147" t="s">
        <v>361</v>
      </c>
      <c r="N147" t="s">
        <v>2177</v>
      </c>
      <c r="O147" t="s">
        <v>361</v>
      </c>
      <c r="P147" t="s">
        <v>361</v>
      </c>
      <c r="Q147" t="s">
        <v>361</v>
      </c>
      <c r="R147" t="s">
        <v>361</v>
      </c>
      <c r="S147" t="s">
        <v>361</v>
      </c>
      <c r="T147" t="s">
        <v>361</v>
      </c>
      <c r="U147" t="s">
        <v>361</v>
      </c>
      <c r="V147" t="s">
        <v>361</v>
      </c>
      <c r="W147" t="s">
        <v>361</v>
      </c>
      <c r="X147" t="s">
        <v>361</v>
      </c>
    </row>
    <row r="148" spans="1:24">
      <c r="A148" t="s">
        <v>8539</v>
      </c>
      <c r="B148" t="s">
        <v>9208</v>
      </c>
      <c r="C148" t="s">
        <v>3848</v>
      </c>
      <c r="D148" t="s">
        <v>39</v>
      </c>
      <c r="E148" t="s">
        <v>9209</v>
      </c>
      <c r="F148" t="s">
        <v>2527</v>
      </c>
      <c r="G148" t="s">
        <v>2173</v>
      </c>
      <c r="H148" t="s">
        <v>1288</v>
      </c>
      <c r="I148" t="s">
        <v>1282</v>
      </c>
      <c r="J148" t="s">
        <v>578</v>
      </c>
      <c r="K148" t="s">
        <v>8856</v>
      </c>
      <c r="L148" t="s">
        <v>8565</v>
      </c>
      <c r="M148" t="s">
        <v>361</v>
      </c>
      <c r="N148" t="s">
        <v>2177</v>
      </c>
      <c r="O148" t="s">
        <v>361</v>
      </c>
      <c r="P148" t="s">
        <v>361</v>
      </c>
      <c r="Q148" t="s">
        <v>361</v>
      </c>
      <c r="R148" t="s">
        <v>361</v>
      </c>
      <c r="S148" t="s">
        <v>361</v>
      </c>
      <c r="T148" t="s">
        <v>361</v>
      </c>
      <c r="U148" t="s">
        <v>361</v>
      </c>
      <c r="V148" t="s">
        <v>361</v>
      </c>
      <c r="W148" t="s">
        <v>361</v>
      </c>
      <c r="X148" t="s">
        <v>361</v>
      </c>
    </row>
    <row r="149" spans="1:24">
      <c r="A149" t="s">
        <v>8539</v>
      </c>
      <c r="B149" t="s">
        <v>4066</v>
      </c>
      <c r="C149" t="s">
        <v>3848</v>
      </c>
      <c r="D149" t="s">
        <v>39</v>
      </c>
      <c r="E149" t="s">
        <v>8834</v>
      </c>
      <c r="F149" t="s">
        <v>2527</v>
      </c>
      <c r="G149" t="s">
        <v>2173</v>
      </c>
      <c r="H149" t="s">
        <v>1288</v>
      </c>
      <c r="I149" t="s">
        <v>1282</v>
      </c>
      <c r="J149" t="s">
        <v>578</v>
      </c>
      <c r="K149" t="s">
        <v>8835</v>
      </c>
      <c r="L149" t="s">
        <v>8565</v>
      </c>
      <c r="M149" t="s">
        <v>361</v>
      </c>
      <c r="N149" t="s">
        <v>2177</v>
      </c>
      <c r="O149" t="s">
        <v>361</v>
      </c>
      <c r="P149" t="s">
        <v>361</v>
      </c>
      <c r="Q149" t="s">
        <v>361</v>
      </c>
      <c r="R149" t="s">
        <v>361</v>
      </c>
      <c r="S149" t="s">
        <v>361</v>
      </c>
      <c r="T149" t="s">
        <v>361</v>
      </c>
      <c r="U149" t="s">
        <v>361</v>
      </c>
      <c r="V149" t="s">
        <v>361</v>
      </c>
      <c r="W149" t="s">
        <v>361</v>
      </c>
      <c r="X149" t="s">
        <v>361</v>
      </c>
    </row>
    <row r="150" spans="1:24">
      <c r="A150" t="s">
        <v>8539</v>
      </c>
      <c r="B150" t="s">
        <v>8868</v>
      </c>
      <c r="C150" t="s">
        <v>3848</v>
      </c>
      <c r="D150" t="s">
        <v>39</v>
      </c>
      <c r="E150" t="s">
        <v>8869</v>
      </c>
      <c r="F150" t="s">
        <v>2527</v>
      </c>
      <c r="G150" t="s">
        <v>2173</v>
      </c>
      <c r="H150" t="s">
        <v>1288</v>
      </c>
      <c r="I150" t="s">
        <v>1282</v>
      </c>
      <c r="J150" t="s">
        <v>578</v>
      </c>
      <c r="K150" t="s">
        <v>8854</v>
      </c>
      <c r="L150" t="s">
        <v>8565</v>
      </c>
      <c r="M150" t="s">
        <v>361</v>
      </c>
      <c r="N150" t="s">
        <v>2177</v>
      </c>
      <c r="O150" t="s">
        <v>361</v>
      </c>
      <c r="P150" t="s">
        <v>361</v>
      </c>
      <c r="Q150" t="s">
        <v>361</v>
      </c>
      <c r="R150" t="s">
        <v>361</v>
      </c>
      <c r="S150" t="s">
        <v>361</v>
      </c>
      <c r="T150" t="s">
        <v>361</v>
      </c>
      <c r="U150" t="s">
        <v>361</v>
      </c>
      <c r="V150" t="s">
        <v>361</v>
      </c>
      <c r="W150" t="s">
        <v>361</v>
      </c>
      <c r="X150" t="s">
        <v>361</v>
      </c>
    </row>
    <row r="151" spans="1:24">
      <c r="A151" t="s">
        <v>8539</v>
      </c>
      <c r="B151" t="s">
        <v>159</v>
      </c>
      <c r="C151" t="s">
        <v>3848</v>
      </c>
      <c r="D151" t="s">
        <v>39</v>
      </c>
      <c r="E151" t="s">
        <v>9210</v>
      </c>
      <c r="F151" t="s">
        <v>2527</v>
      </c>
      <c r="G151" t="s">
        <v>2173</v>
      </c>
      <c r="H151" t="s">
        <v>1288</v>
      </c>
      <c r="I151" t="s">
        <v>1282</v>
      </c>
      <c r="J151" t="s">
        <v>578</v>
      </c>
      <c r="K151" t="s">
        <v>2307</v>
      </c>
      <c r="L151" t="s">
        <v>8565</v>
      </c>
      <c r="M151" t="s">
        <v>361</v>
      </c>
      <c r="N151" t="s">
        <v>2177</v>
      </c>
      <c r="O151" t="s">
        <v>361</v>
      </c>
      <c r="P151" t="s">
        <v>361</v>
      </c>
      <c r="Q151" t="s">
        <v>361</v>
      </c>
      <c r="R151" t="s">
        <v>361</v>
      </c>
      <c r="S151" t="s">
        <v>361</v>
      </c>
      <c r="T151" t="s">
        <v>361</v>
      </c>
      <c r="U151" t="s">
        <v>361</v>
      </c>
      <c r="V151" t="s">
        <v>361</v>
      </c>
      <c r="W151" t="s">
        <v>361</v>
      </c>
      <c r="X151" t="s">
        <v>361</v>
      </c>
    </row>
    <row r="152" spans="1:24" ht="30">
      <c r="A152" t="s">
        <v>8539</v>
      </c>
      <c r="B152" t="s">
        <v>9211</v>
      </c>
      <c r="C152" t="s">
        <v>3848</v>
      </c>
      <c r="D152" t="s">
        <v>39</v>
      </c>
      <c r="E152" t="s">
        <v>9212</v>
      </c>
      <c r="F152" t="s">
        <v>2527</v>
      </c>
      <c r="G152" t="s">
        <v>8872</v>
      </c>
      <c r="H152" s="490" t="s">
        <v>1288</v>
      </c>
      <c r="I152" s="490" t="s">
        <v>1282</v>
      </c>
      <c r="J152" s="489" t="s">
        <v>8873</v>
      </c>
      <c r="K152" t="s">
        <v>9213</v>
      </c>
      <c r="L152" s="12" t="s">
        <v>8875</v>
      </c>
      <c r="M152" t="s">
        <v>361</v>
      </c>
      <c r="N152" t="s">
        <v>3576</v>
      </c>
      <c r="O152" t="s">
        <v>361</v>
      </c>
      <c r="P152" t="s">
        <v>361</v>
      </c>
      <c r="Q152" t="s">
        <v>361</v>
      </c>
      <c r="R152" t="s">
        <v>361</v>
      </c>
      <c r="S152" t="s">
        <v>361</v>
      </c>
      <c r="T152" t="s">
        <v>361</v>
      </c>
      <c r="U152" t="s">
        <v>361</v>
      </c>
      <c r="V152" t="s">
        <v>361</v>
      </c>
      <c r="W152" t="s">
        <v>361</v>
      </c>
      <c r="X152" t="s">
        <v>361</v>
      </c>
    </row>
    <row r="153" spans="1:24" ht="30">
      <c r="A153" t="s">
        <v>8539</v>
      </c>
      <c r="B153" t="s">
        <v>9214</v>
      </c>
      <c r="C153" t="s">
        <v>3848</v>
      </c>
      <c r="D153" t="s">
        <v>39</v>
      </c>
      <c r="E153" t="s">
        <v>9215</v>
      </c>
      <c r="F153" t="s">
        <v>2527</v>
      </c>
      <c r="G153" t="s">
        <v>8872</v>
      </c>
      <c r="H153" s="490" t="s">
        <v>1288</v>
      </c>
      <c r="I153" s="490" t="s">
        <v>1282</v>
      </c>
      <c r="J153" s="489" t="s">
        <v>8873</v>
      </c>
      <c r="K153" t="s">
        <v>9216</v>
      </c>
      <c r="L153" s="12" t="s">
        <v>8875</v>
      </c>
      <c r="M153" t="s">
        <v>361</v>
      </c>
      <c r="N153" t="s">
        <v>3576</v>
      </c>
      <c r="O153" t="s">
        <v>361</v>
      </c>
      <c r="P153" t="s">
        <v>361</v>
      </c>
      <c r="Q153" t="s">
        <v>361</v>
      </c>
      <c r="R153" t="s">
        <v>361</v>
      </c>
      <c r="S153" t="s">
        <v>361</v>
      </c>
      <c r="T153" t="s">
        <v>361</v>
      </c>
      <c r="U153" t="s">
        <v>361</v>
      </c>
      <c r="V153" t="s">
        <v>361</v>
      </c>
      <c r="W153" t="s">
        <v>361</v>
      </c>
      <c r="X153" t="s">
        <v>361</v>
      </c>
    </row>
    <row r="154" spans="1:24" ht="30">
      <c r="A154" t="s">
        <v>8539</v>
      </c>
      <c r="B154" t="s">
        <v>9217</v>
      </c>
      <c r="C154" t="s">
        <v>3848</v>
      </c>
      <c r="D154" t="s">
        <v>39</v>
      </c>
      <c r="E154" t="s">
        <v>9218</v>
      </c>
      <c r="F154" t="s">
        <v>2527</v>
      </c>
      <c r="G154" t="s">
        <v>8872</v>
      </c>
      <c r="H154" s="490" t="s">
        <v>1288</v>
      </c>
      <c r="I154" s="490" t="s">
        <v>1282</v>
      </c>
      <c r="J154" s="489" t="s">
        <v>8873</v>
      </c>
      <c r="K154" t="s">
        <v>9219</v>
      </c>
      <c r="L154" s="12" t="s">
        <v>8875</v>
      </c>
      <c r="M154" t="s">
        <v>361</v>
      </c>
      <c r="N154" t="s">
        <v>3576</v>
      </c>
      <c r="O154" t="s">
        <v>361</v>
      </c>
      <c r="P154" t="s">
        <v>361</v>
      </c>
      <c r="Q154" t="s">
        <v>361</v>
      </c>
      <c r="R154" t="s">
        <v>361</v>
      </c>
      <c r="S154" t="s">
        <v>361</v>
      </c>
      <c r="T154" t="s">
        <v>361</v>
      </c>
      <c r="U154" t="s">
        <v>361</v>
      </c>
      <c r="V154" t="s">
        <v>361</v>
      </c>
      <c r="W154" t="s">
        <v>361</v>
      </c>
      <c r="X154" t="s">
        <v>361</v>
      </c>
    </row>
    <row r="155" spans="1:24" ht="30">
      <c r="A155" t="s">
        <v>8539</v>
      </c>
      <c r="B155" t="s">
        <v>9220</v>
      </c>
      <c r="C155" t="s">
        <v>3848</v>
      </c>
      <c r="D155" t="s">
        <v>39</v>
      </c>
      <c r="E155" t="s">
        <v>9221</v>
      </c>
      <c r="F155" t="s">
        <v>2527</v>
      </c>
      <c r="G155" t="s">
        <v>8872</v>
      </c>
      <c r="H155" s="490" t="s">
        <v>1288</v>
      </c>
      <c r="I155" s="490" t="s">
        <v>1282</v>
      </c>
      <c r="J155" s="489" t="s">
        <v>8873</v>
      </c>
      <c r="K155" t="s">
        <v>9222</v>
      </c>
      <c r="L155" s="12" t="s">
        <v>8875</v>
      </c>
      <c r="M155" t="s">
        <v>361</v>
      </c>
      <c r="N155" t="s">
        <v>3576</v>
      </c>
      <c r="O155" t="s">
        <v>361</v>
      </c>
      <c r="P155" t="s">
        <v>361</v>
      </c>
      <c r="Q155" t="s">
        <v>361</v>
      </c>
      <c r="R155" t="s">
        <v>361</v>
      </c>
      <c r="S155" t="s">
        <v>361</v>
      </c>
      <c r="T155" t="s">
        <v>361</v>
      </c>
      <c r="U155" t="s">
        <v>361</v>
      </c>
      <c r="V155" t="s">
        <v>361</v>
      </c>
      <c r="W155" t="s">
        <v>361</v>
      </c>
      <c r="X155" t="s">
        <v>361</v>
      </c>
    </row>
    <row r="156" spans="1:24" ht="30">
      <c r="A156" t="s">
        <v>8539</v>
      </c>
      <c r="B156" t="s">
        <v>9223</v>
      </c>
      <c r="C156" t="s">
        <v>3848</v>
      </c>
      <c r="D156" t="s">
        <v>39</v>
      </c>
      <c r="E156" t="s">
        <v>9224</v>
      </c>
      <c r="F156" t="s">
        <v>2527</v>
      </c>
      <c r="G156" t="s">
        <v>8872</v>
      </c>
      <c r="H156" s="490" t="s">
        <v>1288</v>
      </c>
      <c r="I156" s="490" t="s">
        <v>1282</v>
      </c>
      <c r="J156" s="489" t="s">
        <v>8873</v>
      </c>
      <c r="K156" t="s">
        <v>9225</v>
      </c>
      <c r="L156" s="12" t="s">
        <v>8875</v>
      </c>
      <c r="M156" t="s">
        <v>361</v>
      </c>
      <c r="N156" t="s">
        <v>3576</v>
      </c>
      <c r="O156" t="s">
        <v>361</v>
      </c>
      <c r="P156" t="s">
        <v>361</v>
      </c>
      <c r="Q156" t="s">
        <v>361</v>
      </c>
      <c r="R156" t="s">
        <v>361</v>
      </c>
      <c r="S156" t="s">
        <v>361</v>
      </c>
      <c r="T156" t="s">
        <v>361</v>
      </c>
      <c r="U156" t="s">
        <v>361</v>
      </c>
      <c r="V156" t="s">
        <v>361</v>
      </c>
      <c r="W156" t="s">
        <v>361</v>
      </c>
      <c r="X156" t="s">
        <v>361</v>
      </c>
    </row>
    <row r="157" spans="1:24" ht="30">
      <c r="A157" t="s">
        <v>8539</v>
      </c>
      <c r="B157" t="s">
        <v>9226</v>
      </c>
      <c r="C157" t="s">
        <v>3848</v>
      </c>
      <c r="D157" t="s">
        <v>39</v>
      </c>
      <c r="E157" t="s">
        <v>9227</v>
      </c>
      <c r="F157" t="s">
        <v>2527</v>
      </c>
      <c r="G157" t="s">
        <v>8872</v>
      </c>
      <c r="H157" s="490" t="s">
        <v>1288</v>
      </c>
      <c r="I157" s="490" t="s">
        <v>1282</v>
      </c>
      <c r="J157" s="489" t="s">
        <v>8873</v>
      </c>
      <c r="K157" t="s">
        <v>9228</v>
      </c>
      <c r="L157" s="12" t="s">
        <v>8875</v>
      </c>
      <c r="M157" t="s">
        <v>361</v>
      </c>
      <c r="N157" t="s">
        <v>3576</v>
      </c>
      <c r="O157" t="s">
        <v>361</v>
      </c>
      <c r="P157" t="s">
        <v>361</v>
      </c>
      <c r="Q157" t="s">
        <v>361</v>
      </c>
      <c r="R157" t="s">
        <v>361</v>
      </c>
      <c r="S157" t="s">
        <v>361</v>
      </c>
      <c r="T157" t="s">
        <v>361</v>
      </c>
      <c r="U157" t="s">
        <v>361</v>
      </c>
      <c r="V157" t="s">
        <v>361</v>
      </c>
      <c r="W157" t="s">
        <v>361</v>
      </c>
      <c r="X157" t="s">
        <v>361</v>
      </c>
    </row>
    <row r="158" spans="1:24" ht="30">
      <c r="A158" t="s">
        <v>8539</v>
      </c>
      <c r="B158" t="s">
        <v>8845</v>
      </c>
      <c r="C158" t="s">
        <v>3848</v>
      </c>
      <c r="D158" t="s">
        <v>39</v>
      </c>
      <c r="E158" t="s">
        <v>8846</v>
      </c>
      <c r="F158" t="s">
        <v>2527</v>
      </c>
      <c r="G158" t="s">
        <v>8872</v>
      </c>
      <c r="H158" s="490" t="s">
        <v>1288</v>
      </c>
      <c r="I158" s="490" t="s">
        <v>1282</v>
      </c>
      <c r="J158" s="489" t="s">
        <v>8873</v>
      </c>
      <c r="K158" t="s">
        <v>9229</v>
      </c>
      <c r="L158" s="12" t="s">
        <v>8875</v>
      </c>
      <c r="M158" t="s">
        <v>361</v>
      </c>
      <c r="N158" t="s">
        <v>3576</v>
      </c>
      <c r="O158" t="s">
        <v>361</v>
      </c>
      <c r="P158" t="s">
        <v>361</v>
      </c>
      <c r="Q158" t="s">
        <v>361</v>
      </c>
      <c r="R158" t="s">
        <v>361</v>
      </c>
      <c r="S158" t="s">
        <v>361</v>
      </c>
      <c r="T158" t="s">
        <v>361</v>
      </c>
      <c r="U158" t="s">
        <v>361</v>
      </c>
      <c r="V158" t="s">
        <v>361</v>
      </c>
      <c r="W158" t="s">
        <v>361</v>
      </c>
      <c r="X158" t="s">
        <v>361</v>
      </c>
    </row>
    <row r="159" spans="1:24">
      <c r="A159" t="s">
        <v>8539</v>
      </c>
      <c r="B159" t="s">
        <v>9230</v>
      </c>
      <c r="C159" t="s">
        <v>3848</v>
      </c>
      <c r="D159" t="s">
        <v>39</v>
      </c>
      <c r="E159" t="s">
        <v>9231</v>
      </c>
      <c r="F159" t="s">
        <v>2527</v>
      </c>
      <c r="G159" t="s">
        <v>9232</v>
      </c>
      <c r="H159" t="s">
        <v>361</v>
      </c>
      <c r="I159" t="s">
        <v>361</v>
      </c>
      <c r="J159" t="s">
        <v>361</v>
      </c>
      <c r="K159" t="s">
        <v>361</v>
      </c>
      <c r="L159" t="s">
        <v>361</v>
      </c>
      <c r="M159" t="s">
        <v>361</v>
      </c>
      <c r="N159" t="s">
        <v>3576</v>
      </c>
      <c r="O159" t="s">
        <v>361</v>
      </c>
      <c r="P159" t="s">
        <v>361</v>
      </c>
      <c r="Q159" t="s">
        <v>361</v>
      </c>
      <c r="R159" t="s">
        <v>361</v>
      </c>
      <c r="S159" t="s">
        <v>361</v>
      </c>
      <c r="T159" t="s">
        <v>361</v>
      </c>
      <c r="U159" t="s">
        <v>361</v>
      </c>
      <c r="V159" t="s">
        <v>361</v>
      </c>
      <c r="W159" t="s">
        <v>361</v>
      </c>
      <c r="X159" t="s">
        <v>361</v>
      </c>
    </row>
    <row r="160" spans="1:24">
      <c r="A160" t="s">
        <v>8539</v>
      </c>
      <c r="B160" t="s">
        <v>9233</v>
      </c>
      <c r="C160" t="s">
        <v>3848</v>
      </c>
      <c r="D160" t="s">
        <v>39</v>
      </c>
      <c r="E160" t="s">
        <v>9234</v>
      </c>
      <c r="F160" t="s">
        <v>2527</v>
      </c>
      <c r="G160" t="s">
        <v>9232</v>
      </c>
      <c r="H160" t="s">
        <v>361</v>
      </c>
      <c r="I160" t="s">
        <v>361</v>
      </c>
      <c r="J160" t="s">
        <v>361</v>
      </c>
      <c r="K160" t="s">
        <v>361</v>
      </c>
      <c r="L160" t="s">
        <v>361</v>
      </c>
      <c r="M160" t="s">
        <v>361</v>
      </c>
      <c r="N160" t="s">
        <v>3576</v>
      </c>
      <c r="O160" t="s">
        <v>361</v>
      </c>
      <c r="P160" t="s">
        <v>361</v>
      </c>
      <c r="Q160" t="s">
        <v>361</v>
      </c>
      <c r="R160" t="s">
        <v>361</v>
      </c>
      <c r="S160" t="s">
        <v>361</v>
      </c>
      <c r="T160" t="s">
        <v>361</v>
      </c>
      <c r="U160" t="s">
        <v>361</v>
      </c>
      <c r="V160" t="s">
        <v>361</v>
      </c>
      <c r="W160" t="s">
        <v>361</v>
      </c>
      <c r="X160" t="s">
        <v>361</v>
      </c>
    </row>
    <row r="161" spans="1:24">
      <c r="A161" t="s">
        <v>8539</v>
      </c>
      <c r="B161" t="s">
        <v>9235</v>
      </c>
      <c r="C161" t="s">
        <v>3848</v>
      </c>
      <c r="D161" t="s">
        <v>39</v>
      </c>
      <c r="E161" t="s">
        <v>9236</v>
      </c>
      <c r="F161" t="s">
        <v>2527</v>
      </c>
      <c r="G161" t="s">
        <v>9232</v>
      </c>
      <c r="H161" t="s">
        <v>361</v>
      </c>
      <c r="I161" t="s">
        <v>361</v>
      </c>
      <c r="J161" t="s">
        <v>361</v>
      </c>
      <c r="K161" t="s">
        <v>361</v>
      </c>
      <c r="L161" t="s">
        <v>361</v>
      </c>
      <c r="M161" t="s">
        <v>361</v>
      </c>
      <c r="N161" t="s">
        <v>3576</v>
      </c>
      <c r="O161" t="s">
        <v>361</v>
      </c>
      <c r="P161" t="s">
        <v>361</v>
      </c>
      <c r="Q161" t="s">
        <v>361</v>
      </c>
      <c r="R161" t="s">
        <v>361</v>
      </c>
      <c r="S161" t="s">
        <v>361</v>
      </c>
      <c r="T161" t="s">
        <v>361</v>
      </c>
      <c r="U161" t="s">
        <v>361</v>
      </c>
      <c r="V161" t="s">
        <v>361</v>
      </c>
      <c r="W161" t="s">
        <v>361</v>
      </c>
      <c r="X161" t="s">
        <v>361</v>
      </c>
    </row>
    <row r="162" spans="1:24">
      <c r="A162" t="s">
        <v>8539</v>
      </c>
      <c r="B162" t="s">
        <v>9237</v>
      </c>
      <c r="C162" t="s">
        <v>3848</v>
      </c>
      <c r="D162" t="s">
        <v>39</v>
      </c>
      <c r="E162" t="s">
        <v>9238</v>
      </c>
      <c r="F162" t="s">
        <v>2527</v>
      </c>
      <c r="G162" t="s">
        <v>9232</v>
      </c>
      <c r="H162" t="s">
        <v>361</v>
      </c>
      <c r="I162" t="s">
        <v>361</v>
      </c>
      <c r="J162" t="s">
        <v>361</v>
      </c>
      <c r="K162" t="s">
        <v>361</v>
      </c>
      <c r="L162" t="s">
        <v>361</v>
      </c>
      <c r="M162" t="s">
        <v>361</v>
      </c>
      <c r="N162" t="s">
        <v>3576</v>
      </c>
      <c r="O162" t="s">
        <v>361</v>
      </c>
      <c r="P162" t="s">
        <v>361</v>
      </c>
      <c r="Q162" t="s">
        <v>361</v>
      </c>
      <c r="R162" t="s">
        <v>361</v>
      </c>
      <c r="S162" t="s">
        <v>361</v>
      </c>
      <c r="T162" t="s">
        <v>361</v>
      </c>
      <c r="U162" t="s">
        <v>361</v>
      </c>
      <c r="V162" t="s">
        <v>361</v>
      </c>
      <c r="W162" t="s">
        <v>361</v>
      </c>
      <c r="X162" t="s">
        <v>361</v>
      </c>
    </row>
    <row r="163" spans="1:24">
      <c r="A163" t="s">
        <v>8539</v>
      </c>
      <c r="B163" t="s">
        <v>9239</v>
      </c>
      <c r="C163" t="s">
        <v>3848</v>
      </c>
      <c r="D163" t="s">
        <v>39</v>
      </c>
      <c r="E163" t="s">
        <v>9240</v>
      </c>
      <c r="F163" t="s">
        <v>2527</v>
      </c>
      <c r="G163" t="s">
        <v>9232</v>
      </c>
      <c r="H163" t="s">
        <v>361</v>
      </c>
      <c r="I163" t="s">
        <v>361</v>
      </c>
      <c r="J163" t="s">
        <v>361</v>
      </c>
      <c r="K163" t="s">
        <v>361</v>
      </c>
      <c r="L163" t="s">
        <v>361</v>
      </c>
      <c r="M163" t="s">
        <v>361</v>
      </c>
      <c r="N163" t="s">
        <v>3576</v>
      </c>
      <c r="O163" t="s">
        <v>361</v>
      </c>
      <c r="P163" t="s">
        <v>361</v>
      </c>
      <c r="Q163" t="s">
        <v>361</v>
      </c>
      <c r="R163" t="s">
        <v>361</v>
      </c>
      <c r="S163" t="s">
        <v>361</v>
      </c>
      <c r="T163" t="s">
        <v>361</v>
      </c>
      <c r="U163" t="s">
        <v>361</v>
      </c>
      <c r="V163" t="s">
        <v>361</v>
      </c>
      <c r="W163" t="s">
        <v>361</v>
      </c>
      <c r="X163" t="s">
        <v>361</v>
      </c>
    </row>
    <row r="164" spans="1:24">
      <c r="A164" t="s">
        <v>8539</v>
      </c>
      <c r="B164" t="s">
        <v>9241</v>
      </c>
      <c r="C164" t="s">
        <v>3848</v>
      </c>
      <c r="D164" t="s">
        <v>39</v>
      </c>
      <c r="E164" t="s">
        <v>9242</v>
      </c>
      <c r="F164" t="s">
        <v>2527</v>
      </c>
      <c r="G164" t="s">
        <v>9232</v>
      </c>
      <c r="H164" t="s">
        <v>361</v>
      </c>
      <c r="I164" t="s">
        <v>361</v>
      </c>
      <c r="J164" t="s">
        <v>361</v>
      </c>
      <c r="K164" t="s">
        <v>361</v>
      </c>
      <c r="L164" t="s">
        <v>361</v>
      </c>
      <c r="M164" t="s">
        <v>361</v>
      </c>
      <c r="N164" t="s">
        <v>3576</v>
      </c>
      <c r="O164" t="s">
        <v>361</v>
      </c>
      <c r="P164" t="s">
        <v>361</v>
      </c>
      <c r="Q164" t="s">
        <v>361</v>
      </c>
      <c r="R164" t="s">
        <v>361</v>
      </c>
      <c r="S164" t="s">
        <v>361</v>
      </c>
      <c r="T164" t="s">
        <v>361</v>
      </c>
      <c r="U164" t="s">
        <v>361</v>
      </c>
      <c r="V164" t="s">
        <v>361</v>
      </c>
      <c r="W164" t="s">
        <v>361</v>
      </c>
      <c r="X164" t="s">
        <v>361</v>
      </c>
    </row>
    <row r="165" spans="1:24">
      <c r="A165" t="s">
        <v>8539</v>
      </c>
      <c r="B165" t="s">
        <v>9243</v>
      </c>
      <c r="C165" t="s">
        <v>9244</v>
      </c>
      <c r="D165" t="s">
        <v>39</v>
      </c>
      <c r="E165" t="s">
        <v>9245</v>
      </c>
      <c r="F165" t="s">
        <v>2527</v>
      </c>
      <c r="G165" t="s">
        <v>2173</v>
      </c>
      <c r="H165" t="s">
        <v>1288</v>
      </c>
      <c r="I165" t="s">
        <v>1282</v>
      </c>
      <c r="J165" t="s">
        <v>1517</v>
      </c>
      <c r="K165" t="s">
        <v>9246</v>
      </c>
      <c r="L165" t="s">
        <v>9247</v>
      </c>
      <c r="M165" t="s">
        <v>361</v>
      </c>
      <c r="N165" t="s">
        <v>2177</v>
      </c>
      <c r="O165" s="572" t="s">
        <v>9248</v>
      </c>
      <c r="P165" t="s">
        <v>361</v>
      </c>
      <c r="Q165" t="s">
        <v>361</v>
      </c>
      <c r="R165" t="s">
        <v>361</v>
      </c>
      <c r="S165" t="s">
        <v>361</v>
      </c>
      <c r="T165" t="s">
        <v>361</v>
      </c>
      <c r="U165" t="s">
        <v>361</v>
      </c>
      <c r="V165" t="s">
        <v>361</v>
      </c>
      <c r="W165" t="s">
        <v>361</v>
      </c>
      <c r="X165" t="s">
        <v>361</v>
      </c>
    </row>
    <row r="166" spans="1:24">
      <c r="A166" t="s">
        <v>8539</v>
      </c>
      <c r="B166" t="s">
        <v>9249</v>
      </c>
      <c r="C166" t="s">
        <v>9244</v>
      </c>
      <c r="D166" t="s">
        <v>39</v>
      </c>
      <c r="E166" t="s">
        <v>9250</v>
      </c>
      <c r="F166" t="s">
        <v>2527</v>
      </c>
      <c r="G166" t="s">
        <v>9232</v>
      </c>
      <c r="H166" t="s">
        <v>361</v>
      </c>
      <c r="I166" t="s">
        <v>361</v>
      </c>
      <c r="J166" t="s">
        <v>361</v>
      </c>
      <c r="K166" t="s">
        <v>361</v>
      </c>
      <c r="L166" t="s">
        <v>361</v>
      </c>
      <c r="M166" t="s">
        <v>361</v>
      </c>
      <c r="N166" t="s">
        <v>3576</v>
      </c>
      <c r="O166" s="572"/>
      <c r="P166" t="s">
        <v>361</v>
      </c>
      <c r="Q166" t="s">
        <v>361</v>
      </c>
      <c r="R166" t="s">
        <v>361</v>
      </c>
      <c r="S166" t="s">
        <v>361</v>
      </c>
      <c r="T166" t="s">
        <v>361</v>
      </c>
      <c r="U166" t="s">
        <v>361</v>
      </c>
      <c r="V166" t="s">
        <v>361</v>
      </c>
      <c r="W166" t="s">
        <v>361</v>
      </c>
      <c r="X166" t="s">
        <v>361</v>
      </c>
    </row>
    <row r="167" spans="1:24">
      <c r="A167" t="s">
        <v>8539</v>
      </c>
      <c r="B167" t="s">
        <v>9251</v>
      </c>
      <c r="C167" t="s">
        <v>9244</v>
      </c>
      <c r="D167" t="s">
        <v>39</v>
      </c>
      <c r="E167" t="s">
        <v>9252</v>
      </c>
      <c r="F167" t="s">
        <v>2527</v>
      </c>
      <c r="G167" t="s">
        <v>2173</v>
      </c>
      <c r="H167" t="s">
        <v>1288</v>
      </c>
      <c r="I167" t="s">
        <v>1282</v>
      </c>
      <c r="J167" t="s">
        <v>1517</v>
      </c>
      <c r="K167" t="s">
        <v>9185</v>
      </c>
      <c r="L167" t="s">
        <v>9247</v>
      </c>
      <c r="M167" t="s">
        <v>361</v>
      </c>
      <c r="N167" t="s">
        <v>2177</v>
      </c>
      <c r="O167" s="572"/>
      <c r="P167" t="s">
        <v>361</v>
      </c>
      <c r="Q167" t="s">
        <v>361</v>
      </c>
      <c r="R167" t="s">
        <v>361</v>
      </c>
      <c r="S167" t="s">
        <v>361</v>
      </c>
      <c r="T167" t="s">
        <v>361</v>
      </c>
      <c r="U167" t="s">
        <v>361</v>
      </c>
      <c r="V167" t="s">
        <v>361</v>
      </c>
      <c r="W167" t="s">
        <v>361</v>
      </c>
      <c r="X167" t="s">
        <v>361</v>
      </c>
    </row>
    <row r="168" spans="1:24">
      <c r="A168" t="s">
        <v>8539</v>
      </c>
      <c r="B168" t="s">
        <v>9253</v>
      </c>
      <c r="C168" t="s">
        <v>9244</v>
      </c>
      <c r="D168" t="s">
        <v>39</v>
      </c>
      <c r="E168" t="s">
        <v>9254</v>
      </c>
      <c r="F168" t="s">
        <v>2527</v>
      </c>
      <c r="G168" t="s">
        <v>2173</v>
      </c>
      <c r="H168" t="s">
        <v>1288</v>
      </c>
      <c r="I168" t="s">
        <v>1282</v>
      </c>
      <c r="J168" t="s">
        <v>1517</v>
      </c>
      <c r="K168" t="s">
        <v>9255</v>
      </c>
      <c r="L168" t="s">
        <v>9247</v>
      </c>
      <c r="M168" t="s">
        <v>361</v>
      </c>
      <c r="N168" t="s">
        <v>2177</v>
      </c>
      <c r="O168" s="572"/>
      <c r="P168" t="s">
        <v>361</v>
      </c>
      <c r="Q168" t="s">
        <v>361</v>
      </c>
      <c r="R168" t="s">
        <v>361</v>
      </c>
      <c r="S168" t="s">
        <v>361</v>
      </c>
      <c r="T168" t="s">
        <v>361</v>
      </c>
      <c r="U168" t="s">
        <v>361</v>
      </c>
      <c r="V168" t="s">
        <v>361</v>
      </c>
      <c r="W168" t="s">
        <v>361</v>
      </c>
      <c r="X168" t="s">
        <v>361</v>
      </c>
    </row>
    <row r="169" spans="1:24">
      <c r="A169" t="s">
        <v>8539</v>
      </c>
      <c r="B169" t="s">
        <v>9256</v>
      </c>
      <c r="C169" t="s">
        <v>9244</v>
      </c>
      <c r="D169" t="s">
        <v>39</v>
      </c>
      <c r="E169" t="s">
        <v>9257</v>
      </c>
      <c r="F169" t="s">
        <v>2527</v>
      </c>
      <c r="G169" t="s">
        <v>2173</v>
      </c>
      <c r="H169" t="s">
        <v>1288</v>
      </c>
      <c r="I169" t="s">
        <v>1282</v>
      </c>
      <c r="J169" t="s">
        <v>1517</v>
      </c>
      <c r="K169" t="s">
        <v>9258</v>
      </c>
      <c r="L169" t="s">
        <v>9247</v>
      </c>
      <c r="M169" t="s">
        <v>361</v>
      </c>
      <c r="N169" t="s">
        <v>2177</v>
      </c>
      <c r="O169" s="572"/>
      <c r="P169" t="s">
        <v>361</v>
      </c>
      <c r="Q169" t="s">
        <v>361</v>
      </c>
      <c r="R169" t="s">
        <v>361</v>
      </c>
      <c r="S169" t="s">
        <v>361</v>
      </c>
      <c r="T169" t="s">
        <v>361</v>
      </c>
      <c r="U169" t="s">
        <v>361</v>
      </c>
      <c r="V169" t="s">
        <v>361</v>
      </c>
      <c r="W169" t="s">
        <v>361</v>
      </c>
      <c r="X169" t="s">
        <v>361</v>
      </c>
    </row>
    <row r="170" spans="1:24">
      <c r="A170" t="s">
        <v>8539</v>
      </c>
      <c r="B170" t="s">
        <v>9259</v>
      </c>
      <c r="C170" t="s">
        <v>9244</v>
      </c>
      <c r="D170" t="s">
        <v>39</v>
      </c>
      <c r="E170" t="s">
        <v>9260</v>
      </c>
      <c r="F170" t="s">
        <v>2527</v>
      </c>
      <c r="G170" t="s">
        <v>2173</v>
      </c>
      <c r="H170" t="s">
        <v>1288</v>
      </c>
      <c r="I170" t="s">
        <v>1282</v>
      </c>
      <c r="J170" t="s">
        <v>1517</v>
      </c>
      <c r="K170" t="s">
        <v>9246</v>
      </c>
      <c r="L170" t="s">
        <v>9247</v>
      </c>
      <c r="M170" t="s">
        <v>361</v>
      </c>
      <c r="N170" t="s">
        <v>2177</v>
      </c>
      <c r="O170" s="572"/>
      <c r="P170" t="s">
        <v>361</v>
      </c>
      <c r="Q170" t="s">
        <v>361</v>
      </c>
      <c r="R170" t="s">
        <v>361</v>
      </c>
      <c r="S170" t="s">
        <v>361</v>
      </c>
      <c r="T170" t="s">
        <v>361</v>
      </c>
      <c r="U170" t="s">
        <v>361</v>
      </c>
      <c r="V170" t="s">
        <v>361</v>
      </c>
      <c r="W170" t="s">
        <v>361</v>
      </c>
      <c r="X170" t="s">
        <v>361</v>
      </c>
    </row>
    <row r="171" spans="1:24">
      <c r="A171" t="s">
        <v>8539</v>
      </c>
      <c r="B171" t="s">
        <v>9261</v>
      </c>
      <c r="C171" t="s">
        <v>9244</v>
      </c>
      <c r="D171" t="s">
        <v>39</v>
      </c>
      <c r="E171" t="s">
        <v>9262</v>
      </c>
      <c r="F171" t="s">
        <v>2527</v>
      </c>
      <c r="G171" t="s">
        <v>2173</v>
      </c>
      <c r="H171" t="s">
        <v>1288</v>
      </c>
      <c r="I171" t="s">
        <v>1282</v>
      </c>
      <c r="J171" t="s">
        <v>1517</v>
      </c>
      <c r="K171" t="s">
        <v>9263</v>
      </c>
      <c r="L171" t="s">
        <v>9247</v>
      </c>
      <c r="M171" t="s">
        <v>361</v>
      </c>
      <c r="N171" t="s">
        <v>2177</v>
      </c>
      <c r="O171" s="572"/>
      <c r="P171" t="s">
        <v>361</v>
      </c>
      <c r="Q171" t="s">
        <v>361</v>
      </c>
      <c r="R171" t="s">
        <v>361</v>
      </c>
      <c r="S171" t="s">
        <v>361</v>
      </c>
      <c r="T171" t="s">
        <v>361</v>
      </c>
      <c r="U171" t="s">
        <v>361</v>
      </c>
      <c r="V171" t="s">
        <v>361</v>
      </c>
      <c r="W171" t="s">
        <v>361</v>
      </c>
      <c r="X171" t="s">
        <v>361</v>
      </c>
    </row>
    <row r="172" spans="1:24">
      <c r="A172" t="s">
        <v>8539</v>
      </c>
      <c r="B172" t="s">
        <v>9264</v>
      </c>
      <c r="C172" t="s">
        <v>9244</v>
      </c>
      <c r="D172" t="s">
        <v>39</v>
      </c>
      <c r="E172" t="s">
        <v>9265</v>
      </c>
      <c r="F172" t="s">
        <v>2527</v>
      </c>
      <c r="G172" t="s">
        <v>2173</v>
      </c>
      <c r="H172" t="s">
        <v>1288</v>
      </c>
      <c r="I172" t="s">
        <v>1282</v>
      </c>
      <c r="J172" t="s">
        <v>1517</v>
      </c>
      <c r="K172" t="s">
        <v>9266</v>
      </c>
      <c r="L172" t="s">
        <v>9247</v>
      </c>
      <c r="M172" t="s">
        <v>361</v>
      </c>
      <c r="N172" t="s">
        <v>2177</v>
      </c>
      <c r="O172" s="572"/>
      <c r="P172" t="s">
        <v>361</v>
      </c>
      <c r="Q172" t="s">
        <v>361</v>
      </c>
      <c r="R172" t="s">
        <v>361</v>
      </c>
      <c r="S172" t="s">
        <v>361</v>
      </c>
      <c r="T172" t="s">
        <v>361</v>
      </c>
      <c r="U172" t="s">
        <v>361</v>
      </c>
      <c r="V172" t="s">
        <v>361</v>
      </c>
      <c r="W172" t="s">
        <v>361</v>
      </c>
      <c r="X172" t="s">
        <v>361</v>
      </c>
    </row>
    <row r="173" spans="1:24">
      <c r="A173" t="s">
        <v>8539</v>
      </c>
      <c r="B173" t="s">
        <v>9267</v>
      </c>
      <c r="C173" t="s">
        <v>9244</v>
      </c>
      <c r="D173" t="s">
        <v>39</v>
      </c>
      <c r="E173" t="s">
        <v>9268</v>
      </c>
      <c r="F173" t="s">
        <v>2527</v>
      </c>
      <c r="G173" t="s">
        <v>2173</v>
      </c>
      <c r="H173" t="s">
        <v>1288</v>
      </c>
      <c r="I173" t="s">
        <v>1282</v>
      </c>
      <c r="J173" t="s">
        <v>1517</v>
      </c>
      <c r="K173" t="s">
        <v>9269</v>
      </c>
      <c r="L173" t="s">
        <v>9247</v>
      </c>
      <c r="M173" t="s">
        <v>361</v>
      </c>
      <c r="N173" t="s">
        <v>2177</v>
      </c>
      <c r="O173" s="572"/>
      <c r="P173" t="s">
        <v>361</v>
      </c>
      <c r="Q173" t="s">
        <v>361</v>
      </c>
      <c r="R173" t="s">
        <v>361</v>
      </c>
      <c r="S173" t="s">
        <v>361</v>
      </c>
      <c r="T173" t="s">
        <v>361</v>
      </c>
      <c r="U173" t="s">
        <v>361</v>
      </c>
      <c r="V173" t="s">
        <v>361</v>
      </c>
      <c r="W173" t="s">
        <v>361</v>
      </c>
      <c r="X173" t="s">
        <v>361</v>
      </c>
    </row>
    <row r="174" spans="1:24">
      <c r="A174" t="s">
        <v>8539</v>
      </c>
      <c r="B174" t="s">
        <v>8574</v>
      </c>
      <c r="C174" t="s">
        <v>9244</v>
      </c>
      <c r="D174" t="s">
        <v>39</v>
      </c>
      <c r="E174" t="s">
        <v>9270</v>
      </c>
      <c r="F174" t="s">
        <v>2527</v>
      </c>
      <c r="G174" t="s">
        <v>2173</v>
      </c>
      <c r="H174" t="s">
        <v>1288</v>
      </c>
      <c r="I174" t="s">
        <v>1282</v>
      </c>
      <c r="J174" t="s">
        <v>1517</v>
      </c>
      <c r="K174" t="s">
        <v>9271</v>
      </c>
      <c r="L174" t="s">
        <v>9247</v>
      </c>
      <c r="M174" t="s">
        <v>361</v>
      </c>
      <c r="N174" t="s">
        <v>2177</v>
      </c>
      <c r="O174" s="572"/>
      <c r="P174" t="s">
        <v>361</v>
      </c>
      <c r="Q174" t="s">
        <v>361</v>
      </c>
      <c r="R174" t="s">
        <v>361</v>
      </c>
      <c r="S174" t="s">
        <v>361</v>
      </c>
      <c r="T174" t="s">
        <v>361</v>
      </c>
      <c r="U174" t="s">
        <v>361</v>
      </c>
      <c r="V174" t="s">
        <v>361</v>
      </c>
      <c r="W174" t="s">
        <v>361</v>
      </c>
      <c r="X174" t="s">
        <v>361</v>
      </c>
    </row>
    <row r="175" spans="1:24">
      <c r="A175" t="s">
        <v>8539</v>
      </c>
      <c r="B175" t="s">
        <v>9272</v>
      </c>
      <c r="C175" t="s">
        <v>9244</v>
      </c>
      <c r="D175" t="s">
        <v>39</v>
      </c>
      <c r="E175" t="s">
        <v>9273</v>
      </c>
      <c r="F175" t="s">
        <v>2527</v>
      </c>
      <c r="G175" t="s">
        <v>9232</v>
      </c>
      <c r="H175" t="s">
        <v>361</v>
      </c>
      <c r="I175" t="s">
        <v>361</v>
      </c>
      <c r="J175" t="s">
        <v>361</v>
      </c>
      <c r="K175" t="s">
        <v>361</v>
      </c>
      <c r="L175" t="s">
        <v>361</v>
      </c>
      <c r="M175" t="s">
        <v>361</v>
      </c>
      <c r="N175" t="s">
        <v>3576</v>
      </c>
      <c r="O175" s="572"/>
      <c r="P175" t="s">
        <v>361</v>
      </c>
      <c r="Q175" t="s">
        <v>361</v>
      </c>
      <c r="R175" t="s">
        <v>361</v>
      </c>
      <c r="S175" t="s">
        <v>361</v>
      </c>
      <c r="T175" t="s">
        <v>361</v>
      </c>
      <c r="U175" t="s">
        <v>361</v>
      </c>
      <c r="V175" t="s">
        <v>361</v>
      </c>
      <c r="W175" t="s">
        <v>361</v>
      </c>
      <c r="X175" t="s">
        <v>361</v>
      </c>
    </row>
    <row r="176" spans="1:24">
      <c r="A176" t="s">
        <v>8539</v>
      </c>
      <c r="B176" t="s">
        <v>9274</v>
      </c>
      <c r="C176" t="s">
        <v>9244</v>
      </c>
      <c r="D176" t="s">
        <v>39</v>
      </c>
      <c r="E176" t="s">
        <v>9275</v>
      </c>
      <c r="F176" t="s">
        <v>2527</v>
      </c>
      <c r="G176" t="s">
        <v>9232</v>
      </c>
      <c r="H176" t="s">
        <v>361</v>
      </c>
      <c r="I176" t="s">
        <v>361</v>
      </c>
      <c r="J176" t="s">
        <v>361</v>
      </c>
      <c r="K176" t="s">
        <v>361</v>
      </c>
      <c r="L176" t="s">
        <v>361</v>
      </c>
      <c r="M176" t="s">
        <v>361</v>
      </c>
      <c r="N176" t="s">
        <v>3576</v>
      </c>
      <c r="O176" s="572"/>
      <c r="P176" t="s">
        <v>361</v>
      </c>
      <c r="Q176" t="s">
        <v>361</v>
      </c>
      <c r="R176" t="s">
        <v>361</v>
      </c>
      <c r="S176" t="s">
        <v>361</v>
      </c>
      <c r="T176" t="s">
        <v>361</v>
      </c>
      <c r="U176" t="s">
        <v>361</v>
      </c>
      <c r="V176" t="s">
        <v>361</v>
      </c>
      <c r="W176" t="s">
        <v>361</v>
      </c>
      <c r="X176" t="s">
        <v>361</v>
      </c>
    </row>
    <row r="177" spans="1:24">
      <c r="A177" t="s">
        <v>8539</v>
      </c>
      <c r="B177" t="s">
        <v>9276</v>
      </c>
      <c r="C177" t="s">
        <v>9244</v>
      </c>
      <c r="D177" t="s">
        <v>39</v>
      </c>
      <c r="E177" t="s">
        <v>9277</v>
      </c>
      <c r="F177" t="s">
        <v>2527</v>
      </c>
      <c r="G177" t="s">
        <v>2173</v>
      </c>
      <c r="H177" t="s">
        <v>1288</v>
      </c>
      <c r="I177" t="s">
        <v>1282</v>
      </c>
      <c r="J177" t="s">
        <v>1517</v>
      </c>
      <c r="K177" t="s">
        <v>9278</v>
      </c>
      <c r="L177" t="s">
        <v>9247</v>
      </c>
      <c r="M177" t="s">
        <v>361</v>
      </c>
      <c r="N177" t="s">
        <v>2177</v>
      </c>
      <c r="O177" s="572"/>
      <c r="P177" t="s">
        <v>361</v>
      </c>
      <c r="Q177" t="s">
        <v>361</v>
      </c>
      <c r="R177" t="s">
        <v>361</v>
      </c>
      <c r="S177" t="s">
        <v>361</v>
      </c>
      <c r="T177" t="s">
        <v>361</v>
      </c>
      <c r="U177" t="s">
        <v>361</v>
      </c>
      <c r="V177" t="s">
        <v>361</v>
      </c>
      <c r="W177" t="s">
        <v>361</v>
      </c>
      <c r="X177" t="s">
        <v>361</v>
      </c>
    </row>
    <row r="178" spans="1:24" ht="30">
      <c r="A178" t="s">
        <v>8539</v>
      </c>
      <c r="B178" t="s">
        <v>9279</v>
      </c>
      <c r="C178" t="s">
        <v>9280</v>
      </c>
      <c r="D178" t="s">
        <v>39</v>
      </c>
      <c r="E178" t="s">
        <v>9281</v>
      </c>
      <c r="F178" t="s">
        <v>2527</v>
      </c>
      <c r="G178" t="s">
        <v>8872</v>
      </c>
      <c r="H178" s="490" t="s">
        <v>1288</v>
      </c>
      <c r="I178" s="490" t="s">
        <v>1282</v>
      </c>
      <c r="J178" s="489" t="s">
        <v>8873</v>
      </c>
      <c r="K178" t="s">
        <v>9282</v>
      </c>
      <c r="L178" s="12" t="s">
        <v>8875</v>
      </c>
      <c r="M178" t="s">
        <v>361</v>
      </c>
      <c r="N178" t="s">
        <v>3576</v>
      </c>
      <c r="O178" t="s">
        <v>361</v>
      </c>
      <c r="P178" t="s">
        <v>361</v>
      </c>
      <c r="Q178" t="s">
        <v>361</v>
      </c>
      <c r="R178" t="s">
        <v>361</v>
      </c>
      <c r="S178" t="s">
        <v>361</v>
      </c>
      <c r="T178" t="s">
        <v>361</v>
      </c>
      <c r="U178" t="s">
        <v>361</v>
      </c>
      <c r="V178" t="s">
        <v>361</v>
      </c>
      <c r="W178" t="s">
        <v>361</v>
      </c>
      <c r="X178" t="s">
        <v>361</v>
      </c>
    </row>
    <row r="179" spans="1:24">
      <c r="A179" t="s">
        <v>8539</v>
      </c>
      <c r="B179" t="s">
        <v>4237</v>
      </c>
      <c r="C179" t="s">
        <v>9280</v>
      </c>
      <c r="D179" t="s">
        <v>39</v>
      </c>
      <c r="E179" t="s">
        <v>9283</v>
      </c>
      <c r="F179" t="s">
        <v>2527</v>
      </c>
      <c r="G179" t="s">
        <v>2173</v>
      </c>
      <c r="H179" t="s">
        <v>1288</v>
      </c>
      <c r="I179" t="s">
        <v>1282</v>
      </c>
      <c r="J179" t="s">
        <v>1289</v>
      </c>
      <c r="K179" t="s">
        <v>9284</v>
      </c>
      <c r="L179" t="s">
        <v>361</v>
      </c>
      <c r="M179" t="s">
        <v>361</v>
      </c>
      <c r="N179" t="s">
        <v>2177</v>
      </c>
      <c r="O179" t="s">
        <v>361</v>
      </c>
      <c r="P179" t="s">
        <v>361</v>
      </c>
      <c r="Q179" t="s">
        <v>361</v>
      </c>
      <c r="R179" t="s">
        <v>361</v>
      </c>
      <c r="S179" t="s">
        <v>361</v>
      </c>
      <c r="T179" t="s">
        <v>361</v>
      </c>
      <c r="U179" t="s">
        <v>361</v>
      </c>
      <c r="V179" t="s">
        <v>361</v>
      </c>
      <c r="W179" t="s">
        <v>361</v>
      </c>
      <c r="X179" t="s">
        <v>361</v>
      </c>
    </row>
    <row r="180" spans="1:24">
      <c r="A180" t="s">
        <v>8539</v>
      </c>
      <c r="B180" t="s">
        <v>159</v>
      </c>
      <c r="C180" t="s">
        <v>9280</v>
      </c>
      <c r="D180" t="s">
        <v>39</v>
      </c>
      <c r="E180" t="s">
        <v>9285</v>
      </c>
      <c r="F180" t="s">
        <v>2527</v>
      </c>
      <c r="G180" t="s">
        <v>2173</v>
      </c>
      <c r="H180" t="s">
        <v>1288</v>
      </c>
      <c r="I180" t="s">
        <v>1282</v>
      </c>
      <c r="J180" t="s">
        <v>1289</v>
      </c>
      <c r="K180" t="s">
        <v>2307</v>
      </c>
      <c r="L180" t="s">
        <v>361</v>
      </c>
      <c r="M180" t="s">
        <v>361</v>
      </c>
      <c r="N180" t="s">
        <v>2177</v>
      </c>
      <c r="O180" t="s">
        <v>361</v>
      </c>
      <c r="P180" t="s">
        <v>361</v>
      </c>
      <c r="Q180" t="s">
        <v>361</v>
      </c>
      <c r="R180" t="s">
        <v>361</v>
      </c>
      <c r="S180" t="s">
        <v>361</v>
      </c>
      <c r="T180" t="s">
        <v>361</v>
      </c>
      <c r="U180" t="s">
        <v>361</v>
      </c>
      <c r="V180" t="s">
        <v>361</v>
      </c>
      <c r="W180" t="s">
        <v>361</v>
      </c>
      <c r="X180" t="s">
        <v>361</v>
      </c>
    </row>
    <row r="181" spans="1:24">
      <c r="A181" t="s">
        <v>8539</v>
      </c>
      <c r="B181" t="s">
        <v>9286</v>
      </c>
      <c r="C181" t="s">
        <v>9280</v>
      </c>
      <c r="D181" t="s">
        <v>39</v>
      </c>
      <c r="E181" t="s">
        <v>9287</v>
      </c>
      <c r="F181" t="s">
        <v>2527</v>
      </c>
      <c r="G181" t="s">
        <v>2173</v>
      </c>
      <c r="H181" t="s">
        <v>1288</v>
      </c>
      <c r="I181" t="s">
        <v>1282</v>
      </c>
      <c r="J181" t="s">
        <v>1289</v>
      </c>
      <c r="K181" t="s">
        <v>9288</v>
      </c>
      <c r="L181" t="s">
        <v>361</v>
      </c>
      <c r="M181" t="s">
        <v>361</v>
      </c>
      <c r="N181" t="s">
        <v>2177</v>
      </c>
      <c r="O181" t="s">
        <v>361</v>
      </c>
      <c r="P181" t="s">
        <v>361</v>
      </c>
      <c r="Q181" t="s">
        <v>361</v>
      </c>
      <c r="R181" t="s">
        <v>361</v>
      </c>
      <c r="S181" t="s">
        <v>361</v>
      </c>
      <c r="T181" t="s">
        <v>361</v>
      </c>
      <c r="U181" t="s">
        <v>361</v>
      </c>
      <c r="V181" t="s">
        <v>361</v>
      </c>
      <c r="W181" t="s">
        <v>361</v>
      </c>
      <c r="X181" t="s">
        <v>361</v>
      </c>
    </row>
    <row r="182" spans="1:24">
      <c r="A182" t="s">
        <v>8539</v>
      </c>
      <c r="B182" t="s">
        <v>6798</v>
      </c>
      <c r="C182" t="s">
        <v>9280</v>
      </c>
      <c r="D182" t="s">
        <v>39</v>
      </c>
      <c r="E182" t="s">
        <v>9289</v>
      </c>
      <c r="F182" t="s">
        <v>2527</v>
      </c>
      <c r="G182" t="s">
        <v>2173</v>
      </c>
      <c r="H182" t="s">
        <v>1288</v>
      </c>
      <c r="I182" t="s">
        <v>1282</v>
      </c>
      <c r="J182" t="s">
        <v>1289</v>
      </c>
      <c r="K182" t="s">
        <v>9290</v>
      </c>
      <c r="L182" t="s">
        <v>361</v>
      </c>
      <c r="M182" t="s">
        <v>361</v>
      </c>
      <c r="N182" t="s">
        <v>2177</v>
      </c>
      <c r="O182" t="s">
        <v>361</v>
      </c>
      <c r="P182" t="s">
        <v>361</v>
      </c>
      <c r="Q182" t="s">
        <v>361</v>
      </c>
      <c r="R182" t="s">
        <v>361</v>
      </c>
      <c r="S182" t="s">
        <v>361</v>
      </c>
      <c r="T182" t="s">
        <v>361</v>
      </c>
      <c r="U182" t="s">
        <v>361</v>
      </c>
      <c r="V182" t="s">
        <v>361</v>
      </c>
      <c r="W182" t="s">
        <v>361</v>
      </c>
      <c r="X182" t="s">
        <v>361</v>
      </c>
    </row>
    <row r="183" spans="1:24">
      <c r="A183" t="s">
        <v>8539</v>
      </c>
      <c r="B183" t="s">
        <v>5416</v>
      </c>
      <c r="C183" t="s">
        <v>9280</v>
      </c>
      <c r="D183" t="s">
        <v>39</v>
      </c>
      <c r="E183" t="s">
        <v>9291</v>
      </c>
      <c r="F183" t="s">
        <v>2527</v>
      </c>
      <c r="G183" t="s">
        <v>2173</v>
      </c>
      <c r="H183" t="s">
        <v>1288</v>
      </c>
      <c r="I183" t="s">
        <v>1282</v>
      </c>
      <c r="J183" t="s">
        <v>1289</v>
      </c>
      <c r="K183" t="s">
        <v>9292</v>
      </c>
      <c r="L183" t="s">
        <v>361</v>
      </c>
      <c r="M183" t="s">
        <v>361</v>
      </c>
      <c r="N183" t="s">
        <v>2177</v>
      </c>
      <c r="O183" t="s">
        <v>361</v>
      </c>
      <c r="P183" t="s">
        <v>361</v>
      </c>
      <c r="Q183" t="s">
        <v>361</v>
      </c>
      <c r="R183" t="s">
        <v>361</v>
      </c>
      <c r="S183" t="s">
        <v>361</v>
      </c>
      <c r="T183" t="s">
        <v>361</v>
      </c>
      <c r="U183" t="s">
        <v>361</v>
      </c>
      <c r="V183" t="s">
        <v>361</v>
      </c>
      <c r="W183" t="s">
        <v>361</v>
      </c>
      <c r="X183" t="s">
        <v>361</v>
      </c>
    </row>
    <row r="184" spans="1:24" ht="30">
      <c r="A184" t="s">
        <v>8539</v>
      </c>
      <c r="B184" t="s">
        <v>2669</v>
      </c>
      <c r="C184" t="s">
        <v>9280</v>
      </c>
      <c r="D184" t="s">
        <v>39</v>
      </c>
      <c r="E184" t="s">
        <v>9293</v>
      </c>
      <c r="F184" t="s">
        <v>2527</v>
      </c>
      <c r="G184" t="s">
        <v>8872</v>
      </c>
      <c r="H184" s="490" t="s">
        <v>1288</v>
      </c>
      <c r="I184" s="490" t="s">
        <v>1282</v>
      </c>
      <c r="J184" s="489" t="s">
        <v>8873</v>
      </c>
      <c r="K184" t="s">
        <v>9294</v>
      </c>
      <c r="L184" s="12" t="s">
        <v>8875</v>
      </c>
      <c r="M184" t="s">
        <v>361</v>
      </c>
      <c r="N184" t="s">
        <v>3576</v>
      </c>
      <c r="O184" t="s">
        <v>361</v>
      </c>
      <c r="P184" t="s">
        <v>361</v>
      </c>
      <c r="Q184" t="s">
        <v>361</v>
      </c>
      <c r="R184" t="s">
        <v>361</v>
      </c>
      <c r="S184" t="s">
        <v>361</v>
      </c>
      <c r="T184" t="s">
        <v>361</v>
      </c>
      <c r="U184" t="s">
        <v>361</v>
      </c>
      <c r="V184" t="s">
        <v>361</v>
      </c>
      <c r="W184" t="s">
        <v>361</v>
      </c>
      <c r="X184" t="s">
        <v>361</v>
      </c>
    </row>
    <row r="185" spans="1:24">
      <c r="A185" t="s">
        <v>8539</v>
      </c>
      <c r="B185" t="s">
        <v>9295</v>
      </c>
      <c r="C185" t="s">
        <v>9280</v>
      </c>
      <c r="D185" t="s">
        <v>39</v>
      </c>
      <c r="E185" t="s">
        <v>9296</v>
      </c>
      <c r="F185" t="s">
        <v>2527</v>
      </c>
      <c r="G185" t="s">
        <v>2173</v>
      </c>
      <c r="H185" t="s">
        <v>1288</v>
      </c>
      <c r="I185" t="s">
        <v>1282</v>
      </c>
      <c r="J185" t="s">
        <v>1289</v>
      </c>
      <c r="K185" t="s">
        <v>9297</v>
      </c>
      <c r="L185" t="s">
        <v>361</v>
      </c>
      <c r="M185" t="s">
        <v>361</v>
      </c>
      <c r="N185" t="s">
        <v>2177</v>
      </c>
      <c r="O185" t="s">
        <v>361</v>
      </c>
      <c r="P185" t="s">
        <v>361</v>
      </c>
      <c r="Q185" t="s">
        <v>361</v>
      </c>
      <c r="R185" t="s">
        <v>361</v>
      </c>
      <c r="S185" t="s">
        <v>361</v>
      </c>
      <c r="T185" t="s">
        <v>361</v>
      </c>
      <c r="U185" t="s">
        <v>361</v>
      </c>
      <c r="V185" t="s">
        <v>361</v>
      </c>
      <c r="W185" t="s">
        <v>361</v>
      </c>
      <c r="X185" t="s">
        <v>361</v>
      </c>
    </row>
    <row r="186" spans="1:24">
      <c r="A186" t="s">
        <v>8539</v>
      </c>
      <c r="B186" t="s">
        <v>8595</v>
      </c>
      <c r="C186" t="s">
        <v>9280</v>
      </c>
      <c r="D186" t="s">
        <v>39</v>
      </c>
      <c r="E186" t="s">
        <v>9298</v>
      </c>
      <c r="F186" t="s">
        <v>2527</v>
      </c>
      <c r="G186" t="s">
        <v>2173</v>
      </c>
      <c r="H186" t="s">
        <v>1288</v>
      </c>
      <c r="I186" t="s">
        <v>1282</v>
      </c>
      <c r="J186" t="s">
        <v>1289</v>
      </c>
      <c r="K186" t="s">
        <v>7564</v>
      </c>
      <c r="L186" t="s">
        <v>361</v>
      </c>
      <c r="M186" t="s">
        <v>361</v>
      </c>
      <c r="N186" t="s">
        <v>2177</v>
      </c>
      <c r="O186" t="s">
        <v>361</v>
      </c>
      <c r="P186" t="s">
        <v>361</v>
      </c>
      <c r="Q186" t="s">
        <v>361</v>
      </c>
      <c r="R186" t="s">
        <v>361</v>
      </c>
      <c r="S186" t="s">
        <v>361</v>
      </c>
      <c r="T186" t="s">
        <v>361</v>
      </c>
      <c r="U186" t="s">
        <v>361</v>
      </c>
      <c r="V186" t="s">
        <v>361</v>
      </c>
      <c r="W186" t="s">
        <v>361</v>
      </c>
      <c r="X186" t="s">
        <v>361</v>
      </c>
    </row>
    <row r="187" spans="1:24">
      <c r="A187" t="s">
        <v>8539</v>
      </c>
      <c r="B187" t="s">
        <v>9299</v>
      </c>
      <c r="C187" t="s">
        <v>9280</v>
      </c>
      <c r="D187" t="s">
        <v>39</v>
      </c>
      <c r="E187" t="s">
        <v>9300</v>
      </c>
      <c r="F187" t="s">
        <v>2527</v>
      </c>
      <c r="G187" t="s">
        <v>2173</v>
      </c>
      <c r="H187" t="s">
        <v>1288</v>
      </c>
      <c r="I187" t="s">
        <v>1282</v>
      </c>
      <c r="J187" t="s">
        <v>1289</v>
      </c>
      <c r="K187" t="s">
        <v>9301</v>
      </c>
      <c r="L187" t="s">
        <v>361</v>
      </c>
      <c r="M187" t="s">
        <v>361</v>
      </c>
      <c r="N187" t="s">
        <v>2177</v>
      </c>
      <c r="O187" t="s">
        <v>361</v>
      </c>
      <c r="P187" t="s">
        <v>361</v>
      </c>
      <c r="Q187" t="s">
        <v>361</v>
      </c>
      <c r="R187" t="s">
        <v>361</v>
      </c>
      <c r="S187" t="s">
        <v>361</v>
      </c>
      <c r="T187" t="s">
        <v>361</v>
      </c>
      <c r="U187" t="s">
        <v>361</v>
      </c>
      <c r="V187" t="s">
        <v>361</v>
      </c>
      <c r="W187" t="s">
        <v>361</v>
      </c>
      <c r="X187" t="s">
        <v>361</v>
      </c>
    </row>
    <row r="188" spans="1:24">
      <c r="A188" t="s">
        <v>8539</v>
      </c>
      <c r="B188" t="s">
        <v>9302</v>
      </c>
      <c r="C188" t="s">
        <v>9280</v>
      </c>
      <c r="D188" t="s">
        <v>39</v>
      </c>
      <c r="E188" t="s">
        <v>9303</v>
      </c>
      <c r="F188" t="s">
        <v>2527</v>
      </c>
      <c r="G188" t="s">
        <v>2173</v>
      </c>
      <c r="H188" t="s">
        <v>1288</v>
      </c>
      <c r="I188" t="s">
        <v>1282</v>
      </c>
      <c r="J188" t="s">
        <v>1289</v>
      </c>
      <c r="K188" t="s">
        <v>9304</v>
      </c>
      <c r="L188" t="s">
        <v>361</v>
      </c>
      <c r="M188" t="s">
        <v>361</v>
      </c>
      <c r="N188" t="s">
        <v>2177</v>
      </c>
      <c r="O188" t="s">
        <v>361</v>
      </c>
      <c r="P188" t="s">
        <v>361</v>
      </c>
      <c r="Q188" t="s">
        <v>361</v>
      </c>
      <c r="R188" t="s">
        <v>361</v>
      </c>
      <c r="S188" t="s">
        <v>361</v>
      </c>
      <c r="T188" t="s">
        <v>361</v>
      </c>
      <c r="U188" t="s">
        <v>361</v>
      </c>
      <c r="V188" t="s">
        <v>361</v>
      </c>
      <c r="W188" t="s">
        <v>361</v>
      </c>
      <c r="X188" t="s">
        <v>361</v>
      </c>
    </row>
    <row r="189" spans="1:24">
      <c r="A189" t="s">
        <v>8539</v>
      </c>
      <c r="B189" t="s">
        <v>9305</v>
      </c>
      <c r="C189" t="s">
        <v>9280</v>
      </c>
      <c r="D189" t="s">
        <v>39</v>
      </c>
      <c r="E189" t="s">
        <v>9306</v>
      </c>
      <c r="F189" t="s">
        <v>2527</v>
      </c>
      <c r="G189" t="s">
        <v>2173</v>
      </c>
      <c r="H189" t="s">
        <v>1288</v>
      </c>
      <c r="I189" t="s">
        <v>1282</v>
      </c>
      <c r="J189" t="s">
        <v>1289</v>
      </c>
      <c r="K189" t="s">
        <v>9307</v>
      </c>
      <c r="L189" t="s">
        <v>361</v>
      </c>
      <c r="M189" t="s">
        <v>361</v>
      </c>
      <c r="N189" t="s">
        <v>2177</v>
      </c>
      <c r="O189" t="s">
        <v>361</v>
      </c>
      <c r="P189" t="s">
        <v>361</v>
      </c>
      <c r="Q189" t="s">
        <v>361</v>
      </c>
      <c r="R189" t="s">
        <v>361</v>
      </c>
      <c r="S189" t="s">
        <v>361</v>
      </c>
      <c r="T189" t="s">
        <v>361</v>
      </c>
      <c r="U189" t="s">
        <v>361</v>
      </c>
      <c r="V189" t="s">
        <v>361</v>
      </c>
      <c r="W189" t="s">
        <v>361</v>
      </c>
      <c r="X189" t="s">
        <v>361</v>
      </c>
    </row>
    <row r="190" spans="1:24">
      <c r="A190" t="s">
        <v>8539</v>
      </c>
      <c r="B190" t="s">
        <v>7647</v>
      </c>
      <c r="C190" t="s">
        <v>9280</v>
      </c>
      <c r="D190" t="s">
        <v>39</v>
      </c>
      <c r="E190" t="s">
        <v>9308</v>
      </c>
      <c r="F190" t="s">
        <v>2527</v>
      </c>
      <c r="G190" t="s">
        <v>2173</v>
      </c>
      <c r="H190" t="s">
        <v>1288</v>
      </c>
      <c r="I190" t="s">
        <v>1282</v>
      </c>
      <c r="J190" t="s">
        <v>1289</v>
      </c>
      <c r="K190" t="s">
        <v>9309</v>
      </c>
      <c r="L190" t="s">
        <v>361</v>
      </c>
      <c r="M190" t="s">
        <v>361</v>
      </c>
      <c r="N190" t="s">
        <v>2177</v>
      </c>
      <c r="O190" t="s">
        <v>361</v>
      </c>
      <c r="P190" t="s">
        <v>361</v>
      </c>
      <c r="Q190" t="s">
        <v>361</v>
      </c>
      <c r="R190" t="s">
        <v>361</v>
      </c>
      <c r="S190" t="s">
        <v>361</v>
      </c>
      <c r="T190" t="s">
        <v>361</v>
      </c>
      <c r="U190" t="s">
        <v>361</v>
      </c>
      <c r="V190" t="s">
        <v>361</v>
      </c>
      <c r="W190" t="s">
        <v>361</v>
      </c>
      <c r="X190" t="s">
        <v>361</v>
      </c>
    </row>
    <row r="191" spans="1:24">
      <c r="A191" t="s">
        <v>8539</v>
      </c>
      <c r="B191" t="s">
        <v>9310</v>
      </c>
      <c r="C191" t="s">
        <v>9280</v>
      </c>
      <c r="D191" t="s">
        <v>39</v>
      </c>
      <c r="E191" t="s">
        <v>9311</v>
      </c>
      <c r="F191" t="s">
        <v>2527</v>
      </c>
      <c r="G191" t="s">
        <v>2173</v>
      </c>
      <c r="H191" t="s">
        <v>1288</v>
      </c>
      <c r="I191" t="s">
        <v>1282</v>
      </c>
      <c r="J191" t="s">
        <v>1289</v>
      </c>
      <c r="K191" t="s">
        <v>9312</v>
      </c>
      <c r="L191" t="s">
        <v>361</v>
      </c>
      <c r="M191" t="s">
        <v>361</v>
      </c>
      <c r="N191" t="s">
        <v>2177</v>
      </c>
      <c r="O191" t="s">
        <v>361</v>
      </c>
      <c r="P191" t="s">
        <v>361</v>
      </c>
      <c r="Q191" t="s">
        <v>361</v>
      </c>
      <c r="R191" t="s">
        <v>361</v>
      </c>
      <c r="S191" t="s">
        <v>361</v>
      </c>
      <c r="T191" t="s">
        <v>361</v>
      </c>
      <c r="U191" t="s">
        <v>361</v>
      </c>
      <c r="V191" t="s">
        <v>361</v>
      </c>
      <c r="W191" t="s">
        <v>361</v>
      </c>
      <c r="X191" t="s">
        <v>361</v>
      </c>
    </row>
  </sheetData>
  <autoFilter ref="A1:X191" xr:uid="{FFA11201-52A8-46C3-8A21-F7A147760692}"/>
  <mergeCells count="1">
    <mergeCell ref="O165:O177"/>
  </mergeCells>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0D738-DBAD-47C5-B107-07209191E809}">
  <sheetPr>
    <tabColor theme="5" tint="0.59999389629810485"/>
  </sheetPr>
  <dimension ref="B1:T38"/>
  <sheetViews>
    <sheetView topLeftCell="G1" workbookViewId="0">
      <selection activeCell="Q1" sqref="Q1"/>
    </sheetView>
  </sheetViews>
  <sheetFormatPr defaultRowHeight="15"/>
  <cols>
    <col min="2" max="2" width="24.42578125" style="374" customWidth="1"/>
    <col min="3" max="3" width="26.5703125" style="374" customWidth="1"/>
    <col min="4" max="4" width="19.85546875" style="374" customWidth="1"/>
    <col min="5" max="5" width="24.42578125" style="374" customWidth="1"/>
    <col min="6" max="6" width="26" style="374" bestFit="1" customWidth="1"/>
    <col min="7" max="7" width="90" style="374" bestFit="1" customWidth="1"/>
  </cols>
  <sheetData>
    <row r="1" spans="2:20" ht="22.5" customHeight="1">
      <c r="B1" t="s">
        <v>2157</v>
      </c>
      <c r="C1" t="s">
        <v>336</v>
      </c>
      <c r="D1" t="s">
        <v>337</v>
      </c>
      <c r="E1" t="s">
        <v>338</v>
      </c>
      <c r="F1"/>
      <c r="G1" t="s">
        <v>339</v>
      </c>
      <c r="H1" t="s">
        <v>416</v>
      </c>
      <c r="I1" t="s">
        <v>417</v>
      </c>
      <c r="J1" t="s">
        <v>418</v>
      </c>
      <c r="K1" t="s">
        <v>419</v>
      </c>
      <c r="L1" t="s">
        <v>420</v>
      </c>
      <c r="M1" t="s">
        <v>421</v>
      </c>
      <c r="N1" t="s">
        <v>422</v>
      </c>
      <c r="O1" t="s">
        <v>423</v>
      </c>
      <c r="P1" t="s">
        <v>424</v>
      </c>
      <c r="Q1" t="s">
        <v>425</v>
      </c>
      <c r="R1" t="s">
        <v>426</v>
      </c>
      <c r="S1" t="s">
        <v>427</v>
      </c>
      <c r="T1" t="s">
        <v>428</v>
      </c>
    </row>
    <row r="2" spans="2:20">
      <c r="B2" s="8" t="s">
        <v>6858</v>
      </c>
      <c r="C2" t="s">
        <v>9313</v>
      </c>
      <c r="D2" t="s">
        <v>7968</v>
      </c>
      <c r="E2" t="s">
        <v>72</v>
      </c>
      <c r="F2" t="s">
        <v>9314</v>
      </c>
      <c r="G2" t="s">
        <v>9315</v>
      </c>
    </row>
    <row r="3" spans="2:20">
      <c r="B3" s="8" t="s">
        <v>6858</v>
      </c>
      <c r="C3" t="s">
        <v>9316</v>
      </c>
      <c r="D3" t="s">
        <v>7968</v>
      </c>
      <c r="E3" t="s">
        <v>72</v>
      </c>
      <c r="F3" t="s">
        <v>9314</v>
      </c>
      <c r="G3" t="s">
        <v>9317</v>
      </c>
    </row>
    <row r="4" spans="2:20">
      <c r="B4" s="8" t="s">
        <v>6858</v>
      </c>
      <c r="C4" t="s">
        <v>9318</v>
      </c>
      <c r="D4" t="s">
        <v>7968</v>
      </c>
      <c r="E4" t="s">
        <v>72</v>
      </c>
      <c r="F4" t="s">
        <v>9319</v>
      </c>
      <c r="G4" t="s">
        <v>9320</v>
      </c>
    </row>
    <row r="5" spans="2:20">
      <c r="B5" s="8" t="s">
        <v>6858</v>
      </c>
      <c r="C5" t="s">
        <v>9321</v>
      </c>
      <c r="D5" t="s">
        <v>9322</v>
      </c>
      <c r="E5" t="s">
        <v>72</v>
      </c>
      <c r="F5" t="s">
        <v>9314</v>
      </c>
      <c r="G5" t="s">
        <v>9323</v>
      </c>
    </row>
    <row r="6" spans="2:20">
      <c r="B6" s="8" t="s">
        <v>6858</v>
      </c>
      <c r="C6" t="s">
        <v>9324</v>
      </c>
      <c r="D6" t="s">
        <v>9322</v>
      </c>
      <c r="E6" t="s">
        <v>72</v>
      </c>
      <c r="F6" t="s">
        <v>9314</v>
      </c>
      <c r="G6" t="s">
        <v>9325</v>
      </c>
    </row>
    <row r="7" spans="2:20">
      <c r="B7" s="8" t="s">
        <v>6858</v>
      </c>
      <c r="C7" t="s">
        <v>9326</v>
      </c>
      <c r="D7" t="s">
        <v>9322</v>
      </c>
      <c r="E7" t="s">
        <v>72</v>
      </c>
      <c r="F7" t="s">
        <v>9314</v>
      </c>
      <c r="G7" t="s">
        <v>9327</v>
      </c>
    </row>
    <row r="8" spans="2:20">
      <c r="B8" s="8" t="s">
        <v>6858</v>
      </c>
      <c r="C8" t="s">
        <v>9328</v>
      </c>
      <c r="D8" t="s">
        <v>9322</v>
      </c>
      <c r="E8" t="s">
        <v>72</v>
      </c>
      <c r="F8" t="s">
        <v>9314</v>
      </c>
      <c r="G8" t="s">
        <v>9329</v>
      </c>
    </row>
    <row r="9" spans="2:20">
      <c r="B9" s="8" t="s">
        <v>6858</v>
      </c>
      <c r="C9" t="s">
        <v>7699</v>
      </c>
      <c r="D9" t="s">
        <v>9322</v>
      </c>
      <c r="E9" t="s">
        <v>72</v>
      </c>
      <c r="F9" t="s">
        <v>9314</v>
      </c>
      <c r="G9" t="s">
        <v>9330</v>
      </c>
    </row>
    <row r="10" spans="2:20">
      <c r="B10" s="8" t="s">
        <v>6858</v>
      </c>
      <c r="C10" t="s">
        <v>9331</v>
      </c>
      <c r="D10" t="s">
        <v>9322</v>
      </c>
      <c r="E10" t="s">
        <v>72</v>
      </c>
      <c r="F10" t="s">
        <v>9314</v>
      </c>
      <c r="G10" t="s">
        <v>9332</v>
      </c>
    </row>
    <row r="11" spans="2:20">
      <c r="B11" s="8" t="s">
        <v>6858</v>
      </c>
      <c r="C11" t="s">
        <v>9333</v>
      </c>
      <c r="D11" t="s">
        <v>9322</v>
      </c>
      <c r="E11" t="s">
        <v>72</v>
      </c>
      <c r="F11" t="s">
        <v>9314</v>
      </c>
      <c r="G11" t="s">
        <v>9334</v>
      </c>
    </row>
    <row r="12" spans="2:20">
      <c r="B12" s="8" t="s">
        <v>6858</v>
      </c>
      <c r="C12" t="s">
        <v>9335</v>
      </c>
      <c r="D12" t="s">
        <v>9322</v>
      </c>
      <c r="E12" t="s">
        <v>72</v>
      </c>
      <c r="F12" t="s">
        <v>9314</v>
      </c>
      <c r="G12" t="s">
        <v>9336</v>
      </c>
    </row>
    <row r="13" spans="2:20">
      <c r="B13" s="8" t="s">
        <v>6858</v>
      </c>
      <c r="C13" t="s">
        <v>9337</v>
      </c>
      <c r="D13" t="s">
        <v>9322</v>
      </c>
      <c r="E13" t="s">
        <v>72</v>
      </c>
      <c r="F13" t="s">
        <v>9314</v>
      </c>
      <c r="G13" t="s">
        <v>9338</v>
      </c>
    </row>
    <row r="14" spans="2:20">
      <c r="B14" s="8" t="s">
        <v>6858</v>
      </c>
      <c r="C14" t="s">
        <v>9339</v>
      </c>
      <c r="D14" t="s">
        <v>9322</v>
      </c>
      <c r="E14" t="s">
        <v>72</v>
      </c>
      <c r="F14" t="s">
        <v>9319</v>
      </c>
      <c r="G14" t="s">
        <v>9340</v>
      </c>
    </row>
    <row r="15" spans="2:20">
      <c r="B15" s="8" t="s">
        <v>6858</v>
      </c>
      <c r="C15" t="s">
        <v>8220</v>
      </c>
      <c r="D15" t="s">
        <v>9322</v>
      </c>
      <c r="E15" t="s">
        <v>72</v>
      </c>
      <c r="F15" t="s">
        <v>9314</v>
      </c>
      <c r="G15" t="s">
        <v>9341</v>
      </c>
    </row>
    <row r="16" spans="2:20">
      <c r="B16" s="8" t="s">
        <v>6858</v>
      </c>
      <c r="C16" t="s">
        <v>4293</v>
      </c>
      <c r="D16" t="s">
        <v>9342</v>
      </c>
      <c r="E16" t="s">
        <v>72</v>
      </c>
      <c r="F16" t="s">
        <v>9343</v>
      </c>
      <c r="G16" t="s">
        <v>9344</v>
      </c>
    </row>
    <row r="17" spans="2:7">
      <c r="B17" s="8" t="s">
        <v>6858</v>
      </c>
      <c r="C17" t="s">
        <v>9345</v>
      </c>
      <c r="D17" t="s">
        <v>9342</v>
      </c>
      <c r="E17" t="s">
        <v>72</v>
      </c>
      <c r="F17" t="s">
        <v>9343</v>
      </c>
      <c r="G17" t="s">
        <v>9346</v>
      </c>
    </row>
    <row r="18" spans="2:7">
      <c r="B18" s="8" t="s">
        <v>6858</v>
      </c>
      <c r="C18" t="s">
        <v>9347</v>
      </c>
      <c r="D18" t="s">
        <v>9342</v>
      </c>
      <c r="E18" t="s">
        <v>72</v>
      </c>
      <c r="F18" t="s">
        <v>9343</v>
      </c>
      <c r="G18" t="s">
        <v>9348</v>
      </c>
    </row>
    <row r="19" spans="2:7">
      <c r="B19" s="8" t="s">
        <v>6858</v>
      </c>
      <c r="C19" t="s">
        <v>9349</v>
      </c>
      <c r="D19" t="s">
        <v>9342</v>
      </c>
      <c r="E19" t="s">
        <v>72</v>
      </c>
      <c r="F19" t="s">
        <v>9343</v>
      </c>
      <c r="G19" t="s">
        <v>9350</v>
      </c>
    </row>
    <row r="20" spans="2:7">
      <c r="B20" s="8" t="s">
        <v>6858</v>
      </c>
      <c r="C20" t="s">
        <v>9351</v>
      </c>
      <c r="D20" t="s">
        <v>9342</v>
      </c>
      <c r="E20" t="s">
        <v>72</v>
      </c>
      <c r="F20" t="s">
        <v>9343</v>
      </c>
      <c r="G20" t="s">
        <v>9352</v>
      </c>
    </row>
    <row r="21" spans="2:7">
      <c r="B21" s="8" t="s">
        <v>6858</v>
      </c>
      <c r="C21" t="s">
        <v>9353</v>
      </c>
      <c r="D21" t="s">
        <v>9342</v>
      </c>
      <c r="E21" t="s">
        <v>72</v>
      </c>
      <c r="F21" t="s">
        <v>9343</v>
      </c>
      <c r="G21" t="s">
        <v>9354</v>
      </c>
    </row>
    <row r="22" spans="2:7">
      <c r="B22" s="8" t="s">
        <v>6858</v>
      </c>
      <c r="C22" t="s">
        <v>9355</v>
      </c>
      <c r="D22" t="s">
        <v>9342</v>
      </c>
      <c r="E22" t="s">
        <v>72</v>
      </c>
      <c r="F22" t="s">
        <v>9343</v>
      </c>
      <c r="G22" t="s">
        <v>9356</v>
      </c>
    </row>
    <row r="23" spans="2:7">
      <c r="B23" s="8" t="s">
        <v>6858</v>
      </c>
      <c r="C23" t="s">
        <v>9357</v>
      </c>
      <c r="D23" t="s">
        <v>9342</v>
      </c>
      <c r="E23" t="s">
        <v>72</v>
      </c>
      <c r="F23" t="s">
        <v>9343</v>
      </c>
      <c r="G23" t="s">
        <v>9358</v>
      </c>
    </row>
    <row r="24" spans="2:7">
      <c r="B24" s="8" t="s">
        <v>6858</v>
      </c>
      <c r="C24" t="s">
        <v>9359</v>
      </c>
      <c r="D24" t="s">
        <v>9342</v>
      </c>
      <c r="E24" t="s">
        <v>72</v>
      </c>
      <c r="F24" t="s">
        <v>9343</v>
      </c>
      <c r="G24" t="s">
        <v>9360</v>
      </c>
    </row>
    <row r="25" spans="2:7">
      <c r="B25" s="374" t="s">
        <v>6858</v>
      </c>
      <c r="C25" t="s">
        <v>9361</v>
      </c>
      <c r="D25" t="s">
        <v>9362</v>
      </c>
      <c r="E25" t="s">
        <v>72</v>
      </c>
      <c r="F25" t="s">
        <v>9363</v>
      </c>
      <c r="G25" t="s">
        <v>9364</v>
      </c>
    </row>
    <row r="26" spans="2:7">
      <c r="B26" s="374" t="s">
        <v>6858</v>
      </c>
      <c r="C26" t="s">
        <v>1218</v>
      </c>
      <c r="D26" t="s">
        <v>9362</v>
      </c>
      <c r="E26" t="s">
        <v>72</v>
      </c>
      <c r="F26" t="s">
        <v>9363</v>
      </c>
      <c r="G26" t="s">
        <v>9365</v>
      </c>
    </row>
    <row r="27" spans="2:7">
      <c r="B27" s="374" t="s">
        <v>6858</v>
      </c>
      <c r="C27" t="s">
        <v>9366</v>
      </c>
      <c r="D27" t="s">
        <v>9362</v>
      </c>
      <c r="E27" t="s">
        <v>72</v>
      </c>
      <c r="F27" t="s">
        <v>9363</v>
      </c>
      <c r="G27" t="s">
        <v>9367</v>
      </c>
    </row>
    <row r="28" spans="2:7">
      <c r="B28" s="374" t="s">
        <v>6858</v>
      </c>
      <c r="C28" t="s">
        <v>9368</v>
      </c>
      <c r="D28" t="s">
        <v>9362</v>
      </c>
      <c r="E28" t="s">
        <v>72</v>
      </c>
      <c r="F28" t="s">
        <v>9363</v>
      </c>
      <c r="G28" t="s">
        <v>9369</v>
      </c>
    </row>
    <row r="29" spans="2:7">
      <c r="B29" s="374" t="s">
        <v>6858</v>
      </c>
      <c r="C29" t="s">
        <v>9370</v>
      </c>
      <c r="D29" t="s">
        <v>9362</v>
      </c>
      <c r="E29" t="s">
        <v>72</v>
      </c>
      <c r="F29" t="s">
        <v>9363</v>
      </c>
      <c r="G29" t="s">
        <v>9371</v>
      </c>
    </row>
    <row r="30" spans="2:7">
      <c r="B30" s="374" t="s">
        <v>6858</v>
      </c>
      <c r="C30" t="s">
        <v>9372</v>
      </c>
      <c r="D30" t="s">
        <v>9362</v>
      </c>
      <c r="E30" t="s">
        <v>72</v>
      </c>
      <c r="F30" t="s">
        <v>9363</v>
      </c>
      <c r="G30" t="s">
        <v>9373</v>
      </c>
    </row>
    <row r="31" spans="2:7">
      <c r="B31" s="374" t="s">
        <v>6858</v>
      </c>
      <c r="C31" t="s">
        <v>9374</v>
      </c>
      <c r="D31" t="s">
        <v>9362</v>
      </c>
      <c r="E31" t="s">
        <v>72</v>
      </c>
      <c r="F31" t="s">
        <v>9363</v>
      </c>
      <c r="G31" t="s">
        <v>9375</v>
      </c>
    </row>
    <row r="32" spans="2:7">
      <c r="B32" s="374" t="s">
        <v>6858</v>
      </c>
      <c r="C32" t="s">
        <v>9376</v>
      </c>
      <c r="D32" t="s">
        <v>9362</v>
      </c>
      <c r="E32" t="s">
        <v>72</v>
      </c>
      <c r="F32" t="s">
        <v>9363</v>
      </c>
      <c r="G32" t="s">
        <v>9377</v>
      </c>
    </row>
    <row r="36" spans="3:3">
      <c r="C36"/>
    </row>
    <row r="37" spans="3:3">
      <c r="C37"/>
    </row>
    <row r="38" spans="3:3">
      <c r="C38"/>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FBDF-57E1-49D2-9F50-27A0B3330659}">
  <sheetPr>
    <tabColor theme="9" tint="0.79998168889431442"/>
  </sheetPr>
  <dimension ref="B1:S18"/>
  <sheetViews>
    <sheetView workbookViewId="0">
      <selection activeCell="D18" sqref="D18"/>
    </sheetView>
  </sheetViews>
  <sheetFormatPr defaultRowHeight="15"/>
  <cols>
    <col min="2" max="2" width="12.5703125" style="8" bestFit="1" customWidth="1"/>
    <col min="3" max="3" width="29" style="8" bestFit="1" customWidth="1"/>
    <col min="4" max="4" width="44.85546875" style="8" customWidth="1"/>
    <col min="15" max="15" width="26.5703125" style="8" bestFit="1" customWidth="1"/>
    <col min="16" max="16" width="13.42578125" style="8" bestFit="1" customWidth="1"/>
    <col min="17" max="17" width="23.42578125" style="8" bestFit="1" customWidth="1"/>
    <col min="18" max="18" width="20.140625" style="8" bestFit="1" customWidth="1"/>
    <col min="19" max="19" width="16.5703125" style="8" customWidth="1"/>
  </cols>
  <sheetData>
    <row r="1" spans="2:19" ht="15.75" thickBot="1">
      <c r="B1" t="s">
        <v>2157</v>
      </c>
      <c r="C1" t="s">
        <v>336</v>
      </c>
      <c r="D1" t="s">
        <v>337</v>
      </c>
      <c r="E1" t="s">
        <v>338</v>
      </c>
      <c r="F1" t="s">
        <v>339</v>
      </c>
      <c r="G1" t="s">
        <v>416</v>
      </c>
      <c r="H1" t="s">
        <v>417</v>
      </c>
      <c r="I1" t="s">
        <v>418</v>
      </c>
      <c r="J1" t="s">
        <v>419</v>
      </c>
      <c r="K1" t="s">
        <v>420</v>
      </c>
      <c r="L1" t="s">
        <v>421</v>
      </c>
      <c r="M1" t="s">
        <v>422</v>
      </c>
      <c r="N1" t="s">
        <v>423</v>
      </c>
      <c r="O1" t="s">
        <v>424</v>
      </c>
      <c r="P1" t="s">
        <v>425</v>
      </c>
      <c r="Q1" t="s">
        <v>426</v>
      </c>
      <c r="R1" t="s">
        <v>427</v>
      </c>
      <c r="S1" t="s">
        <v>428</v>
      </c>
    </row>
    <row r="2" spans="2:19">
      <c r="B2" s="8" t="s">
        <v>6858</v>
      </c>
      <c r="C2" t="s">
        <v>9378</v>
      </c>
      <c r="D2" t="s">
        <v>9379</v>
      </c>
      <c r="E2" t="s">
        <v>100</v>
      </c>
      <c r="F2" t="s">
        <v>9380</v>
      </c>
      <c r="G2" s="8" t="s">
        <v>9381</v>
      </c>
      <c r="H2" s="8" t="s">
        <v>9382</v>
      </c>
      <c r="J2" s="8" t="s">
        <v>9382</v>
      </c>
      <c r="O2" s="8" t="s">
        <v>9383</v>
      </c>
      <c r="P2" s="8" t="s">
        <v>9384</v>
      </c>
      <c r="Q2" s="8" t="s">
        <v>9385</v>
      </c>
      <c r="R2" s="8" t="s">
        <v>9386</v>
      </c>
    </row>
    <row r="3" spans="2:19">
      <c r="B3" s="8" t="s">
        <v>6858</v>
      </c>
      <c r="C3" t="s">
        <v>9387</v>
      </c>
      <c r="D3" t="s">
        <v>9379</v>
      </c>
      <c r="E3" t="s">
        <v>100</v>
      </c>
      <c r="F3" t="s">
        <v>9388</v>
      </c>
      <c r="G3" s="8" t="s">
        <v>9381</v>
      </c>
      <c r="H3" s="8" t="s">
        <v>9389</v>
      </c>
      <c r="J3" s="8" t="s">
        <v>9389</v>
      </c>
      <c r="O3" s="8" t="s">
        <v>9383</v>
      </c>
      <c r="P3" s="8" t="s">
        <v>9384</v>
      </c>
      <c r="Q3" s="8" t="s">
        <v>9385</v>
      </c>
      <c r="R3" s="8" t="s">
        <v>9390</v>
      </c>
    </row>
    <row r="4" spans="2:19">
      <c r="B4" s="8" t="s">
        <v>6858</v>
      </c>
      <c r="C4" t="s">
        <v>9391</v>
      </c>
      <c r="D4" t="s">
        <v>9379</v>
      </c>
      <c r="E4" t="s">
        <v>100</v>
      </c>
      <c r="F4" t="s">
        <v>9392</v>
      </c>
      <c r="G4" s="8" t="s">
        <v>9381</v>
      </c>
      <c r="H4" s="8" t="s">
        <v>9393</v>
      </c>
      <c r="J4" s="8" t="s">
        <v>9393</v>
      </c>
      <c r="O4" s="8" t="s">
        <v>9383</v>
      </c>
      <c r="P4" s="8" t="s">
        <v>9384</v>
      </c>
      <c r="Q4" s="8" t="s">
        <v>9385</v>
      </c>
      <c r="R4" s="8" t="s">
        <v>9394</v>
      </c>
    </row>
    <row r="5" spans="2:19">
      <c r="B5" s="8" t="s">
        <v>6858</v>
      </c>
      <c r="C5" t="s">
        <v>9395</v>
      </c>
      <c r="D5" t="s">
        <v>9379</v>
      </c>
      <c r="E5" t="s">
        <v>100</v>
      </c>
      <c r="F5" t="s">
        <v>9396</v>
      </c>
      <c r="G5" s="8" t="s">
        <v>9381</v>
      </c>
      <c r="H5" s="8" t="s">
        <v>8397</v>
      </c>
      <c r="J5" s="8" t="s">
        <v>8397</v>
      </c>
      <c r="O5" s="8" t="s">
        <v>9383</v>
      </c>
      <c r="P5" s="8" t="s">
        <v>9384</v>
      </c>
      <c r="Q5" s="8" t="s">
        <v>9385</v>
      </c>
      <c r="R5" s="8" t="s">
        <v>9397</v>
      </c>
    </row>
    <row r="6" spans="2:19">
      <c r="B6" s="8" t="s">
        <v>6858</v>
      </c>
      <c r="C6" t="s">
        <v>9398</v>
      </c>
      <c r="D6" t="s">
        <v>9379</v>
      </c>
      <c r="E6" t="s">
        <v>100</v>
      </c>
      <c r="F6" t="s">
        <v>9399</v>
      </c>
      <c r="G6" s="8" t="s">
        <v>9381</v>
      </c>
      <c r="H6" s="8" t="s">
        <v>8397</v>
      </c>
      <c r="J6" s="8" t="s">
        <v>8397</v>
      </c>
      <c r="O6" s="8" t="s">
        <v>9383</v>
      </c>
      <c r="P6" s="8" t="s">
        <v>9384</v>
      </c>
      <c r="Q6" s="8" t="s">
        <v>9385</v>
      </c>
      <c r="R6" s="8" t="s">
        <v>9400</v>
      </c>
    </row>
    <row r="7" spans="2:19">
      <c r="B7" s="8" t="s">
        <v>6858</v>
      </c>
      <c r="C7" t="s">
        <v>9401</v>
      </c>
      <c r="D7" t="s">
        <v>9379</v>
      </c>
      <c r="E7" t="s">
        <v>100</v>
      </c>
      <c r="F7" t="s">
        <v>9402</v>
      </c>
      <c r="G7" s="8" t="s">
        <v>9381</v>
      </c>
      <c r="H7" s="8" t="s">
        <v>9389</v>
      </c>
      <c r="J7" s="8" t="s">
        <v>9389</v>
      </c>
      <c r="L7" s="8" t="s">
        <v>8427</v>
      </c>
      <c r="O7" s="8" t="s">
        <v>9383</v>
      </c>
      <c r="P7" s="8" t="s">
        <v>9384</v>
      </c>
      <c r="Q7" s="8" t="s">
        <v>9385</v>
      </c>
      <c r="R7" s="8" t="s">
        <v>9390</v>
      </c>
    </row>
    <row r="8" spans="2:19">
      <c r="B8" s="8" t="s">
        <v>6858</v>
      </c>
      <c r="C8" t="s">
        <v>9403</v>
      </c>
      <c r="D8" t="s">
        <v>9379</v>
      </c>
      <c r="E8" t="s">
        <v>100</v>
      </c>
      <c r="F8" t="s">
        <v>9404</v>
      </c>
      <c r="G8" s="8" t="s">
        <v>9381</v>
      </c>
      <c r="H8" s="8" t="s">
        <v>9389</v>
      </c>
      <c r="J8" s="8" t="s">
        <v>9389</v>
      </c>
      <c r="L8" s="8" t="s">
        <v>8427</v>
      </c>
      <c r="O8" s="8" t="s">
        <v>9383</v>
      </c>
      <c r="P8" s="8" t="s">
        <v>9384</v>
      </c>
      <c r="Q8" s="8" t="s">
        <v>9385</v>
      </c>
      <c r="R8" s="8" t="s">
        <v>9405</v>
      </c>
    </row>
    <row r="9" spans="2:19">
      <c r="B9" s="8" t="s">
        <v>6968</v>
      </c>
      <c r="C9" t="s">
        <v>9378</v>
      </c>
      <c r="D9" t="s">
        <v>9379</v>
      </c>
      <c r="E9" t="s">
        <v>100</v>
      </c>
      <c r="F9" t="s">
        <v>9380</v>
      </c>
      <c r="G9" s="8" t="s">
        <v>9381</v>
      </c>
      <c r="H9" s="8" t="s">
        <v>9382</v>
      </c>
      <c r="J9" s="8" t="s">
        <v>9382</v>
      </c>
      <c r="O9" s="8" t="s">
        <v>9383</v>
      </c>
      <c r="P9" s="8" t="s">
        <v>9384</v>
      </c>
      <c r="Q9" s="8" t="s">
        <v>9385</v>
      </c>
      <c r="R9" s="8" t="s">
        <v>9386</v>
      </c>
    </row>
    <row r="10" spans="2:19">
      <c r="B10" s="8" t="s">
        <v>6968</v>
      </c>
      <c r="C10" t="s">
        <v>9387</v>
      </c>
      <c r="D10" t="s">
        <v>9379</v>
      </c>
      <c r="E10" t="s">
        <v>100</v>
      </c>
      <c r="F10" t="s">
        <v>9388</v>
      </c>
      <c r="G10" s="8" t="s">
        <v>9381</v>
      </c>
      <c r="H10" s="8" t="s">
        <v>9389</v>
      </c>
      <c r="J10" s="8" t="s">
        <v>9389</v>
      </c>
      <c r="O10" s="8" t="s">
        <v>9383</v>
      </c>
      <c r="P10" s="8" t="s">
        <v>9384</v>
      </c>
      <c r="Q10" s="8" t="s">
        <v>9385</v>
      </c>
      <c r="R10" s="8" t="s">
        <v>9390</v>
      </c>
    </row>
    <row r="11" spans="2:19">
      <c r="B11" s="8" t="s">
        <v>6968</v>
      </c>
      <c r="C11" t="s">
        <v>9391</v>
      </c>
      <c r="D11" t="s">
        <v>9379</v>
      </c>
      <c r="E11" t="s">
        <v>100</v>
      </c>
      <c r="F11" t="s">
        <v>9392</v>
      </c>
      <c r="G11" s="8" t="s">
        <v>9381</v>
      </c>
      <c r="H11" s="8" t="s">
        <v>9393</v>
      </c>
      <c r="J11" s="8" t="s">
        <v>9393</v>
      </c>
      <c r="O11" s="8" t="s">
        <v>9383</v>
      </c>
      <c r="P11" s="8" t="s">
        <v>9384</v>
      </c>
      <c r="Q11" s="8" t="s">
        <v>9385</v>
      </c>
      <c r="R11" s="8" t="s">
        <v>9394</v>
      </c>
    </row>
    <row r="12" spans="2:19">
      <c r="B12" s="8" t="s">
        <v>6968</v>
      </c>
      <c r="C12" t="s">
        <v>9395</v>
      </c>
      <c r="D12" t="s">
        <v>9379</v>
      </c>
      <c r="E12" t="s">
        <v>100</v>
      </c>
      <c r="F12" t="s">
        <v>9396</v>
      </c>
      <c r="G12" s="8" t="s">
        <v>9381</v>
      </c>
      <c r="H12" s="8" t="s">
        <v>8397</v>
      </c>
      <c r="J12" s="8" t="s">
        <v>8397</v>
      </c>
      <c r="O12" s="8" t="s">
        <v>9383</v>
      </c>
      <c r="P12" s="8" t="s">
        <v>9384</v>
      </c>
      <c r="Q12" s="8" t="s">
        <v>9385</v>
      </c>
      <c r="R12" s="8" t="s">
        <v>9397</v>
      </c>
    </row>
    <row r="13" spans="2:19">
      <c r="B13" s="8" t="s">
        <v>6968</v>
      </c>
      <c r="C13" t="s">
        <v>9398</v>
      </c>
      <c r="D13" t="s">
        <v>9379</v>
      </c>
      <c r="E13" t="s">
        <v>100</v>
      </c>
      <c r="F13" t="s">
        <v>9399</v>
      </c>
      <c r="G13" s="8" t="s">
        <v>9381</v>
      </c>
      <c r="H13" s="8" t="s">
        <v>8397</v>
      </c>
      <c r="J13" s="8" t="s">
        <v>8397</v>
      </c>
      <c r="O13" s="8" t="s">
        <v>9383</v>
      </c>
      <c r="P13" s="8" t="s">
        <v>9384</v>
      </c>
      <c r="Q13" s="8" t="s">
        <v>9385</v>
      </c>
      <c r="R13" s="8" t="s">
        <v>9400</v>
      </c>
    </row>
    <row r="14" spans="2:19">
      <c r="B14" s="8" t="s">
        <v>6968</v>
      </c>
      <c r="C14" t="s">
        <v>9406</v>
      </c>
      <c r="D14" t="s">
        <v>9379</v>
      </c>
      <c r="E14" t="s">
        <v>100</v>
      </c>
      <c r="F14" t="s">
        <v>9402</v>
      </c>
      <c r="G14" s="8" t="s">
        <v>9381</v>
      </c>
      <c r="H14" s="8" t="s">
        <v>9389</v>
      </c>
      <c r="J14" s="8" t="s">
        <v>9389</v>
      </c>
      <c r="L14" s="8" t="s">
        <v>8427</v>
      </c>
      <c r="O14" s="8" t="s">
        <v>9383</v>
      </c>
      <c r="P14" s="8" t="s">
        <v>9384</v>
      </c>
      <c r="Q14" s="8" t="s">
        <v>9385</v>
      </c>
      <c r="R14" s="8" t="s">
        <v>9390</v>
      </c>
    </row>
    <row r="15" spans="2:19">
      <c r="B15" s="8" t="s">
        <v>6968</v>
      </c>
      <c r="C15" t="s">
        <v>9403</v>
      </c>
      <c r="D15" t="s">
        <v>9379</v>
      </c>
      <c r="E15" t="s">
        <v>100</v>
      </c>
      <c r="F15" t="s">
        <v>9404</v>
      </c>
      <c r="G15" s="8" t="s">
        <v>9381</v>
      </c>
      <c r="H15" s="8" t="s">
        <v>9389</v>
      </c>
      <c r="J15" s="8" t="s">
        <v>9389</v>
      </c>
      <c r="L15" s="8" t="s">
        <v>8427</v>
      </c>
      <c r="O15" s="8" t="s">
        <v>9383</v>
      </c>
      <c r="P15" s="8" t="s">
        <v>9384</v>
      </c>
      <c r="Q15" s="8" t="s">
        <v>9385</v>
      </c>
      <c r="R15" s="8" t="s">
        <v>9405</v>
      </c>
    </row>
    <row r="18" spans="10:10">
      <c r="J18" t="s">
        <v>9407</v>
      </c>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B9BFB-FBE9-4EE8-9A1C-7C31A77BE5D8}">
  <sheetPr>
    <tabColor theme="9" tint="0.79998168889431442"/>
  </sheetPr>
  <dimension ref="B1:Y76"/>
  <sheetViews>
    <sheetView zoomScale="90" zoomScaleNormal="90" workbookViewId="0">
      <selection activeCell="E10" sqref="E10"/>
    </sheetView>
  </sheetViews>
  <sheetFormatPr defaultRowHeight="15"/>
  <cols>
    <col min="2" max="2" width="13.85546875" style="8" bestFit="1" customWidth="1"/>
    <col min="3" max="3" width="26.140625" style="8" bestFit="1" customWidth="1"/>
    <col min="4" max="4" width="48.42578125" style="8" bestFit="1" customWidth="1"/>
    <col min="5" max="5" width="14.5703125" style="8" bestFit="1" customWidth="1"/>
    <col min="6" max="6" width="9.140625" style="8" customWidth="1"/>
    <col min="7" max="7" width="24.42578125" style="8" customWidth="1"/>
    <col min="8" max="8" width="9.140625" style="8" customWidth="1"/>
    <col min="9" max="9" width="19" style="8" bestFit="1" customWidth="1"/>
    <col min="10" max="10" width="11.42578125" style="8" bestFit="1" customWidth="1"/>
    <col min="11" max="11" width="21.5703125" style="8" bestFit="1" customWidth="1"/>
    <col min="12" max="12" width="22" style="8" bestFit="1" customWidth="1"/>
    <col min="13" max="13" width="96" style="8" bestFit="1" customWidth="1"/>
    <col min="14" max="14" width="11.42578125" style="8" bestFit="1" customWidth="1"/>
    <col min="15" max="15" width="37.5703125" style="8" hidden="1" customWidth="1"/>
    <col min="16" max="16" width="77.42578125" style="8" bestFit="1" customWidth="1"/>
    <col min="17" max="17" width="10.42578125" style="8" bestFit="1" customWidth="1"/>
    <col min="18" max="20" width="11.42578125" style="8" bestFit="1" customWidth="1"/>
    <col min="21" max="21" width="16.85546875" style="8" bestFit="1" customWidth="1"/>
    <col min="22" max="22" width="11.42578125" style="8" bestFit="1" customWidth="1"/>
    <col min="23" max="23" width="16.85546875" style="8" bestFit="1" customWidth="1"/>
    <col min="24" max="24" width="46.5703125" style="8" bestFit="1" customWidth="1"/>
    <col min="25" max="25" width="33.5703125" style="8" bestFit="1" customWidth="1"/>
  </cols>
  <sheetData>
    <row r="1" spans="2:25">
      <c r="B1" s="339" t="s">
        <v>2157</v>
      </c>
      <c r="C1" s="339" t="s">
        <v>336</v>
      </c>
      <c r="D1" s="339" t="s">
        <v>337</v>
      </c>
      <c r="E1" s="339" t="s">
        <v>338</v>
      </c>
      <c r="F1" s="339" t="s">
        <v>339</v>
      </c>
      <c r="G1" s="358" t="s">
        <v>2158</v>
      </c>
      <c r="H1" s="358" t="s">
        <v>2159</v>
      </c>
      <c r="I1" s="339" t="s">
        <v>2160</v>
      </c>
      <c r="J1" s="339" t="s">
        <v>425</v>
      </c>
      <c r="K1" s="339" t="s">
        <v>426</v>
      </c>
      <c r="L1" s="339" t="s">
        <v>427</v>
      </c>
      <c r="M1" s="339" t="s">
        <v>2161</v>
      </c>
      <c r="N1" s="339" t="s">
        <v>2162</v>
      </c>
      <c r="O1" t="s">
        <v>6856</v>
      </c>
      <c r="P1" s="339" t="s">
        <v>428</v>
      </c>
      <c r="Q1" s="358" t="s">
        <v>16</v>
      </c>
      <c r="R1" s="358" t="s">
        <v>416</v>
      </c>
      <c r="S1" s="358" t="s">
        <v>417</v>
      </c>
      <c r="T1" s="358" t="s">
        <v>418</v>
      </c>
      <c r="U1" s="358" t="s">
        <v>419</v>
      </c>
      <c r="V1" s="358" t="s">
        <v>420</v>
      </c>
      <c r="W1" s="358" t="s">
        <v>421</v>
      </c>
      <c r="X1" s="358" t="s">
        <v>422</v>
      </c>
      <c r="Y1" s="358" t="s">
        <v>423</v>
      </c>
    </row>
    <row r="2" spans="2:25">
      <c r="B2" t="s">
        <v>3593</v>
      </c>
      <c r="C2" t="s">
        <v>9408</v>
      </c>
      <c r="D2" t="s">
        <v>9409</v>
      </c>
      <c r="E2" t="s">
        <v>43</v>
      </c>
      <c r="F2" t="s">
        <v>9410</v>
      </c>
      <c r="G2" t="s">
        <v>544</v>
      </c>
      <c r="H2" t="s">
        <v>2546</v>
      </c>
      <c r="I2" t="s">
        <v>1248</v>
      </c>
      <c r="J2"/>
      <c r="K2" t="s">
        <v>581</v>
      </c>
      <c r="L2" t="s">
        <v>1251</v>
      </c>
      <c r="M2" t="s">
        <v>9411</v>
      </c>
      <c r="N2"/>
      <c r="O2" t="s">
        <v>2177</v>
      </c>
      <c r="P2"/>
      <c r="Q2"/>
      <c r="R2" t="s">
        <v>435</v>
      </c>
      <c r="S2" t="s">
        <v>435</v>
      </c>
      <c r="T2">
        <v>20</v>
      </c>
      <c r="U2" t="s">
        <v>9412</v>
      </c>
      <c r="V2" t="s">
        <v>6872</v>
      </c>
      <c r="W2" t="s">
        <v>9412</v>
      </c>
      <c r="X2"/>
      <c r="Y2"/>
    </row>
    <row r="3" spans="2:25">
      <c r="B3" t="s">
        <v>3593</v>
      </c>
      <c r="C3" t="s">
        <v>4237</v>
      </c>
      <c r="D3" t="s">
        <v>9409</v>
      </c>
      <c r="E3" t="s">
        <v>43</v>
      </c>
      <c r="F3" t="s">
        <v>9413</v>
      </c>
      <c r="G3" t="s">
        <v>544</v>
      </c>
      <c r="H3" t="s">
        <v>2546</v>
      </c>
      <c r="I3" t="s">
        <v>1248</v>
      </c>
      <c r="J3"/>
      <c r="K3" t="s">
        <v>581</v>
      </c>
      <c r="L3" t="s">
        <v>9414</v>
      </c>
      <c r="M3" t="s">
        <v>9411</v>
      </c>
      <c r="N3"/>
      <c r="O3" t="s">
        <v>2177</v>
      </c>
      <c r="P3"/>
      <c r="Q3"/>
      <c r="R3" t="s">
        <v>435</v>
      </c>
      <c r="S3" t="s">
        <v>435</v>
      </c>
      <c r="T3"/>
      <c r="U3" t="s">
        <v>2207</v>
      </c>
      <c r="V3" t="s">
        <v>6872</v>
      </c>
      <c r="W3" t="s">
        <v>2207</v>
      </c>
      <c r="X3"/>
      <c r="Y3"/>
    </row>
    <row r="4" spans="2:25">
      <c r="B4" t="s">
        <v>3593</v>
      </c>
      <c r="C4" t="s">
        <v>4293</v>
      </c>
      <c r="D4" t="s">
        <v>9409</v>
      </c>
      <c r="E4" t="s">
        <v>43</v>
      </c>
      <c r="F4" t="s">
        <v>9415</v>
      </c>
      <c r="G4" t="s">
        <v>544</v>
      </c>
      <c r="H4" t="s">
        <v>2546</v>
      </c>
      <c r="I4" t="s">
        <v>1248</v>
      </c>
      <c r="J4"/>
      <c r="K4" t="s">
        <v>581</v>
      </c>
      <c r="L4" t="s">
        <v>9416</v>
      </c>
      <c r="M4" t="s">
        <v>9411</v>
      </c>
      <c r="N4"/>
      <c r="O4" t="s">
        <v>2177</v>
      </c>
      <c r="P4"/>
      <c r="Q4"/>
      <c r="R4" t="s">
        <v>435</v>
      </c>
      <c r="S4" t="s">
        <v>435</v>
      </c>
      <c r="T4">
        <v>20</v>
      </c>
      <c r="U4" t="s">
        <v>9412</v>
      </c>
      <c r="V4" t="s">
        <v>6872</v>
      </c>
      <c r="W4" t="s">
        <v>9412</v>
      </c>
      <c r="X4"/>
      <c r="Y4"/>
    </row>
    <row r="5" spans="2:25">
      <c r="B5" t="s">
        <v>3593</v>
      </c>
      <c r="C5" t="s">
        <v>4266</v>
      </c>
      <c r="D5" t="s">
        <v>9409</v>
      </c>
      <c r="E5" t="s">
        <v>43</v>
      </c>
      <c r="F5" t="s">
        <v>9417</v>
      </c>
      <c r="G5" t="s">
        <v>544</v>
      </c>
      <c r="H5" t="s">
        <v>2546</v>
      </c>
      <c r="I5" t="s">
        <v>1248</v>
      </c>
      <c r="J5"/>
      <c r="K5" t="s">
        <v>581</v>
      </c>
      <c r="L5" t="s">
        <v>9418</v>
      </c>
      <c r="M5" t="s">
        <v>9411</v>
      </c>
      <c r="N5"/>
      <c r="O5" t="s">
        <v>2177</v>
      </c>
      <c r="P5"/>
      <c r="Q5"/>
      <c r="R5" t="s">
        <v>435</v>
      </c>
      <c r="S5" t="s">
        <v>435</v>
      </c>
      <c r="T5"/>
      <c r="U5" t="s">
        <v>9419</v>
      </c>
      <c r="V5" t="s">
        <v>6872</v>
      </c>
      <c r="W5" t="s">
        <v>9419</v>
      </c>
      <c r="X5"/>
      <c r="Y5"/>
    </row>
    <row r="6" spans="2:25">
      <c r="B6" t="s">
        <v>3593</v>
      </c>
      <c r="C6" t="s">
        <v>4263</v>
      </c>
      <c r="D6" t="s">
        <v>9409</v>
      </c>
      <c r="E6" t="s">
        <v>43</v>
      </c>
      <c r="F6" t="s">
        <v>9420</v>
      </c>
      <c r="G6" t="s">
        <v>544</v>
      </c>
      <c r="H6" t="s">
        <v>2546</v>
      </c>
      <c r="I6" t="s">
        <v>1248</v>
      </c>
      <c r="J6"/>
      <c r="K6" t="s">
        <v>581</v>
      </c>
      <c r="L6" t="s">
        <v>9421</v>
      </c>
      <c r="M6" t="s">
        <v>9411</v>
      </c>
      <c r="N6"/>
      <c r="O6" t="s">
        <v>2177</v>
      </c>
      <c r="P6"/>
      <c r="Q6"/>
      <c r="R6" t="s">
        <v>429</v>
      </c>
      <c r="S6" t="s">
        <v>429</v>
      </c>
      <c r="T6"/>
      <c r="U6" t="s">
        <v>9422</v>
      </c>
      <c r="V6" t="s">
        <v>6872</v>
      </c>
      <c r="W6" t="s">
        <v>9422</v>
      </c>
      <c r="X6"/>
      <c r="Y6" t="s">
        <v>9423</v>
      </c>
    </row>
    <row r="7" spans="2:25">
      <c r="B7" t="s">
        <v>3593</v>
      </c>
      <c r="C7" t="s">
        <v>4307</v>
      </c>
      <c r="D7" t="s">
        <v>9409</v>
      </c>
      <c r="E7" t="s">
        <v>43</v>
      </c>
      <c r="F7" t="s">
        <v>9424</v>
      </c>
      <c r="G7" t="s">
        <v>544</v>
      </c>
      <c r="H7" t="s">
        <v>2546</v>
      </c>
      <c r="I7" t="s">
        <v>1248</v>
      </c>
      <c r="J7"/>
      <c r="K7" t="s">
        <v>581</v>
      </c>
      <c r="L7" t="s">
        <v>4309</v>
      </c>
      <c r="M7" t="s">
        <v>9411</v>
      </c>
      <c r="N7"/>
      <c r="O7" t="s">
        <v>2177</v>
      </c>
      <c r="P7"/>
      <c r="Q7"/>
      <c r="R7" t="s">
        <v>435</v>
      </c>
      <c r="S7" t="s">
        <v>435</v>
      </c>
      <c r="T7">
        <v>22</v>
      </c>
      <c r="U7" t="s">
        <v>9419</v>
      </c>
      <c r="V7" t="s">
        <v>6872</v>
      </c>
      <c r="W7" t="s">
        <v>9419</v>
      </c>
      <c r="X7"/>
      <c r="Y7"/>
    </row>
    <row r="8" spans="2:25">
      <c r="B8" t="s">
        <v>3593</v>
      </c>
      <c r="C8" t="s">
        <v>9425</v>
      </c>
      <c r="D8" t="s">
        <v>9409</v>
      </c>
      <c r="E8" t="s">
        <v>43</v>
      </c>
      <c r="F8" t="s">
        <v>9426</v>
      </c>
      <c r="G8" t="s">
        <v>544</v>
      </c>
      <c r="H8" t="s">
        <v>2546</v>
      </c>
      <c r="I8" t="s">
        <v>1248</v>
      </c>
      <c r="J8"/>
      <c r="K8" t="s">
        <v>581</v>
      </c>
      <c r="L8" t="s">
        <v>9427</v>
      </c>
      <c r="M8" t="s">
        <v>9411</v>
      </c>
      <c r="N8"/>
      <c r="O8" t="s">
        <v>2177</v>
      </c>
      <c r="P8"/>
      <c r="Q8"/>
      <c r="R8" t="s">
        <v>435</v>
      </c>
      <c r="S8" t="s">
        <v>435</v>
      </c>
      <c r="T8">
        <v>22</v>
      </c>
      <c r="U8" t="s">
        <v>9419</v>
      </c>
      <c r="V8" t="s">
        <v>6872</v>
      </c>
      <c r="W8" t="s">
        <v>9419</v>
      </c>
      <c r="X8"/>
      <c r="Y8"/>
    </row>
    <row r="9" spans="2:25">
      <c r="B9" t="s">
        <v>3593</v>
      </c>
      <c r="C9" t="s">
        <v>9428</v>
      </c>
      <c r="D9" t="s">
        <v>9409</v>
      </c>
      <c r="E9" t="s">
        <v>43</v>
      </c>
      <c r="F9" t="s">
        <v>9429</v>
      </c>
      <c r="G9" t="s">
        <v>544</v>
      </c>
      <c r="H9" t="s">
        <v>2546</v>
      </c>
      <c r="I9" t="s">
        <v>1248</v>
      </c>
      <c r="J9"/>
      <c r="K9" t="s">
        <v>581</v>
      </c>
      <c r="L9" t="s">
        <v>9430</v>
      </c>
      <c r="M9" t="s">
        <v>9411</v>
      </c>
      <c r="N9"/>
      <c r="O9" t="s">
        <v>2177</v>
      </c>
      <c r="P9"/>
      <c r="Q9"/>
      <c r="R9" t="s">
        <v>435</v>
      </c>
      <c r="S9" t="s">
        <v>435</v>
      </c>
      <c r="T9">
        <v>22</v>
      </c>
      <c r="U9" t="s">
        <v>9419</v>
      </c>
      <c r="V9" t="s">
        <v>6872</v>
      </c>
      <c r="W9" t="s">
        <v>9419</v>
      </c>
      <c r="X9"/>
      <c r="Y9"/>
    </row>
    <row r="10" spans="2:25">
      <c r="B10" t="s">
        <v>3593</v>
      </c>
      <c r="C10" t="s">
        <v>16</v>
      </c>
      <c r="D10" t="s">
        <v>9409</v>
      </c>
      <c r="E10" t="s">
        <v>43</v>
      </c>
      <c r="F10" t="s">
        <v>9431</v>
      </c>
      <c r="G10" t="s">
        <v>544</v>
      </c>
      <c r="H10" t="s">
        <v>2546</v>
      </c>
      <c r="I10" t="s">
        <v>1248</v>
      </c>
      <c r="J10"/>
      <c r="K10" t="s">
        <v>9432</v>
      </c>
      <c r="L10" t="s">
        <v>9433</v>
      </c>
      <c r="M10" t="s">
        <v>9434</v>
      </c>
      <c r="N10"/>
      <c r="O10"/>
      <c r="P10" t="s">
        <v>9435</v>
      </c>
      <c r="Q10"/>
      <c r="R10" t="s">
        <v>435</v>
      </c>
      <c r="S10" t="s">
        <v>435</v>
      </c>
      <c r="T10"/>
      <c r="U10"/>
      <c r="V10" t="s">
        <v>6872</v>
      </c>
      <c r="W10"/>
      <c r="X10"/>
      <c r="Y10"/>
    </row>
    <row r="11" spans="2:25">
      <c r="B11" t="s">
        <v>3593</v>
      </c>
      <c r="C11" t="s">
        <v>9436</v>
      </c>
      <c r="D11" t="s">
        <v>9409</v>
      </c>
      <c r="E11" t="s">
        <v>43</v>
      </c>
      <c r="F11" t="s">
        <v>9437</v>
      </c>
      <c r="G11" t="s">
        <v>544</v>
      </c>
      <c r="H11" t="s">
        <v>2546</v>
      </c>
      <c r="I11" t="s">
        <v>1248</v>
      </c>
      <c r="J11"/>
      <c r="K11" t="s">
        <v>581</v>
      </c>
      <c r="L11" t="s">
        <v>9438</v>
      </c>
      <c r="M11" t="s">
        <v>9411</v>
      </c>
      <c r="N11"/>
      <c r="O11" t="s">
        <v>2177</v>
      </c>
      <c r="P11" t="s">
        <v>9439</v>
      </c>
      <c r="Q11"/>
      <c r="R11" t="s">
        <v>435</v>
      </c>
      <c r="S11" t="s">
        <v>435</v>
      </c>
      <c r="T11">
        <v>5</v>
      </c>
      <c r="U11" t="s">
        <v>9422</v>
      </c>
      <c r="V11" t="s">
        <v>6872</v>
      </c>
      <c r="W11" t="s">
        <v>9422</v>
      </c>
      <c r="X11"/>
      <c r="Y11"/>
    </row>
    <row r="12" spans="2:25">
      <c r="B12" t="s">
        <v>3593</v>
      </c>
      <c r="C12" t="s">
        <v>9440</v>
      </c>
      <c r="D12" t="s">
        <v>9409</v>
      </c>
      <c r="E12" t="s">
        <v>43</v>
      </c>
      <c r="F12" t="s">
        <v>9441</v>
      </c>
      <c r="G12" t="s">
        <v>544</v>
      </c>
      <c r="H12" t="s">
        <v>2546</v>
      </c>
      <c r="I12" t="s">
        <v>1248</v>
      </c>
      <c r="J12"/>
      <c r="K12" t="s">
        <v>581</v>
      </c>
      <c r="L12" t="s">
        <v>9442</v>
      </c>
      <c r="M12" t="s">
        <v>9411</v>
      </c>
      <c r="N12"/>
      <c r="O12" t="s">
        <v>2177</v>
      </c>
      <c r="P12"/>
      <c r="Q12"/>
      <c r="R12" t="s">
        <v>435</v>
      </c>
      <c r="S12" t="s">
        <v>435</v>
      </c>
      <c r="T12">
        <v>10</v>
      </c>
      <c r="U12" t="s">
        <v>9443</v>
      </c>
      <c r="V12" t="s">
        <v>6872</v>
      </c>
      <c r="W12" t="s">
        <v>9443</v>
      </c>
      <c r="X12"/>
      <c r="Y12"/>
    </row>
    <row r="13" spans="2:25">
      <c r="B13" t="s">
        <v>3593</v>
      </c>
      <c r="C13" t="s">
        <v>9444</v>
      </c>
      <c r="D13" t="s">
        <v>9409</v>
      </c>
      <c r="E13" t="s">
        <v>43</v>
      </c>
      <c r="F13" t="s">
        <v>9445</v>
      </c>
      <c r="G13" t="s">
        <v>544</v>
      </c>
      <c r="H13" t="s">
        <v>2546</v>
      </c>
      <c r="I13" t="s">
        <v>1248</v>
      </c>
      <c r="J13"/>
      <c r="K13" t="s">
        <v>581</v>
      </c>
      <c r="L13" t="s">
        <v>1251</v>
      </c>
      <c r="M13" t="s">
        <v>9411</v>
      </c>
      <c r="N13"/>
      <c r="O13" t="s">
        <v>2177</v>
      </c>
      <c r="P13"/>
      <c r="Q13"/>
      <c r="R13" t="s">
        <v>435</v>
      </c>
      <c r="S13" t="s">
        <v>435</v>
      </c>
      <c r="T13">
        <v>20</v>
      </c>
      <c r="U13" t="s">
        <v>9412</v>
      </c>
      <c r="V13" t="s">
        <v>6872</v>
      </c>
      <c r="W13" t="s">
        <v>9412</v>
      </c>
      <c r="X13"/>
      <c r="Y13"/>
    </row>
    <row r="14" spans="2:25">
      <c r="B14" t="s">
        <v>3593</v>
      </c>
      <c r="C14" t="s">
        <v>9446</v>
      </c>
      <c r="D14" t="s">
        <v>9409</v>
      </c>
      <c r="E14" t="s">
        <v>43</v>
      </c>
      <c r="F14" t="s">
        <v>9447</v>
      </c>
      <c r="G14" t="s">
        <v>544</v>
      </c>
      <c r="H14" t="s">
        <v>2546</v>
      </c>
      <c r="I14" t="s">
        <v>1248</v>
      </c>
      <c r="J14"/>
      <c r="K14" t="s">
        <v>581</v>
      </c>
      <c r="L14" t="s">
        <v>9448</v>
      </c>
      <c r="M14" t="s">
        <v>9411</v>
      </c>
      <c r="N14"/>
      <c r="O14" t="s">
        <v>2177</v>
      </c>
      <c r="P14" t="s">
        <v>9449</v>
      </c>
      <c r="Q14"/>
      <c r="R14" t="s">
        <v>429</v>
      </c>
      <c r="S14" t="s">
        <v>429</v>
      </c>
      <c r="T14">
        <v>5</v>
      </c>
      <c r="U14" t="s">
        <v>9422</v>
      </c>
      <c r="V14" t="s">
        <v>6872</v>
      </c>
      <c r="W14" t="s">
        <v>9422</v>
      </c>
      <c r="X14" t="s">
        <v>9450</v>
      </c>
      <c r="Y14" t="s">
        <v>9451</v>
      </c>
    </row>
    <row r="15" spans="2:25">
      <c r="B15" t="s">
        <v>3593</v>
      </c>
      <c r="C15" t="s">
        <v>4298</v>
      </c>
      <c r="D15" t="s">
        <v>9409</v>
      </c>
      <c r="E15" t="s">
        <v>43</v>
      </c>
      <c r="F15" t="s">
        <v>9452</v>
      </c>
      <c r="G15" t="s">
        <v>544</v>
      </c>
      <c r="H15" t="s">
        <v>2546</v>
      </c>
      <c r="I15" t="s">
        <v>1248</v>
      </c>
      <c r="J15"/>
      <c r="K15" t="s">
        <v>581</v>
      </c>
      <c r="L15" t="s">
        <v>9453</v>
      </c>
      <c r="M15" t="s">
        <v>9411</v>
      </c>
      <c r="N15"/>
      <c r="O15" t="s">
        <v>2177</v>
      </c>
      <c r="P15" t="s">
        <v>9454</v>
      </c>
      <c r="Q15"/>
      <c r="R15" t="s">
        <v>435</v>
      </c>
      <c r="S15" t="s">
        <v>435</v>
      </c>
      <c r="T15">
        <v>25</v>
      </c>
      <c r="U15" t="s">
        <v>9455</v>
      </c>
      <c r="V15" t="s">
        <v>6872</v>
      </c>
      <c r="W15" t="s">
        <v>9455</v>
      </c>
      <c r="X15" t="s">
        <v>9456</v>
      </c>
      <c r="Y15" t="s">
        <v>9457</v>
      </c>
    </row>
    <row r="16" spans="2:25">
      <c r="B16" t="s">
        <v>3593</v>
      </c>
      <c r="C16" t="s">
        <v>5265</v>
      </c>
      <c r="D16" t="s">
        <v>9409</v>
      </c>
      <c r="E16" t="s">
        <v>43</v>
      </c>
      <c r="F16" t="s">
        <v>9458</v>
      </c>
      <c r="G16" t="s">
        <v>544</v>
      </c>
      <c r="H16" t="s">
        <v>2546</v>
      </c>
      <c r="I16" t="s">
        <v>1248</v>
      </c>
      <c r="J16"/>
      <c r="K16" t="s">
        <v>581</v>
      </c>
      <c r="L16" t="s">
        <v>9459</v>
      </c>
      <c r="M16" t="s">
        <v>9411</v>
      </c>
      <c r="N16"/>
      <c r="O16" t="s">
        <v>2177</v>
      </c>
      <c r="P16"/>
      <c r="Q16"/>
      <c r="R16" t="s">
        <v>435</v>
      </c>
      <c r="S16" t="s">
        <v>435</v>
      </c>
      <c r="T16">
        <v>500</v>
      </c>
      <c r="U16" t="s">
        <v>9460</v>
      </c>
      <c r="V16" t="s">
        <v>6872</v>
      </c>
      <c r="W16" t="s">
        <v>9460</v>
      </c>
      <c r="X16"/>
      <c r="Y16"/>
    </row>
    <row r="17" spans="2:25">
      <c r="B17" t="s">
        <v>3593</v>
      </c>
      <c r="C17" t="s">
        <v>2254</v>
      </c>
      <c r="D17" t="s">
        <v>9409</v>
      </c>
      <c r="E17" t="s">
        <v>43</v>
      </c>
      <c r="F17" t="s">
        <v>9461</v>
      </c>
      <c r="G17" t="s">
        <v>544</v>
      </c>
      <c r="H17" t="s">
        <v>2546</v>
      </c>
      <c r="I17" t="s">
        <v>1248</v>
      </c>
      <c r="J17"/>
      <c r="K17" t="s">
        <v>581</v>
      </c>
      <c r="L17" t="s">
        <v>9462</v>
      </c>
      <c r="M17" t="s">
        <v>9411</v>
      </c>
      <c r="N17"/>
      <c r="O17" t="s">
        <v>2177</v>
      </c>
      <c r="P17"/>
      <c r="Q17"/>
      <c r="R17" t="s">
        <v>435</v>
      </c>
      <c r="S17" t="s">
        <v>435</v>
      </c>
      <c r="T17">
        <v>100</v>
      </c>
      <c r="U17" t="s">
        <v>9463</v>
      </c>
      <c r="V17" t="s">
        <v>6872</v>
      </c>
      <c r="W17" t="s">
        <v>9463</v>
      </c>
      <c r="X17"/>
      <c r="Y17"/>
    </row>
    <row r="18" spans="2:25">
      <c r="B18" t="s">
        <v>3593</v>
      </c>
      <c r="C18" t="s">
        <v>2259</v>
      </c>
      <c r="D18" t="s">
        <v>9409</v>
      </c>
      <c r="E18" t="s">
        <v>43</v>
      </c>
      <c r="F18" t="s">
        <v>9464</v>
      </c>
      <c r="G18" t="s">
        <v>544</v>
      </c>
      <c r="H18" t="s">
        <v>2546</v>
      </c>
      <c r="I18" t="s">
        <v>1248</v>
      </c>
      <c r="J18"/>
      <c r="K18" t="s">
        <v>581</v>
      </c>
      <c r="L18" t="s">
        <v>9465</v>
      </c>
      <c r="M18" t="s">
        <v>9411</v>
      </c>
      <c r="N18"/>
      <c r="O18" t="s">
        <v>2177</v>
      </c>
      <c r="P18"/>
      <c r="Q18"/>
      <c r="R18" t="s">
        <v>435</v>
      </c>
      <c r="S18" t="s">
        <v>435</v>
      </c>
      <c r="T18">
        <v>100</v>
      </c>
      <c r="U18" t="s">
        <v>9463</v>
      </c>
      <c r="V18" t="s">
        <v>6872</v>
      </c>
      <c r="W18" t="s">
        <v>9463</v>
      </c>
      <c r="X18"/>
      <c r="Y18"/>
    </row>
    <row r="19" spans="2:25">
      <c r="B19" t="s">
        <v>3593</v>
      </c>
      <c r="C19" t="s">
        <v>2262</v>
      </c>
      <c r="D19" t="s">
        <v>9409</v>
      </c>
      <c r="E19" t="s">
        <v>43</v>
      </c>
      <c r="F19" t="s">
        <v>9466</v>
      </c>
      <c r="G19" t="s">
        <v>544</v>
      </c>
      <c r="H19" t="s">
        <v>2546</v>
      </c>
      <c r="I19" t="s">
        <v>1248</v>
      </c>
      <c r="J19"/>
      <c r="K19" t="s">
        <v>581</v>
      </c>
      <c r="L19" t="s">
        <v>9467</v>
      </c>
      <c r="M19" t="s">
        <v>9411</v>
      </c>
      <c r="N19"/>
      <c r="O19" t="s">
        <v>2177</v>
      </c>
      <c r="P19"/>
      <c r="Q19"/>
      <c r="R19" t="s">
        <v>435</v>
      </c>
      <c r="S19" t="s">
        <v>435</v>
      </c>
      <c r="T19">
        <v>100</v>
      </c>
      <c r="U19" t="s">
        <v>9463</v>
      </c>
      <c r="V19" t="s">
        <v>6872</v>
      </c>
      <c r="W19" t="s">
        <v>9463</v>
      </c>
      <c r="X19"/>
      <c r="Y19"/>
    </row>
    <row r="20" spans="2:25">
      <c r="B20" t="s">
        <v>3593</v>
      </c>
      <c r="C20" t="s">
        <v>9468</v>
      </c>
      <c r="D20" t="s">
        <v>9409</v>
      </c>
      <c r="E20" t="s">
        <v>43</v>
      </c>
      <c r="F20" t="s">
        <v>9469</v>
      </c>
      <c r="G20" t="s">
        <v>544</v>
      </c>
      <c r="H20" t="s">
        <v>2546</v>
      </c>
      <c r="I20" t="s">
        <v>1248</v>
      </c>
      <c r="J20"/>
      <c r="K20" t="s">
        <v>581</v>
      </c>
      <c r="L20" t="s">
        <v>9470</v>
      </c>
      <c r="M20" t="s">
        <v>9411</v>
      </c>
      <c r="N20"/>
      <c r="O20" t="s">
        <v>2177</v>
      </c>
      <c r="P20"/>
      <c r="Q20"/>
      <c r="R20" t="s">
        <v>435</v>
      </c>
      <c r="S20" t="s">
        <v>435</v>
      </c>
      <c r="T20">
        <v>150</v>
      </c>
      <c r="U20" t="s">
        <v>9471</v>
      </c>
      <c r="V20" t="s">
        <v>6872</v>
      </c>
      <c r="W20" t="s">
        <v>9471</v>
      </c>
      <c r="X20"/>
      <c r="Y20"/>
    </row>
    <row r="21" spans="2:25">
      <c r="B21" t="s">
        <v>3593</v>
      </c>
      <c r="C21" t="s">
        <v>9472</v>
      </c>
      <c r="D21" t="s">
        <v>9409</v>
      </c>
      <c r="E21" t="s">
        <v>43</v>
      </c>
      <c r="F21" t="s">
        <v>9473</v>
      </c>
      <c r="G21" t="s">
        <v>544</v>
      </c>
      <c r="H21" t="s">
        <v>2546</v>
      </c>
      <c r="I21" t="s">
        <v>1248</v>
      </c>
      <c r="J21"/>
      <c r="K21" t="s">
        <v>581</v>
      </c>
      <c r="L21" t="s">
        <v>9474</v>
      </c>
      <c r="M21" t="s">
        <v>9411</v>
      </c>
      <c r="N21"/>
      <c r="O21" t="s">
        <v>2177</v>
      </c>
      <c r="P21"/>
      <c r="Q21"/>
      <c r="R21" t="s">
        <v>435</v>
      </c>
      <c r="S21" t="s">
        <v>435</v>
      </c>
      <c r="T21">
        <v>150</v>
      </c>
      <c r="U21" t="s">
        <v>9471</v>
      </c>
      <c r="V21" t="s">
        <v>6872</v>
      </c>
      <c r="W21" t="s">
        <v>9471</v>
      </c>
      <c r="X21"/>
      <c r="Y21"/>
    </row>
    <row r="22" spans="2:25">
      <c r="B22" t="s">
        <v>3593</v>
      </c>
      <c r="C22" t="s">
        <v>9475</v>
      </c>
      <c r="D22" t="s">
        <v>9409</v>
      </c>
      <c r="E22" t="s">
        <v>43</v>
      </c>
      <c r="F22" t="s">
        <v>9476</v>
      </c>
      <c r="G22" t="s">
        <v>544</v>
      </c>
      <c r="H22" t="s">
        <v>2546</v>
      </c>
      <c r="I22" t="s">
        <v>1248</v>
      </c>
      <c r="J22"/>
      <c r="K22" t="s">
        <v>581</v>
      </c>
      <c r="L22" t="s">
        <v>9477</v>
      </c>
      <c r="M22" t="s">
        <v>9411</v>
      </c>
      <c r="N22"/>
      <c r="O22" t="s">
        <v>2177</v>
      </c>
      <c r="P22"/>
      <c r="Q22"/>
      <c r="R22" t="s">
        <v>435</v>
      </c>
      <c r="S22" t="s">
        <v>435</v>
      </c>
      <c r="T22">
        <v>150</v>
      </c>
      <c r="U22" t="s">
        <v>9471</v>
      </c>
      <c r="V22" t="s">
        <v>6872</v>
      </c>
      <c r="W22" t="s">
        <v>9471</v>
      </c>
      <c r="X22"/>
      <c r="Y22"/>
    </row>
    <row r="23" spans="2:25">
      <c r="B23" t="s">
        <v>3593</v>
      </c>
      <c r="C23" t="s">
        <v>2821</v>
      </c>
      <c r="D23" t="s">
        <v>9409</v>
      </c>
      <c r="E23" t="s">
        <v>43</v>
      </c>
      <c r="F23" t="s">
        <v>9478</v>
      </c>
      <c r="G23" t="s">
        <v>544</v>
      </c>
      <c r="H23" t="s">
        <v>2546</v>
      </c>
      <c r="I23" t="s">
        <v>1248</v>
      </c>
      <c r="J23"/>
      <c r="K23" t="s">
        <v>581</v>
      </c>
      <c r="L23" t="s">
        <v>9479</v>
      </c>
      <c r="M23" t="s">
        <v>9411</v>
      </c>
      <c r="N23"/>
      <c r="O23" t="s">
        <v>2177</v>
      </c>
      <c r="P23" t="s">
        <v>9480</v>
      </c>
      <c r="Q23"/>
      <c r="R23" t="s">
        <v>429</v>
      </c>
      <c r="S23" t="s">
        <v>429</v>
      </c>
      <c r="T23">
        <v>200</v>
      </c>
      <c r="U23" t="s">
        <v>9481</v>
      </c>
      <c r="V23" t="s">
        <v>6872</v>
      </c>
      <c r="W23" t="s">
        <v>9481</v>
      </c>
      <c r="X23" t="s">
        <v>9482</v>
      </c>
      <c r="Y23" t="s">
        <v>9483</v>
      </c>
    </row>
    <row r="24" spans="2:25">
      <c r="B24" t="s">
        <v>3593</v>
      </c>
      <c r="C24" t="s">
        <v>2215</v>
      </c>
      <c r="D24" t="s">
        <v>9409</v>
      </c>
      <c r="E24" t="s">
        <v>43</v>
      </c>
      <c r="F24" t="s">
        <v>9484</v>
      </c>
      <c r="G24" t="s">
        <v>544</v>
      </c>
      <c r="H24" t="s">
        <v>2546</v>
      </c>
      <c r="I24" t="s">
        <v>1248</v>
      </c>
      <c r="J24"/>
      <c r="K24" t="s">
        <v>581</v>
      </c>
      <c r="L24" t="s">
        <v>6702</v>
      </c>
      <c r="M24" t="s">
        <v>9411</v>
      </c>
      <c r="N24"/>
      <c r="O24" t="s">
        <v>2177</v>
      </c>
      <c r="P24"/>
      <c r="Q24"/>
      <c r="R24" t="s">
        <v>429</v>
      </c>
      <c r="S24" t="s">
        <v>429</v>
      </c>
      <c r="T24">
        <v>100</v>
      </c>
      <c r="U24" t="s">
        <v>9463</v>
      </c>
      <c r="V24" t="s">
        <v>6872</v>
      </c>
      <c r="W24" t="s">
        <v>9463</v>
      </c>
      <c r="X24" t="s">
        <v>9485</v>
      </c>
      <c r="Y24" t="s">
        <v>9486</v>
      </c>
    </row>
    <row r="25" spans="2:25">
      <c r="B25" t="s">
        <v>3593</v>
      </c>
      <c r="C25" t="s">
        <v>9487</v>
      </c>
      <c r="D25" t="s">
        <v>9409</v>
      </c>
      <c r="E25" t="s">
        <v>43</v>
      </c>
      <c r="F25" t="s">
        <v>9488</v>
      </c>
      <c r="G25" t="s">
        <v>544</v>
      </c>
      <c r="H25" t="s">
        <v>2546</v>
      </c>
      <c r="I25" t="s">
        <v>1248</v>
      </c>
      <c r="J25"/>
      <c r="K25" t="s">
        <v>581</v>
      </c>
      <c r="L25" t="s">
        <v>9489</v>
      </c>
      <c r="M25" t="s">
        <v>9411</v>
      </c>
      <c r="N25"/>
      <c r="O25" t="s">
        <v>2177</v>
      </c>
      <c r="P25"/>
      <c r="Q25"/>
      <c r="R25" t="s">
        <v>435</v>
      </c>
      <c r="S25" t="s">
        <v>435</v>
      </c>
      <c r="T25">
        <v>500</v>
      </c>
      <c r="U25" t="s">
        <v>9490</v>
      </c>
      <c r="V25" t="s">
        <v>6872</v>
      </c>
      <c r="W25" t="s">
        <v>9490</v>
      </c>
      <c r="X25"/>
      <c r="Y25"/>
    </row>
    <row r="26" spans="2:25">
      <c r="B26" t="s">
        <v>3593</v>
      </c>
      <c r="C26" t="s">
        <v>4787</v>
      </c>
      <c r="D26" t="s">
        <v>9409</v>
      </c>
      <c r="E26" t="s">
        <v>43</v>
      </c>
      <c r="F26" t="s">
        <v>9491</v>
      </c>
      <c r="G26" t="s">
        <v>544</v>
      </c>
      <c r="H26" t="s">
        <v>2546</v>
      </c>
      <c r="I26" t="s">
        <v>1248</v>
      </c>
      <c r="J26"/>
      <c r="K26" t="s">
        <v>581</v>
      </c>
      <c r="L26" t="s">
        <v>9492</v>
      </c>
      <c r="M26" t="s">
        <v>9411</v>
      </c>
      <c r="N26"/>
      <c r="O26" t="s">
        <v>2177</v>
      </c>
      <c r="P26"/>
      <c r="Q26"/>
      <c r="R26" t="s">
        <v>435</v>
      </c>
      <c r="S26" t="s">
        <v>435</v>
      </c>
      <c r="T26">
        <v>25</v>
      </c>
      <c r="U26" t="s">
        <v>9455</v>
      </c>
      <c r="V26" t="s">
        <v>6872</v>
      </c>
      <c r="W26" t="s">
        <v>9455</v>
      </c>
      <c r="X26" t="s">
        <v>9493</v>
      </c>
      <c r="Y26" t="s">
        <v>9494</v>
      </c>
    </row>
    <row r="27" spans="2:25">
      <c r="B27" t="s">
        <v>3593</v>
      </c>
      <c r="C27" t="s">
        <v>9495</v>
      </c>
      <c r="D27" t="s">
        <v>9409</v>
      </c>
      <c r="E27" t="s">
        <v>43</v>
      </c>
      <c r="F27" t="s">
        <v>9496</v>
      </c>
      <c r="G27" t="s">
        <v>544</v>
      </c>
      <c r="H27" t="s">
        <v>2546</v>
      </c>
      <c r="I27" t="s">
        <v>1248</v>
      </c>
      <c r="J27"/>
      <c r="K27" t="s">
        <v>581</v>
      </c>
      <c r="L27" t="s">
        <v>9497</v>
      </c>
      <c r="M27" t="s">
        <v>9411</v>
      </c>
      <c r="N27"/>
      <c r="O27" t="s">
        <v>2177</v>
      </c>
      <c r="P27"/>
      <c r="Q27"/>
      <c r="R27" t="s">
        <v>435</v>
      </c>
      <c r="S27" t="s">
        <v>435</v>
      </c>
      <c r="T27">
        <v>150</v>
      </c>
      <c r="U27" t="s">
        <v>9471</v>
      </c>
      <c r="V27" t="s">
        <v>6872</v>
      </c>
      <c r="W27" t="s">
        <v>9471</v>
      </c>
      <c r="X27"/>
      <c r="Y27"/>
    </row>
    <row r="28" spans="2:25">
      <c r="B28" t="s">
        <v>3593</v>
      </c>
      <c r="C28" t="s">
        <v>9498</v>
      </c>
      <c r="D28" t="s">
        <v>9409</v>
      </c>
      <c r="E28" t="s">
        <v>43</v>
      </c>
      <c r="F28" t="s">
        <v>9499</v>
      </c>
      <c r="G28" t="s">
        <v>544</v>
      </c>
      <c r="H28" t="s">
        <v>2546</v>
      </c>
      <c r="I28" t="s">
        <v>1248</v>
      </c>
      <c r="J28"/>
      <c r="K28" t="s">
        <v>581</v>
      </c>
      <c r="L28" t="s">
        <v>9500</v>
      </c>
      <c r="M28" t="s">
        <v>9411</v>
      </c>
      <c r="N28"/>
      <c r="O28" t="s">
        <v>2177</v>
      </c>
      <c r="P28"/>
      <c r="Q28"/>
      <c r="R28" t="s">
        <v>435</v>
      </c>
      <c r="S28" t="s">
        <v>435</v>
      </c>
      <c r="T28">
        <v>60</v>
      </c>
      <c r="U28" t="s">
        <v>9501</v>
      </c>
      <c r="V28" t="s">
        <v>6872</v>
      </c>
      <c r="W28" t="s">
        <v>9501</v>
      </c>
      <c r="X28" t="s">
        <v>9502</v>
      </c>
      <c r="Y28" t="s">
        <v>9503</v>
      </c>
    </row>
    <row r="29" spans="2:25">
      <c r="B29" t="s">
        <v>3593</v>
      </c>
      <c r="C29" t="s">
        <v>9504</v>
      </c>
      <c r="D29" t="s">
        <v>9409</v>
      </c>
      <c r="E29" t="s">
        <v>43</v>
      </c>
      <c r="F29" t="s">
        <v>9505</v>
      </c>
      <c r="G29" t="s">
        <v>544</v>
      </c>
      <c r="H29" t="s">
        <v>2546</v>
      </c>
      <c r="I29" t="s">
        <v>1248</v>
      </c>
      <c r="J29"/>
      <c r="K29" t="s">
        <v>581</v>
      </c>
      <c r="L29" t="s">
        <v>9506</v>
      </c>
      <c r="M29" t="s">
        <v>9411</v>
      </c>
      <c r="N29"/>
      <c r="O29" t="s">
        <v>2177</v>
      </c>
      <c r="P29"/>
      <c r="Q29"/>
      <c r="R29" t="s">
        <v>435</v>
      </c>
      <c r="S29" t="s">
        <v>435</v>
      </c>
      <c r="T29">
        <v>25</v>
      </c>
      <c r="U29" t="s">
        <v>9455</v>
      </c>
      <c r="V29" t="s">
        <v>6872</v>
      </c>
      <c r="W29" t="s">
        <v>9455</v>
      </c>
      <c r="X29"/>
      <c r="Y29"/>
    </row>
    <row r="30" spans="2:25">
      <c r="B30" t="s">
        <v>3593</v>
      </c>
      <c r="C30" t="s">
        <v>8514</v>
      </c>
      <c r="D30" t="s">
        <v>9409</v>
      </c>
      <c r="E30" t="s">
        <v>43</v>
      </c>
      <c r="F30" t="s">
        <v>9507</v>
      </c>
      <c r="G30" t="s">
        <v>544</v>
      </c>
      <c r="H30" t="s">
        <v>2546</v>
      </c>
      <c r="I30" t="s">
        <v>1248</v>
      </c>
      <c r="J30"/>
      <c r="K30" t="s">
        <v>581</v>
      </c>
      <c r="L30" t="s">
        <v>9508</v>
      </c>
      <c r="M30" t="s">
        <v>9411</v>
      </c>
      <c r="N30"/>
      <c r="O30" t="s">
        <v>2177</v>
      </c>
      <c r="P30"/>
      <c r="Q30"/>
      <c r="R30" t="s">
        <v>435</v>
      </c>
      <c r="S30" t="s">
        <v>435</v>
      </c>
      <c r="T30">
        <v>15</v>
      </c>
      <c r="U30" t="s">
        <v>9509</v>
      </c>
      <c r="V30" t="s">
        <v>6872</v>
      </c>
      <c r="W30" t="s">
        <v>9509</v>
      </c>
      <c r="X30"/>
      <c r="Y30"/>
    </row>
    <row r="31" spans="2:25">
      <c r="B31" t="s">
        <v>3593</v>
      </c>
      <c r="C31" t="s">
        <v>8</v>
      </c>
      <c r="D31" t="s">
        <v>9409</v>
      </c>
      <c r="E31" t="s">
        <v>43</v>
      </c>
      <c r="F31" t="s">
        <v>9510</v>
      </c>
      <c r="G31" t="s">
        <v>544</v>
      </c>
      <c r="H31" t="s">
        <v>2546</v>
      </c>
      <c r="I31" t="s">
        <v>1248</v>
      </c>
      <c r="J31"/>
      <c r="K31" t="s">
        <v>581</v>
      </c>
      <c r="L31" t="s">
        <v>9511</v>
      </c>
      <c r="M31" t="s">
        <v>9411</v>
      </c>
      <c r="N31"/>
      <c r="O31" t="s">
        <v>2177</v>
      </c>
      <c r="P31"/>
      <c r="Q31"/>
      <c r="R31" t="s">
        <v>435</v>
      </c>
      <c r="S31" t="s">
        <v>435</v>
      </c>
      <c r="T31">
        <v>15</v>
      </c>
      <c r="U31" t="s">
        <v>9509</v>
      </c>
      <c r="V31" t="s">
        <v>6872</v>
      </c>
      <c r="W31" t="s">
        <v>9509</v>
      </c>
      <c r="X31"/>
      <c r="Y31"/>
    </row>
    <row r="32" spans="2:25">
      <c r="B32" t="s">
        <v>3593</v>
      </c>
      <c r="C32" t="s">
        <v>9512</v>
      </c>
      <c r="D32" t="s">
        <v>9409</v>
      </c>
      <c r="E32" t="s">
        <v>43</v>
      </c>
      <c r="F32" t="s">
        <v>9513</v>
      </c>
      <c r="G32" t="s">
        <v>544</v>
      </c>
      <c r="H32" t="s">
        <v>2546</v>
      </c>
      <c r="I32" t="s">
        <v>1248</v>
      </c>
      <c r="J32"/>
      <c r="K32" t="s">
        <v>9514</v>
      </c>
      <c r="L32" t="s">
        <v>9515</v>
      </c>
      <c r="M32" t="s">
        <v>9411</v>
      </c>
      <c r="N32"/>
      <c r="O32"/>
      <c r="P32" t="s">
        <v>1749</v>
      </c>
      <c r="Q32"/>
      <c r="R32" t="s">
        <v>435</v>
      </c>
      <c r="S32" t="s">
        <v>435</v>
      </c>
      <c r="T32"/>
      <c r="U32"/>
      <c r="V32" t="s">
        <v>6872</v>
      </c>
      <c r="W32"/>
      <c r="X32"/>
      <c r="Y32"/>
    </row>
    <row r="33" spans="2:25">
      <c r="B33" t="s">
        <v>3593</v>
      </c>
      <c r="C33" t="s">
        <v>9516</v>
      </c>
      <c r="D33" t="s">
        <v>9409</v>
      </c>
      <c r="E33" t="s">
        <v>43</v>
      </c>
      <c r="F33" t="s">
        <v>9517</v>
      </c>
      <c r="G33" t="s">
        <v>544</v>
      </c>
      <c r="H33" t="s">
        <v>2546</v>
      </c>
      <c r="I33" t="s">
        <v>1248</v>
      </c>
      <c r="J33"/>
      <c r="K33" t="s">
        <v>581</v>
      </c>
      <c r="L33" t="s">
        <v>9518</v>
      </c>
      <c r="M33" t="s">
        <v>9411</v>
      </c>
      <c r="N33"/>
      <c r="O33" t="s">
        <v>2177</v>
      </c>
      <c r="P33"/>
      <c r="Q33"/>
      <c r="R33" t="s">
        <v>435</v>
      </c>
      <c r="S33" t="s">
        <v>435</v>
      </c>
      <c r="T33"/>
      <c r="U33"/>
      <c r="V33" t="s">
        <v>6872</v>
      </c>
      <c r="W33"/>
      <c r="X33"/>
      <c r="Y33"/>
    </row>
    <row r="34" spans="2:25">
      <c r="B34" s="151" t="s">
        <v>3593</v>
      </c>
      <c r="C34" s="151" t="s">
        <v>8788</v>
      </c>
      <c r="D34" s="151" t="s">
        <v>9519</v>
      </c>
      <c r="E34" s="151" t="s">
        <v>43</v>
      </c>
      <c r="F34" s="151" t="s">
        <v>9520</v>
      </c>
      <c r="G34" t="s">
        <v>544</v>
      </c>
      <c r="H34" t="s">
        <v>2546</v>
      </c>
      <c r="I34" s="151" t="s">
        <v>1248</v>
      </c>
      <c r="J34" s="151"/>
      <c r="K34" s="151" t="s">
        <v>596</v>
      </c>
      <c r="L34" s="151" t="s">
        <v>9521</v>
      </c>
      <c r="M34" s="151" t="s">
        <v>9522</v>
      </c>
      <c r="N34" s="151"/>
      <c r="O34" t="s">
        <v>2177</v>
      </c>
      <c r="P34" s="151"/>
      <c r="Q34"/>
      <c r="R34"/>
      <c r="S34"/>
      <c r="T34">
        <v>50</v>
      </c>
      <c r="U34" t="s">
        <v>9523</v>
      </c>
      <c r="V34" t="s">
        <v>6872</v>
      </c>
      <c r="W34" t="s">
        <v>9523</v>
      </c>
      <c r="X34"/>
      <c r="Y34"/>
    </row>
    <row r="35" spans="2:25">
      <c r="B35" s="151" t="s">
        <v>3593</v>
      </c>
      <c r="C35" s="151" t="s">
        <v>9524</v>
      </c>
      <c r="D35" s="151" t="s">
        <v>9519</v>
      </c>
      <c r="E35" s="151" t="s">
        <v>43</v>
      </c>
      <c r="F35" s="151" t="s">
        <v>9525</v>
      </c>
      <c r="G35" t="s">
        <v>544</v>
      </c>
      <c r="H35" t="s">
        <v>2546</v>
      </c>
      <c r="I35" s="151" t="s">
        <v>1248</v>
      </c>
      <c r="J35" s="151"/>
      <c r="K35" s="151" t="s">
        <v>596</v>
      </c>
      <c r="L35" s="151" t="s">
        <v>9041</v>
      </c>
      <c r="M35" s="151" t="s">
        <v>9522</v>
      </c>
      <c r="N35" s="151"/>
      <c r="O35" t="s">
        <v>2177</v>
      </c>
      <c r="P35" s="151"/>
      <c r="Q35"/>
      <c r="R35"/>
      <c r="S35"/>
      <c r="T35"/>
      <c r="U35" t="s">
        <v>2207</v>
      </c>
      <c r="V35" t="s">
        <v>6872</v>
      </c>
      <c r="W35" t="s">
        <v>2207</v>
      </c>
      <c r="X35"/>
      <c r="Y35"/>
    </row>
    <row r="36" spans="2:25">
      <c r="B36" s="151" t="s">
        <v>3593</v>
      </c>
      <c r="C36" s="151" t="s">
        <v>16</v>
      </c>
      <c r="D36" s="151" t="s">
        <v>9519</v>
      </c>
      <c r="E36" s="151" t="s">
        <v>43</v>
      </c>
      <c r="F36" s="151" t="s">
        <v>9526</v>
      </c>
      <c r="G36" t="s">
        <v>544</v>
      </c>
      <c r="H36" t="s">
        <v>2546</v>
      </c>
      <c r="I36" s="151" t="s">
        <v>1248</v>
      </c>
      <c r="J36" s="151"/>
      <c r="K36" s="151" t="s">
        <v>596</v>
      </c>
      <c r="L36" s="151" t="s">
        <v>9527</v>
      </c>
      <c r="M36" s="151" t="s">
        <v>9522</v>
      </c>
      <c r="N36" s="151"/>
      <c r="O36" t="s">
        <v>2177</v>
      </c>
      <c r="P36" s="151"/>
      <c r="Q36"/>
      <c r="R36"/>
      <c r="S36"/>
      <c r="T36">
        <v>50</v>
      </c>
      <c r="U36" t="s">
        <v>9523</v>
      </c>
      <c r="V36" t="s">
        <v>6872</v>
      </c>
      <c r="W36" t="s">
        <v>9523</v>
      </c>
      <c r="X36"/>
      <c r="Y36"/>
    </row>
    <row r="37" spans="2:25">
      <c r="B37" s="151" t="s">
        <v>3593</v>
      </c>
      <c r="C37" s="151" t="s">
        <v>9528</v>
      </c>
      <c r="D37" s="151" t="s">
        <v>9519</v>
      </c>
      <c r="E37" s="151" t="s">
        <v>43</v>
      </c>
      <c r="F37" s="151" t="s">
        <v>9529</v>
      </c>
      <c r="G37" t="s">
        <v>544</v>
      </c>
      <c r="H37" t="s">
        <v>2546</v>
      </c>
      <c r="I37" s="151" t="s">
        <v>1248</v>
      </c>
      <c r="J37" s="151"/>
      <c r="K37" s="151" t="s">
        <v>596</v>
      </c>
      <c r="L37" s="151" t="s">
        <v>4718</v>
      </c>
      <c r="M37" s="151" t="s">
        <v>9522</v>
      </c>
      <c r="N37" s="151"/>
      <c r="O37" t="s">
        <v>2177</v>
      </c>
      <c r="P37" s="151"/>
      <c r="Q37"/>
      <c r="R37"/>
      <c r="S37"/>
      <c r="T37">
        <v>500</v>
      </c>
      <c r="U37" t="s">
        <v>9460</v>
      </c>
      <c r="V37" t="s">
        <v>6872</v>
      </c>
      <c r="W37" t="s">
        <v>9460</v>
      </c>
      <c r="X37"/>
      <c r="Y37"/>
    </row>
    <row r="38" spans="2:25">
      <c r="B38" s="151" t="s">
        <v>3593</v>
      </c>
      <c r="C38" s="151" t="s">
        <v>6950</v>
      </c>
      <c r="D38" s="151" t="s">
        <v>9519</v>
      </c>
      <c r="E38" s="151" t="s">
        <v>43</v>
      </c>
      <c r="F38" s="151" t="s">
        <v>9530</v>
      </c>
      <c r="G38" t="s">
        <v>544</v>
      </c>
      <c r="H38" t="s">
        <v>2546</v>
      </c>
      <c r="I38" s="151" t="s">
        <v>1248</v>
      </c>
      <c r="J38" s="151"/>
      <c r="K38" s="151" t="s">
        <v>596</v>
      </c>
      <c r="L38" s="151" t="s">
        <v>9531</v>
      </c>
      <c r="M38" s="151" t="s">
        <v>9522</v>
      </c>
      <c r="N38" s="151"/>
      <c r="O38" t="s">
        <v>2177</v>
      </c>
      <c r="P38" s="151"/>
      <c r="Q38"/>
      <c r="R38"/>
      <c r="S38"/>
      <c r="T38">
        <v>50</v>
      </c>
      <c r="U38" t="s">
        <v>9523</v>
      </c>
      <c r="V38" t="s">
        <v>6872</v>
      </c>
      <c r="W38" t="s">
        <v>9523</v>
      </c>
      <c r="X38"/>
      <c r="Y38"/>
    </row>
    <row r="39" spans="2:25">
      <c r="B39" t="s">
        <v>6858</v>
      </c>
      <c r="C39" t="s">
        <v>9408</v>
      </c>
      <c r="D39" t="s">
        <v>9409</v>
      </c>
      <c r="E39" t="s">
        <v>43</v>
      </c>
      <c r="F39" t="s">
        <v>9410</v>
      </c>
      <c r="G39" t="s">
        <v>544</v>
      </c>
      <c r="H39" t="s">
        <v>2546</v>
      </c>
      <c r="I39" t="s">
        <v>1248</v>
      </c>
      <c r="J39"/>
      <c r="K39" t="s">
        <v>581</v>
      </c>
      <c r="L39" t="s">
        <v>1251</v>
      </c>
      <c r="M39" t="s">
        <v>9411</v>
      </c>
      <c r="N39"/>
      <c r="O39" t="s">
        <v>2177</v>
      </c>
      <c r="P39"/>
      <c r="Q39"/>
      <c r="R39" t="s">
        <v>435</v>
      </c>
      <c r="S39" t="s">
        <v>435</v>
      </c>
      <c r="T39">
        <v>20</v>
      </c>
      <c r="U39" t="s">
        <v>9412</v>
      </c>
      <c r="V39" t="s">
        <v>6872</v>
      </c>
      <c r="W39" t="s">
        <v>9412</v>
      </c>
      <c r="X39"/>
      <c r="Y39"/>
    </row>
    <row r="40" spans="2:25">
      <c r="B40" t="s">
        <v>6858</v>
      </c>
      <c r="C40" t="s">
        <v>4237</v>
      </c>
      <c r="D40" t="s">
        <v>9409</v>
      </c>
      <c r="E40" t="s">
        <v>43</v>
      </c>
      <c r="F40" t="s">
        <v>9532</v>
      </c>
      <c r="G40" t="s">
        <v>544</v>
      </c>
      <c r="H40" t="s">
        <v>2546</v>
      </c>
      <c r="I40" t="s">
        <v>1248</v>
      </c>
      <c r="J40"/>
      <c r="K40" t="s">
        <v>581</v>
      </c>
      <c r="L40" t="s">
        <v>9414</v>
      </c>
      <c r="M40" t="s">
        <v>9411</v>
      </c>
      <c r="N40"/>
      <c r="O40" t="s">
        <v>2177</v>
      </c>
      <c r="P40"/>
      <c r="Q40"/>
      <c r="R40" t="s">
        <v>435</v>
      </c>
      <c r="S40" t="s">
        <v>435</v>
      </c>
      <c r="T40"/>
      <c r="U40" t="s">
        <v>2207</v>
      </c>
      <c r="V40" t="s">
        <v>6872</v>
      </c>
      <c r="W40" t="s">
        <v>2207</v>
      </c>
      <c r="X40"/>
      <c r="Y40"/>
    </row>
    <row r="41" spans="2:25">
      <c r="B41" t="s">
        <v>6858</v>
      </c>
      <c r="C41" t="s">
        <v>4293</v>
      </c>
      <c r="D41" t="s">
        <v>9409</v>
      </c>
      <c r="E41" t="s">
        <v>43</v>
      </c>
      <c r="F41" t="s">
        <v>9415</v>
      </c>
      <c r="G41" t="s">
        <v>544</v>
      </c>
      <c r="H41" t="s">
        <v>2546</v>
      </c>
      <c r="I41" t="s">
        <v>1248</v>
      </c>
      <c r="J41"/>
      <c r="K41" t="s">
        <v>581</v>
      </c>
      <c r="L41" t="s">
        <v>9416</v>
      </c>
      <c r="M41" t="s">
        <v>9411</v>
      </c>
      <c r="N41"/>
      <c r="O41" t="s">
        <v>2177</v>
      </c>
      <c r="P41"/>
      <c r="Q41"/>
      <c r="R41" t="s">
        <v>435</v>
      </c>
      <c r="S41" t="s">
        <v>435</v>
      </c>
      <c r="T41">
        <v>20</v>
      </c>
      <c r="U41" t="s">
        <v>9412</v>
      </c>
      <c r="V41" t="s">
        <v>6872</v>
      </c>
      <c r="W41" t="s">
        <v>9412</v>
      </c>
      <c r="X41"/>
      <c r="Y41"/>
    </row>
    <row r="42" spans="2:25">
      <c r="B42" t="s">
        <v>6858</v>
      </c>
      <c r="C42" t="s">
        <v>4266</v>
      </c>
      <c r="D42" t="s">
        <v>9409</v>
      </c>
      <c r="E42" t="s">
        <v>43</v>
      </c>
      <c r="F42" t="s">
        <v>9417</v>
      </c>
      <c r="G42" t="s">
        <v>544</v>
      </c>
      <c r="H42" t="s">
        <v>2546</v>
      </c>
      <c r="I42" t="s">
        <v>1248</v>
      </c>
      <c r="J42"/>
      <c r="K42" t="s">
        <v>581</v>
      </c>
      <c r="L42" t="s">
        <v>9418</v>
      </c>
      <c r="M42" t="s">
        <v>9411</v>
      </c>
      <c r="N42"/>
      <c r="O42" t="s">
        <v>2177</v>
      </c>
      <c r="P42"/>
      <c r="Q42"/>
      <c r="R42" t="s">
        <v>435</v>
      </c>
      <c r="S42" t="s">
        <v>435</v>
      </c>
      <c r="T42"/>
      <c r="U42" t="s">
        <v>9419</v>
      </c>
      <c r="V42" t="s">
        <v>6872</v>
      </c>
      <c r="W42" t="s">
        <v>9419</v>
      </c>
      <c r="X42"/>
      <c r="Y42"/>
    </row>
    <row r="43" spans="2:25">
      <c r="B43" t="s">
        <v>6858</v>
      </c>
      <c r="C43" t="s">
        <v>4263</v>
      </c>
      <c r="D43" t="s">
        <v>9409</v>
      </c>
      <c r="E43" t="s">
        <v>43</v>
      </c>
      <c r="F43" t="s">
        <v>9420</v>
      </c>
      <c r="G43" t="s">
        <v>544</v>
      </c>
      <c r="H43" t="s">
        <v>2546</v>
      </c>
      <c r="I43" t="s">
        <v>1248</v>
      </c>
      <c r="J43"/>
      <c r="K43" t="s">
        <v>581</v>
      </c>
      <c r="L43" t="s">
        <v>9421</v>
      </c>
      <c r="M43" t="s">
        <v>9411</v>
      </c>
      <c r="N43"/>
      <c r="O43" t="s">
        <v>2177</v>
      </c>
      <c r="P43"/>
      <c r="Q43"/>
      <c r="R43" t="s">
        <v>429</v>
      </c>
      <c r="S43" t="s">
        <v>429</v>
      </c>
      <c r="T43"/>
      <c r="U43" t="s">
        <v>9422</v>
      </c>
      <c r="V43" t="s">
        <v>6872</v>
      </c>
      <c r="W43" t="s">
        <v>9422</v>
      </c>
      <c r="X43"/>
      <c r="Y43" t="s">
        <v>9533</v>
      </c>
    </row>
    <row r="44" spans="2:25">
      <c r="B44" t="s">
        <v>6858</v>
      </c>
      <c r="C44" t="s">
        <v>4307</v>
      </c>
      <c r="D44" t="s">
        <v>9409</v>
      </c>
      <c r="E44" t="s">
        <v>43</v>
      </c>
      <c r="F44" t="s">
        <v>9424</v>
      </c>
      <c r="G44" t="s">
        <v>544</v>
      </c>
      <c r="H44" t="s">
        <v>2546</v>
      </c>
      <c r="I44" t="s">
        <v>1248</v>
      </c>
      <c r="J44"/>
      <c r="K44" t="s">
        <v>581</v>
      </c>
      <c r="L44" t="s">
        <v>4309</v>
      </c>
      <c r="M44" t="s">
        <v>9411</v>
      </c>
      <c r="N44"/>
      <c r="O44" t="s">
        <v>2177</v>
      </c>
      <c r="P44"/>
      <c r="Q44"/>
      <c r="R44" t="s">
        <v>435</v>
      </c>
      <c r="S44" t="s">
        <v>435</v>
      </c>
      <c r="T44">
        <v>22</v>
      </c>
      <c r="U44" t="s">
        <v>9419</v>
      </c>
      <c r="V44" t="s">
        <v>6872</v>
      </c>
      <c r="W44" t="s">
        <v>9419</v>
      </c>
      <c r="X44"/>
      <c r="Y44"/>
    </row>
    <row r="45" spans="2:25">
      <c r="B45" t="s">
        <v>6858</v>
      </c>
      <c r="C45" t="s">
        <v>9425</v>
      </c>
      <c r="D45" t="s">
        <v>9409</v>
      </c>
      <c r="E45" t="s">
        <v>43</v>
      </c>
      <c r="F45" t="s">
        <v>9426</v>
      </c>
      <c r="G45" t="s">
        <v>544</v>
      </c>
      <c r="H45" t="s">
        <v>2546</v>
      </c>
      <c r="I45" t="s">
        <v>1248</v>
      </c>
      <c r="J45"/>
      <c r="K45" t="s">
        <v>581</v>
      </c>
      <c r="L45" t="s">
        <v>9427</v>
      </c>
      <c r="M45" t="s">
        <v>9411</v>
      </c>
      <c r="N45"/>
      <c r="O45" t="s">
        <v>2177</v>
      </c>
      <c r="P45"/>
      <c r="Q45"/>
      <c r="R45" t="s">
        <v>435</v>
      </c>
      <c r="S45" t="s">
        <v>435</v>
      </c>
      <c r="T45">
        <v>22</v>
      </c>
      <c r="U45" t="s">
        <v>9419</v>
      </c>
      <c r="V45" t="s">
        <v>6872</v>
      </c>
      <c r="W45" t="s">
        <v>9419</v>
      </c>
      <c r="X45"/>
      <c r="Y45"/>
    </row>
    <row r="46" spans="2:25">
      <c r="B46" t="s">
        <v>6858</v>
      </c>
      <c r="C46" t="s">
        <v>9428</v>
      </c>
      <c r="D46" t="s">
        <v>9409</v>
      </c>
      <c r="E46" t="s">
        <v>43</v>
      </c>
      <c r="F46" t="s">
        <v>9429</v>
      </c>
      <c r="G46" t="s">
        <v>544</v>
      </c>
      <c r="H46" t="s">
        <v>2546</v>
      </c>
      <c r="I46" t="s">
        <v>1248</v>
      </c>
      <c r="J46"/>
      <c r="K46" t="s">
        <v>581</v>
      </c>
      <c r="L46" t="s">
        <v>9430</v>
      </c>
      <c r="M46" t="s">
        <v>9411</v>
      </c>
      <c r="N46"/>
      <c r="O46" t="s">
        <v>2177</v>
      </c>
      <c r="P46"/>
      <c r="Q46"/>
      <c r="R46" t="s">
        <v>435</v>
      </c>
      <c r="S46" t="s">
        <v>435</v>
      </c>
      <c r="T46">
        <v>22</v>
      </c>
      <c r="U46" t="s">
        <v>9419</v>
      </c>
      <c r="V46" t="s">
        <v>6872</v>
      </c>
      <c r="W46" t="s">
        <v>9419</v>
      </c>
      <c r="X46"/>
      <c r="Y46"/>
    </row>
    <row r="47" spans="2:25">
      <c r="B47" t="s">
        <v>6858</v>
      </c>
      <c r="C47" t="s">
        <v>16</v>
      </c>
      <c r="D47" t="s">
        <v>9409</v>
      </c>
      <c r="E47" t="s">
        <v>43</v>
      </c>
      <c r="F47" t="s">
        <v>9431</v>
      </c>
      <c r="G47" t="s">
        <v>544</v>
      </c>
      <c r="H47" t="s">
        <v>2546</v>
      </c>
      <c r="I47" t="s">
        <v>1248</v>
      </c>
      <c r="J47"/>
      <c r="K47" t="s">
        <v>9432</v>
      </c>
      <c r="L47" t="s">
        <v>9433</v>
      </c>
      <c r="M47" t="s">
        <v>9434</v>
      </c>
      <c r="N47"/>
      <c r="O47"/>
      <c r="P47" t="s">
        <v>9534</v>
      </c>
      <c r="Q47"/>
      <c r="R47" t="s">
        <v>435</v>
      </c>
      <c r="S47" t="s">
        <v>435</v>
      </c>
      <c r="T47"/>
      <c r="U47"/>
      <c r="V47" t="s">
        <v>6872</v>
      </c>
      <c r="W47"/>
      <c r="X47"/>
      <c r="Y47"/>
    </row>
    <row r="48" spans="2:25">
      <c r="B48" t="s">
        <v>6858</v>
      </c>
      <c r="C48" t="s">
        <v>9436</v>
      </c>
      <c r="D48" t="s">
        <v>9409</v>
      </c>
      <c r="E48" t="s">
        <v>43</v>
      </c>
      <c r="F48" t="s">
        <v>9535</v>
      </c>
      <c r="G48" t="s">
        <v>544</v>
      </c>
      <c r="H48" t="s">
        <v>2546</v>
      </c>
      <c r="I48" t="s">
        <v>1248</v>
      </c>
      <c r="J48"/>
      <c r="K48" t="s">
        <v>581</v>
      </c>
      <c r="L48" t="s">
        <v>9438</v>
      </c>
      <c r="M48" t="s">
        <v>9411</v>
      </c>
      <c r="N48"/>
      <c r="O48" t="s">
        <v>2177</v>
      </c>
      <c r="P48" t="s">
        <v>9439</v>
      </c>
      <c r="Q48"/>
      <c r="R48" t="s">
        <v>435</v>
      </c>
      <c r="S48" t="s">
        <v>435</v>
      </c>
      <c r="T48">
        <v>5</v>
      </c>
      <c r="U48" t="s">
        <v>9422</v>
      </c>
      <c r="V48" t="s">
        <v>6872</v>
      </c>
      <c r="W48" t="s">
        <v>9422</v>
      </c>
      <c r="X48"/>
      <c r="Y48"/>
    </row>
    <row r="49" spans="2:25">
      <c r="B49" t="s">
        <v>6858</v>
      </c>
      <c r="C49" t="s">
        <v>9440</v>
      </c>
      <c r="D49" t="s">
        <v>9409</v>
      </c>
      <c r="E49" t="s">
        <v>43</v>
      </c>
      <c r="F49" t="s">
        <v>9441</v>
      </c>
      <c r="G49" t="s">
        <v>544</v>
      </c>
      <c r="H49" t="s">
        <v>2546</v>
      </c>
      <c r="I49" t="s">
        <v>1248</v>
      </c>
      <c r="J49"/>
      <c r="K49" t="s">
        <v>581</v>
      </c>
      <c r="L49" t="s">
        <v>9442</v>
      </c>
      <c r="M49" t="s">
        <v>9411</v>
      </c>
      <c r="N49"/>
      <c r="O49" t="s">
        <v>2177</v>
      </c>
      <c r="P49"/>
      <c r="Q49"/>
      <c r="R49" t="s">
        <v>435</v>
      </c>
      <c r="S49" t="s">
        <v>435</v>
      </c>
      <c r="T49">
        <v>10</v>
      </c>
      <c r="U49" t="s">
        <v>9443</v>
      </c>
      <c r="V49" t="s">
        <v>6872</v>
      </c>
      <c r="W49" t="s">
        <v>9443</v>
      </c>
      <c r="X49"/>
      <c r="Y49"/>
    </row>
    <row r="50" spans="2:25">
      <c r="B50" t="s">
        <v>6858</v>
      </c>
      <c r="C50" t="s">
        <v>9444</v>
      </c>
      <c r="D50" t="s">
        <v>9409</v>
      </c>
      <c r="E50" t="s">
        <v>43</v>
      </c>
      <c r="F50" t="s">
        <v>9445</v>
      </c>
      <c r="G50" t="s">
        <v>544</v>
      </c>
      <c r="H50" t="s">
        <v>2546</v>
      </c>
      <c r="I50" t="s">
        <v>1248</v>
      </c>
      <c r="J50"/>
      <c r="K50" t="s">
        <v>581</v>
      </c>
      <c r="L50" t="s">
        <v>1251</v>
      </c>
      <c r="M50" t="s">
        <v>9411</v>
      </c>
      <c r="N50"/>
      <c r="O50" t="s">
        <v>2177</v>
      </c>
      <c r="P50"/>
      <c r="Q50"/>
      <c r="R50" t="s">
        <v>435</v>
      </c>
      <c r="S50" t="s">
        <v>435</v>
      </c>
      <c r="T50">
        <v>20</v>
      </c>
      <c r="U50" t="s">
        <v>9412</v>
      </c>
      <c r="V50" t="s">
        <v>6872</v>
      </c>
      <c r="W50" t="s">
        <v>9412</v>
      </c>
      <c r="X50"/>
      <c r="Y50"/>
    </row>
    <row r="51" spans="2:25">
      <c r="B51" t="s">
        <v>6858</v>
      </c>
      <c r="C51" t="s">
        <v>9446</v>
      </c>
      <c r="D51" t="s">
        <v>9409</v>
      </c>
      <c r="E51" t="s">
        <v>43</v>
      </c>
      <c r="F51" t="s">
        <v>9447</v>
      </c>
      <c r="G51" t="s">
        <v>544</v>
      </c>
      <c r="H51" t="s">
        <v>2546</v>
      </c>
      <c r="I51" t="s">
        <v>1248</v>
      </c>
      <c r="J51"/>
      <c r="K51" t="s">
        <v>581</v>
      </c>
      <c r="L51" t="s">
        <v>9448</v>
      </c>
      <c r="M51" t="s">
        <v>9411</v>
      </c>
      <c r="N51"/>
      <c r="O51" t="s">
        <v>2177</v>
      </c>
      <c r="P51" t="s">
        <v>9449</v>
      </c>
      <c r="Q51"/>
      <c r="R51" t="s">
        <v>429</v>
      </c>
      <c r="S51" t="s">
        <v>429</v>
      </c>
      <c r="T51">
        <v>5</v>
      </c>
      <c r="U51" t="s">
        <v>9422</v>
      </c>
      <c r="V51" t="s">
        <v>6872</v>
      </c>
      <c r="W51" t="s">
        <v>9422</v>
      </c>
      <c r="X51" t="s">
        <v>9450</v>
      </c>
      <c r="Y51" t="s">
        <v>9536</v>
      </c>
    </row>
    <row r="52" spans="2:25">
      <c r="B52" t="s">
        <v>6858</v>
      </c>
      <c r="C52" t="s">
        <v>4298</v>
      </c>
      <c r="D52" t="s">
        <v>9409</v>
      </c>
      <c r="E52" t="s">
        <v>43</v>
      </c>
      <c r="F52" t="s">
        <v>9452</v>
      </c>
      <c r="G52" t="s">
        <v>544</v>
      </c>
      <c r="H52" t="s">
        <v>2546</v>
      </c>
      <c r="I52" t="s">
        <v>1248</v>
      </c>
      <c r="J52"/>
      <c r="K52" t="s">
        <v>581</v>
      </c>
      <c r="L52" t="s">
        <v>9453</v>
      </c>
      <c r="M52" t="s">
        <v>9411</v>
      </c>
      <c r="N52"/>
      <c r="O52" t="s">
        <v>2177</v>
      </c>
      <c r="P52" t="s">
        <v>9454</v>
      </c>
      <c r="Q52"/>
      <c r="R52" t="s">
        <v>435</v>
      </c>
      <c r="S52" t="s">
        <v>435</v>
      </c>
      <c r="T52">
        <v>25</v>
      </c>
      <c r="U52" t="s">
        <v>9455</v>
      </c>
      <c r="V52" t="s">
        <v>6872</v>
      </c>
      <c r="W52" t="s">
        <v>9455</v>
      </c>
      <c r="X52" t="s">
        <v>9456</v>
      </c>
      <c r="Y52" t="s">
        <v>9457</v>
      </c>
    </row>
    <row r="53" spans="2:25">
      <c r="B53" t="s">
        <v>6858</v>
      </c>
      <c r="C53" t="s">
        <v>5265</v>
      </c>
      <c r="D53" t="s">
        <v>9409</v>
      </c>
      <c r="E53" t="s">
        <v>43</v>
      </c>
      <c r="F53" t="s">
        <v>9458</v>
      </c>
      <c r="G53" t="s">
        <v>544</v>
      </c>
      <c r="H53" t="s">
        <v>2546</v>
      </c>
      <c r="I53" t="s">
        <v>1248</v>
      </c>
      <c r="J53"/>
      <c r="K53" t="s">
        <v>581</v>
      </c>
      <c r="L53" t="s">
        <v>9459</v>
      </c>
      <c r="M53" t="s">
        <v>9411</v>
      </c>
      <c r="N53"/>
      <c r="O53" t="s">
        <v>2177</v>
      </c>
      <c r="P53"/>
      <c r="Q53"/>
      <c r="R53" t="s">
        <v>435</v>
      </c>
      <c r="S53" t="s">
        <v>435</v>
      </c>
      <c r="T53">
        <v>500</v>
      </c>
      <c r="U53" t="s">
        <v>9460</v>
      </c>
      <c r="V53" t="s">
        <v>6872</v>
      </c>
      <c r="W53" t="s">
        <v>9460</v>
      </c>
      <c r="X53"/>
      <c r="Y53"/>
    </row>
    <row r="54" spans="2:25">
      <c r="B54" t="s">
        <v>6858</v>
      </c>
      <c r="C54" t="s">
        <v>2254</v>
      </c>
      <c r="D54" t="s">
        <v>9409</v>
      </c>
      <c r="E54" t="s">
        <v>43</v>
      </c>
      <c r="F54" t="s">
        <v>9461</v>
      </c>
      <c r="G54" t="s">
        <v>544</v>
      </c>
      <c r="H54" t="s">
        <v>2546</v>
      </c>
      <c r="I54" t="s">
        <v>1248</v>
      </c>
      <c r="J54"/>
      <c r="K54" t="s">
        <v>581</v>
      </c>
      <c r="L54" t="s">
        <v>9462</v>
      </c>
      <c r="M54" t="s">
        <v>9411</v>
      </c>
      <c r="N54"/>
      <c r="O54" t="s">
        <v>2177</v>
      </c>
      <c r="P54"/>
      <c r="Q54"/>
      <c r="R54" t="s">
        <v>435</v>
      </c>
      <c r="S54" t="s">
        <v>435</v>
      </c>
      <c r="T54">
        <v>100</v>
      </c>
      <c r="U54" t="s">
        <v>9463</v>
      </c>
      <c r="V54" t="s">
        <v>6872</v>
      </c>
      <c r="W54" t="s">
        <v>9463</v>
      </c>
      <c r="X54"/>
      <c r="Y54"/>
    </row>
    <row r="55" spans="2:25">
      <c r="B55" t="s">
        <v>6858</v>
      </c>
      <c r="C55" t="s">
        <v>2259</v>
      </c>
      <c r="D55" t="s">
        <v>9409</v>
      </c>
      <c r="E55" t="s">
        <v>43</v>
      </c>
      <c r="F55" t="s">
        <v>9464</v>
      </c>
      <c r="G55" t="s">
        <v>544</v>
      </c>
      <c r="H55" t="s">
        <v>2546</v>
      </c>
      <c r="I55" t="s">
        <v>1248</v>
      </c>
      <c r="J55"/>
      <c r="K55" t="s">
        <v>581</v>
      </c>
      <c r="L55" t="s">
        <v>9465</v>
      </c>
      <c r="M55" t="s">
        <v>9411</v>
      </c>
      <c r="N55"/>
      <c r="O55" t="s">
        <v>2177</v>
      </c>
      <c r="P55"/>
      <c r="Q55"/>
      <c r="R55" t="s">
        <v>435</v>
      </c>
      <c r="S55" t="s">
        <v>435</v>
      </c>
      <c r="T55">
        <v>100</v>
      </c>
      <c r="U55" t="s">
        <v>9463</v>
      </c>
      <c r="V55" t="s">
        <v>6872</v>
      </c>
      <c r="W55" t="s">
        <v>9463</v>
      </c>
      <c r="X55"/>
      <c r="Y55"/>
    </row>
    <row r="56" spans="2:25">
      <c r="B56" t="s">
        <v>6858</v>
      </c>
      <c r="C56" t="s">
        <v>2262</v>
      </c>
      <c r="D56" t="s">
        <v>9409</v>
      </c>
      <c r="E56" t="s">
        <v>43</v>
      </c>
      <c r="F56" t="s">
        <v>9466</v>
      </c>
      <c r="G56" t="s">
        <v>544</v>
      </c>
      <c r="H56" t="s">
        <v>2546</v>
      </c>
      <c r="I56" t="s">
        <v>1248</v>
      </c>
      <c r="J56"/>
      <c r="K56" t="s">
        <v>581</v>
      </c>
      <c r="L56" t="s">
        <v>9467</v>
      </c>
      <c r="M56" t="s">
        <v>9411</v>
      </c>
      <c r="N56"/>
      <c r="O56" t="s">
        <v>2177</v>
      </c>
      <c r="P56"/>
      <c r="Q56"/>
      <c r="R56" t="s">
        <v>435</v>
      </c>
      <c r="S56" t="s">
        <v>435</v>
      </c>
      <c r="T56">
        <v>100</v>
      </c>
      <c r="U56" t="s">
        <v>9463</v>
      </c>
      <c r="V56" t="s">
        <v>6872</v>
      </c>
      <c r="W56" t="s">
        <v>9463</v>
      </c>
      <c r="X56"/>
      <c r="Y56"/>
    </row>
    <row r="57" spans="2:25">
      <c r="B57" t="s">
        <v>6858</v>
      </c>
      <c r="C57" t="s">
        <v>9468</v>
      </c>
      <c r="D57" t="s">
        <v>9409</v>
      </c>
      <c r="E57" t="s">
        <v>43</v>
      </c>
      <c r="F57" t="s">
        <v>9469</v>
      </c>
      <c r="G57" t="s">
        <v>544</v>
      </c>
      <c r="H57" t="s">
        <v>2546</v>
      </c>
      <c r="I57" t="s">
        <v>1248</v>
      </c>
      <c r="J57"/>
      <c r="K57" t="s">
        <v>581</v>
      </c>
      <c r="L57" t="s">
        <v>9470</v>
      </c>
      <c r="M57" t="s">
        <v>9411</v>
      </c>
      <c r="N57"/>
      <c r="O57" t="s">
        <v>2177</v>
      </c>
      <c r="P57"/>
      <c r="Q57"/>
      <c r="R57" t="s">
        <v>435</v>
      </c>
      <c r="S57" t="s">
        <v>435</v>
      </c>
      <c r="T57">
        <v>150</v>
      </c>
      <c r="U57" t="s">
        <v>9471</v>
      </c>
      <c r="V57" t="s">
        <v>6872</v>
      </c>
      <c r="W57" t="s">
        <v>9471</v>
      </c>
      <c r="X57"/>
      <c r="Y57"/>
    </row>
    <row r="58" spans="2:25">
      <c r="B58" t="s">
        <v>6858</v>
      </c>
      <c r="C58" t="s">
        <v>9472</v>
      </c>
      <c r="D58" t="s">
        <v>9409</v>
      </c>
      <c r="E58" t="s">
        <v>43</v>
      </c>
      <c r="F58" t="s">
        <v>9473</v>
      </c>
      <c r="G58" t="s">
        <v>544</v>
      </c>
      <c r="H58" t="s">
        <v>2546</v>
      </c>
      <c r="I58" t="s">
        <v>1248</v>
      </c>
      <c r="J58"/>
      <c r="K58" t="s">
        <v>581</v>
      </c>
      <c r="L58" t="s">
        <v>9474</v>
      </c>
      <c r="M58" t="s">
        <v>9411</v>
      </c>
      <c r="N58"/>
      <c r="O58" t="s">
        <v>2177</v>
      </c>
      <c r="P58"/>
      <c r="Q58"/>
      <c r="R58" t="s">
        <v>435</v>
      </c>
      <c r="S58" t="s">
        <v>435</v>
      </c>
      <c r="T58">
        <v>150</v>
      </c>
      <c r="U58" t="s">
        <v>9471</v>
      </c>
      <c r="V58" t="s">
        <v>6872</v>
      </c>
      <c r="W58" t="s">
        <v>9471</v>
      </c>
      <c r="X58"/>
      <c r="Y58"/>
    </row>
    <row r="59" spans="2:25">
      <c r="B59" t="s">
        <v>6858</v>
      </c>
      <c r="C59" t="s">
        <v>9475</v>
      </c>
      <c r="D59" t="s">
        <v>9409</v>
      </c>
      <c r="E59" t="s">
        <v>43</v>
      </c>
      <c r="F59" t="s">
        <v>9476</v>
      </c>
      <c r="G59" t="s">
        <v>544</v>
      </c>
      <c r="H59" t="s">
        <v>2546</v>
      </c>
      <c r="I59" t="s">
        <v>1248</v>
      </c>
      <c r="J59"/>
      <c r="K59" t="s">
        <v>581</v>
      </c>
      <c r="L59" t="s">
        <v>9477</v>
      </c>
      <c r="M59" t="s">
        <v>9411</v>
      </c>
      <c r="N59"/>
      <c r="O59" t="s">
        <v>2177</v>
      </c>
      <c r="P59"/>
      <c r="Q59"/>
      <c r="R59" t="s">
        <v>435</v>
      </c>
      <c r="S59" t="s">
        <v>435</v>
      </c>
      <c r="T59">
        <v>150</v>
      </c>
      <c r="U59" t="s">
        <v>9471</v>
      </c>
      <c r="V59" t="s">
        <v>6872</v>
      </c>
      <c r="W59" t="s">
        <v>9471</v>
      </c>
      <c r="X59"/>
      <c r="Y59"/>
    </row>
    <row r="60" spans="2:25">
      <c r="B60" t="s">
        <v>6858</v>
      </c>
      <c r="C60" t="s">
        <v>2821</v>
      </c>
      <c r="D60" t="s">
        <v>9409</v>
      </c>
      <c r="E60" t="s">
        <v>43</v>
      </c>
      <c r="F60" t="s">
        <v>9478</v>
      </c>
      <c r="G60" t="s">
        <v>544</v>
      </c>
      <c r="H60" t="s">
        <v>2546</v>
      </c>
      <c r="I60" t="s">
        <v>1248</v>
      </c>
      <c r="J60"/>
      <c r="K60" t="s">
        <v>581</v>
      </c>
      <c r="L60" t="s">
        <v>9479</v>
      </c>
      <c r="M60" t="s">
        <v>9411</v>
      </c>
      <c r="N60"/>
      <c r="O60" t="s">
        <v>2177</v>
      </c>
      <c r="P60" t="s">
        <v>9480</v>
      </c>
      <c r="Q60"/>
      <c r="R60" t="s">
        <v>429</v>
      </c>
      <c r="S60" t="s">
        <v>429</v>
      </c>
      <c r="T60">
        <v>200</v>
      </c>
      <c r="U60" t="s">
        <v>9481</v>
      </c>
      <c r="V60" t="s">
        <v>6872</v>
      </c>
      <c r="W60" t="s">
        <v>9481</v>
      </c>
      <c r="X60" t="s">
        <v>9482</v>
      </c>
      <c r="Y60" t="s">
        <v>9483</v>
      </c>
    </row>
    <row r="61" spans="2:25">
      <c r="B61" t="s">
        <v>6858</v>
      </c>
      <c r="C61" t="s">
        <v>2215</v>
      </c>
      <c r="D61" t="s">
        <v>9409</v>
      </c>
      <c r="E61" t="s">
        <v>43</v>
      </c>
      <c r="F61" t="s">
        <v>9484</v>
      </c>
      <c r="G61" t="s">
        <v>544</v>
      </c>
      <c r="H61" t="s">
        <v>2546</v>
      </c>
      <c r="I61" t="s">
        <v>1248</v>
      </c>
      <c r="J61"/>
      <c r="K61" t="s">
        <v>581</v>
      </c>
      <c r="L61" t="s">
        <v>6702</v>
      </c>
      <c r="M61" t="s">
        <v>9411</v>
      </c>
      <c r="N61"/>
      <c r="O61" t="s">
        <v>2177</v>
      </c>
      <c r="P61"/>
      <c r="Q61"/>
      <c r="R61" t="s">
        <v>429</v>
      </c>
      <c r="S61" t="s">
        <v>429</v>
      </c>
      <c r="T61">
        <v>100</v>
      </c>
      <c r="U61" t="s">
        <v>9463</v>
      </c>
      <c r="V61" t="s">
        <v>6872</v>
      </c>
      <c r="W61" t="s">
        <v>9463</v>
      </c>
      <c r="X61" t="s">
        <v>9485</v>
      </c>
      <c r="Y61" t="s">
        <v>9486</v>
      </c>
    </row>
    <row r="62" spans="2:25">
      <c r="B62" t="s">
        <v>6858</v>
      </c>
      <c r="C62" t="s">
        <v>9487</v>
      </c>
      <c r="D62" t="s">
        <v>9409</v>
      </c>
      <c r="E62" t="s">
        <v>43</v>
      </c>
      <c r="F62" t="s">
        <v>9488</v>
      </c>
      <c r="G62" t="s">
        <v>544</v>
      </c>
      <c r="H62" t="s">
        <v>2546</v>
      </c>
      <c r="I62" t="s">
        <v>1248</v>
      </c>
      <c r="J62"/>
      <c r="K62" t="s">
        <v>581</v>
      </c>
      <c r="L62" t="s">
        <v>9489</v>
      </c>
      <c r="M62" t="s">
        <v>9411</v>
      </c>
      <c r="N62"/>
      <c r="O62" t="s">
        <v>2177</v>
      </c>
      <c r="P62"/>
      <c r="Q62"/>
      <c r="R62" t="s">
        <v>435</v>
      </c>
      <c r="S62" t="s">
        <v>435</v>
      </c>
      <c r="T62">
        <v>500</v>
      </c>
      <c r="U62" t="s">
        <v>9490</v>
      </c>
      <c r="V62" t="s">
        <v>6872</v>
      </c>
      <c r="W62" t="s">
        <v>9490</v>
      </c>
      <c r="X62"/>
      <c r="Y62"/>
    </row>
    <row r="63" spans="2:25">
      <c r="B63" t="s">
        <v>6858</v>
      </c>
      <c r="C63" t="s">
        <v>4787</v>
      </c>
      <c r="D63" t="s">
        <v>9409</v>
      </c>
      <c r="E63" t="s">
        <v>43</v>
      </c>
      <c r="F63" t="s">
        <v>9491</v>
      </c>
      <c r="G63" t="s">
        <v>544</v>
      </c>
      <c r="H63" t="s">
        <v>2546</v>
      </c>
      <c r="I63" t="s">
        <v>1248</v>
      </c>
      <c r="J63"/>
      <c r="K63" t="s">
        <v>581</v>
      </c>
      <c r="L63" t="s">
        <v>9492</v>
      </c>
      <c r="M63" t="s">
        <v>9411</v>
      </c>
      <c r="N63"/>
      <c r="O63" t="s">
        <v>2177</v>
      </c>
      <c r="P63"/>
      <c r="Q63"/>
      <c r="R63" t="s">
        <v>435</v>
      </c>
      <c r="S63" t="s">
        <v>435</v>
      </c>
      <c r="T63">
        <v>25</v>
      </c>
      <c r="U63" t="s">
        <v>9455</v>
      </c>
      <c r="V63" t="s">
        <v>6872</v>
      </c>
      <c r="W63" t="s">
        <v>9455</v>
      </c>
      <c r="X63" t="s">
        <v>9493</v>
      </c>
      <c r="Y63" t="s">
        <v>9494</v>
      </c>
    </row>
    <row r="64" spans="2:25">
      <c r="B64" t="s">
        <v>6858</v>
      </c>
      <c r="C64" t="s">
        <v>9495</v>
      </c>
      <c r="D64" t="s">
        <v>9409</v>
      </c>
      <c r="E64" t="s">
        <v>43</v>
      </c>
      <c r="F64" t="s">
        <v>9496</v>
      </c>
      <c r="G64" t="s">
        <v>544</v>
      </c>
      <c r="H64" t="s">
        <v>2546</v>
      </c>
      <c r="I64" t="s">
        <v>1248</v>
      </c>
      <c r="J64"/>
      <c r="K64" t="s">
        <v>581</v>
      </c>
      <c r="L64" t="s">
        <v>9497</v>
      </c>
      <c r="M64" t="s">
        <v>9411</v>
      </c>
      <c r="N64"/>
      <c r="O64" t="s">
        <v>2177</v>
      </c>
      <c r="P64"/>
      <c r="Q64"/>
      <c r="R64" t="s">
        <v>435</v>
      </c>
      <c r="S64" t="s">
        <v>435</v>
      </c>
      <c r="T64">
        <v>150</v>
      </c>
      <c r="U64" t="s">
        <v>9471</v>
      </c>
      <c r="V64" t="s">
        <v>6872</v>
      </c>
      <c r="W64" t="s">
        <v>9471</v>
      </c>
      <c r="X64"/>
      <c r="Y64"/>
    </row>
    <row r="65" spans="2:25">
      <c r="B65" t="s">
        <v>6858</v>
      </c>
      <c r="C65" t="s">
        <v>9498</v>
      </c>
      <c r="D65" t="s">
        <v>9409</v>
      </c>
      <c r="E65" t="s">
        <v>43</v>
      </c>
      <c r="F65" t="s">
        <v>9499</v>
      </c>
      <c r="G65" t="s">
        <v>544</v>
      </c>
      <c r="H65" t="s">
        <v>2546</v>
      </c>
      <c r="I65" t="s">
        <v>1248</v>
      </c>
      <c r="J65"/>
      <c r="K65" t="s">
        <v>581</v>
      </c>
      <c r="L65" t="s">
        <v>9500</v>
      </c>
      <c r="M65" t="s">
        <v>9411</v>
      </c>
      <c r="N65"/>
      <c r="O65" t="s">
        <v>2177</v>
      </c>
      <c r="P65"/>
      <c r="Q65"/>
      <c r="R65" t="s">
        <v>435</v>
      </c>
      <c r="S65" t="s">
        <v>435</v>
      </c>
      <c r="T65">
        <v>60</v>
      </c>
      <c r="U65" t="s">
        <v>9501</v>
      </c>
      <c r="V65" t="s">
        <v>6872</v>
      </c>
      <c r="W65" t="s">
        <v>9501</v>
      </c>
      <c r="X65" t="s">
        <v>9502</v>
      </c>
      <c r="Y65" t="s">
        <v>9503</v>
      </c>
    </row>
    <row r="66" spans="2:25">
      <c r="B66" t="s">
        <v>6858</v>
      </c>
      <c r="C66" t="s">
        <v>9504</v>
      </c>
      <c r="D66" t="s">
        <v>9409</v>
      </c>
      <c r="E66" t="s">
        <v>43</v>
      </c>
      <c r="F66" t="s">
        <v>9505</v>
      </c>
      <c r="G66" t="s">
        <v>544</v>
      </c>
      <c r="H66" t="s">
        <v>2546</v>
      </c>
      <c r="I66" t="s">
        <v>1248</v>
      </c>
      <c r="J66"/>
      <c r="K66" t="s">
        <v>581</v>
      </c>
      <c r="L66" t="s">
        <v>9506</v>
      </c>
      <c r="M66" t="s">
        <v>9411</v>
      </c>
      <c r="N66"/>
      <c r="O66" t="s">
        <v>2177</v>
      </c>
      <c r="P66"/>
      <c r="Q66"/>
      <c r="R66" t="s">
        <v>435</v>
      </c>
      <c r="S66" t="s">
        <v>435</v>
      </c>
      <c r="T66">
        <v>25</v>
      </c>
      <c r="U66" t="s">
        <v>9455</v>
      </c>
      <c r="V66" t="s">
        <v>6872</v>
      </c>
      <c r="W66" t="s">
        <v>9455</v>
      </c>
      <c r="X66"/>
      <c r="Y66"/>
    </row>
    <row r="67" spans="2:25">
      <c r="B67" t="s">
        <v>6858</v>
      </c>
      <c r="C67" t="s">
        <v>8514</v>
      </c>
      <c r="D67" t="s">
        <v>9409</v>
      </c>
      <c r="E67" t="s">
        <v>43</v>
      </c>
      <c r="F67" t="s">
        <v>9507</v>
      </c>
      <c r="G67" t="s">
        <v>544</v>
      </c>
      <c r="H67" t="s">
        <v>2546</v>
      </c>
      <c r="I67" t="s">
        <v>1248</v>
      </c>
      <c r="J67"/>
      <c r="K67" t="s">
        <v>581</v>
      </c>
      <c r="L67" t="s">
        <v>9508</v>
      </c>
      <c r="M67" t="s">
        <v>9411</v>
      </c>
      <c r="N67"/>
      <c r="O67" t="s">
        <v>2177</v>
      </c>
      <c r="P67"/>
      <c r="Q67"/>
      <c r="R67" t="s">
        <v>435</v>
      </c>
      <c r="S67" t="s">
        <v>435</v>
      </c>
      <c r="T67">
        <v>15</v>
      </c>
      <c r="U67" t="s">
        <v>9509</v>
      </c>
      <c r="V67" t="s">
        <v>6872</v>
      </c>
      <c r="W67" t="s">
        <v>9509</v>
      </c>
      <c r="X67"/>
      <c r="Y67"/>
    </row>
    <row r="68" spans="2:25">
      <c r="B68" t="s">
        <v>6858</v>
      </c>
      <c r="C68" t="s">
        <v>8</v>
      </c>
      <c r="D68" t="s">
        <v>9409</v>
      </c>
      <c r="E68" t="s">
        <v>43</v>
      </c>
      <c r="F68" t="s">
        <v>9510</v>
      </c>
      <c r="G68" t="s">
        <v>544</v>
      </c>
      <c r="H68" t="s">
        <v>2546</v>
      </c>
      <c r="I68" t="s">
        <v>1248</v>
      </c>
      <c r="J68"/>
      <c r="K68" t="s">
        <v>581</v>
      </c>
      <c r="L68" t="s">
        <v>9511</v>
      </c>
      <c r="M68" t="s">
        <v>9411</v>
      </c>
      <c r="N68"/>
      <c r="O68" t="s">
        <v>2177</v>
      </c>
      <c r="P68"/>
      <c r="Q68"/>
      <c r="R68" t="s">
        <v>435</v>
      </c>
      <c r="S68" t="s">
        <v>435</v>
      </c>
      <c r="T68">
        <v>15</v>
      </c>
      <c r="U68" t="s">
        <v>9509</v>
      </c>
      <c r="V68" t="s">
        <v>6872</v>
      </c>
      <c r="W68" t="s">
        <v>9509</v>
      </c>
      <c r="X68"/>
      <c r="Y68"/>
    </row>
    <row r="69" spans="2:25">
      <c r="B69" t="s">
        <v>6858</v>
      </c>
      <c r="C69" t="s">
        <v>9512</v>
      </c>
      <c r="D69" t="s">
        <v>9409</v>
      </c>
      <c r="E69" t="s">
        <v>43</v>
      </c>
      <c r="F69" t="s">
        <v>9513</v>
      </c>
      <c r="G69" t="s">
        <v>544</v>
      </c>
      <c r="H69" t="s">
        <v>2546</v>
      </c>
      <c r="I69" t="s">
        <v>1248</v>
      </c>
      <c r="J69"/>
      <c r="K69" t="s">
        <v>9514</v>
      </c>
      <c r="L69" t="s">
        <v>9515</v>
      </c>
      <c r="M69" t="s">
        <v>9411</v>
      </c>
      <c r="N69"/>
      <c r="O69"/>
      <c r="P69" t="s">
        <v>9435</v>
      </c>
      <c r="Q69"/>
      <c r="R69" t="s">
        <v>435</v>
      </c>
      <c r="S69" t="s">
        <v>435</v>
      </c>
      <c r="T69"/>
      <c r="U69"/>
      <c r="V69" t="s">
        <v>6872</v>
      </c>
      <c r="W69"/>
      <c r="X69"/>
      <c r="Y69"/>
    </row>
    <row r="70" spans="2:25">
      <c r="B70" t="s">
        <v>6858</v>
      </c>
      <c r="C70" t="s">
        <v>9516</v>
      </c>
      <c r="D70" t="s">
        <v>9409</v>
      </c>
      <c r="E70" t="s">
        <v>43</v>
      </c>
      <c r="F70" t="s">
        <v>9517</v>
      </c>
      <c r="G70" t="s">
        <v>544</v>
      </c>
      <c r="H70" t="s">
        <v>2546</v>
      </c>
      <c r="I70" t="s">
        <v>1248</v>
      </c>
      <c r="J70"/>
      <c r="K70" t="s">
        <v>581</v>
      </c>
      <c r="L70" t="s">
        <v>9518</v>
      </c>
      <c r="M70" t="s">
        <v>9411</v>
      </c>
      <c r="N70"/>
      <c r="O70" t="s">
        <v>2177</v>
      </c>
      <c r="P70"/>
      <c r="Q70"/>
      <c r="R70" t="s">
        <v>435</v>
      </c>
      <c r="S70" t="s">
        <v>435</v>
      </c>
      <c r="T70"/>
      <c r="U70"/>
      <c r="V70" t="s">
        <v>6872</v>
      </c>
      <c r="W70"/>
      <c r="X70"/>
      <c r="Y70"/>
    </row>
    <row r="71" spans="2:25">
      <c r="B71" s="151" t="s">
        <v>6858</v>
      </c>
      <c r="C71" s="151" t="s">
        <v>8788</v>
      </c>
      <c r="D71" s="151" t="s">
        <v>9519</v>
      </c>
      <c r="E71" s="151" t="s">
        <v>43</v>
      </c>
      <c r="F71" s="151" t="s">
        <v>9520</v>
      </c>
      <c r="G71" t="s">
        <v>544</v>
      </c>
      <c r="H71" t="s">
        <v>2546</v>
      </c>
      <c r="I71" s="151" t="s">
        <v>1248</v>
      </c>
      <c r="J71" s="151"/>
      <c r="K71" s="151" t="s">
        <v>596</v>
      </c>
      <c r="L71" s="151" t="s">
        <v>9521</v>
      </c>
      <c r="M71" s="151" t="s">
        <v>9522</v>
      </c>
      <c r="N71" s="151"/>
      <c r="O71" t="s">
        <v>2177</v>
      </c>
      <c r="P71" s="151"/>
      <c r="Q71"/>
      <c r="R71" t="s">
        <v>435</v>
      </c>
      <c r="S71" t="s">
        <v>435</v>
      </c>
      <c r="T71">
        <v>50</v>
      </c>
      <c r="U71" t="s">
        <v>9523</v>
      </c>
      <c r="V71" t="s">
        <v>6872</v>
      </c>
      <c r="W71" t="s">
        <v>9523</v>
      </c>
      <c r="X71"/>
      <c r="Y71"/>
    </row>
    <row r="72" spans="2:25">
      <c r="B72" s="151" t="s">
        <v>6858</v>
      </c>
      <c r="C72" s="151" t="s">
        <v>9524</v>
      </c>
      <c r="D72" s="151" t="s">
        <v>9519</v>
      </c>
      <c r="E72" s="151" t="s">
        <v>43</v>
      </c>
      <c r="F72" s="151" t="s">
        <v>9525</v>
      </c>
      <c r="G72" t="s">
        <v>544</v>
      </c>
      <c r="H72" t="s">
        <v>2546</v>
      </c>
      <c r="I72" s="151" t="s">
        <v>1248</v>
      </c>
      <c r="J72" s="151"/>
      <c r="K72" s="151" t="s">
        <v>596</v>
      </c>
      <c r="L72" s="151" t="s">
        <v>9041</v>
      </c>
      <c r="M72" s="151" t="s">
        <v>9522</v>
      </c>
      <c r="N72" s="151"/>
      <c r="O72" t="s">
        <v>2177</v>
      </c>
      <c r="P72" s="151"/>
      <c r="Q72"/>
      <c r="R72" t="s">
        <v>435</v>
      </c>
      <c r="S72" t="s">
        <v>435</v>
      </c>
      <c r="T72"/>
      <c r="U72" t="s">
        <v>2207</v>
      </c>
      <c r="V72" t="s">
        <v>6872</v>
      </c>
      <c r="W72" t="s">
        <v>2207</v>
      </c>
      <c r="X72"/>
      <c r="Y72"/>
    </row>
    <row r="73" spans="2:25">
      <c r="B73" s="151" t="s">
        <v>6858</v>
      </c>
      <c r="C73" s="151" t="s">
        <v>16</v>
      </c>
      <c r="D73" s="151" t="s">
        <v>9519</v>
      </c>
      <c r="E73" s="151" t="s">
        <v>43</v>
      </c>
      <c r="F73" s="151" t="s">
        <v>9526</v>
      </c>
      <c r="G73" t="s">
        <v>544</v>
      </c>
      <c r="H73" t="s">
        <v>2546</v>
      </c>
      <c r="I73" s="151" t="s">
        <v>1248</v>
      </c>
      <c r="J73" s="151"/>
      <c r="K73" s="151" t="s">
        <v>596</v>
      </c>
      <c r="L73" s="151" t="s">
        <v>9527</v>
      </c>
      <c r="M73" s="151" t="s">
        <v>9522</v>
      </c>
      <c r="N73" s="151"/>
      <c r="O73" t="s">
        <v>2177</v>
      </c>
      <c r="P73" s="151"/>
      <c r="Q73"/>
      <c r="R73" t="s">
        <v>435</v>
      </c>
      <c r="S73" t="s">
        <v>435</v>
      </c>
      <c r="T73">
        <v>50</v>
      </c>
      <c r="U73" t="s">
        <v>9523</v>
      </c>
      <c r="V73" t="s">
        <v>6872</v>
      </c>
      <c r="W73" t="s">
        <v>9523</v>
      </c>
      <c r="X73"/>
      <c r="Y73"/>
    </row>
    <row r="74" spans="2:25">
      <c r="B74" s="151" t="s">
        <v>6858</v>
      </c>
      <c r="C74" s="151" t="s">
        <v>9528</v>
      </c>
      <c r="D74" s="151" t="s">
        <v>9519</v>
      </c>
      <c r="E74" s="151" t="s">
        <v>43</v>
      </c>
      <c r="F74" s="151" t="s">
        <v>9529</v>
      </c>
      <c r="G74" t="s">
        <v>544</v>
      </c>
      <c r="H74" t="s">
        <v>2546</v>
      </c>
      <c r="I74" s="151" t="s">
        <v>1248</v>
      </c>
      <c r="J74" s="151"/>
      <c r="K74" s="151" t="s">
        <v>596</v>
      </c>
      <c r="L74" s="151" t="s">
        <v>4718</v>
      </c>
      <c r="M74" s="151" t="s">
        <v>9522</v>
      </c>
      <c r="N74" s="151"/>
      <c r="O74" t="s">
        <v>2177</v>
      </c>
      <c r="P74" s="151"/>
      <c r="Q74"/>
      <c r="R74" t="s">
        <v>435</v>
      </c>
      <c r="S74" t="s">
        <v>435</v>
      </c>
      <c r="T74">
        <v>500</v>
      </c>
      <c r="U74" t="s">
        <v>9460</v>
      </c>
      <c r="V74" t="s">
        <v>6872</v>
      </c>
      <c r="W74" t="s">
        <v>9460</v>
      </c>
      <c r="X74"/>
      <c r="Y74"/>
    </row>
    <row r="75" spans="2:25">
      <c r="B75" s="151" t="s">
        <v>6858</v>
      </c>
      <c r="C75" s="151" t="s">
        <v>6950</v>
      </c>
      <c r="D75" s="151" t="s">
        <v>9519</v>
      </c>
      <c r="E75" s="151" t="s">
        <v>43</v>
      </c>
      <c r="F75" s="151" t="s">
        <v>9530</v>
      </c>
      <c r="G75" t="s">
        <v>544</v>
      </c>
      <c r="H75" t="s">
        <v>2546</v>
      </c>
      <c r="I75" s="151" t="s">
        <v>1248</v>
      </c>
      <c r="J75" s="151"/>
      <c r="K75" s="151" t="s">
        <v>596</v>
      </c>
      <c r="L75" s="151" t="s">
        <v>9531</v>
      </c>
      <c r="M75" s="151" t="s">
        <v>9522</v>
      </c>
      <c r="N75" s="151"/>
      <c r="O75" t="s">
        <v>2177</v>
      </c>
      <c r="P75" s="151"/>
      <c r="Q75"/>
      <c r="R75" t="s">
        <v>435</v>
      </c>
      <c r="S75" t="s">
        <v>435</v>
      </c>
      <c r="T75">
        <v>50</v>
      </c>
      <c r="U75" t="s">
        <v>9523</v>
      </c>
      <c r="V75" t="s">
        <v>6872</v>
      </c>
      <c r="W75" t="s">
        <v>9523</v>
      </c>
      <c r="X75"/>
      <c r="Y75"/>
    </row>
    <row r="76" spans="2:25">
      <c r="B76" s="340"/>
      <c r="C76" s="340"/>
      <c r="D76" s="340"/>
      <c r="E76" s="340"/>
      <c r="F76" s="340"/>
      <c r="I76" s="340"/>
      <c r="J76" s="340"/>
      <c r="K76" s="340"/>
      <c r="L76" s="340"/>
      <c r="M76" s="340"/>
      <c r="N76" s="340"/>
      <c r="P76" s="340"/>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73112-702A-453F-A9FA-2DABB168D942}">
  <sheetPr>
    <tabColor theme="9" tint="0.79998168889431442"/>
  </sheetPr>
  <dimension ref="B1:W65"/>
  <sheetViews>
    <sheetView topLeftCell="F1" workbookViewId="0">
      <selection activeCell="G66" sqref="G66"/>
    </sheetView>
  </sheetViews>
  <sheetFormatPr defaultRowHeight="15"/>
  <cols>
    <col min="3" max="3" width="24.42578125" style="8" bestFit="1" customWidth="1"/>
    <col min="4" max="4" width="28.42578125" style="8" customWidth="1"/>
    <col min="5" max="5" width="29.42578125" style="8" customWidth="1"/>
    <col min="6" max="6" width="125.42578125" style="8" bestFit="1" customWidth="1"/>
    <col min="7" max="7" width="32.7109375" style="8" bestFit="1" customWidth="1"/>
    <col min="9" max="9" width="25.42578125" style="8" bestFit="1" customWidth="1"/>
    <col min="14" max="14" width="30.42578125" style="8" customWidth="1"/>
  </cols>
  <sheetData>
    <row r="1" spans="2:23">
      <c r="B1" s="358" t="s">
        <v>2157</v>
      </c>
      <c r="C1" s="358" t="s">
        <v>336</v>
      </c>
      <c r="D1" s="358" t="s">
        <v>337</v>
      </c>
      <c r="E1" s="358" t="s">
        <v>338</v>
      </c>
      <c r="F1" s="358" t="s">
        <v>339</v>
      </c>
      <c r="G1" s="358" t="s">
        <v>2158</v>
      </c>
      <c r="H1" s="403" t="s">
        <v>425</v>
      </c>
      <c r="I1" s="403" t="s">
        <v>426</v>
      </c>
      <c r="J1" s="403" t="s">
        <v>427</v>
      </c>
      <c r="K1" s="403" t="s">
        <v>9537</v>
      </c>
      <c r="L1" s="403" t="s">
        <v>9538</v>
      </c>
      <c r="M1" s="403" t="s">
        <v>16</v>
      </c>
      <c r="N1" s="403" t="s">
        <v>428</v>
      </c>
      <c r="O1" s="403" t="s">
        <v>416</v>
      </c>
      <c r="P1" s="403" t="s">
        <v>417</v>
      </c>
      <c r="Q1" s="403" t="s">
        <v>418</v>
      </c>
      <c r="R1" s="403" t="s">
        <v>419</v>
      </c>
      <c r="S1" s="403" t="s">
        <v>420</v>
      </c>
      <c r="T1" s="403" t="s">
        <v>421</v>
      </c>
      <c r="U1" s="403" t="s">
        <v>422</v>
      </c>
      <c r="V1" s="403" t="s">
        <v>423</v>
      </c>
      <c r="W1" s="403"/>
    </row>
    <row r="2" spans="2:23">
      <c r="B2" s="8" t="s">
        <v>3593</v>
      </c>
      <c r="C2" t="s">
        <v>4354</v>
      </c>
      <c r="D2" t="s">
        <v>9539</v>
      </c>
      <c r="E2" t="s">
        <v>51</v>
      </c>
      <c r="F2" t="s">
        <v>9540</v>
      </c>
      <c r="G2" t="s">
        <v>544</v>
      </c>
      <c r="H2" s="8" t="s">
        <v>1460</v>
      </c>
      <c r="I2" s="8" t="s">
        <v>610</v>
      </c>
      <c r="J2" s="8" t="s">
        <v>9541</v>
      </c>
      <c r="K2" s="8" t="s">
        <v>9542</v>
      </c>
      <c r="N2" s="8" t="s">
        <v>9543</v>
      </c>
      <c r="O2" s="8" t="s">
        <v>435</v>
      </c>
      <c r="P2" s="8" t="s">
        <v>435</v>
      </c>
      <c r="Q2" s="8">
        <v>13</v>
      </c>
      <c r="R2" s="8">
        <v>13</v>
      </c>
      <c r="S2" s="8" t="s">
        <v>435</v>
      </c>
      <c r="T2" s="8" t="s">
        <v>9544</v>
      </c>
    </row>
    <row r="3" spans="2:23">
      <c r="B3" s="8" t="s">
        <v>3593</v>
      </c>
      <c r="C3" t="s">
        <v>5416</v>
      </c>
      <c r="D3" t="s">
        <v>9539</v>
      </c>
      <c r="E3" t="s">
        <v>51</v>
      </c>
      <c r="F3" t="s">
        <v>9545</v>
      </c>
      <c r="G3" t="s">
        <v>544</v>
      </c>
      <c r="H3" s="8" t="s">
        <v>1460</v>
      </c>
      <c r="I3" s="8" t="s">
        <v>610</v>
      </c>
      <c r="J3" s="8" t="s">
        <v>5416</v>
      </c>
      <c r="K3" s="8" t="s">
        <v>9542</v>
      </c>
      <c r="N3" s="8" t="s">
        <v>9546</v>
      </c>
      <c r="O3" s="8" t="s">
        <v>435</v>
      </c>
      <c r="P3" s="8" t="s">
        <v>435</v>
      </c>
      <c r="Q3" s="8">
        <v>17</v>
      </c>
      <c r="R3" s="8">
        <v>17</v>
      </c>
      <c r="S3" s="8" t="s">
        <v>435</v>
      </c>
      <c r="T3" s="8" t="s">
        <v>9547</v>
      </c>
    </row>
    <row r="4" spans="2:23">
      <c r="B4" s="8" t="s">
        <v>3593</v>
      </c>
      <c r="C4" t="s">
        <v>4427</v>
      </c>
      <c r="D4" t="s">
        <v>9539</v>
      </c>
      <c r="E4" t="s">
        <v>51</v>
      </c>
      <c r="F4" t="s">
        <v>9548</v>
      </c>
      <c r="G4" t="s">
        <v>544</v>
      </c>
      <c r="H4" s="8" t="s">
        <v>1460</v>
      </c>
      <c r="I4" s="8" t="s">
        <v>610</v>
      </c>
      <c r="J4" s="8" t="s">
        <v>9549</v>
      </c>
      <c r="K4" s="8" t="s">
        <v>9542</v>
      </c>
      <c r="N4" s="8" t="s">
        <v>9546</v>
      </c>
      <c r="O4" s="8" t="s">
        <v>435</v>
      </c>
      <c r="P4" s="8" t="s">
        <v>435</v>
      </c>
      <c r="Q4" s="8">
        <v>10</v>
      </c>
      <c r="R4" s="8">
        <v>10</v>
      </c>
      <c r="S4" s="8" t="s">
        <v>435</v>
      </c>
      <c r="T4" s="8" t="s">
        <v>8503</v>
      </c>
    </row>
    <row r="5" spans="2:23">
      <c r="B5" s="8" t="s">
        <v>3593</v>
      </c>
      <c r="C5" t="s">
        <v>9550</v>
      </c>
      <c r="D5" t="s">
        <v>9539</v>
      </c>
      <c r="E5" t="s">
        <v>51</v>
      </c>
      <c r="F5" t="s">
        <v>9551</v>
      </c>
      <c r="G5" t="s">
        <v>544</v>
      </c>
      <c r="H5" s="8" t="s">
        <v>1460</v>
      </c>
      <c r="I5" s="8" t="s">
        <v>610</v>
      </c>
      <c r="J5" s="8" t="s">
        <v>9552</v>
      </c>
      <c r="K5" s="8" t="s">
        <v>9542</v>
      </c>
      <c r="N5" s="8" t="s">
        <v>9553</v>
      </c>
      <c r="O5" s="8" t="s">
        <v>435</v>
      </c>
      <c r="P5" s="8" t="s">
        <v>435</v>
      </c>
      <c r="Q5" s="8">
        <v>20</v>
      </c>
      <c r="R5" s="8">
        <v>20</v>
      </c>
      <c r="S5" s="8" t="s">
        <v>435</v>
      </c>
      <c r="T5" s="8" t="s">
        <v>8465</v>
      </c>
    </row>
    <row r="6" spans="2:23">
      <c r="B6" s="8" t="s">
        <v>3593</v>
      </c>
      <c r="C6" t="s">
        <v>9554</v>
      </c>
      <c r="D6" t="s">
        <v>9539</v>
      </c>
      <c r="E6" t="s">
        <v>51</v>
      </c>
      <c r="F6" t="s">
        <v>9555</v>
      </c>
      <c r="G6" t="s">
        <v>544</v>
      </c>
      <c r="H6" s="8" t="s">
        <v>1460</v>
      </c>
      <c r="I6" s="8" t="s">
        <v>610</v>
      </c>
      <c r="J6" s="8" t="s">
        <v>9556</v>
      </c>
      <c r="K6" s="8" t="s">
        <v>9542</v>
      </c>
      <c r="N6" s="8" t="s">
        <v>9546</v>
      </c>
      <c r="O6" s="8" t="s">
        <v>435</v>
      </c>
      <c r="P6" s="8" t="s">
        <v>435</v>
      </c>
      <c r="Q6" s="8">
        <v>19</v>
      </c>
      <c r="R6" s="8">
        <v>19</v>
      </c>
      <c r="S6" s="8" t="s">
        <v>435</v>
      </c>
      <c r="T6" s="8" t="s">
        <v>9557</v>
      </c>
    </row>
    <row r="7" spans="2:23">
      <c r="B7" s="8" t="s">
        <v>3593</v>
      </c>
      <c r="C7" t="s">
        <v>9558</v>
      </c>
      <c r="D7" t="s">
        <v>9539</v>
      </c>
      <c r="E7" t="s">
        <v>51</v>
      </c>
      <c r="F7" t="s">
        <v>9559</v>
      </c>
      <c r="G7" t="s">
        <v>544</v>
      </c>
      <c r="H7" s="8" t="s">
        <v>1460</v>
      </c>
      <c r="I7" s="8" t="s">
        <v>610</v>
      </c>
      <c r="J7" s="8" t="s">
        <v>9560</v>
      </c>
      <c r="K7" s="8" t="s">
        <v>9542</v>
      </c>
      <c r="N7" s="8" t="s">
        <v>9561</v>
      </c>
      <c r="O7" s="8" t="s">
        <v>435</v>
      </c>
      <c r="P7" s="8" t="s">
        <v>435</v>
      </c>
      <c r="Q7" s="8">
        <v>15</v>
      </c>
      <c r="R7" s="8">
        <v>15</v>
      </c>
      <c r="S7" s="8" t="s">
        <v>435</v>
      </c>
      <c r="T7" s="8" t="s">
        <v>9562</v>
      </c>
    </row>
    <row r="8" spans="2:23">
      <c r="B8" s="8" t="s">
        <v>3593</v>
      </c>
      <c r="C8" t="s">
        <v>9563</v>
      </c>
      <c r="D8" t="s">
        <v>9539</v>
      </c>
      <c r="E8" t="s">
        <v>51</v>
      </c>
      <c r="F8" t="s">
        <v>9564</v>
      </c>
      <c r="G8" t="s">
        <v>544</v>
      </c>
      <c r="H8" s="8" t="s">
        <v>1460</v>
      </c>
      <c r="I8" s="8" t="s">
        <v>610</v>
      </c>
      <c r="J8" s="8" t="s">
        <v>9565</v>
      </c>
      <c r="K8" s="8" t="s">
        <v>9542</v>
      </c>
      <c r="M8" t="s">
        <v>9566</v>
      </c>
      <c r="N8" s="8" t="s">
        <v>9543</v>
      </c>
      <c r="O8" s="8" t="s">
        <v>435</v>
      </c>
      <c r="P8" s="8" t="s">
        <v>435</v>
      </c>
      <c r="Q8" s="8">
        <v>500</v>
      </c>
      <c r="R8" s="8">
        <v>500</v>
      </c>
      <c r="S8" s="8" t="s">
        <v>435</v>
      </c>
      <c r="T8" s="8" t="s">
        <v>9567</v>
      </c>
    </row>
    <row r="9" spans="2:23">
      <c r="B9" s="8" t="s">
        <v>3593</v>
      </c>
      <c r="C9" t="s">
        <v>9568</v>
      </c>
      <c r="D9" t="s">
        <v>9539</v>
      </c>
      <c r="E9" t="s">
        <v>51</v>
      </c>
      <c r="F9" t="s">
        <v>9569</v>
      </c>
      <c r="G9" t="s">
        <v>544</v>
      </c>
      <c r="H9" s="8" t="s">
        <v>1460</v>
      </c>
      <c r="I9" s="8" t="s">
        <v>610</v>
      </c>
      <c r="J9" s="8" t="s">
        <v>9570</v>
      </c>
      <c r="K9" s="8" t="s">
        <v>9542</v>
      </c>
      <c r="N9" s="8" t="s">
        <v>9561</v>
      </c>
      <c r="O9" s="8" t="s">
        <v>435</v>
      </c>
      <c r="P9" s="8" t="s">
        <v>435</v>
      </c>
      <c r="Q9" s="8">
        <v>8000</v>
      </c>
      <c r="R9" s="8">
        <v>8000</v>
      </c>
      <c r="S9" s="8" t="s">
        <v>435</v>
      </c>
      <c r="T9" s="8" t="s">
        <v>9571</v>
      </c>
    </row>
    <row r="10" spans="2:23">
      <c r="B10" s="8" t="s">
        <v>3593</v>
      </c>
      <c r="C10" t="s">
        <v>9572</v>
      </c>
      <c r="D10" t="s">
        <v>9539</v>
      </c>
      <c r="E10" t="s">
        <v>51</v>
      </c>
      <c r="F10" t="s">
        <v>9573</v>
      </c>
      <c r="G10" t="s">
        <v>544</v>
      </c>
      <c r="H10" s="8" t="s">
        <v>1460</v>
      </c>
      <c r="I10" s="8" t="s">
        <v>610</v>
      </c>
      <c r="J10" s="8" t="s">
        <v>9574</v>
      </c>
      <c r="K10" s="8" t="s">
        <v>9542</v>
      </c>
      <c r="N10" s="8" t="s">
        <v>9543</v>
      </c>
      <c r="O10" s="8" t="s">
        <v>435</v>
      </c>
      <c r="P10" s="8" t="s">
        <v>435</v>
      </c>
      <c r="Q10" s="8">
        <v>60</v>
      </c>
      <c r="R10" s="8">
        <v>60</v>
      </c>
      <c r="S10" s="8" t="s">
        <v>435</v>
      </c>
      <c r="T10" s="8" t="s">
        <v>9575</v>
      </c>
    </row>
    <row r="11" spans="2:23">
      <c r="B11" s="8" t="s">
        <v>3593</v>
      </c>
      <c r="C11" t="s">
        <v>9576</v>
      </c>
      <c r="D11" t="s">
        <v>9539</v>
      </c>
      <c r="E11" t="s">
        <v>51</v>
      </c>
      <c r="F11" t="s">
        <v>9577</v>
      </c>
      <c r="G11" t="s">
        <v>544</v>
      </c>
      <c r="H11" s="8" t="s">
        <v>1460</v>
      </c>
      <c r="I11" s="8" t="s">
        <v>597</v>
      </c>
      <c r="J11" s="8" t="s">
        <v>9578</v>
      </c>
      <c r="K11" s="8" t="s">
        <v>9579</v>
      </c>
      <c r="N11" s="8" t="s">
        <v>9580</v>
      </c>
      <c r="O11" s="8" t="s">
        <v>435</v>
      </c>
      <c r="P11" s="8" t="s">
        <v>435</v>
      </c>
      <c r="Q11" s="8">
        <v>50</v>
      </c>
      <c r="R11" s="8">
        <v>50</v>
      </c>
      <c r="S11" s="8" t="s">
        <v>435</v>
      </c>
      <c r="T11" s="8" t="s">
        <v>8497</v>
      </c>
    </row>
    <row r="12" spans="2:23">
      <c r="B12" s="8" t="s">
        <v>3593</v>
      </c>
      <c r="C12" t="s">
        <v>9581</v>
      </c>
      <c r="D12" t="s">
        <v>9539</v>
      </c>
      <c r="E12" t="s">
        <v>51</v>
      </c>
      <c r="F12" t="s">
        <v>9582</v>
      </c>
      <c r="G12" t="s">
        <v>544</v>
      </c>
      <c r="H12" s="8" t="s">
        <v>1460</v>
      </c>
      <c r="I12" s="8" t="s">
        <v>597</v>
      </c>
      <c r="J12" s="8" t="s">
        <v>9583</v>
      </c>
      <c r="K12" s="8" t="s">
        <v>9579</v>
      </c>
      <c r="N12" s="8" t="s">
        <v>9580</v>
      </c>
      <c r="O12" s="8" t="s">
        <v>435</v>
      </c>
      <c r="P12" s="8" t="s">
        <v>435</v>
      </c>
      <c r="Q12" s="8">
        <v>50</v>
      </c>
      <c r="R12" s="8">
        <v>50</v>
      </c>
      <c r="S12" s="8" t="s">
        <v>435</v>
      </c>
      <c r="T12" s="8" t="s">
        <v>8497</v>
      </c>
    </row>
    <row r="13" spans="2:23">
      <c r="B13" s="8" t="s">
        <v>3593</v>
      </c>
      <c r="C13" t="s">
        <v>9584</v>
      </c>
      <c r="D13" t="s">
        <v>9539</v>
      </c>
      <c r="E13" t="s">
        <v>51</v>
      </c>
      <c r="F13" t="s">
        <v>9585</v>
      </c>
      <c r="G13" t="s">
        <v>544</v>
      </c>
      <c r="H13" s="8" t="s">
        <v>1460</v>
      </c>
      <c r="I13" s="8" t="s">
        <v>610</v>
      </c>
      <c r="J13" s="8" t="s">
        <v>9586</v>
      </c>
      <c r="K13" s="8" t="s">
        <v>9542</v>
      </c>
      <c r="N13" s="8" t="s">
        <v>9543</v>
      </c>
      <c r="O13" s="8" t="s">
        <v>435</v>
      </c>
      <c r="P13" s="8" t="s">
        <v>435</v>
      </c>
      <c r="Q13" s="8">
        <v>30</v>
      </c>
      <c r="R13" s="8">
        <v>30</v>
      </c>
      <c r="S13" s="8" t="s">
        <v>435</v>
      </c>
      <c r="T13" s="8" t="s">
        <v>9587</v>
      </c>
    </row>
    <row r="14" spans="2:23">
      <c r="B14" s="8" t="s">
        <v>3593</v>
      </c>
      <c r="C14" t="s">
        <v>9588</v>
      </c>
      <c r="D14" t="s">
        <v>9539</v>
      </c>
      <c r="E14" t="s">
        <v>51</v>
      </c>
      <c r="F14" t="s">
        <v>9589</v>
      </c>
      <c r="G14" t="s">
        <v>544</v>
      </c>
      <c r="H14" s="8" t="s">
        <v>1460</v>
      </c>
      <c r="I14" s="8" t="s">
        <v>610</v>
      </c>
      <c r="J14" s="8" t="s">
        <v>9590</v>
      </c>
      <c r="K14" s="8" t="s">
        <v>9542</v>
      </c>
      <c r="N14" s="8" t="s">
        <v>9553</v>
      </c>
      <c r="O14" s="8" t="s">
        <v>435</v>
      </c>
      <c r="P14" s="8" t="s">
        <v>435</v>
      </c>
      <c r="Q14" s="8">
        <v>50</v>
      </c>
      <c r="R14" s="8">
        <v>50</v>
      </c>
      <c r="S14" s="8" t="s">
        <v>435</v>
      </c>
      <c r="T14" s="8" t="s">
        <v>9591</v>
      </c>
    </row>
    <row r="15" spans="2:23">
      <c r="B15" s="8" t="s">
        <v>3593</v>
      </c>
      <c r="C15" t="s">
        <v>9592</v>
      </c>
      <c r="D15" t="s">
        <v>9539</v>
      </c>
      <c r="E15" t="s">
        <v>51</v>
      </c>
      <c r="F15" t="s">
        <v>9593</v>
      </c>
      <c r="G15" t="s">
        <v>544</v>
      </c>
      <c r="H15" s="8" t="s">
        <v>1460</v>
      </c>
      <c r="I15" s="8" t="s">
        <v>610</v>
      </c>
      <c r="J15" s="8" t="s">
        <v>9594</v>
      </c>
      <c r="K15" s="8" t="s">
        <v>9542</v>
      </c>
      <c r="N15" s="8" t="s">
        <v>9553</v>
      </c>
      <c r="O15" s="8" t="s">
        <v>435</v>
      </c>
      <c r="P15" s="8" t="s">
        <v>435</v>
      </c>
      <c r="Q15" s="8">
        <v>50</v>
      </c>
      <c r="R15" s="8">
        <v>50</v>
      </c>
      <c r="S15" s="8" t="s">
        <v>435</v>
      </c>
      <c r="T15" s="8" t="s">
        <v>9591</v>
      </c>
    </row>
    <row r="16" spans="2:23">
      <c r="B16" s="8" t="s">
        <v>3593</v>
      </c>
      <c r="C16" t="s">
        <v>9595</v>
      </c>
      <c r="D16" t="s">
        <v>9539</v>
      </c>
      <c r="E16" t="s">
        <v>51</v>
      </c>
      <c r="F16" t="s">
        <v>9596</v>
      </c>
      <c r="G16" t="s">
        <v>544</v>
      </c>
      <c r="H16" s="8" t="s">
        <v>1460</v>
      </c>
      <c r="I16" s="8" t="s">
        <v>610</v>
      </c>
      <c r="J16" s="8" t="s">
        <v>9597</v>
      </c>
      <c r="K16" s="8" t="s">
        <v>9542</v>
      </c>
      <c r="N16" s="8" t="s">
        <v>9553</v>
      </c>
      <c r="O16" s="8" t="s">
        <v>435</v>
      </c>
      <c r="P16" s="8" t="s">
        <v>435</v>
      </c>
      <c r="Q16" s="8">
        <v>50</v>
      </c>
      <c r="R16" s="8">
        <v>50</v>
      </c>
      <c r="S16" s="8" t="s">
        <v>435</v>
      </c>
      <c r="T16" s="8" t="s">
        <v>9591</v>
      </c>
    </row>
    <row r="17" spans="2:20">
      <c r="B17" s="8" t="s">
        <v>3593</v>
      </c>
      <c r="C17" t="s">
        <v>9598</v>
      </c>
      <c r="D17" t="s">
        <v>9539</v>
      </c>
      <c r="E17" t="s">
        <v>51</v>
      </c>
      <c r="F17" t="s">
        <v>9599</v>
      </c>
      <c r="G17" t="s">
        <v>544</v>
      </c>
      <c r="H17" s="8" t="s">
        <v>1460</v>
      </c>
      <c r="I17" s="8" t="s">
        <v>610</v>
      </c>
      <c r="J17" s="8" t="s">
        <v>9600</v>
      </c>
      <c r="K17" s="8" t="s">
        <v>9542</v>
      </c>
      <c r="N17" s="8" t="s">
        <v>9543</v>
      </c>
      <c r="O17" s="8" t="s">
        <v>435</v>
      </c>
      <c r="P17" s="8" t="s">
        <v>435</v>
      </c>
      <c r="Q17" s="8">
        <v>15</v>
      </c>
      <c r="R17" s="8">
        <v>15</v>
      </c>
      <c r="S17" s="8" t="s">
        <v>435</v>
      </c>
      <c r="T17" s="8" t="s">
        <v>9601</v>
      </c>
    </row>
    <row r="18" spans="2:20">
      <c r="B18" s="8" t="s">
        <v>3593</v>
      </c>
      <c r="C18" t="s">
        <v>9602</v>
      </c>
      <c r="D18" t="s">
        <v>9539</v>
      </c>
      <c r="E18" t="s">
        <v>51</v>
      </c>
      <c r="F18" t="s">
        <v>9603</v>
      </c>
      <c r="G18" t="s">
        <v>544</v>
      </c>
      <c r="H18" s="8" t="s">
        <v>1460</v>
      </c>
      <c r="I18" s="8" t="s">
        <v>610</v>
      </c>
      <c r="J18" s="8" t="s">
        <v>9604</v>
      </c>
      <c r="K18" s="8" t="s">
        <v>9542</v>
      </c>
      <c r="N18" s="8" t="s">
        <v>9543</v>
      </c>
      <c r="O18" s="8" t="s">
        <v>435</v>
      </c>
      <c r="P18" s="8" t="s">
        <v>435</v>
      </c>
      <c r="Q18" s="8">
        <v>10</v>
      </c>
      <c r="R18" s="8">
        <v>10</v>
      </c>
      <c r="S18" s="8" t="s">
        <v>435</v>
      </c>
      <c r="T18" s="8" t="s">
        <v>8503</v>
      </c>
    </row>
    <row r="19" spans="2:20">
      <c r="B19" s="8" t="s">
        <v>3593</v>
      </c>
      <c r="C19" t="s">
        <v>9605</v>
      </c>
      <c r="D19" t="s">
        <v>9539</v>
      </c>
      <c r="E19" t="s">
        <v>51</v>
      </c>
      <c r="F19" t="s">
        <v>9606</v>
      </c>
      <c r="G19" t="s">
        <v>544</v>
      </c>
      <c r="H19" s="8" t="s">
        <v>1460</v>
      </c>
      <c r="I19" s="8" t="s">
        <v>610</v>
      </c>
      <c r="J19" s="8" t="s">
        <v>9607</v>
      </c>
      <c r="K19" s="8" t="s">
        <v>9542</v>
      </c>
      <c r="N19" s="8" t="s">
        <v>9543</v>
      </c>
      <c r="O19" s="8" t="s">
        <v>435</v>
      </c>
      <c r="P19" s="8" t="s">
        <v>435</v>
      </c>
      <c r="Q19" s="8">
        <v>10</v>
      </c>
      <c r="R19" s="8">
        <v>10</v>
      </c>
      <c r="S19" s="8" t="s">
        <v>435</v>
      </c>
      <c r="T19" s="8" t="s">
        <v>8503</v>
      </c>
    </row>
    <row r="20" spans="2:20">
      <c r="B20" s="8" t="s">
        <v>3593</v>
      </c>
      <c r="C20" t="s">
        <v>4356</v>
      </c>
      <c r="D20" t="s">
        <v>9608</v>
      </c>
      <c r="E20" t="s">
        <v>51</v>
      </c>
      <c r="F20" t="s">
        <v>9609</v>
      </c>
      <c r="G20" t="s">
        <v>544</v>
      </c>
      <c r="H20" s="8" t="s">
        <v>1460</v>
      </c>
      <c r="I20" s="8" t="s">
        <v>583</v>
      </c>
      <c r="J20" s="8" t="s">
        <v>9541</v>
      </c>
      <c r="K20" s="8" t="s">
        <v>9610</v>
      </c>
      <c r="N20" s="8" t="s">
        <v>9543</v>
      </c>
      <c r="O20" s="8" t="s">
        <v>435</v>
      </c>
      <c r="P20" s="8" t="s">
        <v>435</v>
      </c>
      <c r="Q20" s="8">
        <v>16</v>
      </c>
      <c r="R20" s="8">
        <v>16</v>
      </c>
      <c r="S20" s="8" t="s">
        <v>435</v>
      </c>
      <c r="T20" s="8" t="s">
        <v>9611</v>
      </c>
    </row>
    <row r="21" spans="2:20">
      <c r="B21" s="8" t="s">
        <v>3593</v>
      </c>
      <c r="C21" t="s">
        <v>5416</v>
      </c>
      <c r="D21" t="s">
        <v>9608</v>
      </c>
      <c r="E21" t="s">
        <v>51</v>
      </c>
      <c r="F21" t="s">
        <v>9612</v>
      </c>
      <c r="G21" t="s">
        <v>544</v>
      </c>
      <c r="H21" s="8" t="s">
        <v>1460</v>
      </c>
      <c r="I21" s="8" t="s">
        <v>583</v>
      </c>
      <c r="J21" s="8" t="s">
        <v>5416</v>
      </c>
      <c r="K21" s="8" t="s">
        <v>9610</v>
      </c>
      <c r="N21" s="8" t="s">
        <v>9613</v>
      </c>
      <c r="O21" s="8" t="s">
        <v>435</v>
      </c>
      <c r="P21" s="8" t="s">
        <v>435</v>
      </c>
      <c r="Q21" s="8">
        <v>18</v>
      </c>
      <c r="R21" s="8">
        <v>18</v>
      </c>
      <c r="S21" s="8" t="s">
        <v>435</v>
      </c>
      <c r="T21" s="8" t="s">
        <v>9614</v>
      </c>
    </row>
    <row r="22" spans="2:20">
      <c r="B22" s="8" t="s">
        <v>3593</v>
      </c>
      <c r="C22" t="s">
        <v>4427</v>
      </c>
      <c r="D22" t="s">
        <v>9608</v>
      </c>
      <c r="E22" t="s">
        <v>51</v>
      </c>
      <c r="F22" t="s">
        <v>9615</v>
      </c>
      <c r="G22" t="s">
        <v>544</v>
      </c>
      <c r="H22" s="8" t="s">
        <v>1460</v>
      </c>
      <c r="I22" s="8" t="s">
        <v>583</v>
      </c>
      <c r="J22" s="8" t="s">
        <v>9616</v>
      </c>
      <c r="K22" s="8" t="s">
        <v>9610</v>
      </c>
      <c r="N22" s="8" t="s">
        <v>9613</v>
      </c>
      <c r="O22" s="8" t="s">
        <v>435</v>
      </c>
      <c r="P22" s="8" t="s">
        <v>435</v>
      </c>
      <c r="Q22" s="8">
        <v>7</v>
      </c>
      <c r="R22" s="8">
        <v>7</v>
      </c>
      <c r="S22" s="8" t="s">
        <v>435</v>
      </c>
      <c r="T22" s="8" t="s">
        <v>9617</v>
      </c>
    </row>
    <row r="23" spans="2:20">
      <c r="B23" s="8" t="s">
        <v>3593</v>
      </c>
      <c r="C23" t="s">
        <v>8595</v>
      </c>
      <c r="D23" t="s">
        <v>9608</v>
      </c>
      <c r="E23" t="s">
        <v>51</v>
      </c>
      <c r="F23" t="s">
        <v>9618</v>
      </c>
      <c r="G23" t="s">
        <v>544</v>
      </c>
      <c r="H23" s="8" t="s">
        <v>1460</v>
      </c>
      <c r="I23" s="8" t="s">
        <v>583</v>
      </c>
      <c r="J23" s="8" t="s">
        <v>9619</v>
      </c>
      <c r="K23" s="8" t="s">
        <v>9610</v>
      </c>
      <c r="N23" s="8" t="s">
        <v>9613</v>
      </c>
      <c r="O23" s="8" t="s">
        <v>435</v>
      </c>
      <c r="P23" s="8" t="s">
        <v>435</v>
      </c>
      <c r="Q23" s="8">
        <v>10</v>
      </c>
      <c r="R23" s="8">
        <v>10</v>
      </c>
      <c r="S23" s="8" t="s">
        <v>435</v>
      </c>
      <c r="T23" s="8" t="s">
        <v>8503</v>
      </c>
    </row>
    <row r="24" spans="2:20">
      <c r="B24" s="8" t="s">
        <v>3593</v>
      </c>
      <c r="C24" t="s">
        <v>9620</v>
      </c>
      <c r="D24" t="s">
        <v>9608</v>
      </c>
      <c r="E24" t="s">
        <v>51</v>
      </c>
      <c r="F24" t="s">
        <v>9621</v>
      </c>
      <c r="G24" t="s">
        <v>544</v>
      </c>
      <c r="H24" s="8" t="s">
        <v>1460</v>
      </c>
      <c r="I24" s="8" t="s">
        <v>583</v>
      </c>
      <c r="J24" s="8" t="s">
        <v>9622</v>
      </c>
      <c r="K24" s="8" t="s">
        <v>9610</v>
      </c>
      <c r="N24" s="8" t="s">
        <v>9546</v>
      </c>
      <c r="O24" s="8" t="s">
        <v>435</v>
      </c>
      <c r="P24" s="8" t="s">
        <v>435</v>
      </c>
      <c r="Q24" s="8" t="s">
        <v>6930</v>
      </c>
      <c r="R24" s="8" t="s">
        <v>6930</v>
      </c>
      <c r="S24" s="8" t="s">
        <v>435</v>
      </c>
      <c r="T24" s="8" t="s">
        <v>8199</v>
      </c>
    </row>
    <row r="25" spans="2:20">
      <c r="B25" s="8" t="s">
        <v>3593</v>
      </c>
      <c r="C25" t="s">
        <v>3609</v>
      </c>
      <c r="D25" t="s">
        <v>9608</v>
      </c>
      <c r="E25" t="s">
        <v>51</v>
      </c>
      <c r="F25" t="s">
        <v>9623</v>
      </c>
      <c r="G25" t="s">
        <v>544</v>
      </c>
      <c r="H25" s="8" t="s">
        <v>1460</v>
      </c>
      <c r="I25" s="8" t="s">
        <v>583</v>
      </c>
      <c r="J25" s="8" t="s">
        <v>9574</v>
      </c>
      <c r="K25" s="8" t="s">
        <v>9610</v>
      </c>
      <c r="N25" s="8" t="s">
        <v>9543</v>
      </c>
      <c r="O25" s="8" t="s">
        <v>435</v>
      </c>
      <c r="P25" s="8" t="s">
        <v>435</v>
      </c>
      <c r="Q25" s="8">
        <v>23</v>
      </c>
      <c r="R25" s="8">
        <v>23</v>
      </c>
      <c r="S25" s="8" t="s">
        <v>435</v>
      </c>
      <c r="T25" s="8" t="s">
        <v>9624</v>
      </c>
    </row>
    <row r="26" spans="2:20">
      <c r="B26" s="8" t="s">
        <v>3593</v>
      </c>
      <c r="C26" t="s">
        <v>9625</v>
      </c>
      <c r="D26" t="s">
        <v>9608</v>
      </c>
      <c r="E26" t="s">
        <v>51</v>
      </c>
      <c r="F26" t="s">
        <v>9626</v>
      </c>
      <c r="G26" t="s">
        <v>544</v>
      </c>
      <c r="H26" s="8" t="s">
        <v>1460</v>
      </c>
      <c r="I26" s="8" t="s">
        <v>597</v>
      </c>
      <c r="J26" s="8" t="s">
        <v>9578</v>
      </c>
      <c r="K26" s="8" t="s">
        <v>9579</v>
      </c>
      <c r="N26" s="8" t="s">
        <v>9580</v>
      </c>
      <c r="O26" s="8" t="s">
        <v>435</v>
      </c>
      <c r="P26" s="8" t="s">
        <v>435</v>
      </c>
      <c r="Q26" s="8">
        <v>8000</v>
      </c>
      <c r="R26" s="8">
        <v>8000</v>
      </c>
      <c r="S26" s="8" t="s">
        <v>435</v>
      </c>
      <c r="T26" s="8" t="s">
        <v>9571</v>
      </c>
    </row>
    <row r="27" spans="2:20">
      <c r="B27" s="8" t="s">
        <v>3593</v>
      </c>
      <c r="C27" t="s">
        <v>9627</v>
      </c>
      <c r="D27" t="s">
        <v>9608</v>
      </c>
      <c r="E27" t="s">
        <v>51</v>
      </c>
      <c r="F27" t="s">
        <v>9628</v>
      </c>
      <c r="G27" t="s">
        <v>544</v>
      </c>
      <c r="H27" s="8" t="s">
        <v>1460</v>
      </c>
      <c r="I27" s="8" t="s">
        <v>597</v>
      </c>
      <c r="J27" s="8" t="s">
        <v>9583</v>
      </c>
      <c r="K27" s="8" t="s">
        <v>9579</v>
      </c>
      <c r="N27" s="8" t="s">
        <v>9580</v>
      </c>
      <c r="O27" s="8" t="s">
        <v>435</v>
      </c>
      <c r="P27" s="8" t="s">
        <v>435</v>
      </c>
      <c r="Q27" s="8">
        <v>8000</v>
      </c>
      <c r="R27" s="8">
        <v>8000</v>
      </c>
      <c r="S27" s="8" t="s">
        <v>435</v>
      </c>
      <c r="T27" s="8" t="s">
        <v>9571</v>
      </c>
    </row>
    <row r="28" spans="2:20">
      <c r="B28" s="8" t="s">
        <v>3593</v>
      </c>
      <c r="C28" t="s">
        <v>9629</v>
      </c>
      <c r="D28" t="s">
        <v>9608</v>
      </c>
      <c r="E28" t="s">
        <v>51</v>
      </c>
      <c r="F28" t="s">
        <v>9630</v>
      </c>
      <c r="G28" t="s">
        <v>544</v>
      </c>
      <c r="H28" s="8" t="s">
        <v>1460</v>
      </c>
      <c r="I28" s="8" t="s">
        <v>583</v>
      </c>
      <c r="J28" s="8" t="s">
        <v>9631</v>
      </c>
      <c r="K28" s="8" t="s">
        <v>9610</v>
      </c>
      <c r="N28" s="8" t="s">
        <v>9553</v>
      </c>
      <c r="O28" s="8" t="s">
        <v>435</v>
      </c>
      <c r="P28" s="8" t="s">
        <v>435</v>
      </c>
      <c r="Q28" s="8">
        <v>7</v>
      </c>
      <c r="R28" s="8">
        <v>7</v>
      </c>
      <c r="S28" s="8" t="s">
        <v>435</v>
      </c>
      <c r="T28" s="8" t="s">
        <v>9632</v>
      </c>
    </row>
    <row r="29" spans="2:20">
      <c r="B29" s="8" t="s">
        <v>3593</v>
      </c>
      <c r="C29" t="s">
        <v>9633</v>
      </c>
      <c r="D29" t="s">
        <v>9608</v>
      </c>
      <c r="E29" t="s">
        <v>51</v>
      </c>
      <c r="F29" t="s">
        <v>9634</v>
      </c>
      <c r="G29" t="s">
        <v>544</v>
      </c>
      <c r="H29" s="8" t="s">
        <v>1460</v>
      </c>
      <c r="I29" s="8" t="s">
        <v>583</v>
      </c>
      <c r="J29" s="8" t="s">
        <v>9635</v>
      </c>
      <c r="K29" s="8" t="s">
        <v>9610</v>
      </c>
      <c r="N29" s="8" t="s">
        <v>9546</v>
      </c>
      <c r="O29" s="8" t="s">
        <v>435</v>
      </c>
      <c r="P29" s="8" t="s">
        <v>435</v>
      </c>
      <c r="Q29" s="8">
        <v>19</v>
      </c>
      <c r="R29" s="8">
        <v>19</v>
      </c>
      <c r="S29" s="8" t="s">
        <v>435</v>
      </c>
      <c r="T29" s="8" t="s">
        <v>9557</v>
      </c>
    </row>
    <row r="30" spans="2:20">
      <c r="B30" s="8" t="s">
        <v>3593</v>
      </c>
      <c r="C30" t="s">
        <v>9636</v>
      </c>
      <c r="D30" t="s">
        <v>9608</v>
      </c>
      <c r="E30" t="s">
        <v>51</v>
      </c>
      <c r="F30" t="s">
        <v>9637</v>
      </c>
      <c r="G30" t="s">
        <v>544</v>
      </c>
      <c r="H30" s="8" t="s">
        <v>1460</v>
      </c>
      <c r="I30" s="8" t="s">
        <v>583</v>
      </c>
      <c r="J30" s="8" t="s">
        <v>9638</v>
      </c>
      <c r="K30" t="s">
        <v>9610</v>
      </c>
      <c r="N30" s="8" t="s">
        <v>9546</v>
      </c>
      <c r="O30" s="8" t="s">
        <v>435</v>
      </c>
      <c r="P30" s="8" t="s">
        <v>435</v>
      </c>
      <c r="Q30" s="8">
        <v>250</v>
      </c>
      <c r="R30" s="8">
        <v>250</v>
      </c>
      <c r="S30" s="8" t="s">
        <v>435</v>
      </c>
      <c r="T30" s="8" t="s">
        <v>9639</v>
      </c>
    </row>
    <row r="31" spans="2:20">
      <c r="B31" s="8" t="s">
        <v>3593</v>
      </c>
      <c r="C31" t="s">
        <v>9640</v>
      </c>
      <c r="D31" t="s">
        <v>9608</v>
      </c>
      <c r="E31" t="s">
        <v>51</v>
      </c>
      <c r="F31" t="s">
        <v>9641</v>
      </c>
      <c r="G31" t="s">
        <v>544</v>
      </c>
      <c r="H31" s="8" t="s">
        <v>1460</v>
      </c>
      <c r="I31" s="8" t="s">
        <v>583</v>
      </c>
      <c r="J31" s="8" t="s">
        <v>9642</v>
      </c>
      <c r="K31" s="8" t="s">
        <v>9610</v>
      </c>
      <c r="N31" s="8" t="s">
        <v>9561</v>
      </c>
      <c r="O31" s="8" t="s">
        <v>435</v>
      </c>
      <c r="P31" s="8" t="s">
        <v>435</v>
      </c>
      <c r="Q31" s="8">
        <v>100</v>
      </c>
      <c r="R31" s="8">
        <v>100</v>
      </c>
      <c r="S31" s="8" t="s">
        <v>435</v>
      </c>
      <c r="T31" s="8" t="s">
        <v>8493</v>
      </c>
    </row>
    <row r="32" spans="2:20">
      <c r="B32" s="8" t="s">
        <v>3593</v>
      </c>
      <c r="C32" t="s">
        <v>9643</v>
      </c>
      <c r="D32" t="s">
        <v>9608</v>
      </c>
      <c r="E32" t="s">
        <v>51</v>
      </c>
      <c r="F32" t="s">
        <v>9644</v>
      </c>
      <c r="G32" t="s">
        <v>544</v>
      </c>
      <c r="H32" s="8" t="s">
        <v>1460</v>
      </c>
      <c r="I32" s="8" t="s">
        <v>583</v>
      </c>
      <c r="J32" s="8" t="s">
        <v>9574</v>
      </c>
      <c r="K32" s="8" t="s">
        <v>9610</v>
      </c>
      <c r="N32" s="8" t="s">
        <v>9561</v>
      </c>
      <c r="O32" s="8" t="s">
        <v>435</v>
      </c>
      <c r="P32" s="8" t="s">
        <v>435</v>
      </c>
      <c r="Q32" s="8">
        <v>255</v>
      </c>
      <c r="R32" s="8">
        <v>255</v>
      </c>
      <c r="S32" s="8" t="s">
        <v>435</v>
      </c>
      <c r="T32" s="8" t="s">
        <v>9645</v>
      </c>
    </row>
    <row r="33" spans="2:20">
      <c r="B33" s="8" t="s">
        <v>3593</v>
      </c>
      <c r="C33" t="s">
        <v>9646</v>
      </c>
      <c r="D33" t="s">
        <v>9608</v>
      </c>
      <c r="E33" t="s">
        <v>51</v>
      </c>
      <c r="F33" t="s">
        <v>9647</v>
      </c>
      <c r="G33" t="s">
        <v>544</v>
      </c>
      <c r="H33" s="8" t="s">
        <v>1460</v>
      </c>
      <c r="I33" s="8" t="s">
        <v>583</v>
      </c>
      <c r="J33" s="8" t="s">
        <v>9648</v>
      </c>
      <c r="K33" s="8" t="s">
        <v>9610</v>
      </c>
      <c r="N33" s="8" t="s">
        <v>9561</v>
      </c>
      <c r="O33" s="8" t="s">
        <v>435</v>
      </c>
      <c r="P33" s="8" t="s">
        <v>435</v>
      </c>
      <c r="Q33" s="8">
        <v>250</v>
      </c>
      <c r="R33" s="8">
        <v>250</v>
      </c>
      <c r="S33" s="8" t="s">
        <v>435</v>
      </c>
      <c r="T33" s="8" t="s">
        <v>9649</v>
      </c>
    </row>
    <row r="34" spans="2:20">
      <c r="B34" s="8" t="s">
        <v>3593</v>
      </c>
      <c r="C34" t="s">
        <v>9650</v>
      </c>
      <c r="D34" t="s">
        <v>9608</v>
      </c>
      <c r="E34" t="s">
        <v>51</v>
      </c>
      <c r="F34" t="s">
        <v>9651</v>
      </c>
      <c r="G34" t="s">
        <v>544</v>
      </c>
      <c r="H34" s="8" t="s">
        <v>1460</v>
      </c>
      <c r="I34" s="8" t="s">
        <v>583</v>
      </c>
      <c r="J34" s="8" t="s">
        <v>9652</v>
      </c>
      <c r="K34" s="8" t="s">
        <v>9610</v>
      </c>
      <c r="N34" s="8" t="s">
        <v>9553</v>
      </c>
      <c r="O34" s="8" t="s">
        <v>435</v>
      </c>
      <c r="P34" s="8" t="s">
        <v>435</v>
      </c>
      <c r="Q34" s="8">
        <v>2</v>
      </c>
      <c r="R34" s="8">
        <v>2</v>
      </c>
      <c r="S34" s="8" t="s">
        <v>435</v>
      </c>
      <c r="T34" s="8" t="s">
        <v>9653</v>
      </c>
    </row>
    <row r="35" spans="2:20">
      <c r="B35" s="8" t="s">
        <v>3593</v>
      </c>
      <c r="C35" t="s">
        <v>9654</v>
      </c>
      <c r="D35" t="s">
        <v>9608</v>
      </c>
      <c r="E35" t="s">
        <v>51</v>
      </c>
      <c r="F35" t="s">
        <v>9655</v>
      </c>
      <c r="G35" t="s">
        <v>544</v>
      </c>
      <c r="H35" s="8" t="s">
        <v>1460</v>
      </c>
      <c r="I35" s="8" t="s">
        <v>583</v>
      </c>
      <c r="J35" s="8" t="s">
        <v>9604</v>
      </c>
      <c r="K35" s="8" t="s">
        <v>9610</v>
      </c>
      <c r="N35" s="8" t="s">
        <v>9553</v>
      </c>
      <c r="O35" s="8" t="s">
        <v>435</v>
      </c>
      <c r="P35" s="8" t="s">
        <v>435</v>
      </c>
      <c r="Q35" s="8">
        <v>10</v>
      </c>
      <c r="R35" s="8">
        <v>10</v>
      </c>
      <c r="S35" s="8" t="s">
        <v>435</v>
      </c>
      <c r="T35" s="8" t="s">
        <v>8503</v>
      </c>
    </row>
    <row r="36" spans="2:20">
      <c r="B36" s="8" t="s">
        <v>3593</v>
      </c>
      <c r="C36" t="s">
        <v>9656</v>
      </c>
      <c r="D36" t="s">
        <v>9608</v>
      </c>
      <c r="E36" t="s">
        <v>51</v>
      </c>
      <c r="F36" t="s">
        <v>9657</v>
      </c>
      <c r="G36" t="s">
        <v>544</v>
      </c>
      <c r="H36" s="8" t="s">
        <v>1460</v>
      </c>
      <c r="I36" s="8" t="s">
        <v>583</v>
      </c>
      <c r="J36" s="8" t="s">
        <v>9658</v>
      </c>
      <c r="K36" s="8" t="s">
        <v>9610</v>
      </c>
      <c r="N36" s="8" t="s">
        <v>9553</v>
      </c>
      <c r="O36" s="8" t="s">
        <v>435</v>
      </c>
      <c r="P36" s="8" t="s">
        <v>435</v>
      </c>
      <c r="Q36" s="8">
        <v>8000</v>
      </c>
      <c r="R36" s="8">
        <v>8000</v>
      </c>
      <c r="S36" s="8" t="s">
        <v>435</v>
      </c>
      <c r="T36" s="8" t="s">
        <v>9571</v>
      </c>
    </row>
    <row r="37" spans="2:20">
      <c r="B37" s="8" t="s">
        <v>3593</v>
      </c>
      <c r="C37" t="s">
        <v>9659</v>
      </c>
      <c r="D37" t="s">
        <v>9608</v>
      </c>
      <c r="E37" t="s">
        <v>51</v>
      </c>
      <c r="F37" t="s">
        <v>9660</v>
      </c>
      <c r="G37" t="s">
        <v>544</v>
      </c>
      <c r="H37" s="8" t="s">
        <v>1460</v>
      </c>
      <c r="I37" s="8" t="s">
        <v>583</v>
      </c>
      <c r="J37" s="8" t="s">
        <v>9661</v>
      </c>
      <c r="K37" s="8" t="s">
        <v>9610</v>
      </c>
      <c r="N37" s="8" t="s">
        <v>9553</v>
      </c>
      <c r="O37" s="8" t="s">
        <v>435</v>
      </c>
      <c r="P37" s="8" t="s">
        <v>435</v>
      </c>
      <c r="Q37" s="8">
        <v>50</v>
      </c>
      <c r="R37" s="8">
        <v>50</v>
      </c>
      <c r="S37" s="8" t="s">
        <v>435</v>
      </c>
      <c r="T37" s="8" t="s">
        <v>8497</v>
      </c>
    </row>
    <row r="38" spans="2:20">
      <c r="B38" s="8" t="s">
        <v>3593</v>
      </c>
      <c r="C38" t="s">
        <v>9662</v>
      </c>
      <c r="D38" t="s">
        <v>9608</v>
      </c>
      <c r="E38" t="s">
        <v>51</v>
      </c>
      <c r="F38" t="s">
        <v>9663</v>
      </c>
      <c r="G38" t="s">
        <v>544</v>
      </c>
      <c r="H38" s="8" t="s">
        <v>1460</v>
      </c>
      <c r="I38" s="8" t="s">
        <v>583</v>
      </c>
      <c r="J38" s="8" t="s">
        <v>9664</v>
      </c>
      <c r="K38" s="8" t="s">
        <v>9610</v>
      </c>
      <c r="N38" s="8" t="s">
        <v>9543</v>
      </c>
      <c r="O38" s="8" t="s">
        <v>435</v>
      </c>
      <c r="P38" s="8" t="s">
        <v>435</v>
      </c>
      <c r="Q38" s="8">
        <v>30</v>
      </c>
      <c r="R38" s="8">
        <v>30</v>
      </c>
      <c r="S38" s="8" t="s">
        <v>435</v>
      </c>
      <c r="T38" s="8" t="s">
        <v>9665</v>
      </c>
    </row>
    <row r="39" spans="2:20">
      <c r="B39" s="8" t="s">
        <v>3593</v>
      </c>
      <c r="C39" t="s">
        <v>9666</v>
      </c>
      <c r="D39" t="s">
        <v>9608</v>
      </c>
      <c r="E39" t="s">
        <v>51</v>
      </c>
      <c r="F39" t="s">
        <v>9667</v>
      </c>
      <c r="G39" t="s">
        <v>544</v>
      </c>
      <c r="H39" s="8" t="s">
        <v>1460</v>
      </c>
      <c r="I39" s="8" t="s">
        <v>583</v>
      </c>
      <c r="J39" s="8" t="s">
        <v>9661</v>
      </c>
      <c r="K39" s="8" t="s">
        <v>9610</v>
      </c>
      <c r="N39" s="8" t="s">
        <v>9553</v>
      </c>
      <c r="O39" s="8" t="s">
        <v>435</v>
      </c>
      <c r="P39" s="8" t="s">
        <v>435</v>
      </c>
      <c r="Q39" s="8">
        <v>50</v>
      </c>
      <c r="R39" s="8">
        <v>50</v>
      </c>
      <c r="S39" s="8" t="s">
        <v>435</v>
      </c>
      <c r="T39" s="8" t="s">
        <v>8497</v>
      </c>
    </row>
    <row r="40" spans="2:20">
      <c r="B40" s="8" t="s">
        <v>3593</v>
      </c>
      <c r="C40" t="s">
        <v>9668</v>
      </c>
      <c r="D40" t="s">
        <v>9608</v>
      </c>
      <c r="E40" t="s">
        <v>51</v>
      </c>
      <c r="F40" t="s">
        <v>9669</v>
      </c>
      <c r="G40" t="s">
        <v>544</v>
      </c>
      <c r="H40" s="8" t="s">
        <v>1460</v>
      </c>
      <c r="I40" s="8" t="s">
        <v>583</v>
      </c>
      <c r="J40" s="8" t="s">
        <v>9670</v>
      </c>
      <c r="K40" s="8" t="s">
        <v>9610</v>
      </c>
      <c r="N40" s="8" t="s">
        <v>9671</v>
      </c>
      <c r="O40" s="8" t="s">
        <v>435</v>
      </c>
      <c r="P40" s="8" t="s">
        <v>435</v>
      </c>
      <c r="Q40" s="8">
        <v>10</v>
      </c>
      <c r="R40" s="8">
        <v>10</v>
      </c>
      <c r="S40" s="8" t="s">
        <v>435</v>
      </c>
      <c r="T40" s="8" t="s">
        <v>9672</v>
      </c>
    </row>
    <row r="41" spans="2:20">
      <c r="B41" s="8" t="s">
        <v>3593</v>
      </c>
      <c r="C41" t="s">
        <v>9673</v>
      </c>
      <c r="D41" t="s">
        <v>9608</v>
      </c>
      <c r="E41" t="s">
        <v>51</v>
      </c>
      <c r="F41" t="s">
        <v>9647</v>
      </c>
      <c r="G41" t="s">
        <v>544</v>
      </c>
      <c r="H41" s="8" t="s">
        <v>1460</v>
      </c>
      <c r="I41" s="8" t="s">
        <v>583</v>
      </c>
      <c r="J41" s="8" t="s">
        <v>9648</v>
      </c>
      <c r="K41" s="8" t="s">
        <v>9610</v>
      </c>
      <c r="N41" s="8" t="s">
        <v>9561</v>
      </c>
      <c r="O41" s="8" t="s">
        <v>435</v>
      </c>
      <c r="P41" s="8" t="s">
        <v>435</v>
      </c>
      <c r="Q41" s="8">
        <v>250</v>
      </c>
      <c r="R41" s="8">
        <v>250</v>
      </c>
      <c r="S41" s="8" t="s">
        <v>435</v>
      </c>
      <c r="T41" s="8" t="s">
        <v>9649</v>
      </c>
    </row>
    <row r="42" spans="2:20">
      <c r="B42" s="8" t="s">
        <v>3593</v>
      </c>
      <c r="C42" t="s">
        <v>9674</v>
      </c>
      <c r="D42" t="s">
        <v>9608</v>
      </c>
      <c r="E42" t="s">
        <v>51</v>
      </c>
      <c r="F42" t="s">
        <v>9675</v>
      </c>
      <c r="G42" t="s">
        <v>544</v>
      </c>
      <c r="H42" s="8" t="s">
        <v>1460</v>
      </c>
      <c r="I42" s="8" t="s">
        <v>583</v>
      </c>
      <c r="J42" s="8" t="s">
        <v>9676</v>
      </c>
      <c r="K42" s="8" t="s">
        <v>9610</v>
      </c>
      <c r="N42" s="8" t="s">
        <v>9671</v>
      </c>
      <c r="O42" s="8" t="s">
        <v>435</v>
      </c>
      <c r="P42" s="8" t="s">
        <v>435</v>
      </c>
      <c r="Q42" s="8">
        <v>20</v>
      </c>
      <c r="R42" s="8">
        <v>20</v>
      </c>
      <c r="S42" s="8" t="s">
        <v>435</v>
      </c>
      <c r="T42" s="8" t="s">
        <v>9677</v>
      </c>
    </row>
    <row r="43" spans="2:20">
      <c r="B43" s="8" t="s">
        <v>3593</v>
      </c>
      <c r="C43" t="s">
        <v>9678</v>
      </c>
      <c r="D43" t="s">
        <v>9608</v>
      </c>
      <c r="E43" t="s">
        <v>51</v>
      </c>
      <c r="F43" t="s">
        <v>9679</v>
      </c>
      <c r="G43" t="s">
        <v>544</v>
      </c>
      <c r="H43" s="8" t="s">
        <v>1460</v>
      </c>
      <c r="I43" s="8" t="s">
        <v>583</v>
      </c>
      <c r="J43" s="8" t="s">
        <v>9631</v>
      </c>
      <c r="K43" s="8" t="s">
        <v>9610</v>
      </c>
      <c r="N43" s="8" t="s">
        <v>9561</v>
      </c>
      <c r="O43" s="8" t="s">
        <v>435</v>
      </c>
      <c r="P43" s="8" t="s">
        <v>435</v>
      </c>
      <c r="Q43" s="8" t="s">
        <v>6930</v>
      </c>
      <c r="R43" s="8" t="s">
        <v>6930</v>
      </c>
      <c r="S43" s="8" t="s">
        <v>435</v>
      </c>
      <c r="T43" s="8" t="s">
        <v>8199</v>
      </c>
    </row>
    <row r="44" spans="2:20">
      <c r="B44" s="8" t="s">
        <v>3593</v>
      </c>
      <c r="C44" t="s">
        <v>9680</v>
      </c>
      <c r="D44" t="s">
        <v>9608</v>
      </c>
      <c r="E44" t="s">
        <v>51</v>
      </c>
      <c r="F44" t="s">
        <v>9681</v>
      </c>
      <c r="G44" t="s">
        <v>544</v>
      </c>
      <c r="H44" s="8" t="s">
        <v>1460</v>
      </c>
      <c r="I44" s="8" t="s">
        <v>583</v>
      </c>
      <c r="J44" s="8" t="s">
        <v>9682</v>
      </c>
      <c r="K44" s="8" t="s">
        <v>9610</v>
      </c>
      <c r="N44" s="8" t="s">
        <v>9561</v>
      </c>
      <c r="O44" s="8" t="s">
        <v>435</v>
      </c>
      <c r="P44" s="8" t="s">
        <v>435</v>
      </c>
      <c r="Q44" s="8">
        <v>50</v>
      </c>
      <c r="R44" s="8">
        <v>50</v>
      </c>
      <c r="S44" s="8" t="s">
        <v>435</v>
      </c>
      <c r="T44" s="8" t="s">
        <v>8497</v>
      </c>
    </row>
    <row r="45" spans="2:20" hidden="1">
      <c r="B45" s="8" t="s">
        <v>3593</v>
      </c>
      <c r="C45" t="s">
        <v>4354</v>
      </c>
      <c r="D45" t="s">
        <v>9683</v>
      </c>
      <c r="E45" t="s">
        <v>51</v>
      </c>
      <c r="F45" t="s">
        <v>9684</v>
      </c>
      <c r="G45" t="s">
        <v>544</v>
      </c>
      <c r="H45" s="8" t="s">
        <v>1460</v>
      </c>
      <c r="I45" s="8" t="s">
        <v>583</v>
      </c>
      <c r="J45" s="8" t="s">
        <v>9685</v>
      </c>
      <c r="K45" s="8" t="s">
        <v>9610</v>
      </c>
      <c r="N45" s="8" t="s">
        <v>9686</v>
      </c>
      <c r="O45" s="8" t="s">
        <v>435</v>
      </c>
      <c r="P45" s="8" t="s">
        <v>435</v>
      </c>
      <c r="Q45" s="8">
        <v>20</v>
      </c>
      <c r="R45" s="8">
        <v>20</v>
      </c>
      <c r="S45" s="8" t="s">
        <v>435</v>
      </c>
      <c r="T45" s="8" t="s">
        <v>8465</v>
      </c>
    </row>
    <row r="46" spans="2:20" hidden="1">
      <c r="B46" s="8" t="s">
        <v>3593</v>
      </c>
      <c r="C46" t="s">
        <v>4356</v>
      </c>
      <c r="D46" t="s">
        <v>9683</v>
      </c>
      <c r="E46" t="s">
        <v>51</v>
      </c>
      <c r="F46" t="s">
        <v>9687</v>
      </c>
      <c r="G46" t="s">
        <v>544</v>
      </c>
      <c r="H46" s="8" t="s">
        <v>1460</v>
      </c>
      <c r="I46" s="8" t="s">
        <v>583</v>
      </c>
      <c r="J46" s="8" t="s">
        <v>9541</v>
      </c>
      <c r="K46" s="8" t="s">
        <v>9610</v>
      </c>
      <c r="N46" s="8" t="s">
        <v>9686</v>
      </c>
      <c r="O46" s="8" t="s">
        <v>435</v>
      </c>
      <c r="P46" s="8" t="s">
        <v>435</v>
      </c>
      <c r="Q46" s="8">
        <v>16</v>
      </c>
      <c r="R46" s="8">
        <v>16</v>
      </c>
      <c r="S46" s="8" t="s">
        <v>435</v>
      </c>
      <c r="T46" s="8" t="s">
        <v>9611</v>
      </c>
    </row>
    <row r="47" spans="2:20" hidden="1">
      <c r="B47" s="8" t="s">
        <v>3593</v>
      </c>
      <c r="C47" t="s">
        <v>5416</v>
      </c>
      <c r="D47" t="s">
        <v>9683</v>
      </c>
      <c r="E47" t="s">
        <v>51</v>
      </c>
      <c r="F47" t="s">
        <v>9688</v>
      </c>
      <c r="G47" t="s">
        <v>544</v>
      </c>
      <c r="H47" s="8" t="s">
        <v>1460</v>
      </c>
      <c r="I47" s="8" t="s">
        <v>583</v>
      </c>
      <c r="J47" s="8" t="s">
        <v>5416</v>
      </c>
      <c r="K47" s="8" t="s">
        <v>9610</v>
      </c>
      <c r="N47" s="8" t="s">
        <v>9686</v>
      </c>
      <c r="O47" s="8" t="s">
        <v>435</v>
      </c>
      <c r="P47" s="8" t="s">
        <v>435</v>
      </c>
      <c r="Q47" s="8">
        <v>18</v>
      </c>
      <c r="R47" s="8">
        <v>18</v>
      </c>
      <c r="S47" s="8" t="s">
        <v>435</v>
      </c>
      <c r="T47" s="8" t="s">
        <v>9614</v>
      </c>
    </row>
    <row r="48" spans="2:20" hidden="1">
      <c r="B48" s="8" t="s">
        <v>3593</v>
      </c>
      <c r="C48" t="s">
        <v>4427</v>
      </c>
      <c r="D48" t="s">
        <v>9683</v>
      </c>
      <c r="E48" t="s">
        <v>51</v>
      </c>
      <c r="F48" t="s">
        <v>9689</v>
      </c>
      <c r="G48" t="s">
        <v>544</v>
      </c>
      <c r="H48" s="8" t="s">
        <v>1460</v>
      </c>
      <c r="I48" s="8" t="s">
        <v>583</v>
      </c>
      <c r="J48" s="8" t="s">
        <v>9616</v>
      </c>
      <c r="K48" s="8" t="s">
        <v>9610</v>
      </c>
      <c r="N48" s="8" t="s">
        <v>9686</v>
      </c>
      <c r="O48" s="8" t="s">
        <v>435</v>
      </c>
      <c r="P48" s="8" t="s">
        <v>435</v>
      </c>
      <c r="Q48" s="8">
        <v>7</v>
      </c>
      <c r="R48" s="8">
        <v>7</v>
      </c>
      <c r="S48" s="8" t="s">
        <v>435</v>
      </c>
      <c r="T48" s="8" t="s">
        <v>9617</v>
      </c>
    </row>
    <row r="49" spans="2:20" hidden="1">
      <c r="B49" s="8" t="s">
        <v>3593</v>
      </c>
      <c r="C49" t="s">
        <v>4237</v>
      </c>
      <c r="D49" t="s">
        <v>9683</v>
      </c>
      <c r="E49" t="s">
        <v>51</v>
      </c>
      <c r="F49" t="s">
        <v>9690</v>
      </c>
      <c r="G49" t="s">
        <v>544</v>
      </c>
      <c r="H49" s="8" t="s">
        <v>1460</v>
      </c>
      <c r="I49" s="8" t="s">
        <v>583</v>
      </c>
      <c r="J49" s="8" t="s">
        <v>9691</v>
      </c>
      <c r="K49" s="8" t="s">
        <v>9610</v>
      </c>
      <c r="N49" s="8" t="s">
        <v>9543</v>
      </c>
      <c r="O49" s="8" t="s">
        <v>435</v>
      </c>
      <c r="P49" s="8" t="s">
        <v>435</v>
      </c>
      <c r="Q49" s="8" t="s">
        <v>6930</v>
      </c>
      <c r="R49" s="8" t="s">
        <v>6930</v>
      </c>
      <c r="S49" s="8" t="s">
        <v>435</v>
      </c>
      <c r="T49" s="8" t="s">
        <v>8199</v>
      </c>
    </row>
    <row r="50" spans="2:20" hidden="1">
      <c r="B50" s="8" t="s">
        <v>3593</v>
      </c>
      <c r="C50" t="s">
        <v>9620</v>
      </c>
      <c r="D50" t="s">
        <v>9683</v>
      </c>
      <c r="E50" t="s">
        <v>51</v>
      </c>
      <c r="F50" t="s">
        <v>9692</v>
      </c>
      <c r="G50" t="s">
        <v>544</v>
      </c>
      <c r="H50" s="8" t="s">
        <v>1460</v>
      </c>
      <c r="I50" s="8" t="s">
        <v>583</v>
      </c>
      <c r="J50" s="8" t="s">
        <v>9622</v>
      </c>
      <c r="K50" s="8" t="s">
        <v>9610</v>
      </c>
      <c r="N50" s="8" t="s">
        <v>9543</v>
      </c>
      <c r="O50" s="8" t="s">
        <v>435</v>
      </c>
      <c r="P50" s="8" t="s">
        <v>435</v>
      </c>
      <c r="Q50" s="8" t="s">
        <v>6930</v>
      </c>
      <c r="R50" s="8" t="s">
        <v>6930</v>
      </c>
      <c r="S50" s="8" t="s">
        <v>435</v>
      </c>
      <c r="T50" s="8" t="s">
        <v>8199</v>
      </c>
    </row>
    <row r="51" spans="2:20" hidden="1">
      <c r="B51" s="8" t="s">
        <v>3593</v>
      </c>
      <c r="C51" t="s">
        <v>9693</v>
      </c>
      <c r="D51" t="s">
        <v>9683</v>
      </c>
      <c r="E51" t="s">
        <v>51</v>
      </c>
      <c r="F51" t="s">
        <v>9694</v>
      </c>
      <c r="G51" t="s">
        <v>544</v>
      </c>
      <c r="H51" s="8" t="s">
        <v>1460</v>
      </c>
      <c r="I51" s="8" t="s">
        <v>583</v>
      </c>
      <c r="J51" s="8" t="s">
        <v>9642</v>
      </c>
      <c r="K51" s="8" t="s">
        <v>9610</v>
      </c>
      <c r="N51" s="8" t="s">
        <v>9561</v>
      </c>
      <c r="O51" s="8" t="s">
        <v>435</v>
      </c>
      <c r="P51" s="8" t="s">
        <v>435</v>
      </c>
      <c r="Q51" s="8">
        <v>50</v>
      </c>
      <c r="R51" s="8">
        <v>50</v>
      </c>
      <c r="S51" s="8" t="s">
        <v>435</v>
      </c>
      <c r="T51" s="8" t="s">
        <v>9695</v>
      </c>
    </row>
    <row r="52" spans="2:20" hidden="1">
      <c r="B52" s="8" t="s">
        <v>3593</v>
      </c>
      <c r="C52" t="s">
        <v>9696</v>
      </c>
      <c r="D52" t="s">
        <v>9683</v>
      </c>
      <c r="E52" t="s">
        <v>51</v>
      </c>
      <c r="F52" t="s">
        <v>9697</v>
      </c>
      <c r="G52" t="s">
        <v>544</v>
      </c>
      <c r="H52" s="8" t="s">
        <v>1460</v>
      </c>
      <c r="I52" s="8" t="s">
        <v>583</v>
      </c>
      <c r="J52" s="8" t="s">
        <v>9698</v>
      </c>
      <c r="K52" s="8" t="s">
        <v>9610</v>
      </c>
      <c r="N52" s="8" t="s">
        <v>9561</v>
      </c>
      <c r="O52" s="8" t="s">
        <v>435</v>
      </c>
      <c r="P52" s="8" t="s">
        <v>435</v>
      </c>
      <c r="Q52" s="8">
        <v>250</v>
      </c>
      <c r="R52" s="8">
        <v>250</v>
      </c>
      <c r="S52" s="8" t="s">
        <v>435</v>
      </c>
      <c r="T52" s="8" t="s">
        <v>9649</v>
      </c>
    </row>
    <row r="53" spans="2:20" hidden="1">
      <c r="B53" s="8" t="s">
        <v>3593</v>
      </c>
      <c r="C53" t="s">
        <v>9568</v>
      </c>
      <c r="D53" t="s">
        <v>9683</v>
      </c>
      <c r="E53" t="s">
        <v>51</v>
      </c>
      <c r="F53" t="s">
        <v>9699</v>
      </c>
      <c r="G53" t="s">
        <v>544</v>
      </c>
      <c r="H53" s="8" t="s">
        <v>1460</v>
      </c>
      <c r="I53" s="8" t="s">
        <v>583</v>
      </c>
      <c r="J53" s="8" t="s">
        <v>9700</v>
      </c>
      <c r="K53" s="8" t="s">
        <v>9610</v>
      </c>
      <c r="N53" s="8" t="s">
        <v>9561</v>
      </c>
      <c r="O53" s="8" t="s">
        <v>435</v>
      </c>
      <c r="P53" s="8" t="s">
        <v>435</v>
      </c>
      <c r="Q53" s="8">
        <v>500</v>
      </c>
      <c r="R53" s="8">
        <v>500</v>
      </c>
      <c r="S53" s="8" t="s">
        <v>435</v>
      </c>
      <c r="T53" s="8" t="s">
        <v>9701</v>
      </c>
    </row>
    <row r="54" spans="2:20" hidden="1">
      <c r="B54" s="8" t="s">
        <v>3593</v>
      </c>
      <c r="C54" t="s">
        <v>9702</v>
      </c>
      <c r="D54" t="s">
        <v>9683</v>
      </c>
      <c r="E54" t="s">
        <v>51</v>
      </c>
      <c r="F54" t="s">
        <v>9703</v>
      </c>
      <c r="G54" t="s">
        <v>544</v>
      </c>
      <c r="H54" s="8" t="s">
        <v>1460</v>
      </c>
      <c r="I54" s="8" t="s">
        <v>583</v>
      </c>
      <c r="J54" s="8" t="s">
        <v>9704</v>
      </c>
      <c r="K54" s="8" t="s">
        <v>9610</v>
      </c>
      <c r="N54" s="8" t="s">
        <v>9543</v>
      </c>
      <c r="O54" s="8" t="s">
        <v>435</v>
      </c>
      <c r="P54" s="8" t="s">
        <v>435</v>
      </c>
      <c r="Q54" s="8">
        <v>50</v>
      </c>
      <c r="R54" s="8">
        <v>50</v>
      </c>
      <c r="S54" s="8" t="s">
        <v>435</v>
      </c>
      <c r="T54" s="8" t="s">
        <v>8497</v>
      </c>
    </row>
    <row r="55" spans="2:20" hidden="1">
      <c r="B55" s="8" t="s">
        <v>3593</v>
      </c>
      <c r="C55" t="s">
        <v>9705</v>
      </c>
      <c r="D55" t="s">
        <v>9683</v>
      </c>
      <c r="E55" t="s">
        <v>51</v>
      </c>
      <c r="F55" t="s">
        <v>9706</v>
      </c>
      <c r="G55" t="s">
        <v>544</v>
      </c>
      <c r="H55" s="8" t="s">
        <v>1460</v>
      </c>
      <c r="I55" s="8" t="s">
        <v>583</v>
      </c>
      <c r="J55" s="8" t="s">
        <v>9707</v>
      </c>
      <c r="K55" s="8" t="s">
        <v>9610</v>
      </c>
      <c r="N55" s="8" t="s">
        <v>9543</v>
      </c>
      <c r="O55" s="8" t="s">
        <v>435</v>
      </c>
      <c r="P55" s="8" t="s">
        <v>435</v>
      </c>
      <c r="Q55" s="8">
        <v>250</v>
      </c>
      <c r="R55" s="8">
        <v>250</v>
      </c>
      <c r="S55" s="8" t="s">
        <v>435</v>
      </c>
      <c r="T55" s="8" t="s">
        <v>9639</v>
      </c>
    </row>
    <row r="56" spans="2:20" hidden="1">
      <c r="B56" s="8" t="s">
        <v>3593</v>
      </c>
      <c r="C56" t="s">
        <v>9666</v>
      </c>
      <c r="D56" t="s">
        <v>9683</v>
      </c>
      <c r="E56" t="s">
        <v>51</v>
      </c>
      <c r="F56" t="s">
        <v>9708</v>
      </c>
      <c r="G56" t="s">
        <v>544</v>
      </c>
      <c r="H56" s="8" t="s">
        <v>1460</v>
      </c>
      <c r="I56" s="8" t="s">
        <v>583</v>
      </c>
      <c r="J56" s="8" t="s">
        <v>9661</v>
      </c>
      <c r="K56" s="8" t="s">
        <v>9610</v>
      </c>
      <c r="N56" s="8" t="s">
        <v>9553</v>
      </c>
      <c r="O56" s="8" t="s">
        <v>435</v>
      </c>
      <c r="P56" s="8" t="s">
        <v>435</v>
      </c>
      <c r="Q56" s="8">
        <v>50</v>
      </c>
      <c r="R56" s="8">
        <v>50</v>
      </c>
      <c r="S56" s="8" t="s">
        <v>435</v>
      </c>
      <c r="T56" s="8" t="s">
        <v>8497</v>
      </c>
    </row>
    <row r="57" spans="2:20" hidden="1">
      <c r="B57" s="8" t="s">
        <v>3593</v>
      </c>
      <c r="C57" t="s">
        <v>9709</v>
      </c>
      <c r="D57" t="s">
        <v>9683</v>
      </c>
      <c r="E57" t="s">
        <v>51</v>
      </c>
      <c r="F57" t="s">
        <v>9710</v>
      </c>
      <c r="G57" t="s">
        <v>544</v>
      </c>
      <c r="H57" s="8" t="s">
        <v>1460</v>
      </c>
      <c r="I57" s="8" t="s">
        <v>583</v>
      </c>
      <c r="J57" s="8" t="s">
        <v>9682</v>
      </c>
      <c r="K57" s="8" t="s">
        <v>9610</v>
      </c>
      <c r="N57" s="8" t="s">
        <v>9553</v>
      </c>
      <c r="O57" s="8" t="s">
        <v>435</v>
      </c>
      <c r="P57" s="8" t="s">
        <v>435</v>
      </c>
      <c r="Q57" s="8">
        <v>50</v>
      </c>
      <c r="R57" s="8">
        <v>50</v>
      </c>
      <c r="S57" s="8" t="s">
        <v>435</v>
      </c>
      <c r="T57" s="8" t="s">
        <v>8497</v>
      </c>
    </row>
    <row r="58" spans="2:20" hidden="1">
      <c r="B58" s="8" t="s">
        <v>3593</v>
      </c>
      <c r="C58" t="s">
        <v>9711</v>
      </c>
      <c r="D58" t="s">
        <v>9683</v>
      </c>
      <c r="E58" t="s">
        <v>51</v>
      </c>
      <c r="F58" t="s">
        <v>9712</v>
      </c>
      <c r="G58" t="s">
        <v>544</v>
      </c>
      <c r="H58" s="8" t="s">
        <v>1460</v>
      </c>
      <c r="I58" s="8" t="s">
        <v>583</v>
      </c>
      <c r="J58" s="8" t="s">
        <v>9713</v>
      </c>
      <c r="K58" s="8" t="s">
        <v>9610</v>
      </c>
      <c r="N58" s="8" t="s">
        <v>9553</v>
      </c>
      <c r="O58" s="8" t="s">
        <v>435</v>
      </c>
      <c r="P58" s="8" t="s">
        <v>435</v>
      </c>
      <c r="Q58" s="8">
        <v>50</v>
      </c>
      <c r="R58" s="8">
        <v>50</v>
      </c>
      <c r="S58" s="8" t="s">
        <v>435</v>
      </c>
      <c r="T58" s="8" t="s">
        <v>8497</v>
      </c>
    </row>
    <row r="59" spans="2:20" hidden="1">
      <c r="B59" s="8" t="s">
        <v>3593</v>
      </c>
      <c r="C59" t="s">
        <v>9680</v>
      </c>
      <c r="D59" t="s">
        <v>9683</v>
      </c>
      <c r="E59" t="s">
        <v>51</v>
      </c>
      <c r="F59" t="s">
        <v>9714</v>
      </c>
      <c r="G59" t="s">
        <v>544</v>
      </c>
      <c r="H59" s="8" t="s">
        <v>1460</v>
      </c>
      <c r="I59" s="8" t="s">
        <v>583</v>
      </c>
      <c r="J59" s="8" t="s">
        <v>9698</v>
      </c>
      <c r="K59" s="8" t="s">
        <v>9610</v>
      </c>
      <c r="N59" s="8" t="s">
        <v>9553</v>
      </c>
      <c r="O59" s="8" t="s">
        <v>435</v>
      </c>
      <c r="P59" s="8" t="s">
        <v>435</v>
      </c>
      <c r="Q59" s="8">
        <v>50</v>
      </c>
      <c r="R59" s="8">
        <v>50</v>
      </c>
      <c r="S59" s="8" t="s">
        <v>435</v>
      </c>
      <c r="T59" s="8" t="s">
        <v>8497</v>
      </c>
    </row>
    <row r="60" spans="2:20" hidden="1">
      <c r="B60" s="8" t="s">
        <v>3593</v>
      </c>
      <c r="C60" t="s">
        <v>9668</v>
      </c>
      <c r="D60" t="s">
        <v>9683</v>
      </c>
      <c r="E60" t="s">
        <v>51</v>
      </c>
      <c r="F60" t="s">
        <v>9715</v>
      </c>
      <c r="G60" t="s">
        <v>544</v>
      </c>
      <c r="H60" s="8" t="s">
        <v>1460</v>
      </c>
      <c r="I60" s="8" t="s">
        <v>583</v>
      </c>
      <c r="J60" s="8" t="s">
        <v>9716</v>
      </c>
      <c r="K60" s="8" t="s">
        <v>9610</v>
      </c>
      <c r="N60" s="8" t="s">
        <v>9553</v>
      </c>
      <c r="O60" s="8" t="s">
        <v>435</v>
      </c>
      <c r="P60" s="8" t="s">
        <v>435</v>
      </c>
      <c r="Q60" s="8">
        <v>10</v>
      </c>
      <c r="R60" s="8">
        <v>10</v>
      </c>
      <c r="S60" s="8" t="s">
        <v>435</v>
      </c>
      <c r="T60" s="8" t="s">
        <v>9672</v>
      </c>
    </row>
    <row r="61" spans="2:20" hidden="1">
      <c r="B61" s="8" t="s">
        <v>3593</v>
      </c>
      <c r="C61" t="s">
        <v>9717</v>
      </c>
      <c r="D61" t="s">
        <v>9683</v>
      </c>
      <c r="E61" t="s">
        <v>51</v>
      </c>
      <c r="F61" t="s">
        <v>9718</v>
      </c>
      <c r="G61" t="s">
        <v>544</v>
      </c>
      <c r="H61" s="8" t="s">
        <v>1460</v>
      </c>
      <c r="I61" s="8" t="s">
        <v>583</v>
      </c>
      <c r="J61" s="8" t="s">
        <v>9658</v>
      </c>
      <c r="K61" s="8" t="s">
        <v>9610</v>
      </c>
      <c r="N61" s="8" t="s">
        <v>9553</v>
      </c>
      <c r="O61" s="8" t="s">
        <v>435</v>
      </c>
      <c r="P61" s="8" t="s">
        <v>435</v>
      </c>
      <c r="Q61" s="8">
        <v>8000</v>
      </c>
      <c r="R61" s="8">
        <v>8000</v>
      </c>
      <c r="S61" s="8" t="s">
        <v>435</v>
      </c>
      <c r="T61" s="8" t="s">
        <v>9571</v>
      </c>
    </row>
    <row r="62" spans="2:20" hidden="1">
      <c r="B62" s="8" t="s">
        <v>3593</v>
      </c>
      <c r="C62" t="s">
        <v>9719</v>
      </c>
      <c r="D62" t="s">
        <v>9683</v>
      </c>
      <c r="E62" t="s">
        <v>51</v>
      </c>
      <c r="F62" t="s">
        <v>9720</v>
      </c>
      <c r="G62" t="s">
        <v>544</v>
      </c>
      <c r="H62" s="8" t="s">
        <v>1460</v>
      </c>
      <c r="I62" s="8" t="s">
        <v>583</v>
      </c>
      <c r="J62" s="8" t="s">
        <v>9721</v>
      </c>
      <c r="K62" s="8" t="s">
        <v>9610</v>
      </c>
      <c r="N62" s="8" t="s">
        <v>9671</v>
      </c>
      <c r="O62" s="8" t="s">
        <v>435</v>
      </c>
      <c r="P62" s="8" t="s">
        <v>435</v>
      </c>
      <c r="Q62" s="8">
        <v>20</v>
      </c>
      <c r="R62" s="8">
        <v>20</v>
      </c>
      <c r="S62" s="8" t="s">
        <v>435</v>
      </c>
      <c r="T62" s="8" t="s">
        <v>9677</v>
      </c>
    </row>
    <row r="63" spans="2:20" hidden="1">
      <c r="B63" s="8" t="s">
        <v>3593</v>
      </c>
      <c r="C63" t="s">
        <v>858</v>
      </c>
      <c r="D63" t="s">
        <v>9683</v>
      </c>
      <c r="E63" t="s">
        <v>51</v>
      </c>
      <c r="F63" t="s">
        <v>9722</v>
      </c>
      <c r="G63" t="s">
        <v>544</v>
      </c>
      <c r="H63" s="8" t="s">
        <v>1460</v>
      </c>
      <c r="I63" s="8" t="s">
        <v>583</v>
      </c>
      <c r="J63" s="8" t="s">
        <v>9631</v>
      </c>
      <c r="K63" s="8" t="s">
        <v>9610</v>
      </c>
      <c r="N63" s="8" t="s">
        <v>9553</v>
      </c>
      <c r="O63" s="8" t="s">
        <v>435</v>
      </c>
      <c r="P63" s="8" t="s">
        <v>435</v>
      </c>
      <c r="Q63" s="8">
        <v>7</v>
      </c>
      <c r="R63" s="8">
        <v>7</v>
      </c>
      <c r="S63" s="8" t="s">
        <v>435</v>
      </c>
      <c r="T63" s="8" t="s">
        <v>9632</v>
      </c>
    </row>
    <row r="64" spans="2:20" hidden="1">
      <c r="B64" s="8" t="s">
        <v>3593</v>
      </c>
      <c r="C64" t="s">
        <v>9654</v>
      </c>
      <c r="D64" t="s">
        <v>9683</v>
      </c>
      <c r="E64" t="s">
        <v>51</v>
      </c>
      <c r="F64" t="s">
        <v>9723</v>
      </c>
      <c r="G64" t="s">
        <v>544</v>
      </c>
      <c r="H64" s="8" t="s">
        <v>1460</v>
      </c>
      <c r="I64" s="8" t="s">
        <v>583</v>
      </c>
      <c r="J64" s="8" t="s">
        <v>9652</v>
      </c>
      <c r="K64" s="8" t="s">
        <v>9610</v>
      </c>
      <c r="N64" s="8" t="s">
        <v>9553</v>
      </c>
      <c r="O64" s="8" t="s">
        <v>435</v>
      </c>
      <c r="P64" s="8" t="s">
        <v>435</v>
      </c>
      <c r="Q64" s="8">
        <v>10</v>
      </c>
      <c r="R64" s="8">
        <v>10</v>
      </c>
      <c r="S64" s="8" t="s">
        <v>435</v>
      </c>
      <c r="T64" s="8" t="s">
        <v>8503</v>
      </c>
    </row>
    <row r="65" spans="2:20" hidden="1">
      <c r="B65" s="8" t="s">
        <v>3593</v>
      </c>
      <c r="C65" t="s">
        <v>9724</v>
      </c>
      <c r="D65" t="s">
        <v>9683</v>
      </c>
      <c r="E65" t="s">
        <v>51</v>
      </c>
      <c r="F65" t="s">
        <v>9725</v>
      </c>
      <c r="G65" t="s">
        <v>544</v>
      </c>
      <c r="H65" s="8" t="s">
        <v>1460</v>
      </c>
      <c r="I65" s="8" t="s">
        <v>583</v>
      </c>
      <c r="J65" s="8" t="s">
        <v>9642</v>
      </c>
      <c r="K65" s="8" t="s">
        <v>9610</v>
      </c>
      <c r="N65" s="8" t="s">
        <v>9553</v>
      </c>
      <c r="O65" s="8" t="s">
        <v>435</v>
      </c>
      <c r="P65" s="8" t="s">
        <v>435</v>
      </c>
      <c r="Q65" s="8">
        <v>20</v>
      </c>
      <c r="R65" s="8">
        <v>20</v>
      </c>
      <c r="S65" s="8" t="s">
        <v>435</v>
      </c>
      <c r="T65" s="8" t="s">
        <v>8465</v>
      </c>
    </row>
  </sheetData>
  <autoFilter ref="B1:V65" xr:uid="{D4773112-702A-453F-A9FA-2DABB168D942}"/>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2380-DC33-4A5E-A65C-FB2D6B4CBDF2}">
  <sheetPr>
    <tabColor rgb="FFFFFF00"/>
  </sheetPr>
  <dimension ref="B1:S30"/>
  <sheetViews>
    <sheetView workbookViewId="0">
      <selection activeCell="R26" sqref="R26"/>
    </sheetView>
  </sheetViews>
  <sheetFormatPr defaultRowHeight="15"/>
  <cols>
    <col min="2" max="2" width="15.140625" style="8" customWidth="1"/>
    <col min="3" max="3" width="9.140625" style="8" customWidth="1"/>
    <col min="4" max="4" width="43.5703125" style="8" customWidth="1"/>
    <col min="5" max="5" width="9.140625" customWidth="1"/>
    <col min="6" max="6" width="52.140625" style="8" customWidth="1"/>
    <col min="7" max="15" width="8.7109375" customWidth="1"/>
    <col min="16" max="16" width="9.140625" customWidth="1"/>
    <col min="17" max="17" width="15.5703125" style="8" customWidth="1"/>
    <col min="18" max="18" width="9.140625" style="8" customWidth="1"/>
  </cols>
  <sheetData>
    <row r="1" spans="2:19" ht="120">
      <c r="B1" s="478" t="s">
        <v>2157</v>
      </c>
      <c r="C1" s="478" t="s">
        <v>336</v>
      </c>
      <c r="D1" s="478" t="s">
        <v>337</v>
      </c>
      <c r="E1" s="478" t="s">
        <v>338</v>
      </c>
      <c r="F1" s="478" t="s">
        <v>339</v>
      </c>
      <c r="G1" s="76" t="s">
        <v>416</v>
      </c>
      <c r="H1" s="76" t="s">
        <v>417</v>
      </c>
      <c r="I1" s="76" t="s">
        <v>418</v>
      </c>
      <c r="J1" s="76" t="s">
        <v>419</v>
      </c>
      <c r="K1" s="76" t="s">
        <v>420</v>
      </c>
      <c r="L1" s="76" t="s">
        <v>421</v>
      </c>
      <c r="M1" s="76" t="s">
        <v>422</v>
      </c>
      <c r="N1" s="76" t="s">
        <v>423</v>
      </c>
      <c r="O1" s="76" t="s">
        <v>424</v>
      </c>
      <c r="P1" s="479" t="s">
        <v>425</v>
      </c>
      <c r="Q1" s="479" t="s">
        <v>426</v>
      </c>
      <c r="R1" s="479" t="s">
        <v>427</v>
      </c>
      <c r="S1" t="s">
        <v>428</v>
      </c>
    </row>
    <row r="2" spans="2:19" ht="90">
      <c r="B2" s="456" t="s">
        <v>3593</v>
      </c>
      <c r="C2" s="76" t="s">
        <v>9726</v>
      </c>
      <c r="D2" s="76" t="s">
        <v>9727</v>
      </c>
      <c r="E2" s="76" t="s">
        <v>80</v>
      </c>
      <c r="F2" s="76" t="s">
        <v>9728</v>
      </c>
      <c r="G2" s="456" t="s">
        <v>2445</v>
      </c>
      <c r="H2" s="456" t="s">
        <v>9729</v>
      </c>
      <c r="I2" s="456" t="s">
        <v>9730</v>
      </c>
      <c r="J2" s="456" t="s">
        <v>9731</v>
      </c>
      <c r="K2" s="76"/>
      <c r="L2" s="76"/>
      <c r="M2" s="76"/>
      <c r="N2" s="76"/>
      <c r="O2" s="456" t="s">
        <v>8387</v>
      </c>
      <c r="P2" s="456" t="s">
        <v>9732</v>
      </c>
      <c r="Q2" s="456" t="s">
        <v>9733</v>
      </c>
      <c r="R2" s="456" t="s">
        <v>9734</v>
      </c>
    </row>
    <row r="3" spans="2:19" ht="90">
      <c r="B3" s="456" t="s">
        <v>3593</v>
      </c>
      <c r="C3" s="76" t="s">
        <v>9650</v>
      </c>
      <c r="D3" s="76" t="s">
        <v>9727</v>
      </c>
      <c r="E3" s="76" t="s">
        <v>80</v>
      </c>
      <c r="F3" s="76" t="s">
        <v>9735</v>
      </c>
      <c r="G3" s="456" t="s">
        <v>9736</v>
      </c>
      <c r="H3" s="456" t="s">
        <v>9737</v>
      </c>
      <c r="I3" s="76"/>
      <c r="J3" s="456" t="s">
        <v>9738</v>
      </c>
      <c r="K3" s="76"/>
      <c r="L3" s="76"/>
      <c r="M3" s="76"/>
      <c r="N3" s="76"/>
      <c r="O3" s="456" t="s">
        <v>8387</v>
      </c>
      <c r="P3" s="456" t="s">
        <v>9732</v>
      </c>
      <c r="Q3" s="456" t="s">
        <v>9733</v>
      </c>
      <c r="R3" s="456" t="s">
        <v>9739</v>
      </c>
    </row>
    <row r="4" spans="2:19" ht="90">
      <c r="B4" s="456" t="s">
        <v>3593</v>
      </c>
      <c r="C4" s="76" t="s">
        <v>858</v>
      </c>
      <c r="D4" s="76" t="s">
        <v>9727</v>
      </c>
      <c r="E4" s="76" t="s">
        <v>80</v>
      </c>
      <c r="F4" s="76" t="s">
        <v>9740</v>
      </c>
      <c r="G4" s="456" t="s">
        <v>9736</v>
      </c>
      <c r="H4" s="456" t="s">
        <v>9729</v>
      </c>
      <c r="I4" s="76"/>
      <c r="J4" s="456" t="s">
        <v>9741</v>
      </c>
      <c r="K4" s="76"/>
      <c r="L4" s="76"/>
      <c r="M4" s="76"/>
      <c r="N4" s="76"/>
      <c r="O4" s="456" t="s">
        <v>8387</v>
      </c>
      <c r="P4" s="456" t="s">
        <v>9732</v>
      </c>
      <c r="Q4" s="456" t="s">
        <v>9742</v>
      </c>
      <c r="R4" s="456" t="s">
        <v>9743</v>
      </c>
      <c r="S4" s="342" t="s">
        <v>9744</v>
      </c>
    </row>
    <row r="5" spans="2:19" ht="90">
      <c r="B5" s="456" t="s">
        <v>3593</v>
      </c>
      <c r="C5" s="76" t="s">
        <v>9745</v>
      </c>
      <c r="D5" s="76" t="s">
        <v>9727</v>
      </c>
      <c r="E5" s="76" t="s">
        <v>80</v>
      </c>
      <c r="F5" s="76" t="s">
        <v>9746</v>
      </c>
      <c r="G5" s="456" t="s">
        <v>9747</v>
      </c>
      <c r="H5" s="456" t="s">
        <v>9748</v>
      </c>
      <c r="I5" s="76"/>
      <c r="J5" s="456" t="s">
        <v>9749</v>
      </c>
      <c r="K5" s="76"/>
      <c r="L5" s="76"/>
      <c r="M5" s="76"/>
      <c r="N5" s="76"/>
      <c r="O5" s="456" t="s">
        <v>8387</v>
      </c>
      <c r="P5" s="456" t="s">
        <v>9732</v>
      </c>
      <c r="Q5" s="456" t="s">
        <v>9733</v>
      </c>
      <c r="R5" s="456" t="s">
        <v>9750</v>
      </c>
    </row>
    <row r="6" spans="2:19" ht="90">
      <c r="B6" s="456" t="s">
        <v>3593</v>
      </c>
      <c r="C6" s="76" t="s">
        <v>9751</v>
      </c>
      <c r="D6" s="76" t="s">
        <v>9727</v>
      </c>
      <c r="E6" s="76" t="s">
        <v>80</v>
      </c>
      <c r="F6" s="76" t="s">
        <v>9752</v>
      </c>
      <c r="G6" s="456" t="s">
        <v>9747</v>
      </c>
      <c r="H6" s="456" t="s">
        <v>9748</v>
      </c>
      <c r="I6" s="76"/>
      <c r="J6" s="456" t="s">
        <v>9749</v>
      </c>
      <c r="K6" s="76"/>
      <c r="L6" s="76"/>
      <c r="M6" s="76"/>
      <c r="N6" s="76"/>
      <c r="O6" s="456" t="s">
        <v>8387</v>
      </c>
      <c r="P6" s="456" t="s">
        <v>9732</v>
      </c>
      <c r="Q6" s="456" t="s">
        <v>9733</v>
      </c>
      <c r="R6" s="456" t="s">
        <v>9753</v>
      </c>
    </row>
    <row r="7" spans="2:19" ht="90">
      <c r="B7" s="456" t="s">
        <v>3593</v>
      </c>
      <c r="C7" s="76" t="s">
        <v>9754</v>
      </c>
      <c r="D7" s="76" t="s">
        <v>9727</v>
      </c>
      <c r="E7" s="76" t="s">
        <v>80</v>
      </c>
      <c r="F7" s="76" t="s">
        <v>9755</v>
      </c>
      <c r="G7" s="456" t="s">
        <v>9736</v>
      </c>
      <c r="H7" s="456" t="s">
        <v>9729</v>
      </c>
      <c r="I7" s="76"/>
      <c r="J7" s="456" t="s">
        <v>9730</v>
      </c>
      <c r="K7" s="76"/>
      <c r="L7" s="76"/>
      <c r="M7" s="76"/>
      <c r="N7" s="76"/>
      <c r="O7" s="456" t="s">
        <v>8387</v>
      </c>
      <c r="P7" s="456" t="s">
        <v>9732</v>
      </c>
      <c r="Q7" s="456" t="s">
        <v>9756</v>
      </c>
      <c r="R7" s="456" t="s">
        <v>9757</v>
      </c>
    </row>
    <row r="8" spans="2:19" ht="90">
      <c r="B8" s="456" t="s">
        <v>3593</v>
      </c>
      <c r="C8" s="76" t="s">
        <v>9758</v>
      </c>
      <c r="D8" s="76" t="s">
        <v>9727</v>
      </c>
      <c r="E8" s="76" t="s">
        <v>80</v>
      </c>
      <c r="F8" s="76" t="s">
        <v>9759</v>
      </c>
      <c r="G8" s="456" t="s">
        <v>9760</v>
      </c>
      <c r="H8" s="456" t="s">
        <v>9761</v>
      </c>
      <c r="I8" s="76"/>
      <c r="J8" s="76"/>
      <c r="K8" s="76"/>
      <c r="L8" s="76"/>
      <c r="M8" s="76"/>
      <c r="N8" s="76"/>
      <c r="O8" s="456" t="s">
        <v>8387</v>
      </c>
      <c r="P8" s="456" t="s">
        <v>9732</v>
      </c>
      <c r="Q8" s="456" t="s">
        <v>9733</v>
      </c>
      <c r="R8" s="456" t="s">
        <v>9762</v>
      </c>
    </row>
    <row r="9" spans="2:19" ht="90">
      <c r="B9" s="456" t="s">
        <v>3593</v>
      </c>
      <c r="C9" s="76" t="s">
        <v>9763</v>
      </c>
      <c r="D9" s="76" t="s">
        <v>9727</v>
      </c>
      <c r="E9" s="76" t="s">
        <v>80</v>
      </c>
      <c r="F9" s="76" t="s">
        <v>9764</v>
      </c>
      <c r="G9" s="456" t="s">
        <v>9736</v>
      </c>
      <c r="H9" s="456" t="s">
        <v>9729</v>
      </c>
      <c r="I9" s="76"/>
      <c r="J9" s="456" t="s">
        <v>9765</v>
      </c>
      <c r="K9" s="76"/>
      <c r="L9" s="76"/>
      <c r="M9" s="76"/>
      <c r="N9" s="76"/>
      <c r="O9" s="456" t="s">
        <v>8387</v>
      </c>
      <c r="P9" s="456" t="s">
        <v>9732</v>
      </c>
      <c r="Q9" s="456" t="s">
        <v>9733</v>
      </c>
      <c r="R9" s="456" t="s">
        <v>9766</v>
      </c>
    </row>
    <row r="10" spans="2:19" ht="90">
      <c r="B10" s="456" t="s">
        <v>3593</v>
      </c>
      <c r="C10" s="76" t="s">
        <v>9767</v>
      </c>
      <c r="D10" s="76" t="s">
        <v>9727</v>
      </c>
      <c r="E10" s="76" t="s">
        <v>80</v>
      </c>
      <c r="F10" s="76" t="s">
        <v>9768</v>
      </c>
      <c r="G10" s="456" t="s">
        <v>9736</v>
      </c>
      <c r="H10" s="456" t="s">
        <v>9729</v>
      </c>
      <c r="I10" s="76"/>
      <c r="J10" s="456" t="s">
        <v>9741</v>
      </c>
      <c r="K10" s="76"/>
      <c r="L10" s="76"/>
      <c r="M10" s="76"/>
      <c r="N10" s="76"/>
      <c r="O10" s="456" t="s">
        <v>8387</v>
      </c>
      <c r="P10" s="456" t="s">
        <v>9732</v>
      </c>
      <c r="Q10" s="456" t="s">
        <v>9733</v>
      </c>
      <c r="R10" s="456" t="s">
        <v>9769</v>
      </c>
    </row>
    <row r="11" spans="2:19" ht="90">
      <c r="B11" s="456" t="s">
        <v>3593</v>
      </c>
      <c r="C11" s="76" t="s">
        <v>9770</v>
      </c>
      <c r="D11" s="76" t="s">
        <v>9727</v>
      </c>
      <c r="E11" s="76" t="s">
        <v>80</v>
      </c>
      <c r="F11" s="76" t="s">
        <v>9771</v>
      </c>
      <c r="G11" s="456" t="s">
        <v>9736</v>
      </c>
      <c r="H11" s="456" t="s">
        <v>9729</v>
      </c>
      <c r="I11" s="76"/>
      <c r="J11" s="76"/>
      <c r="K11" s="76"/>
      <c r="L11" s="76"/>
      <c r="M11" s="76"/>
      <c r="N11" s="76"/>
      <c r="O11" s="456" t="s">
        <v>8387</v>
      </c>
      <c r="P11" s="456" t="s">
        <v>9732</v>
      </c>
      <c r="Q11" s="456" t="s">
        <v>9772</v>
      </c>
      <c r="R11" s="456" t="s">
        <v>9773</v>
      </c>
    </row>
    <row r="12" spans="2:19" ht="90">
      <c r="B12" s="456" t="s">
        <v>3593</v>
      </c>
      <c r="C12" s="76" t="s">
        <v>9568</v>
      </c>
      <c r="D12" s="76" t="s">
        <v>9727</v>
      </c>
      <c r="E12" s="76" t="s">
        <v>80</v>
      </c>
      <c r="F12" s="76" t="s">
        <v>9774</v>
      </c>
      <c r="G12" s="456" t="s">
        <v>9736</v>
      </c>
      <c r="H12" s="456" t="s">
        <v>9729</v>
      </c>
      <c r="I12" s="76"/>
      <c r="J12" s="456" t="s">
        <v>9741</v>
      </c>
      <c r="K12" s="76"/>
      <c r="L12" s="76"/>
      <c r="M12" s="76"/>
      <c r="N12" s="76"/>
      <c r="O12" s="456" t="s">
        <v>8387</v>
      </c>
      <c r="P12" s="456" t="s">
        <v>9732</v>
      </c>
      <c r="Q12" s="456" t="s">
        <v>9733</v>
      </c>
      <c r="R12" s="456" t="s">
        <v>9775</v>
      </c>
    </row>
    <row r="13" spans="2:19" ht="90">
      <c r="B13" s="456" t="s">
        <v>3593</v>
      </c>
      <c r="C13" s="76" t="s">
        <v>9134</v>
      </c>
      <c r="D13" s="76" t="s">
        <v>9727</v>
      </c>
      <c r="E13" s="76" t="s">
        <v>80</v>
      </c>
      <c r="F13" s="76" t="s">
        <v>9776</v>
      </c>
      <c r="G13" s="456" t="s">
        <v>9736</v>
      </c>
      <c r="H13" s="456" t="s">
        <v>9729</v>
      </c>
      <c r="I13" s="76"/>
      <c r="J13" s="456" t="s">
        <v>9777</v>
      </c>
      <c r="K13" s="76"/>
      <c r="L13" s="76"/>
      <c r="M13" s="76"/>
      <c r="N13" s="76"/>
      <c r="O13" s="456" t="s">
        <v>8387</v>
      </c>
      <c r="P13" s="456" t="s">
        <v>9732</v>
      </c>
      <c r="Q13" s="456" t="s">
        <v>9733</v>
      </c>
      <c r="R13" s="456" t="s">
        <v>9778</v>
      </c>
    </row>
    <row r="14" spans="2:19" ht="90">
      <c r="B14" s="456" t="s">
        <v>3593</v>
      </c>
      <c r="C14" s="76" t="s">
        <v>9779</v>
      </c>
      <c r="D14" s="76" t="s">
        <v>9727</v>
      </c>
      <c r="E14" s="76" t="s">
        <v>80</v>
      </c>
      <c r="F14" s="76" t="s">
        <v>9780</v>
      </c>
      <c r="G14" s="456" t="s">
        <v>9736</v>
      </c>
      <c r="H14" s="456" t="s">
        <v>9729</v>
      </c>
      <c r="I14" s="76"/>
      <c r="J14" s="456" t="s">
        <v>9781</v>
      </c>
      <c r="K14" s="76"/>
      <c r="L14" s="76"/>
      <c r="M14" s="76"/>
      <c r="N14" s="76"/>
      <c r="O14" s="456" t="s">
        <v>8387</v>
      </c>
      <c r="P14" s="456" t="s">
        <v>9732</v>
      </c>
      <c r="Q14" s="456" t="s">
        <v>9733</v>
      </c>
      <c r="R14" s="456" t="s">
        <v>9782</v>
      </c>
    </row>
    <row r="15" spans="2:19" ht="90">
      <c r="B15" s="456" t="s">
        <v>3593</v>
      </c>
      <c r="C15" s="76" t="s">
        <v>9783</v>
      </c>
      <c r="D15" s="76" t="s">
        <v>9727</v>
      </c>
      <c r="E15" s="76" t="s">
        <v>80</v>
      </c>
      <c r="F15" s="76" t="s">
        <v>9784</v>
      </c>
      <c r="G15" s="456" t="s">
        <v>9736</v>
      </c>
      <c r="H15" s="456" t="s">
        <v>9729</v>
      </c>
      <c r="I15" s="76"/>
      <c r="J15" s="456" t="s">
        <v>9785</v>
      </c>
      <c r="K15" s="76"/>
      <c r="L15" s="76"/>
      <c r="M15" s="76"/>
      <c r="N15" s="76"/>
      <c r="O15" s="456" t="s">
        <v>8387</v>
      </c>
      <c r="P15" s="456" t="s">
        <v>9732</v>
      </c>
      <c r="Q15" s="456" t="s">
        <v>9733</v>
      </c>
      <c r="R15" s="456" t="s">
        <v>9786</v>
      </c>
    </row>
    <row r="16" spans="2:19" ht="90">
      <c r="B16" s="456" t="s">
        <v>3593</v>
      </c>
      <c r="C16" s="76" t="s">
        <v>9787</v>
      </c>
      <c r="D16" s="76" t="s">
        <v>9727</v>
      </c>
      <c r="E16" s="76" t="s">
        <v>80</v>
      </c>
      <c r="F16" s="76" t="s">
        <v>9788</v>
      </c>
      <c r="G16" s="456" t="s">
        <v>9736</v>
      </c>
      <c r="H16" s="456" t="s">
        <v>9729</v>
      </c>
      <c r="I16" s="76"/>
      <c r="J16" s="456" t="s">
        <v>9785</v>
      </c>
      <c r="K16" s="76"/>
      <c r="L16" s="76"/>
      <c r="M16" s="76"/>
      <c r="N16" s="76"/>
      <c r="O16" s="456" t="s">
        <v>8387</v>
      </c>
      <c r="P16" s="456" t="s">
        <v>9732</v>
      </c>
      <c r="Q16" s="456" t="s">
        <v>9733</v>
      </c>
      <c r="R16" s="456" t="s">
        <v>9789</v>
      </c>
    </row>
    <row r="17" spans="2:18" ht="90">
      <c r="B17" s="456" t="s">
        <v>3593</v>
      </c>
      <c r="C17" s="76" t="s">
        <v>9790</v>
      </c>
      <c r="D17" s="76" t="s">
        <v>9727</v>
      </c>
      <c r="E17" s="76" t="s">
        <v>80</v>
      </c>
      <c r="F17" s="76" t="s">
        <v>9791</v>
      </c>
      <c r="G17" s="456" t="s">
        <v>9747</v>
      </c>
      <c r="H17" s="456" t="s">
        <v>9748</v>
      </c>
      <c r="I17" s="76"/>
      <c r="J17" s="456" t="s">
        <v>9749</v>
      </c>
      <c r="K17" s="76"/>
      <c r="L17" s="76"/>
      <c r="M17" s="76"/>
      <c r="N17" s="76"/>
      <c r="O17" s="456" t="s">
        <v>8387</v>
      </c>
      <c r="P17" s="456" t="s">
        <v>9732</v>
      </c>
      <c r="Q17" s="456" t="s">
        <v>9733</v>
      </c>
      <c r="R17" s="456" t="s">
        <v>9750</v>
      </c>
    </row>
    <row r="18" spans="2:18" ht="90">
      <c r="B18" s="456" t="s">
        <v>3593</v>
      </c>
      <c r="C18" s="76" t="s">
        <v>9792</v>
      </c>
      <c r="D18" s="76" t="s">
        <v>9727</v>
      </c>
      <c r="E18" s="76" t="s">
        <v>80</v>
      </c>
      <c r="F18" s="76" t="s">
        <v>9793</v>
      </c>
      <c r="G18" s="456" t="s">
        <v>9736</v>
      </c>
      <c r="H18" s="456" t="s">
        <v>9737</v>
      </c>
      <c r="I18" s="76"/>
      <c r="J18" s="456" t="s">
        <v>9781</v>
      </c>
      <c r="K18" s="76"/>
      <c r="L18" s="76"/>
      <c r="M18" s="76"/>
      <c r="N18" s="76"/>
      <c r="O18" s="456" t="s">
        <v>8387</v>
      </c>
      <c r="P18" s="456" t="s">
        <v>9732</v>
      </c>
      <c r="Q18" s="456" t="s">
        <v>9733</v>
      </c>
      <c r="R18" s="456" t="s">
        <v>9794</v>
      </c>
    </row>
    <row r="19" spans="2:18" ht="90">
      <c r="B19" s="456" t="s">
        <v>3593</v>
      </c>
      <c r="C19" s="76" t="s">
        <v>9795</v>
      </c>
      <c r="D19" s="76" t="s">
        <v>9727</v>
      </c>
      <c r="E19" s="76" t="s">
        <v>80</v>
      </c>
      <c r="F19" s="76" t="s">
        <v>9796</v>
      </c>
      <c r="G19" s="456" t="s">
        <v>9797</v>
      </c>
      <c r="H19" s="456" t="s">
        <v>9797</v>
      </c>
      <c r="I19" s="76"/>
      <c r="J19" s="456" t="s">
        <v>9798</v>
      </c>
      <c r="K19" s="76"/>
      <c r="L19" s="76"/>
      <c r="M19" s="76"/>
      <c r="N19" s="76"/>
      <c r="O19" s="456" t="s">
        <v>8387</v>
      </c>
      <c r="P19" s="456" t="s">
        <v>9732</v>
      </c>
      <c r="Q19" s="456" t="s">
        <v>9733</v>
      </c>
      <c r="R19" s="456" t="s">
        <v>9799</v>
      </c>
    </row>
    <row r="20" spans="2:18" ht="90">
      <c r="B20" s="456" t="s">
        <v>3593</v>
      </c>
      <c r="C20" s="76" t="s">
        <v>2637</v>
      </c>
      <c r="D20" s="76" t="s">
        <v>9727</v>
      </c>
      <c r="E20" s="76" t="s">
        <v>80</v>
      </c>
      <c r="F20" s="76" t="s">
        <v>9800</v>
      </c>
      <c r="G20" s="456" t="s">
        <v>9736</v>
      </c>
      <c r="H20" s="456" t="s">
        <v>9729</v>
      </c>
      <c r="I20" s="76"/>
      <c r="J20" s="456" t="s">
        <v>9801</v>
      </c>
      <c r="K20" s="76"/>
      <c r="L20" s="76"/>
      <c r="M20" s="76"/>
      <c r="N20" s="76"/>
      <c r="O20" s="456" t="s">
        <v>8387</v>
      </c>
      <c r="P20" s="456" t="s">
        <v>9732</v>
      </c>
      <c r="Q20" s="456" t="s">
        <v>9733</v>
      </c>
      <c r="R20" s="456" t="s">
        <v>9772</v>
      </c>
    </row>
    <row r="21" spans="2:18" ht="90">
      <c r="B21" s="456" t="s">
        <v>3593</v>
      </c>
      <c r="C21" s="76" t="s">
        <v>702</v>
      </c>
      <c r="D21" s="76" t="s">
        <v>9727</v>
      </c>
      <c r="E21" s="76" t="s">
        <v>80</v>
      </c>
      <c r="F21" s="76" t="s">
        <v>9802</v>
      </c>
      <c r="G21" s="456" t="s">
        <v>9736</v>
      </c>
      <c r="H21" s="456" t="s">
        <v>9729</v>
      </c>
      <c r="I21" s="76"/>
      <c r="J21" s="456" t="s">
        <v>9803</v>
      </c>
      <c r="K21" s="76"/>
      <c r="L21" s="76"/>
      <c r="M21" s="76"/>
      <c r="N21" s="76"/>
      <c r="O21" s="456" t="s">
        <v>8387</v>
      </c>
      <c r="P21" s="456" t="s">
        <v>9732</v>
      </c>
      <c r="Q21" s="456" t="s">
        <v>9733</v>
      </c>
      <c r="R21" s="456" t="s">
        <v>9804</v>
      </c>
    </row>
    <row r="22" spans="2:18" ht="90">
      <c r="B22" s="456" t="s">
        <v>3593</v>
      </c>
      <c r="C22" s="76" t="s">
        <v>9805</v>
      </c>
      <c r="D22" s="76" t="s">
        <v>9727</v>
      </c>
      <c r="E22" s="76" t="s">
        <v>80</v>
      </c>
      <c r="F22" s="76" t="s">
        <v>9806</v>
      </c>
      <c r="G22" s="456" t="s">
        <v>9736</v>
      </c>
      <c r="H22" s="456" t="s">
        <v>9729</v>
      </c>
      <c r="I22" s="76"/>
      <c r="J22" s="456" t="s">
        <v>9807</v>
      </c>
      <c r="K22" s="76"/>
      <c r="L22" s="76"/>
      <c r="M22" s="76"/>
      <c r="N22" s="76"/>
      <c r="O22" s="456" t="s">
        <v>8387</v>
      </c>
      <c r="P22" s="456" t="s">
        <v>9732</v>
      </c>
      <c r="Q22" s="456" t="s">
        <v>9733</v>
      </c>
      <c r="R22" s="456" t="s">
        <v>9808</v>
      </c>
    </row>
    <row r="23" spans="2:18" ht="90">
      <c r="B23" s="456" t="s">
        <v>3593</v>
      </c>
      <c r="C23" s="76" t="s">
        <v>9809</v>
      </c>
      <c r="D23" s="76" t="s">
        <v>9727</v>
      </c>
      <c r="E23" s="76" t="s">
        <v>80</v>
      </c>
      <c r="F23" s="76" t="s">
        <v>9810</v>
      </c>
      <c r="G23" s="456" t="s">
        <v>9736</v>
      </c>
      <c r="H23" s="456" t="s">
        <v>9729</v>
      </c>
      <c r="I23" s="76"/>
      <c r="J23" s="456" t="s">
        <v>9731</v>
      </c>
      <c r="K23" s="76"/>
      <c r="L23" s="76"/>
      <c r="M23" s="76"/>
      <c r="N23" s="76"/>
      <c r="O23" s="456" t="s">
        <v>8387</v>
      </c>
      <c r="P23" s="456" t="s">
        <v>9732</v>
      </c>
      <c r="Q23" s="456" t="s">
        <v>9733</v>
      </c>
      <c r="R23" s="456" t="s">
        <v>9811</v>
      </c>
    </row>
    <row r="24" spans="2:18" ht="90">
      <c r="B24" s="456" t="s">
        <v>3593</v>
      </c>
      <c r="C24" s="76" t="s">
        <v>9812</v>
      </c>
      <c r="D24" s="76" t="s">
        <v>9727</v>
      </c>
      <c r="E24" s="76" t="s">
        <v>80</v>
      </c>
      <c r="F24" s="76" t="s">
        <v>9813</v>
      </c>
      <c r="G24" s="476" t="s">
        <v>2445</v>
      </c>
      <c r="H24" s="476" t="s">
        <v>9814</v>
      </c>
      <c r="I24" s="476"/>
      <c r="J24" s="476">
        <v>300</v>
      </c>
      <c r="K24" s="76"/>
      <c r="L24" s="76"/>
      <c r="M24" s="76"/>
      <c r="N24" s="76"/>
      <c r="O24" s="476" t="s">
        <v>8387</v>
      </c>
      <c r="P24" s="476" t="s">
        <v>9815</v>
      </c>
      <c r="Q24" s="476" t="s">
        <v>9733</v>
      </c>
      <c r="R24" s="476" t="s">
        <v>9816</v>
      </c>
    </row>
    <row r="25" spans="2:18" ht="90">
      <c r="B25" s="456" t="s">
        <v>3593</v>
      </c>
      <c r="C25" s="76" t="s">
        <v>9468</v>
      </c>
      <c r="D25" s="76" t="s">
        <v>9727</v>
      </c>
      <c r="E25" s="76" t="s">
        <v>80</v>
      </c>
      <c r="F25" s="76" t="s">
        <v>9817</v>
      </c>
      <c r="G25" s="476" t="s">
        <v>2445</v>
      </c>
      <c r="H25" s="476" t="s">
        <v>9814</v>
      </c>
      <c r="I25" s="476"/>
      <c r="J25" s="476">
        <v>500</v>
      </c>
      <c r="K25" s="76"/>
      <c r="L25" s="76"/>
      <c r="M25" s="76"/>
      <c r="N25" s="76"/>
      <c r="O25" s="476" t="s">
        <v>8387</v>
      </c>
      <c r="P25" s="476" t="s">
        <v>9815</v>
      </c>
      <c r="Q25" s="476" t="s">
        <v>9733</v>
      </c>
      <c r="R25" s="476" t="s">
        <v>9818</v>
      </c>
    </row>
    <row r="26" spans="2:18" ht="90">
      <c r="B26" s="456" t="s">
        <v>3593</v>
      </c>
      <c r="C26" s="76" t="s">
        <v>9819</v>
      </c>
      <c r="D26" s="76" t="s">
        <v>9727</v>
      </c>
      <c r="E26" s="76" t="s">
        <v>80</v>
      </c>
      <c r="F26" s="76" t="s">
        <v>9820</v>
      </c>
      <c r="G26" s="476" t="s">
        <v>2445</v>
      </c>
      <c r="H26" s="476" t="s">
        <v>9814</v>
      </c>
      <c r="I26" s="476"/>
      <c r="J26" s="476">
        <v>85</v>
      </c>
      <c r="K26" s="76"/>
      <c r="L26" s="76"/>
      <c r="M26" s="76"/>
      <c r="N26" s="76"/>
      <c r="O26" s="476" t="s">
        <v>8387</v>
      </c>
      <c r="P26" s="476" t="s">
        <v>9815</v>
      </c>
      <c r="Q26" s="476" t="s">
        <v>9733</v>
      </c>
      <c r="R26" s="476" t="s">
        <v>9821</v>
      </c>
    </row>
    <row r="27" spans="2:18" ht="45">
      <c r="B27" s="456" t="s">
        <v>3593</v>
      </c>
      <c r="C27" s="480" t="s">
        <v>9822</v>
      </c>
      <c r="D27" s="11" t="s">
        <v>9727</v>
      </c>
      <c r="E27" s="11" t="s">
        <v>80</v>
      </c>
      <c r="F27" s="11" t="s">
        <v>9823</v>
      </c>
      <c r="G27" s="11"/>
      <c r="H27" s="76"/>
      <c r="I27" s="76"/>
      <c r="J27" s="76"/>
      <c r="K27" s="76"/>
      <c r="L27" s="76"/>
      <c r="M27" s="76"/>
      <c r="N27" s="76"/>
      <c r="O27" s="76"/>
      <c r="P27" s="477" t="s">
        <v>9815</v>
      </c>
      <c r="Q27" s="477" t="s">
        <v>9733</v>
      </c>
      <c r="R27" s="456" t="s">
        <v>7235</v>
      </c>
    </row>
    <row r="28" spans="2:18" ht="45">
      <c r="B28" s="456" t="s">
        <v>3593</v>
      </c>
      <c r="C28" s="480" t="s">
        <v>9472</v>
      </c>
      <c r="D28" s="11" t="s">
        <v>9727</v>
      </c>
      <c r="E28" s="11" t="s">
        <v>80</v>
      </c>
      <c r="F28" s="11" t="s">
        <v>9824</v>
      </c>
      <c r="G28" s="11"/>
      <c r="H28" s="76"/>
      <c r="I28" s="76"/>
      <c r="J28" s="76"/>
      <c r="K28" s="76"/>
      <c r="L28" s="76"/>
      <c r="M28" s="76"/>
      <c r="N28" s="76"/>
      <c r="O28" s="76"/>
      <c r="P28" s="477" t="s">
        <v>9815</v>
      </c>
      <c r="Q28" s="477" t="s">
        <v>9733</v>
      </c>
      <c r="R28" s="456" t="s">
        <v>7235</v>
      </c>
    </row>
    <row r="29" spans="2:18" ht="45">
      <c r="B29" s="456" t="s">
        <v>3593</v>
      </c>
      <c r="C29" s="480" t="s">
        <v>9825</v>
      </c>
      <c r="D29" s="11" t="s">
        <v>9727</v>
      </c>
      <c r="E29" s="11" t="s">
        <v>80</v>
      </c>
      <c r="F29" s="11" t="s">
        <v>9826</v>
      </c>
      <c r="G29" s="11"/>
      <c r="H29" s="76"/>
      <c r="I29" s="76"/>
      <c r="J29" s="76"/>
      <c r="K29" s="76"/>
      <c r="L29" s="76"/>
      <c r="M29" s="76"/>
      <c r="N29" s="76"/>
      <c r="O29" s="76"/>
      <c r="P29" s="477" t="s">
        <v>9815</v>
      </c>
      <c r="Q29" s="477" t="s">
        <v>9733</v>
      </c>
      <c r="R29" s="456" t="s">
        <v>7235</v>
      </c>
    </row>
    <row r="30" spans="2:18">
      <c r="B30" s="340"/>
      <c r="C30" s="340"/>
      <c r="D30" s="340"/>
      <c r="F30" s="340"/>
      <c r="Q30" s="340"/>
      <c r="R30" s="340"/>
    </row>
  </sheetData>
  <autoFilter ref="B1:S29" xr:uid="{0F7C2380-DC33-4A5E-A65C-FB2D6B4CBDF2}"/>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F1BA8-1B17-4840-9536-013B8A10BBCF}">
  <sheetPr filterMode="1">
    <tabColor theme="9" tint="0.79998168889431442"/>
  </sheetPr>
  <dimension ref="B1:S6"/>
  <sheetViews>
    <sheetView workbookViewId="0">
      <selection activeCell="F6" sqref="F6"/>
    </sheetView>
  </sheetViews>
  <sheetFormatPr defaultRowHeight="15"/>
  <cols>
    <col min="2" max="2" width="21.5703125" style="8" customWidth="1"/>
    <col min="3" max="3" width="22.42578125" style="8" customWidth="1"/>
    <col min="4" max="4" width="21" style="8" customWidth="1"/>
    <col min="5" max="5" width="16.5703125" style="8" bestFit="1" customWidth="1"/>
    <col min="6" max="6" width="70.42578125" style="8" bestFit="1" customWidth="1"/>
    <col min="18" max="18" width="25.42578125" style="8" bestFit="1" customWidth="1"/>
  </cols>
  <sheetData>
    <row r="1" spans="2:19">
      <c r="B1" t="s">
        <v>2157</v>
      </c>
      <c r="C1" t="s">
        <v>336</v>
      </c>
      <c r="D1" t="s">
        <v>337</v>
      </c>
      <c r="E1" t="s">
        <v>338</v>
      </c>
      <c r="F1" t="s">
        <v>339</v>
      </c>
      <c r="G1" t="s">
        <v>416</v>
      </c>
      <c r="H1" t="s">
        <v>417</v>
      </c>
      <c r="I1" t="s">
        <v>418</v>
      </c>
      <c r="J1" t="s">
        <v>419</v>
      </c>
      <c r="K1" t="s">
        <v>420</v>
      </c>
      <c r="L1" t="s">
        <v>421</v>
      </c>
      <c r="M1" t="s">
        <v>422</v>
      </c>
      <c r="N1" t="s">
        <v>423</v>
      </c>
      <c r="O1" t="s">
        <v>424</v>
      </c>
      <c r="P1" t="s">
        <v>425</v>
      </c>
      <c r="Q1" t="s">
        <v>426</v>
      </c>
      <c r="R1" t="s">
        <v>427</v>
      </c>
      <c r="S1" t="s">
        <v>428</v>
      </c>
    </row>
    <row r="2" spans="2:19" hidden="1">
      <c r="B2" s="8" t="s">
        <v>3593</v>
      </c>
      <c r="C2" t="s">
        <v>2400</v>
      </c>
      <c r="D2" t="s">
        <v>9827</v>
      </c>
      <c r="E2" t="s">
        <v>119</v>
      </c>
      <c r="F2" t="s">
        <v>9828</v>
      </c>
      <c r="G2" s="8" t="s">
        <v>9829</v>
      </c>
      <c r="H2" s="8" t="s">
        <v>6936</v>
      </c>
      <c r="J2" s="8">
        <v>10</v>
      </c>
      <c r="O2" s="8" t="s">
        <v>8387</v>
      </c>
      <c r="P2" s="8" t="s">
        <v>9830</v>
      </c>
      <c r="Q2" s="8" t="s">
        <v>9831</v>
      </c>
      <c r="R2" s="8" t="s">
        <v>9832</v>
      </c>
    </row>
    <row r="3" spans="2:19" hidden="1">
      <c r="B3" s="8" t="s">
        <v>3593</v>
      </c>
      <c r="C3" t="s">
        <v>9833</v>
      </c>
      <c r="D3" t="s">
        <v>9827</v>
      </c>
      <c r="E3" t="s">
        <v>119</v>
      </c>
      <c r="F3" t="s">
        <v>9834</v>
      </c>
      <c r="G3" s="8" t="s">
        <v>9829</v>
      </c>
      <c r="H3" s="8" t="s">
        <v>9814</v>
      </c>
      <c r="J3" s="8">
        <v>50</v>
      </c>
      <c r="O3" s="8" t="s">
        <v>8387</v>
      </c>
      <c r="P3" s="8" t="s">
        <v>9830</v>
      </c>
      <c r="Q3" s="8" t="s">
        <v>9835</v>
      </c>
      <c r="R3" s="8" t="s">
        <v>9836</v>
      </c>
    </row>
    <row r="4" spans="2:19" hidden="1">
      <c r="B4" s="8" t="s">
        <v>3593</v>
      </c>
      <c r="C4" t="s">
        <v>9837</v>
      </c>
      <c r="D4" t="s">
        <v>9827</v>
      </c>
      <c r="E4" t="s">
        <v>119</v>
      </c>
      <c r="F4" t="s">
        <v>9838</v>
      </c>
      <c r="G4" s="8" t="s">
        <v>9829</v>
      </c>
      <c r="H4" s="8" t="s">
        <v>9839</v>
      </c>
      <c r="J4" s="8">
        <v>15</v>
      </c>
      <c r="O4" s="8" t="s">
        <v>8387</v>
      </c>
      <c r="P4" s="8" t="s">
        <v>9830</v>
      </c>
      <c r="Q4" s="8" t="s">
        <v>9831</v>
      </c>
      <c r="R4" s="8" t="s">
        <v>9840</v>
      </c>
    </row>
    <row r="5" spans="2:19" hidden="1">
      <c r="B5" s="8" t="s">
        <v>3593</v>
      </c>
      <c r="C5" t="s">
        <v>9841</v>
      </c>
      <c r="D5" t="s">
        <v>9827</v>
      </c>
      <c r="E5" t="s">
        <v>119</v>
      </c>
      <c r="F5" t="s">
        <v>9842</v>
      </c>
      <c r="G5" s="8" t="s">
        <v>9829</v>
      </c>
      <c r="H5" s="8" t="s">
        <v>9839</v>
      </c>
      <c r="J5" s="8">
        <v>6</v>
      </c>
      <c r="O5" s="8" t="s">
        <v>8387</v>
      </c>
      <c r="P5" s="8" t="s">
        <v>9830</v>
      </c>
      <c r="Q5" s="8" t="s">
        <v>9831</v>
      </c>
      <c r="R5" s="8" t="s">
        <v>9843</v>
      </c>
    </row>
    <row r="6" spans="2:19">
      <c r="B6" s="8" t="s">
        <v>3593</v>
      </c>
      <c r="C6" t="s">
        <v>159</v>
      </c>
      <c r="D6" t="s">
        <v>9827</v>
      </c>
      <c r="E6" t="s">
        <v>119</v>
      </c>
      <c r="F6" t="s">
        <v>9844</v>
      </c>
      <c r="G6" s="8" t="s">
        <v>9829</v>
      </c>
      <c r="H6" s="8" t="s">
        <v>9814</v>
      </c>
      <c r="J6" s="8">
        <v>10</v>
      </c>
      <c r="O6" s="8" t="s">
        <v>8387</v>
      </c>
      <c r="P6" s="8" t="s">
        <v>9830</v>
      </c>
      <c r="Q6" s="8" t="s">
        <v>9831</v>
      </c>
      <c r="R6" s="8" t="s">
        <v>9845</v>
      </c>
    </row>
  </sheetData>
  <autoFilter ref="B1:S6" xr:uid="{9BAF1BA8-1B17-4840-9536-013B8A10BBCF}">
    <filterColumn colId="1">
      <filters>
        <filter val="Status"/>
      </filters>
    </filterColumn>
  </autoFilter>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3C089-F70B-49B4-AD6C-C486FFF93208}">
  <sheetPr>
    <tabColor rgb="FFFFFF00"/>
  </sheetPr>
  <dimension ref="B1:S9"/>
  <sheetViews>
    <sheetView workbookViewId="0">
      <selection activeCell="F22" sqref="F22"/>
    </sheetView>
  </sheetViews>
  <sheetFormatPr defaultRowHeight="15"/>
  <cols>
    <col min="2" max="2" width="27.42578125" style="8" customWidth="1"/>
    <col min="3" max="3" width="24.140625" style="8" customWidth="1"/>
    <col min="4" max="4" width="56" style="8" customWidth="1"/>
    <col min="13" max="13" width="12.140625" style="8" customWidth="1"/>
    <col min="14" max="14" width="12.85546875" style="8" customWidth="1"/>
    <col min="15" max="15" width="16.42578125" style="8" customWidth="1"/>
    <col min="19" max="19" width="12.42578125" style="8" customWidth="1"/>
  </cols>
  <sheetData>
    <row r="1" spans="2:19" ht="15.75" thickBot="1">
      <c r="B1" t="s">
        <v>2157</v>
      </c>
      <c r="C1" t="s">
        <v>336</v>
      </c>
      <c r="D1" t="s">
        <v>337</v>
      </c>
      <c r="E1" t="s">
        <v>338</v>
      </c>
      <c r="F1" t="s">
        <v>339</v>
      </c>
      <c r="G1" t="s">
        <v>416</v>
      </c>
      <c r="H1" t="s">
        <v>417</v>
      </c>
      <c r="I1" t="s">
        <v>418</v>
      </c>
      <c r="J1" t="s">
        <v>419</v>
      </c>
      <c r="K1" t="s">
        <v>420</v>
      </c>
      <c r="L1" t="s">
        <v>421</v>
      </c>
      <c r="M1" t="s">
        <v>422</v>
      </c>
      <c r="N1" t="s">
        <v>423</v>
      </c>
      <c r="O1" t="s">
        <v>424</v>
      </c>
      <c r="P1" t="s">
        <v>425</v>
      </c>
      <c r="Q1" t="s">
        <v>426</v>
      </c>
      <c r="R1" t="s">
        <v>427</v>
      </c>
      <c r="S1" t="s">
        <v>428</v>
      </c>
    </row>
    <row r="2" spans="2:19">
      <c r="B2" s="8" t="s">
        <v>8207</v>
      </c>
      <c r="C2" t="s">
        <v>9846</v>
      </c>
      <c r="D2" t="s">
        <v>9847</v>
      </c>
      <c r="E2" t="s">
        <v>116</v>
      </c>
      <c r="F2" t="s">
        <v>9848</v>
      </c>
      <c r="G2" s="8" t="s">
        <v>9849</v>
      </c>
      <c r="H2" s="8" t="s">
        <v>9814</v>
      </c>
      <c r="I2" s="8">
        <v>25</v>
      </c>
      <c r="J2" s="8">
        <v>25</v>
      </c>
      <c r="K2" s="8" t="s">
        <v>9850</v>
      </c>
      <c r="L2" s="8" t="s">
        <v>9389</v>
      </c>
      <c r="M2" s="8" t="s">
        <v>49</v>
      </c>
      <c r="N2" s="8" t="s">
        <v>49</v>
      </c>
      <c r="O2" s="8" t="s">
        <v>8387</v>
      </c>
      <c r="P2" s="8" t="s">
        <v>9851</v>
      </c>
      <c r="Q2" s="8" t="s">
        <v>9852</v>
      </c>
      <c r="R2" s="8" t="s">
        <v>1512</v>
      </c>
      <c r="S2" s="8" t="s">
        <v>9853</v>
      </c>
    </row>
    <row r="3" spans="2:19">
      <c r="B3" s="8" t="s">
        <v>8207</v>
      </c>
      <c r="C3" t="s">
        <v>9854</v>
      </c>
      <c r="D3" t="s">
        <v>9847</v>
      </c>
      <c r="E3" t="s">
        <v>116</v>
      </c>
      <c r="F3" t="s">
        <v>9855</v>
      </c>
      <c r="G3" s="8" t="s">
        <v>9856</v>
      </c>
      <c r="H3" s="8" t="s">
        <v>9814</v>
      </c>
      <c r="I3" s="8">
        <v>25</v>
      </c>
      <c r="J3" s="8">
        <v>25</v>
      </c>
      <c r="K3" s="8" t="s">
        <v>9857</v>
      </c>
      <c r="L3" s="8" t="s">
        <v>9389</v>
      </c>
      <c r="M3" s="8" t="s">
        <v>49</v>
      </c>
      <c r="N3" s="8" t="s">
        <v>49</v>
      </c>
      <c r="O3" s="8" t="s">
        <v>8387</v>
      </c>
      <c r="P3" s="8" t="s">
        <v>9851</v>
      </c>
      <c r="Q3" s="8" t="s">
        <v>9858</v>
      </c>
      <c r="R3" s="8" t="s">
        <v>1512</v>
      </c>
      <c r="S3" s="8" t="s">
        <v>9859</v>
      </c>
    </row>
    <row r="4" spans="2:19">
      <c r="B4" s="8" t="s">
        <v>8207</v>
      </c>
      <c r="C4" t="s">
        <v>9860</v>
      </c>
      <c r="D4" t="s">
        <v>9847</v>
      </c>
      <c r="E4" t="s">
        <v>116</v>
      </c>
      <c r="F4" t="s">
        <v>9861</v>
      </c>
      <c r="G4" s="8" t="s">
        <v>9862</v>
      </c>
      <c r="H4" s="8" t="s">
        <v>9814</v>
      </c>
      <c r="I4" s="8">
        <v>200</v>
      </c>
      <c r="J4" s="8">
        <v>200</v>
      </c>
      <c r="K4" s="8" t="s">
        <v>9863</v>
      </c>
      <c r="L4" s="8" t="s">
        <v>9864</v>
      </c>
      <c r="M4" s="8" t="s">
        <v>49</v>
      </c>
      <c r="N4" s="8" t="s">
        <v>49</v>
      </c>
      <c r="O4" s="8" t="s">
        <v>8387</v>
      </c>
      <c r="P4" s="8" t="s">
        <v>9851</v>
      </c>
      <c r="Q4" s="8" t="s">
        <v>1765</v>
      </c>
      <c r="R4" s="8" t="s">
        <v>9865</v>
      </c>
      <c r="S4" s="8" t="s">
        <v>9866</v>
      </c>
    </row>
    <row r="5" spans="2:19">
      <c r="B5" s="8" t="s">
        <v>8207</v>
      </c>
      <c r="C5" t="s">
        <v>9867</v>
      </c>
      <c r="D5" t="s">
        <v>9847</v>
      </c>
      <c r="E5" t="s">
        <v>116</v>
      </c>
      <c r="F5" t="s">
        <v>9868</v>
      </c>
      <c r="G5" s="8" t="s">
        <v>9869</v>
      </c>
      <c r="H5" s="8" t="s">
        <v>8425</v>
      </c>
      <c r="I5" s="8">
        <v>19</v>
      </c>
      <c r="J5" s="8" t="s">
        <v>9870</v>
      </c>
      <c r="K5" s="8" t="s">
        <v>9871</v>
      </c>
      <c r="L5" s="8" t="s">
        <v>8425</v>
      </c>
      <c r="M5" s="8" t="s">
        <v>49</v>
      </c>
      <c r="N5" s="8" t="s">
        <v>49</v>
      </c>
      <c r="O5" s="8" t="s">
        <v>8387</v>
      </c>
      <c r="P5" s="8" t="s">
        <v>116</v>
      </c>
      <c r="Q5" s="8" t="s">
        <v>9872</v>
      </c>
      <c r="R5" s="8" t="s">
        <v>9873</v>
      </c>
      <c r="S5" s="8" t="s">
        <v>9874</v>
      </c>
    </row>
    <row r="6" spans="2:19">
      <c r="B6" s="8" t="s">
        <v>8207</v>
      </c>
      <c r="C6" t="s">
        <v>9875</v>
      </c>
      <c r="D6" t="s">
        <v>9847</v>
      </c>
      <c r="E6" t="s">
        <v>116</v>
      </c>
      <c r="F6" t="s">
        <v>9876</v>
      </c>
      <c r="G6" s="8" t="s">
        <v>9869</v>
      </c>
      <c r="H6" s="8" t="s">
        <v>8425</v>
      </c>
      <c r="I6" s="8">
        <v>19</v>
      </c>
      <c r="J6" s="8" t="s">
        <v>9870</v>
      </c>
      <c r="K6" s="8" t="s">
        <v>9871</v>
      </c>
      <c r="L6" s="8" t="s">
        <v>8425</v>
      </c>
      <c r="M6" s="8" t="s">
        <v>49</v>
      </c>
      <c r="N6" s="8" t="s">
        <v>49</v>
      </c>
      <c r="O6" s="8" t="s">
        <v>8387</v>
      </c>
      <c r="P6" s="8" t="s">
        <v>116</v>
      </c>
      <c r="Q6" s="8" t="s">
        <v>9872</v>
      </c>
      <c r="R6" s="8" t="s">
        <v>9873</v>
      </c>
      <c r="S6" s="8" t="s">
        <v>9874</v>
      </c>
    </row>
    <row r="7" spans="2:19">
      <c r="B7" s="8" t="s">
        <v>8207</v>
      </c>
      <c r="C7" t="s">
        <v>159</v>
      </c>
      <c r="D7" t="s">
        <v>9847</v>
      </c>
      <c r="E7" t="s">
        <v>116</v>
      </c>
      <c r="F7" t="s">
        <v>9877</v>
      </c>
      <c r="G7" s="8" t="s">
        <v>431</v>
      </c>
      <c r="H7" s="8" t="s">
        <v>9814</v>
      </c>
      <c r="I7" s="8">
        <v>20</v>
      </c>
      <c r="J7" s="8">
        <v>100</v>
      </c>
      <c r="K7" s="8" t="s">
        <v>9878</v>
      </c>
      <c r="L7" s="8" t="s">
        <v>8397</v>
      </c>
      <c r="M7" s="8" t="s">
        <v>9879</v>
      </c>
      <c r="N7" s="8" t="s">
        <v>9879</v>
      </c>
      <c r="O7" s="8" t="s">
        <v>8387</v>
      </c>
      <c r="P7" s="8" t="s">
        <v>116</v>
      </c>
      <c r="Q7" s="8" t="s">
        <v>9872</v>
      </c>
      <c r="R7" s="8" t="s">
        <v>2307</v>
      </c>
      <c r="S7" s="8" t="s">
        <v>9880</v>
      </c>
    </row>
    <row r="8" spans="2:19">
      <c r="B8" s="8" t="s">
        <v>8207</v>
      </c>
      <c r="C8" t="s">
        <v>9881</v>
      </c>
      <c r="D8" t="s">
        <v>9881</v>
      </c>
      <c r="E8" t="s">
        <v>116</v>
      </c>
      <c r="F8" t="s">
        <v>9882</v>
      </c>
      <c r="G8" s="8" t="s">
        <v>9883</v>
      </c>
      <c r="H8" s="8" t="s">
        <v>9884</v>
      </c>
      <c r="I8" s="8" t="s">
        <v>49</v>
      </c>
      <c r="J8" s="8" t="s">
        <v>49</v>
      </c>
      <c r="K8" s="8" t="s">
        <v>49</v>
      </c>
      <c r="L8" s="8" t="s">
        <v>49</v>
      </c>
      <c r="M8" s="8" t="s">
        <v>49</v>
      </c>
      <c r="N8" s="8" t="s">
        <v>49</v>
      </c>
      <c r="O8" s="8" t="s">
        <v>8387</v>
      </c>
      <c r="P8" s="8" t="s">
        <v>9885</v>
      </c>
      <c r="Q8" s="8" t="s">
        <v>9886</v>
      </c>
      <c r="S8" s="8" t="s">
        <v>9887</v>
      </c>
    </row>
    <row r="9" spans="2:19">
      <c r="B9" s="8" t="s">
        <v>8207</v>
      </c>
      <c r="C9" t="s">
        <v>9888</v>
      </c>
      <c r="D9" t="s">
        <v>9888</v>
      </c>
      <c r="E9" t="s">
        <v>116</v>
      </c>
      <c r="F9" t="s">
        <v>9889</v>
      </c>
      <c r="G9" s="8" t="s">
        <v>9883</v>
      </c>
      <c r="H9" s="8" t="s">
        <v>9884</v>
      </c>
      <c r="I9" s="8" t="s">
        <v>49</v>
      </c>
      <c r="J9" s="8" t="s">
        <v>49</v>
      </c>
      <c r="K9" s="8" t="s">
        <v>49</v>
      </c>
      <c r="L9" s="8" t="s">
        <v>49</v>
      </c>
      <c r="M9" s="8" t="s">
        <v>49</v>
      </c>
      <c r="N9" s="8" t="s">
        <v>49</v>
      </c>
      <c r="O9" s="8" t="s">
        <v>8387</v>
      </c>
      <c r="P9" s="8" t="s">
        <v>9885</v>
      </c>
      <c r="Q9" s="8" t="s">
        <v>9890</v>
      </c>
      <c r="S9" s="8" t="s">
        <v>9891</v>
      </c>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A8DA5-2FEE-4694-960C-D2838925DBE9}">
  <sheetPr>
    <tabColor theme="5" tint="0.59999389629810485"/>
  </sheetPr>
  <dimension ref="B1:S3"/>
  <sheetViews>
    <sheetView workbookViewId="0">
      <selection activeCell="A19" sqref="A19"/>
    </sheetView>
  </sheetViews>
  <sheetFormatPr defaultRowHeight="15"/>
  <cols>
    <col min="2" max="2" width="19.5703125" style="8" bestFit="1" customWidth="1"/>
    <col min="3" max="3" width="14" style="8" bestFit="1" customWidth="1"/>
    <col min="4" max="5" width="15.85546875" style="8" bestFit="1" customWidth="1"/>
  </cols>
  <sheetData>
    <row r="1" spans="2:19" ht="15.75" thickBot="1">
      <c r="B1" t="s">
        <v>2157</v>
      </c>
      <c r="C1" t="s">
        <v>336</v>
      </c>
      <c r="D1" t="s">
        <v>337</v>
      </c>
      <c r="E1" t="s">
        <v>338</v>
      </c>
      <c r="F1" t="s">
        <v>339</v>
      </c>
      <c r="G1" t="s">
        <v>416</v>
      </c>
      <c r="H1" t="s">
        <v>417</v>
      </c>
      <c r="I1" t="s">
        <v>418</v>
      </c>
      <c r="J1" t="s">
        <v>419</v>
      </c>
      <c r="K1" t="s">
        <v>420</v>
      </c>
      <c r="L1" t="s">
        <v>421</v>
      </c>
      <c r="M1" t="s">
        <v>422</v>
      </c>
      <c r="N1" t="s">
        <v>423</v>
      </c>
      <c r="O1" t="s">
        <v>424</v>
      </c>
      <c r="P1" t="s">
        <v>425</v>
      </c>
      <c r="Q1" t="s">
        <v>426</v>
      </c>
      <c r="R1" t="s">
        <v>427</v>
      </c>
      <c r="S1" t="s">
        <v>428</v>
      </c>
    </row>
    <row r="2" spans="2:19">
      <c r="B2" s="8" t="s">
        <v>8207</v>
      </c>
      <c r="C2" t="s">
        <v>9892</v>
      </c>
      <c r="D2" t="s">
        <v>120</v>
      </c>
      <c r="E2" t="s">
        <v>120</v>
      </c>
      <c r="F2" t="s">
        <v>9893</v>
      </c>
    </row>
    <row r="3" spans="2:19">
      <c r="B3" s="8" t="s">
        <v>8207</v>
      </c>
      <c r="C3" t="s">
        <v>9894</v>
      </c>
      <c r="D3" t="s">
        <v>120</v>
      </c>
      <c r="E3" t="s">
        <v>120</v>
      </c>
      <c r="F3" t="s">
        <v>9895</v>
      </c>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B6CB2-85E0-4895-930B-737FEAA6E621}">
  <sheetPr>
    <tabColor rgb="FFFFFF00"/>
  </sheetPr>
  <dimension ref="B1:W107"/>
  <sheetViews>
    <sheetView topLeftCell="L1" workbookViewId="0">
      <selection activeCell="I2" sqref="I2:I25"/>
    </sheetView>
  </sheetViews>
  <sheetFormatPr defaultRowHeight="15" customHeight="1"/>
  <cols>
    <col min="3" max="3" width="21.5703125" style="8" customWidth="1"/>
    <col min="4" max="4" width="27.5703125" style="8" bestFit="1" customWidth="1"/>
    <col min="5" max="5" width="29.85546875" style="8" bestFit="1" customWidth="1"/>
    <col min="6" max="6" width="24.140625" style="8" bestFit="1" customWidth="1"/>
    <col min="7" max="7" width="89" style="8" customWidth="1"/>
    <col min="8" max="8" width="33" style="374" bestFit="1" customWidth="1"/>
    <col min="9" max="9" width="15.5703125" style="374" bestFit="1" customWidth="1"/>
    <col min="10" max="10" width="19.85546875" bestFit="1" customWidth="1"/>
    <col min="11" max="11" width="19.5703125" bestFit="1" customWidth="1"/>
    <col min="12" max="12" width="15.28515625" bestFit="1" customWidth="1"/>
    <col min="13" max="13" width="27.85546875" bestFit="1" customWidth="1"/>
    <col min="14" max="14" width="15.5703125" bestFit="1" customWidth="1"/>
    <col min="15" max="15" width="15.42578125" bestFit="1" customWidth="1"/>
    <col min="18" max="18" width="18.85546875" style="8" customWidth="1"/>
    <col min="19" max="19" width="67.42578125" style="8" bestFit="1" customWidth="1"/>
    <col min="20" max="20" width="22.5703125" customWidth="1"/>
    <col min="21" max="21" width="17.42578125" style="8" bestFit="1" customWidth="1"/>
    <col min="22" max="22" width="19.5703125" style="8" customWidth="1"/>
  </cols>
  <sheetData>
    <row r="1" spans="2:23" ht="15.75" thickBot="1">
      <c r="C1" s="358" t="s">
        <v>2157</v>
      </c>
      <c r="D1" s="358" t="s">
        <v>336</v>
      </c>
      <c r="E1" s="358" t="s">
        <v>337</v>
      </c>
      <c r="F1" s="358" t="s">
        <v>338</v>
      </c>
      <c r="G1" s="358" t="s">
        <v>339</v>
      </c>
      <c r="H1" s="403" t="s">
        <v>2158</v>
      </c>
      <c r="I1" s="403" t="s">
        <v>2159</v>
      </c>
      <c r="J1" s="403" t="s">
        <v>416</v>
      </c>
      <c r="K1" s="403" t="s">
        <v>417</v>
      </c>
      <c r="L1" s="403" t="s">
        <v>418</v>
      </c>
      <c r="M1" s="403" t="s">
        <v>419</v>
      </c>
      <c r="N1" s="403" t="s">
        <v>420</v>
      </c>
      <c r="O1" s="403" t="s">
        <v>421</v>
      </c>
      <c r="P1" s="403" t="s">
        <v>422</v>
      </c>
      <c r="Q1" s="403" t="s">
        <v>423</v>
      </c>
      <c r="R1" s="403" t="s">
        <v>424</v>
      </c>
      <c r="S1" s="403" t="s">
        <v>425</v>
      </c>
      <c r="T1" s="403" t="s">
        <v>426</v>
      </c>
      <c r="U1" s="403" t="s">
        <v>427</v>
      </c>
      <c r="V1" s="403" t="s">
        <v>428</v>
      </c>
    </row>
    <row r="2" spans="2:23">
      <c r="B2" s="572" t="s">
        <v>9896</v>
      </c>
      <c r="C2" s="8" t="s">
        <v>8207</v>
      </c>
      <c r="D2" s="5" t="s">
        <v>9897</v>
      </c>
      <c r="E2" s="5" t="s">
        <v>8209</v>
      </c>
      <c r="F2" s="5" t="s">
        <v>9898</v>
      </c>
      <c r="G2" s="5" t="s">
        <v>9899</v>
      </c>
      <c r="H2" s="8" t="s">
        <v>9900</v>
      </c>
      <c r="I2" s="8" t="s">
        <v>7986</v>
      </c>
      <c r="J2" s="5"/>
      <c r="K2" s="8" t="s">
        <v>2213</v>
      </c>
      <c r="L2" s="5"/>
      <c r="M2" s="8" t="s">
        <v>9901</v>
      </c>
      <c r="N2" s="5"/>
      <c r="O2" s="8" t="s">
        <v>431</v>
      </c>
      <c r="P2" s="5"/>
      <c r="Q2" s="5"/>
      <c r="R2" s="8" t="s">
        <v>855</v>
      </c>
      <c r="S2" s="8" t="s">
        <v>9902</v>
      </c>
      <c r="T2" s="8" t="s">
        <v>1269</v>
      </c>
      <c r="U2" s="8" t="s">
        <v>9903</v>
      </c>
      <c r="V2" s="8" t="s">
        <v>9904</v>
      </c>
    </row>
    <row r="3" spans="2:23">
      <c r="B3" s="572"/>
      <c r="C3" s="8" t="s">
        <v>8207</v>
      </c>
      <c r="D3" s="5" t="s">
        <v>8514</v>
      </c>
      <c r="E3" s="5" t="s">
        <v>8209</v>
      </c>
      <c r="F3" s="5" t="s">
        <v>9898</v>
      </c>
      <c r="G3" s="5" t="s">
        <v>9905</v>
      </c>
      <c r="H3" s="8" t="s">
        <v>9900</v>
      </c>
      <c r="I3" s="8" t="s">
        <v>7986</v>
      </c>
      <c r="J3" s="5"/>
      <c r="K3" s="8" t="s">
        <v>2213</v>
      </c>
      <c r="L3" s="5"/>
      <c r="M3" s="8" t="s">
        <v>9906</v>
      </c>
      <c r="N3" s="5"/>
      <c r="O3" s="8" t="s">
        <v>431</v>
      </c>
      <c r="P3" s="5"/>
      <c r="Q3" s="5"/>
      <c r="R3" s="8" t="s">
        <v>855</v>
      </c>
      <c r="S3" s="8" t="s">
        <v>9902</v>
      </c>
      <c r="T3" s="8" t="s">
        <v>1269</v>
      </c>
      <c r="U3" s="8" t="s">
        <v>9907</v>
      </c>
      <c r="V3" s="8" t="s">
        <v>9908</v>
      </c>
    </row>
    <row r="4" spans="2:23">
      <c r="B4" s="572"/>
      <c r="C4" s="8" t="s">
        <v>8207</v>
      </c>
      <c r="D4" s="5" t="s">
        <v>5424</v>
      </c>
      <c r="E4" s="5" t="s">
        <v>8209</v>
      </c>
      <c r="F4" s="5" t="s">
        <v>9898</v>
      </c>
      <c r="G4" s="5" t="s">
        <v>9909</v>
      </c>
      <c r="H4" s="8" t="s">
        <v>9900</v>
      </c>
      <c r="I4" s="8" t="s">
        <v>7986</v>
      </c>
      <c r="J4" s="5"/>
      <c r="K4" s="8" t="s">
        <v>2213</v>
      </c>
      <c r="L4" s="5"/>
      <c r="M4" s="8" t="s">
        <v>9910</v>
      </c>
      <c r="N4" s="5"/>
      <c r="O4" s="8" t="s">
        <v>431</v>
      </c>
      <c r="P4" s="5"/>
      <c r="Q4" s="8" t="s">
        <v>9911</v>
      </c>
      <c r="R4" s="8" t="s">
        <v>855</v>
      </c>
      <c r="S4" s="8" t="s">
        <v>9902</v>
      </c>
      <c r="T4" s="8" t="s">
        <v>1269</v>
      </c>
      <c r="U4" s="8" t="s">
        <v>9907</v>
      </c>
      <c r="V4" s="8" t="s">
        <v>9912</v>
      </c>
    </row>
    <row r="5" spans="2:23">
      <c r="B5" s="572"/>
      <c r="C5" s="8" t="s">
        <v>8207</v>
      </c>
      <c r="D5" s="5" t="s">
        <v>9913</v>
      </c>
      <c r="E5" s="5" t="s">
        <v>8209</v>
      </c>
      <c r="F5" s="5" t="s">
        <v>9898</v>
      </c>
      <c r="G5" s="5" t="s">
        <v>9914</v>
      </c>
      <c r="H5" s="8" t="s">
        <v>9900</v>
      </c>
      <c r="I5" s="8" t="s">
        <v>7986</v>
      </c>
      <c r="J5" s="5"/>
      <c r="K5" s="8" t="s">
        <v>2213</v>
      </c>
      <c r="L5" s="5"/>
      <c r="M5" s="8" t="s">
        <v>9906</v>
      </c>
      <c r="N5" s="5"/>
      <c r="O5" s="8" t="s">
        <v>431</v>
      </c>
      <c r="P5" s="5"/>
      <c r="Q5" s="8" t="s">
        <v>9915</v>
      </c>
      <c r="R5" s="8" t="s">
        <v>855</v>
      </c>
      <c r="S5" s="8" t="s">
        <v>9902</v>
      </c>
      <c r="T5" s="8" t="s">
        <v>1269</v>
      </c>
      <c r="U5" s="8" t="s">
        <v>9907</v>
      </c>
      <c r="V5" s="8" t="s">
        <v>9916</v>
      </c>
      <c r="W5" s="8" t="s">
        <v>9915</v>
      </c>
    </row>
    <row r="6" spans="2:23">
      <c r="B6" s="572"/>
      <c r="C6" s="8" t="s">
        <v>8207</v>
      </c>
      <c r="D6" s="5" t="s">
        <v>9917</v>
      </c>
      <c r="E6" s="5" t="s">
        <v>8209</v>
      </c>
      <c r="F6" s="5" t="s">
        <v>9898</v>
      </c>
      <c r="G6" s="5" t="s">
        <v>9918</v>
      </c>
      <c r="H6" s="8" t="s">
        <v>9900</v>
      </c>
      <c r="I6" s="8" t="s">
        <v>9919</v>
      </c>
      <c r="J6" s="5"/>
      <c r="K6" s="5"/>
      <c r="L6" s="5"/>
      <c r="M6" s="5"/>
      <c r="N6" s="5"/>
      <c r="O6" s="5"/>
      <c r="P6" s="5"/>
      <c r="Q6" s="5"/>
      <c r="T6" s="5"/>
    </row>
    <row r="7" spans="2:23">
      <c r="B7" s="572"/>
      <c r="C7" s="8" t="s">
        <v>8207</v>
      </c>
      <c r="D7" s="5" t="s">
        <v>9920</v>
      </c>
      <c r="E7" s="5" t="s">
        <v>8209</v>
      </c>
      <c r="F7" s="5" t="s">
        <v>9898</v>
      </c>
      <c r="G7" s="5" t="s">
        <v>9921</v>
      </c>
      <c r="H7" s="8" t="s">
        <v>9900</v>
      </c>
      <c r="I7" s="8" t="s">
        <v>7986</v>
      </c>
      <c r="J7" s="5"/>
      <c r="K7" s="8" t="s">
        <v>2213</v>
      </c>
      <c r="L7" s="5"/>
      <c r="M7" s="8" t="s">
        <v>4252</v>
      </c>
      <c r="N7" s="5"/>
      <c r="O7" s="8" t="s">
        <v>431</v>
      </c>
      <c r="P7" s="5"/>
      <c r="Q7" s="8" t="s">
        <v>9922</v>
      </c>
      <c r="R7" s="8" t="s">
        <v>855</v>
      </c>
      <c r="S7" s="8" t="s">
        <v>9902</v>
      </c>
      <c r="T7" s="8" t="s">
        <v>1269</v>
      </c>
      <c r="U7" s="8" t="s">
        <v>9923</v>
      </c>
      <c r="V7" s="8" t="s">
        <v>9924</v>
      </c>
    </row>
    <row r="8" spans="2:23">
      <c r="B8" s="572"/>
      <c r="C8" s="8" t="s">
        <v>8207</v>
      </c>
      <c r="D8" s="5" t="s">
        <v>9925</v>
      </c>
      <c r="E8" s="5" t="s">
        <v>8209</v>
      </c>
      <c r="F8" s="5" t="s">
        <v>9898</v>
      </c>
      <c r="G8" s="5" t="s">
        <v>9926</v>
      </c>
      <c r="H8" s="8" t="s">
        <v>9900</v>
      </c>
      <c r="I8" s="8" t="s">
        <v>7986</v>
      </c>
      <c r="J8" s="5"/>
      <c r="K8" s="8" t="s">
        <v>2213</v>
      </c>
      <c r="L8" s="5"/>
      <c r="M8" s="8" t="s">
        <v>9927</v>
      </c>
      <c r="N8" s="5"/>
      <c r="O8" s="8" t="s">
        <v>431</v>
      </c>
      <c r="P8" s="5"/>
      <c r="Q8" s="5"/>
      <c r="R8" s="8" t="s">
        <v>855</v>
      </c>
      <c r="S8" s="8" t="s">
        <v>9902</v>
      </c>
      <c r="T8" s="8" t="s">
        <v>1269</v>
      </c>
      <c r="U8" s="8" t="s">
        <v>9907</v>
      </c>
      <c r="V8" s="8" t="s">
        <v>9928</v>
      </c>
    </row>
    <row r="9" spans="2:23">
      <c r="B9" s="572"/>
      <c r="C9" s="8" t="s">
        <v>8207</v>
      </c>
      <c r="D9" s="5" t="s">
        <v>9929</v>
      </c>
      <c r="E9" s="5" t="s">
        <v>8231</v>
      </c>
      <c r="F9" s="5" t="s">
        <v>9898</v>
      </c>
      <c r="G9" s="5" t="s">
        <v>9930</v>
      </c>
      <c r="H9" s="8" t="s">
        <v>9900</v>
      </c>
      <c r="I9" s="8" t="s">
        <v>7986</v>
      </c>
      <c r="J9" s="5"/>
      <c r="K9" s="8" t="s">
        <v>2213</v>
      </c>
      <c r="L9" s="5"/>
      <c r="M9" s="8" t="s">
        <v>4252</v>
      </c>
      <c r="N9" s="5"/>
      <c r="O9" s="8" t="s">
        <v>431</v>
      </c>
      <c r="P9" s="5"/>
      <c r="Q9" s="8" t="s">
        <v>9931</v>
      </c>
      <c r="R9" s="8" t="s">
        <v>855</v>
      </c>
      <c r="S9" s="8" t="s">
        <v>9902</v>
      </c>
      <c r="T9" s="8" t="s">
        <v>1269</v>
      </c>
      <c r="U9" s="8" t="s">
        <v>9923</v>
      </c>
      <c r="V9" s="8" t="s">
        <v>9932</v>
      </c>
    </row>
    <row r="10" spans="2:23">
      <c r="B10" s="572" t="s">
        <v>642</v>
      </c>
      <c r="C10" s="8" t="s">
        <v>8207</v>
      </c>
      <c r="D10" s="5" t="s">
        <v>9897</v>
      </c>
      <c r="E10" s="5" t="s">
        <v>8209</v>
      </c>
      <c r="F10" s="5" t="s">
        <v>9898</v>
      </c>
      <c r="G10" s="5" t="s">
        <v>9899</v>
      </c>
      <c r="H10" s="8" t="s">
        <v>9900</v>
      </c>
      <c r="I10" s="8" t="s">
        <v>7986</v>
      </c>
      <c r="J10" s="5"/>
      <c r="K10" s="8" t="s">
        <v>2213</v>
      </c>
      <c r="L10" s="5"/>
      <c r="M10" s="8" t="s">
        <v>9901</v>
      </c>
      <c r="N10" s="5"/>
      <c r="O10" s="8" t="s">
        <v>431</v>
      </c>
      <c r="P10" s="5"/>
      <c r="Q10" s="5"/>
      <c r="R10" s="8" t="s">
        <v>855</v>
      </c>
      <c r="S10" s="8" t="s">
        <v>9902</v>
      </c>
      <c r="T10" s="8" t="s">
        <v>1269</v>
      </c>
      <c r="U10" s="8" t="s">
        <v>9933</v>
      </c>
      <c r="V10" s="8" t="s">
        <v>9904</v>
      </c>
    </row>
    <row r="11" spans="2:23">
      <c r="B11" s="572"/>
      <c r="C11" s="8" t="s">
        <v>8207</v>
      </c>
      <c r="D11" s="5" t="s">
        <v>8514</v>
      </c>
      <c r="E11" s="5" t="s">
        <v>8209</v>
      </c>
      <c r="F11" s="5" t="s">
        <v>9898</v>
      </c>
      <c r="G11" s="5" t="s">
        <v>9905</v>
      </c>
      <c r="H11" s="8" t="s">
        <v>9900</v>
      </c>
      <c r="I11" s="8" t="s">
        <v>7986</v>
      </c>
      <c r="J11" s="5"/>
      <c r="K11" s="8" t="s">
        <v>2213</v>
      </c>
      <c r="L11" s="5"/>
      <c r="M11" s="8" t="s">
        <v>9906</v>
      </c>
      <c r="N11" s="5"/>
      <c r="O11" s="8" t="s">
        <v>431</v>
      </c>
      <c r="P11" s="5"/>
      <c r="Q11" s="5"/>
      <c r="R11" s="8" t="s">
        <v>855</v>
      </c>
      <c r="S11" s="8" t="s">
        <v>9902</v>
      </c>
      <c r="T11" s="8" t="s">
        <v>1269</v>
      </c>
      <c r="U11" s="8" t="s">
        <v>9907</v>
      </c>
      <c r="V11" s="8" t="s">
        <v>9908</v>
      </c>
    </row>
    <row r="12" spans="2:23">
      <c r="B12" s="572"/>
      <c r="C12" s="8" t="s">
        <v>8207</v>
      </c>
      <c r="D12" s="5" t="s">
        <v>5424</v>
      </c>
      <c r="E12" s="5" t="s">
        <v>8209</v>
      </c>
      <c r="F12" s="5" t="s">
        <v>9898</v>
      </c>
      <c r="G12" s="5" t="s">
        <v>9909</v>
      </c>
      <c r="H12" s="8" t="s">
        <v>9900</v>
      </c>
      <c r="I12" s="8" t="s">
        <v>7986</v>
      </c>
      <c r="J12" s="5"/>
      <c r="K12" s="8" t="s">
        <v>2213</v>
      </c>
      <c r="L12" s="5"/>
      <c r="M12" s="8" t="s">
        <v>9906</v>
      </c>
      <c r="N12" s="5"/>
      <c r="O12" s="8" t="s">
        <v>431</v>
      </c>
      <c r="P12" s="5"/>
      <c r="Q12" s="8" t="s">
        <v>1377</v>
      </c>
      <c r="R12" s="8" t="s">
        <v>855</v>
      </c>
      <c r="S12" s="8" t="s">
        <v>9902</v>
      </c>
      <c r="T12" s="8" t="s">
        <v>1269</v>
      </c>
      <c r="U12" s="8" t="s">
        <v>9907</v>
      </c>
      <c r="V12" s="8" t="s">
        <v>9912</v>
      </c>
    </row>
    <row r="13" spans="2:23">
      <c r="B13" s="572"/>
      <c r="C13" s="8" t="s">
        <v>8207</v>
      </c>
      <c r="D13" s="5" t="s">
        <v>9913</v>
      </c>
      <c r="E13" s="5" t="s">
        <v>8209</v>
      </c>
      <c r="F13" s="5" t="s">
        <v>9898</v>
      </c>
      <c r="G13" s="5" t="s">
        <v>9914</v>
      </c>
      <c r="H13" s="8" t="s">
        <v>9900</v>
      </c>
      <c r="I13" s="8" t="s">
        <v>7986</v>
      </c>
      <c r="J13" s="5"/>
      <c r="K13" s="8" t="s">
        <v>2213</v>
      </c>
      <c r="L13" s="5"/>
      <c r="M13" s="8" t="s">
        <v>9906</v>
      </c>
      <c r="N13" s="5"/>
      <c r="O13" s="8" t="s">
        <v>431</v>
      </c>
      <c r="P13" s="5"/>
      <c r="Q13" s="8" t="s">
        <v>9934</v>
      </c>
      <c r="R13" s="8" t="s">
        <v>855</v>
      </c>
      <c r="S13" s="8" t="s">
        <v>9902</v>
      </c>
      <c r="T13" s="8" t="s">
        <v>1269</v>
      </c>
      <c r="U13" s="8" t="s">
        <v>9907</v>
      </c>
      <c r="V13" s="8" t="s">
        <v>9916</v>
      </c>
      <c r="W13" s="8" t="s">
        <v>9935</v>
      </c>
    </row>
    <row r="14" spans="2:23">
      <c r="B14" s="572"/>
      <c r="C14" s="8" t="s">
        <v>8207</v>
      </c>
      <c r="D14" s="5" t="s">
        <v>9917</v>
      </c>
      <c r="E14" s="5" t="s">
        <v>8209</v>
      </c>
      <c r="F14" s="5" t="s">
        <v>9898</v>
      </c>
      <c r="G14" s="5" t="s">
        <v>9918</v>
      </c>
      <c r="H14" s="8" t="s">
        <v>9900</v>
      </c>
      <c r="I14" s="8" t="s">
        <v>9919</v>
      </c>
      <c r="J14" s="5"/>
      <c r="K14" s="5"/>
      <c r="L14" s="5"/>
      <c r="M14" s="5"/>
      <c r="N14" s="5"/>
      <c r="O14" s="5"/>
      <c r="P14" s="5"/>
      <c r="Q14" s="5"/>
      <c r="T14" s="5"/>
    </row>
    <row r="15" spans="2:23">
      <c r="B15" s="572"/>
      <c r="C15" s="8" t="s">
        <v>8207</v>
      </c>
      <c r="D15" s="5" t="s">
        <v>9920</v>
      </c>
      <c r="E15" s="5" t="s">
        <v>8209</v>
      </c>
      <c r="F15" s="5" t="s">
        <v>9898</v>
      </c>
      <c r="G15" s="5" t="s">
        <v>9921</v>
      </c>
      <c r="H15" s="8" t="s">
        <v>9900</v>
      </c>
      <c r="I15" s="8" t="s">
        <v>7986</v>
      </c>
      <c r="J15" s="5"/>
      <c r="K15" s="8" t="s">
        <v>2213</v>
      </c>
      <c r="L15" s="5"/>
      <c r="M15" s="8" t="s">
        <v>4252</v>
      </c>
      <c r="N15" s="5"/>
      <c r="O15" s="8" t="s">
        <v>431</v>
      </c>
      <c r="P15" s="5"/>
      <c r="Q15" s="5"/>
      <c r="R15" s="8" t="s">
        <v>855</v>
      </c>
      <c r="S15" s="8" t="s">
        <v>9902</v>
      </c>
      <c r="T15" s="8" t="s">
        <v>1269</v>
      </c>
      <c r="U15" s="8" t="s">
        <v>9936</v>
      </c>
      <c r="V15" s="8" t="s">
        <v>9924</v>
      </c>
    </row>
    <row r="16" spans="2:23">
      <c r="B16" s="572"/>
      <c r="C16" s="8" t="s">
        <v>8207</v>
      </c>
      <c r="D16" s="5" t="s">
        <v>9925</v>
      </c>
      <c r="E16" s="5" t="s">
        <v>8209</v>
      </c>
      <c r="F16" s="5" t="s">
        <v>9898</v>
      </c>
      <c r="G16" s="5" t="s">
        <v>9926</v>
      </c>
      <c r="H16" s="8" t="s">
        <v>9900</v>
      </c>
      <c r="I16" s="8" t="s">
        <v>7986</v>
      </c>
      <c r="J16" s="5"/>
      <c r="K16" s="8" t="s">
        <v>2213</v>
      </c>
      <c r="L16" s="5"/>
      <c r="M16" s="8" t="s">
        <v>9927</v>
      </c>
      <c r="N16" s="5"/>
      <c r="O16" s="8" t="s">
        <v>431</v>
      </c>
      <c r="P16" s="5"/>
      <c r="Q16" s="5"/>
      <c r="R16" s="8" t="s">
        <v>855</v>
      </c>
      <c r="S16" s="8" t="s">
        <v>9902</v>
      </c>
      <c r="T16" s="8" t="s">
        <v>1269</v>
      </c>
      <c r="U16" s="8" t="s">
        <v>9907</v>
      </c>
      <c r="V16" s="8" t="s">
        <v>9928</v>
      </c>
    </row>
    <row r="17" spans="2:23">
      <c r="B17" s="572"/>
      <c r="C17" s="8" t="s">
        <v>8207</v>
      </c>
      <c r="D17" s="5" t="s">
        <v>9929</v>
      </c>
      <c r="E17" s="5" t="s">
        <v>8231</v>
      </c>
      <c r="F17" s="5" t="s">
        <v>9898</v>
      </c>
      <c r="G17" s="5" t="s">
        <v>9930</v>
      </c>
      <c r="H17" s="8" t="s">
        <v>9900</v>
      </c>
      <c r="I17" s="8" t="s">
        <v>7986</v>
      </c>
      <c r="J17" s="5"/>
      <c r="K17" s="8" t="s">
        <v>2213</v>
      </c>
      <c r="L17" s="5"/>
      <c r="M17" s="8" t="s">
        <v>9937</v>
      </c>
      <c r="N17" s="5"/>
      <c r="O17" s="8" t="s">
        <v>431</v>
      </c>
      <c r="P17" s="5"/>
      <c r="Q17" s="5"/>
      <c r="R17" s="8" t="s">
        <v>855</v>
      </c>
      <c r="S17" s="8" t="s">
        <v>9902</v>
      </c>
      <c r="T17" s="8" t="s">
        <v>1269</v>
      </c>
      <c r="U17" s="8" t="s">
        <v>9936</v>
      </c>
      <c r="V17" s="8" t="s">
        <v>9938</v>
      </c>
    </row>
    <row r="18" spans="2:23">
      <c r="B18" s="572" t="s">
        <v>9939</v>
      </c>
      <c r="C18" s="8" t="s">
        <v>8207</v>
      </c>
      <c r="D18" s="5" t="s">
        <v>9897</v>
      </c>
      <c r="E18" s="5" t="s">
        <v>8209</v>
      </c>
      <c r="F18" s="5" t="s">
        <v>9898</v>
      </c>
      <c r="G18" s="5" t="s">
        <v>9899</v>
      </c>
      <c r="H18" s="8" t="s">
        <v>9900</v>
      </c>
      <c r="I18" s="8" t="s">
        <v>7986</v>
      </c>
      <c r="J18" s="8" t="s">
        <v>435</v>
      </c>
      <c r="K18" s="8" t="s">
        <v>435</v>
      </c>
      <c r="L18" s="8">
        <v>10</v>
      </c>
      <c r="M18" s="8" t="s">
        <v>9901</v>
      </c>
      <c r="N18" s="8" t="s">
        <v>431</v>
      </c>
      <c r="O18" s="8" t="s">
        <v>431</v>
      </c>
      <c r="P18" s="5"/>
      <c r="Q18" s="5"/>
      <c r="R18" s="8" t="s">
        <v>9940</v>
      </c>
      <c r="S18" s="8" t="s">
        <v>9902</v>
      </c>
      <c r="T18" s="8" t="s">
        <v>1269</v>
      </c>
      <c r="U18" s="8" t="s">
        <v>9941</v>
      </c>
      <c r="V18" s="8" t="s">
        <v>9904</v>
      </c>
    </row>
    <row r="19" spans="2:23">
      <c r="B19" s="572"/>
      <c r="C19" s="8" t="s">
        <v>8207</v>
      </c>
      <c r="D19" s="5" t="s">
        <v>8514</v>
      </c>
      <c r="E19" s="5" t="s">
        <v>8209</v>
      </c>
      <c r="F19" s="5" t="s">
        <v>9898</v>
      </c>
      <c r="G19" s="5" t="s">
        <v>9905</v>
      </c>
      <c r="H19" s="8" t="s">
        <v>9900</v>
      </c>
      <c r="I19" s="8" t="s">
        <v>7986</v>
      </c>
      <c r="J19" s="8" t="s">
        <v>435</v>
      </c>
      <c r="K19" s="8" t="s">
        <v>435</v>
      </c>
      <c r="L19" s="8">
        <v>10</v>
      </c>
      <c r="M19" s="8" t="s">
        <v>9906</v>
      </c>
      <c r="N19" s="8" t="s">
        <v>431</v>
      </c>
      <c r="O19" s="8" t="s">
        <v>431</v>
      </c>
      <c r="P19" s="5"/>
      <c r="Q19" s="5"/>
      <c r="S19" s="8" t="s">
        <v>9902</v>
      </c>
      <c r="T19" s="8" t="s">
        <v>1269</v>
      </c>
      <c r="U19" s="8" t="s">
        <v>9907</v>
      </c>
      <c r="V19" s="8" t="s">
        <v>9908</v>
      </c>
    </row>
    <row r="20" spans="2:23">
      <c r="B20" s="572"/>
      <c r="C20" s="8" t="s">
        <v>8207</v>
      </c>
      <c r="D20" s="5" t="s">
        <v>5424</v>
      </c>
      <c r="E20" s="5" t="s">
        <v>8209</v>
      </c>
      <c r="F20" s="5" t="s">
        <v>9898</v>
      </c>
      <c r="G20" s="5" t="s">
        <v>9909</v>
      </c>
      <c r="H20" s="8" t="s">
        <v>9900</v>
      </c>
      <c r="I20" s="8" t="s">
        <v>7986</v>
      </c>
      <c r="J20" s="8" t="s">
        <v>435</v>
      </c>
      <c r="K20" s="8" t="s">
        <v>435</v>
      </c>
      <c r="L20" s="5"/>
      <c r="M20" s="8" t="s">
        <v>9906</v>
      </c>
      <c r="N20" s="8" t="s">
        <v>431</v>
      </c>
      <c r="O20" s="8" t="s">
        <v>431</v>
      </c>
      <c r="P20" s="8" t="s">
        <v>600</v>
      </c>
      <c r="Q20" s="8" t="s">
        <v>600</v>
      </c>
      <c r="S20" s="8" t="s">
        <v>9902</v>
      </c>
      <c r="T20" s="8" t="s">
        <v>1269</v>
      </c>
      <c r="U20" s="8" t="s">
        <v>9907</v>
      </c>
      <c r="V20" s="8" t="s">
        <v>9912</v>
      </c>
    </row>
    <row r="21" spans="2:23">
      <c r="B21" s="572"/>
      <c r="C21" s="8" t="s">
        <v>8207</v>
      </c>
      <c r="D21" s="5" t="s">
        <v>9913</v>
      </c>
      <c r="E21" s="5" t="s">
        <v>8209</v>
      </c>
      <c r="F21" s="5" t="s">
        <v>9898</v>
      </c>
      <c r="G21" s="5" t="s">
        <v>9914</v>
      </c>
      <c r="H21" s="8" t="s">
        <v>9900</v>
      </c>
      <c r="I21" s="8" t="s">
        <v>7986</v>
      </c>
      <c r="J21" s="8" t="s">
        <v>429</v>
      </c>
      <c r="K21" s="8" t="s">
        <v>429</v>
      </c>
      <c r="L21" s="5"/>
      <c r="M21" s="8" t="s">
        <v>9906</v>
      </c>
      <c r="N21" s="5"/>
      <c r="O21" s="5"/>
      <c r="P21" s="8" t="s">
        <v>9942</v>
      </c>
      <c r="Q21" s="8" t="s">
        <v>9942</v>
      </c>
      <c r="S21" s="8" t="s">
        <v>9902</v>
      </c>
      <c r="T21" s="8" t="s">
        <v>1269</v>
      </c>
      <c r="U21" s="8" t="s">
        <v>9943</v>
      </c>
      <c r="V21" s="8" t="s">
        <v>9916</v>
      </c>
      <c r="W21" s="8" t="s">
        <v>9944</v>
      </c>
    </row>
    <row r="22" spans="2:23">
      <c r="B22" s="572"/>
      <c r="C22" s="8" t="s">
        <v>8207</v>
      </c>
      <c r="D22" s="5" t="s">
        <v>9917</v>
      </c>
      <c r="E22" s="5" t="s">
        <v>8209</v>
      </c>
      <c r="F22" s="5" t="s">
        <v>9898</v>
      </c>
      <c r="G22" s="5" t="s">
        <v>9918</v>
      </c>
      <c r="H22" s="8" t="s">
        <v>9900</v>
      </c>
      <c r="I22" s="8" t="s">
        <v>7986</v>
      </c>
      <c r="J22" s="8" t="s">
        <v>435</v>
      </c>
      <c r="K22" s="8" t="s">
        <v>435</v>
      </c>
      <c r="L22" s="5"/>
      <c r="M22" s="8" t="s">
        <v>9945</v>
      </c>
      <c r="N22" s="8" t="s">
        <v>431</v>
      </c>
      <c r="O22" s="8" t="s">
        <v>431</v>
      </c>
      <c r="P22" s="5"/>
      <c r="Q22" s="8" t="s">
        <v>9946</v>
      </c>
      <c r="S22" s="8" t="s">
        <v>9902</v>
      </c>
      <c r="T22" s="8" t="s">
        <v>1269</v>
      </c>
      <c r="U22" s="8" t="s">
        <v>9907</v>
      </c>
      <c r="V22" s="8" t="s">
        <v>9947</v>
      </c>
    </row>
    <row r="23" spans="2:23">
      <c r="B23" s="572"/>
      <c r="C23" s="8" t="s">
        <v>8207</v>
      </c>
      <c r="D23" s="5" t="s">
        <v>9920</v>
      </c>
      <c r="E23" s="5" t="s">
        <v>8209</v>
      </c>
      <c r="F23" s="5" t="s">
        <v>9898</v>
      </c>
      <c r="G23" s="5" t="s">
        <v>9921</v>
      </c>
      <c r="H23" s="8" t="s">
        <v>9900</v>
      </c>
      <c r="I23" s="8" t="s">
        <v>7986</v>
      </c>
      <c r="J23" s="8" t="s">
        <v>435</v>
      </c>
      <c r="K23" s="8" t="s">
        <v>435</v>
      </c>
      <c r="L23" s="5"/>
      <c r="M23" s="8" t="s">
        <v>4252</v>
      </c>
      <c r="N23" s="8" t="s">
        <v>431</v>
      </c>
      <c r="O23" s="8" t="s">
        <v>431</v>
      </c>
      <c r="P23" s="5"/>
      <c r="Q23" s="8" t="s">
        <v>9948</v>
      </c>
      <c r="S23" s="8" t="s">
        <v>9902</v>
      </c>
      <c r="T23" s="8" t="s">
        <v>1269</v>
      </c>
      <c r="U23" s="8" t="s">
        <v>9949</v>
      </c>
      <c r="V23" s="8" t="s">
        <v>9924</v>
      </c>
    </row>
    <row r="24" spans="2:23">
      <c r="B24" s="572"/>
      <c r="C24" s="8" t="s">
        <v>8207</v>
      </c>
      <c r="D24" s="5" t="s">
        <v>9925</v>
      </c>
      <c r="E24" s="5" t="s">
        <v>8209</v>
      </c>
      <c r="F24" s="5" t="s">
        <v>9898</v>
      </c>
      <c r="G24" s="5" t="s">
        <v>9926</v>
      </c>
      <c r="H24" s="8" t="s">
        <v>9900</v>
      </c>
      <c r="I24" s="8" t="s">
        <v>7986</v>
      </c>
      <c r="J24" s="8" t="s">
        <v>435</v>
      </c>
      <c r="K24" s="8" t="s">
        <v>435</v>
      </c>
      <c r="L24" s="8">
        <v>50</v>
      </c>
      <c r="M24" s="8" t="s">
        <v>9927</v>
      </c>
      <c r="N24" s="8" t="s">
        <v>431</v>
      </c>
      <c r="O24" s="8" t="s">
        <v>431</v>
      </c>
      <c r="P24" s="5"/>
      <c r="Q24" s="5"/>
      <c r="S24" s="8" t="s">
        <v>9902</v>
      </c>
      <c r="T24" s="8" t="s">
        <v>1269</v>
      </c>
      <c r="U24" s="8" t="s">
        <v>9907</v>
      </c>
      <c r="V24" s="8" t="s">
        <v>9928</v>
      </c>
    </row>
    <row r="25" spans="2:23">
      <c r="B25" s="572"/>
      <c r="C25" s="340" t="s">
        <v>8207</v>
      </c>
      <c r="D25" t="s">
        <v>9929</v>
      </c>
      <c r="E25" t="s">
        <v>8231</v>
      </c>
      <c r="F25" t="s">
        <v>9898</v>
      </c>
      <c r="G25" t="s">
        <v>9930</v>
      </c>
      <c r="H25" s="8" t="s">
        <v>9900</v>
      </c>
      <c r="I25" s="8" t="s">
        <v>7986</v>
      </c>
      <c r="R25" s="340"/>
      <c r="S25" s="340"/>
      <c r="U25" s="340"/>
      <c r="V25" s="340"/>
    </row>
    <row r="26" spans="2:23" ht="15" customHeight="1">
      <c r="H26" s="8"/>
    </row>
    <row r="27" spans="2:23" ht="15" customHeight="1">
      <c r="H27" s="8"/>
    </row>
    <row r="28" spans="2:23" ht="15" customHeight="1">
      <c r="H28" s="8"/>
    </row>
    <row r="29" spans="2:23" ht="15" customHeight="1">
      <c r="H29" s="8"/>
    </row>
    <row r="30" spans="2:23" ht="15" customHeight="1">
      <c r="H30" s="8"/>
    </row>
    <row r="31" spans="2:23" ht="15" customHeight="1">
      <c r="H31" s="8"/>
    </row>
    <row r="32" spans="2:23" ht="15" customHeight="1">
      <c r="H32" s="8"/>
    </row>
    <row r="33" spans="8:8" ht="15" customHeight="1">
      <c r="H33" s="8"/>
    </row>
    <row r="34" spans="8:8" ht="15" customHeight="1">
      <c r="H34" s="8"/>
    </row>
    <row r="35" spans="8:8" ht="15" customHeight="1">
      <c r="H35" s="8"/>
    </row>
    <row r="36" spans="8:8" ht="15" customHeight="1">
      <c r="H36" s="8"/>
    </row>
    <row r="37" spans="8:8" ht="15" customHeight="1">
      <c r="H37" s="8"/>
    </row>
    <row r="38" spans="8:8" ht="15" customHeight="1">
      <c r="H38" s="8"/>
    </row>
    <row r="39" spans="8:8" ht="15" customHeight="1">
      <c r="H39" s="8"/>
    </row>
    <row r="40" spans="8:8" ht="15" customHeight="1">
      <c r="H40" s="8"/>
    </row>
    <row r="41" spans="8:8" ht="15" customHeight="1">
      <c r="H41" s="8"/>
    </row>
    <row r="42" spans="8:8" ht="15" customHeight="1">
      <c r="H42" s="8"/>
    </row>
    <row r="43" spans="8:8" ht="15" customHeight="1">
      <c r="H43" s="8"/>
    </row>
    <row r="44" spans="8:8" ht="15" customHeight="1">
      <c r="H44" s="8"/>
    </row>
    <row r="45" spans="8:8" ht="15" customHeight="1">
      <c r="H45" s="8"/>
    </row>
    <row r="46" spans="8:8" ht="15" customHeight="1">
      <c r="H46" s="8"/>
    </row>
    <row r="47" spans="8:8" ht="15" customHeight="1">
      <c r="H47" s="8"/>
    </row>
    <row r="48" spans="8:8" ht="15" customHeight="1">
      <c r="H48" s="8"/>
    </row>
    <row r="49" spans="8:8" ht="15" customHeight="1">
      <c r="H49" s="8"/>
    </row>
    <row r="50" spans="8:8" ht="15" customHeight="1">
      <c r="H50" s="8"/>
    </row>
    <row r="51" spans="8:8" ht="15" customHeight="1">
      <c r="H51" s="8"/>
    </row>
    <row r="52" spans="8:8" ht="15" customHeight="1">
      <c r="H52" s="8"/>
    </row>
    <row r="53" spans="8:8" ht="15" customHeight="1">
      <c r="H53" s="8"/>
    </row>
    <row r="54" spans="8:8" ht="15" customHeight="1">
      <c r="H54" s="8"/>
    </row>
    <row r="55" spans="8:8" ht="15" customHeight="1">
      <c r="H55" s="8"/>
    </row>
    <row r="56" spans="8:8" ht="15" customHeight="1">
      <c r="H56" s="8"/>
    </row>
    <row r="57" spans="8:8" ht="15" customHeight="1">
      <c r="H57" s="8"/>
    </row>
    <row r="58" spans="8:8" ht="15" customHeight="1">
      <c r="H58" s="8"/>
    </row>
    <row r="59" spans="8:8" ht="15" customHeight="1">
      <c r="H59" s="8"/>
    </row>
    <row r="60" spans="8:8" ht="15" customHeight="1">
      <c r="H60" s="8"/>
    </row>
    <row r="61" spans="8:8" ht="15" customHeight="1">
      <c r="H61" s="8"/>
    </row>
    <row r="62" spans="8:8" ht="15" customHeight="1">
      <c r="H62" s="8"/>
    </row>
    <row r="63" spans="8:8" ht="15" customHeight="1">
      <c r="H63" s="8"/>
    </row>
    <row r="64" spans="8:8" ht="15" customHeight="1">
      <c r="H64" s="8"/>
    </row>
    <row r="65" spans="8:8" ht="15" customHeight="1">
      <c r="H65" s="8"/>
    </row>
    <row r="66" spans="8:8" ht="15" customHeight="1">
      <c r="H66" s="8"/>
    </row>
    <row r="67" spans="8:8" ht="15" customHeight="1">
      <c r="H67" s="8"/>
    </row>
    <row r="68" spans="8:8" ht="15" customHeight="1">
      <c r="H68" s="8"/>
    </row>
    <row r="69" spans="8:8" ht="15" customHeight="1">
      <c r="H69" s="8"/>
    </row>
    <row r="70" spans="8:8" ht="15" customHeight="1">
      <c r="H70" s="8"/>
    </row>
    <row r="71" spans="8:8" ht="15" customHeight="1">
      <c r="H71" s="8"/>
    </row>
    <row r="72" spans="8:8" ht="15" customHeight="1">
      <c r="H72" s="8"/>
    </row>
    <row r="73" spans="8:8" ht="15" customHeight="1">
      <c r="H73" s="8"/>
    </row>
    <row r="74" spans="8:8" ht="15" customHeight="1">
      <c r="H74" s="8"/>
    </row>
    <row r="75" spans="8:8" ht="15" customHeight="1">
      <c r="H75" s="8"/>
    </row>
    <row r="76" spans="8:8" ht="15" customHeight="1">
      <c r="H76" s="8"/>
    </row>
    <row r="77" spans="8:8" ht="15" customHeight="1">
      <c r="H77" s="8"/>
    </row>
    <row r="78" spans="8:8" ht="15" customHeight="1">
      <c r="H78" s="8"/>
    </row>
    <row r="79" spans="8:8" ht="15" customHeight="1">
      <c r="H79" s="8"/>
    </row>
    <row r="80" spans="8:8" ht="15" customHeight="1">
      <c r="H80" s="8"/>
    </row>
    <row r="81" spans="8:8" ht="15" customHeight="1">
      <c r="H81" s="8"/>
    </row>
    <row r="82" spans="8:8" ht="15" customHeight="1">
      <c r="H82" s="8"/>
    </row>
    <row r="83" spans="8:8" ht="15" customHeight="1">
      <c r="H83" s="8"/>
    </row>
    <row r="84" spans="8:8" ht="15" customHeight="1">
      <c r="H84" s="8"/>
    </row>
    <row r="85" spans="8:8" ht="15" customHeight="1">
      <c r="H85" s="8"/>
    </row>
    <row r="86" spans="8:8" ht="15" customHeight="1">
      <c r="H86" s="8"/>
    </row>
    <row r="87" spans="8:8" ht="15" customHeight="1">
      <c r="H87" s="8"/>
    </row>
    <row r="88" spans="8:8" ht="15" customHeight="1">
      <c r="H88" s="8"/>
    </row>
    <row r="89" spans="8:8" ht="15" customHeight="1">
      <c r="H89" s="8"/>
    </row>
    <row r="90" spans="8:8" ht="15" customHeight="1">
      <c r="H90" s="8"/>
    </row>
    <row r="91" spans="8:8" ht="15" customHeight="1">
      <c r="H91" s="8"/>
    </row>
    <row r="92" spans="8:8" ht="15" customHeight="1">
      <c r="H92" s="8"/>
    </row>
    <row r="93" spans="8:8" ht="15" customHeight="1">
      <c r="H93" s="8"/>
    </row>
    <row r="94" spans="8:8" ht="15" customHeight="1">
      <c r="H94" s="8"/>
    </row>
    <row r="95" spans="8:8" ht="15" customHeight="1">
      <c r="H95" s="8"/>
    </row>
    <row r="96" spans="8:8" ht="15" customHeight="1">
      <c r="H96" s="8"/>
    </row>
    <row r="97" spans="8:8" ht="15" customHeight="1">
      <c r="H97" s="8"/>
    </row>
    <row r="98" spans="8:8" ht="15" customHeight="1">
      <c r="H98" s="8"/>
    </row>
    <row r="99" spans="8:8" ht="15" customHeight="1">
      <c r="H99" s="8"/>
    </row>
    <row r="100" spans="8:8" ht="15" customHeight="1">
      <c r="H100" s="8"/>
    </row>
    <row r="101" spans="8:8" ht="15" customHeight="1">
      <c r="H101" s="8"/>
    </row>
    <row r="102" spans="8:8" ht="15" customHeight="1">
      <c r="H102" s="8"/>
    </row>
    <row r="103" spans="8:8" ht="15" customHeight="1">
      <c r="H103" s="8"/>
    </row>
    <row r="104" spans="8:8" ht="15" customHeight="1">
      <c r="H104" s="8"/>
    </row>
    <row r="105" spans="8:8" ht="15" customHeight="1">
      <c r="H105" s="8"/>
    </row>
    <row r="106" spans="8:8" ht="15" customHeight="1">
      <c r="H106" s="8"/>
    </row>
    <row r="107" spans="8:8" ht="15" customHeight="1">
      <c r="H107" s="8"/>
    </row>
  </sheetData>
  <autoFilter ref="B1:W25" xr:uid="{04CB6CB2-85E0-4895-930B-737FEAA6E621}"/>
  <mergeCells count="3">
    <mergeCell ref="B2:B9"/>
    <mergeCell ref="B10:B17"/>
    <mergeCell ref="B18:B25"/>
  </mergeCells>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16B21-854E-4559-B5B8-55C1A24A477A}">
  <sheetPr>
    <tabColor theme="5" tint="0.59999389629810485"/>
  </sheetPr>
  <dimension ref="B1:S49"/>
  <sheetViews>
    <sheetView workbookViewId="0">
      <selection activeCell="E19" sqref="E19"/>
    </sheetView>
  </sheetViews>
  <sheetFormatPr defaultRowHeight="15"/>
  <cols>
    <col min="2" max="2" width="19.5703125" style="8" bestFit="1" customWidth="1"/>
    <col min="3" max="3" width="21.140625" style="8" customWidth="1"/>
  </cols>
  <sheetData>
    <row r="1" spans="2:19" ht="15.75" thickBot="1">
      <c r="B1" t="s">
        <v>2157</v>
      </c>
      <c r="C1" t="s">
        <v>336</v>
      </c>
      <c r="D1" t="s">
        <v>337</v>
      </c>
      <c r="E1" t="s">
        <v>338</v>
      </c>
      <c r="F1" t="s">
        <v>339</v>
      </c>
      <c r="G1" t="s">
        <v>416</v>
      </c>
      <c r="H1" t="s">
        <v>417</v>
      </c>
      <c r="I1" t="s">
        <v>418</v>
      </c>
      <c r="J1" t="s">
        <v>419</v>
      </c>
      <c r="K1" t="s">
        <v>420</v>
      </c>
      <c r="L1" t="s">
        <v>421</v>
      </c>
      <c r="M1" t="s">
        <v>422</v>
      </c>
      <c r="N1" t="s">
        <v>423</v>
      </c>
      <c r="O1" t="s">
        <v>424</v>
      </c>
      <c r="P1" t="s">
        <v>425</v>
      </c>
      <c r="Q1" t="s">
        <v>426</v>
      </c>
      <c r="R1" t="s">
        <v>427</v>
      </c>
      <c r="S1" t="s">
        <v>428</v>
      </c>
    </row>
    <row r="2" spans="2:19">
      <c r="B2" s="8" t="s">
        <v>6858</v>
      </c>
      <c r="C2" t="s">
        <v>2637</v>
      </c>
      <c r="D2" t="s">
        <v>3919</v>
      </c>
      <c r="E2" t="s">
        <v>9950</v>
      </c>
      <c r="F2" t="s">
        <v>9951</v>
      </c>
    </row>
    <row r="3" spans="2:19">
      <c r="B3" s="8" t="s">
        <v>8207</v>
      </c>
      <c r="C3" t="s">
        <v>6646</v>
      </c>
      <c r="D3" t="s">
        <v>9952</v>
      </c>
      <c r="E3" t="s">
        <v>9950</v>
      </c>
      <c r="F3" t="s">
        <v>9953</v>
      </c>
    </row>
    <row r="4" spans="2:19">
      <c r="B4" s="8" t="s">
        <v>8207</v>
      </c>
      <c r="C4" t="s">
        <v>1120</v>
      </c>
      <c r="D4" t="s">
        <v>9952</v>
      </c>
      <c r="E4" t="s">
        <v>9950</v>
      </c>
      <c r="F4" t="s">
        <v>9954</v>
      </c>
    </row>
    <row r="5" spans="2:19">
      <c r="B5" s="8" t="s">
        <v>8207</v>
      </c>
      <c r="C5" t="s">
        <v>9955</v>
      </c>
      <c r="D5" t="s">
        <v>9952</v>
      </c>
      <c r="E5" t="s">
        <v>9950</v>
      </c>
      <c r="F5" t="s">
        <v>9956</v>
      </c>
    </row>
    <row r="6" spans="2:19">
      <c r="B6" s="8" t="s">
        <v>8207</v>
      </c>
      <c r="C6" t="s">
        <v>2169</v>
      </c>
      <c r="D6" t="s">
        <v>9952</v>
      </c>
      <c r="E6" t="s">
        <v>9950</v>
      </c>
      <c r="F6" t="s">
        <v>9957</v>
      </c>
    </row>
    <row r="7" spans="2:19">
      <c r="B7" s="8" t="s">
        <v>8207</v>
      </c>
      <c r="C7" t="s">
        <v>2181</v>
      </c>
      <c r="D7" t="s">
        <v>9952</v>
      </c>
      <c r="E7" t="s">
        <v>9950</v>
      </c>
      <c r="F7" t="s">
        <v>9958</v>
      </c>
    </row>
    <row r="8" spans="2:19">
      <c r="B8" s="8" t="s">
        <v>8207</v>
      </c>
      <c r="C8" t="s">
        <v>9959</v>
      </c>
      <c r="D8" t="s">
        <v>9952</v>
      </c>
      <c r="E8" t="s">
        <v>9950</v>
      </c>
      <c r="F8" t="s">
        <v>9960</v>
      </c>
    </row>
    <row r="9" spans="2:19">
      <c r="B9" s="8" t="s">
        <v>8207</v>
      </c>
      <c r="C9" t="s">
        <v>9961</v>
      </c>
      <c r="D9" t="s">
        <v>9952</v>
      </c>
      <c r="E9" t="s">
        <v>9950</v>
      </c>
      <c r="F9" t="s">
        <v>9962</v>
      </c>
    </row>
    <row r="10" spans="2:19">
      <c r="B10" s="8" t="s">
        <v>8207</v>
      </c>
      <c r="C10" t="s">
        <v>7927</v>
      </c>
      <c r="D10" t="s">
        <v>9952</v>
      </c>
      <c r="E10" t="s">
        <v>9950</v>
      </c>
      <c r="F10" t="s">
        <v>9963</v>
      </c>
    </row>
    <row r="11" spans="2:19">
      <c r="B11" s="8" t="s">
        <v>8207</v>
      </c>
      <c r="C11" t="s">
        <v>2194</v>
      </c>
      <c r="D11" t="s">
        <v>9964</v>
      </c>
      <c r="E11" t="s">
        <v>9950</v>
      </c>
      <c r="F11" t="s">
        <v>9965</v>
      </c>
    </row>
    <row r="12" spans="2:19">
      <c r="B12" s="8" t="s">
        <v>8207</v>
      </c>
      <c r="C12" t="s">
        <v>9966</v>
      </c>
      <c r="D12" t="s">
        <v>9964</v>
      </c>
      <c r="E12" t="s">
        <v>9950</v>
      </c>
      <c r="F12" t="s">
        <v>9967</v>
      </c>
    </row>
    <row r="13" spans="2:19">
      <c r="B13" s="8" t="s">
        <v>8207</v>
      </c>
      <c r="C13" t="s">
        <v>2204</v>
      </c>
      <c r="D13" t="s">
        <v>9964</v>
      </c>
      <c r="E13" t="s">
        <v>9950</v>
      </c>
      <c r="F13" t="s">
        <v>9968</v>
      </c>
    </row>
    <row r="14" spans="2:19">
      <c r="B14" s="8" t="s">
        <v>8207</v>
      </c>
      <c r="C14" t="s">
        <v>2280</v>
      </c>
      <c r="D14" t="s">
        <v>9964</v>
      </c>
      <c r="E14" t="s">
        <v>9950</v>
      </c>
      <c r="F14" t="s">
        <v>9969</v>
      </c>
    </row>
    <row r="15" spans="2:19">
      <c r="B15" s="8" t="s">
        <v>8207</v>
      </c>
      <c r="C15" t="s">
        <v>2215</v>
      </c>
      <c r="D15" t="s">
        <v>9964</v>
      </c>
      <c r="E15" t="s">
        <v>9950</v>
      </c>
      <c r="F15" t="s">
        <v>9970</v>
      </c>
    </row>
    <row r="16" spans="2:19">
      <c r="B16" s="8" t="s">
        <v>8207</v>
      </c>
      <c r="C16" t="s">
        <v>2284</v>
      </c>
      <c r="D16" t="s">
        <v>9964</v>
      </c>
      <c r="E16" t="s">
        <v>9950</v>
      </c>
      <c r="F16" t="s">
        <v>9971</v>
      </c>
    </row>
    <row r="17" spans="2:6">
      <c r="B17" s="8" t="s">
        <v>8207</v>
      </c>
      <c r="C17" t="s">
        <v>9972</v>
      </c>
      <c r="D17" t="s">
        <v>9964</v>
      </c>
      <c r="E17" t="s">
        <v>9950</v>
      </c>
      <c r="F17" t="s">
        <v>9973</v>
      </c>
    </row>
    <row r="18" spans="2:6">
      <c r="B18" s="8" t="s">
        <v>8207</v>
      </c>
      <c r="C18" t="s">
        <v>9023</v>
      </c>
      <c r="D18" t="s">
        <v>9964</v>
      </c>
      <c r="E18" t="s">
        <v>9950</v>
      </c>
      <c r="F18" t="s">
        <v>9974</v>
      </c>
    </row>
    <row r="19" spans="2:6">
      <c r="B19" s="8" t="s">
        <v>8207</v>
      </c>
      <c r="C19" t="s">
        <v>2637</v>
      </c>
      <c r="D19" t="s">
        <v>9964</v>
      </c>
      <c r="E19" t="s">
        <v>9950</v>
      </c>
      <c r="F19" t="s">
        <v>9975</v>
      </c>
    </row>
    <row r="20" spans="2:6">
      <c r="B20" s="8" t="s">
        <v>8207</v>
      </c>
      <c r="C20" t="s">
        <v>5275</v>
      </c>
      <c r="D20" t="s">
        <v>9976</v>
      </c>
      <c r="E20" t="s">
        <v>9950</v>
      </c>
      <c r="F20" t="s">
        <v>9977</v>
      </c>
    </row>
    <row r="21" spans="2:6">
      <c r="B21" s="8" t="s">
        <v>8207</v>
      </c>
      <c r="C21" t="s">
        <v>7566</v>
      </c>
      <c r="D21" t="s">
        <v>9976</v>
      </c>
      <c r="E21" t="s">
        <v>9950</v>
      </c>
      <c r="F21" t="s">
        <v>9978</v>
      </c>
    </row>
    <row r="22" spans="2:6">
      <c r="B22" s="8" t="s">
        <v>8207</v>
      </c>
      <c r="C22" t="s">
        <v>9979</v>
      </c>
      <c r="D22" t="s">
        <v>9976</v>
      </c>
      <c r="E22" t="s">
        <v>9950</v>
      </c>
      <c r="F22" t="s">
        <v>9980</v>
      </c>
    </row>
    <row r="23" spans="2:6">
      <c r="B23" s="8" t="s">
        <v>8207</v>
      </c>
      <c r="C23" t="s">
        <v>7512</v>
      </c>
      <c r="D23" t="s">
        <v>9976</v>
      </c>
      <c r="E23" t="s">
        <v>9950</v>
      </c>
      <c r="F23" t="s">
        <v>9980</v>
      </c>
    </row>
    <row r="24" spans="2:6">
      <c r="B24" s="8" t="s">
        <v>8207</v>
      </c>
      <c r="C24" t="s">
        <v>5071</v>
      </c>
      <c r="D24" t="s">
        <v>9976</v>
      </c>
      <c r="E24" t="s">
        <v>9950</v>
      </c>
      <c r="F24" t="s">
        <v>9981</v>
      </c>
    </row>
    <row r="25" spans="2:6">
      <c r="B25" s="8" t="s">
        <v>8207</v>
      </c>
      <c r="C25" t="s">
        <v>7542</v>
      </c>
      <c r="D25" t="s">
        <v>9982</v>
      </c>
      <c r="E25" t="s">
        <v>9950</v>
      </c>
      <c r="F25" t="s">
        <v>9983</v>
      </c>
    </row>
    <row r="26" spans="2:6">
      <c r="B26" s="8" t="s">
        <v>8207</v>
      </c>
      <c r="C26" t="s">
        <v>5789</v>
      </c>
      <c r="D26" t="s">
        <v>9982</v>
      </c>
      <c r="E26" t="s">
        <v>9950</v>
      </c>
      <c r="F26" t="s">
        <v>9984</v>
      </c>
    </row>
    <row r="27" spans="2:6">
      <c r="B27" s="8" t="s">
        <v>8207</v>
      </c>
      <c r="C27" t="s">
        <v>9186</v>
      </c>
      <c r="D27" t="s">
        <v>9982</v>
      </c>
      <c r="E27" t="s">
        <v>9950</v>
      </c>
      <c r="F27" t="s">
        <v>9985</v>
      </c>
    </row>
    <row r="28" spans="2:6">
      <c r="B28" s="8" t="s">
        <v>8207</v>
      </c>
      <c r="C28" t="s">
        <v>9986</v>
      </c>
      <c r="D28" t="s">
        <v>9982</v>
      </c>
      <c r="E28" t="s">
        <v>9950</v>
      </c>
      <c r="F28" t="s">
        <v>9987</v>
      </c>
    </row>
    <row r="29" spans="2:6">
      <c r="B29" s="8" t="s">
        <v>8207</v>
      </c>
      <c r="C29" t="s">
        <v>9988</v>
      </c>
      <c r="D29" t="s">
        <v>9989</v>
      </c>
      <c r="E29" t="s">
        <v>9950</v>
      </c>
      <c r="F29" t="s">
        <v>9990</v>
      </c>
    </row>
    <row r="30" spans="2:6">
      <c r="B30" s="8" t="s">
        <v>8207</v>
      </c>
      <c r="C30" t="s">
        <v>9991</v>
      </c>
      <c r="D30" t="s">
        <v>9989</v>
      </c>
      <c r="E30" t="s">
        <v>9950</v>
      </c>
      <c r="F30" t="s">
        <v>9992</v>
      </c>
    </row>
    <row r="31" spans="2:6">
      <c r="B31" s="8" t="s">
        <v>8207</v>
      </c>
      <c r="C31" t="s">
        <v>5275</v>
      </c>
      <c r="D31" t="s">
        <v>9993</v>
      </c>
      <c r="E31" t="s">
        <v>9950</v>
      </c>
      <c r="F31" t="s">
        <v>9994</v>
      </c>
    </row>
    <row r="32" spans="2:6">
      <c r="B32" s="8" t="s">
        <v>8207</v>
      </c>
      <c r="C32" t="s">
        <v>7566</v>
      </c>
      <c r="D32" t="s">
        <v>9993</v>
      </c>
      <c r="E32" t="s">
        <v>9950</v>
      </c>
      <c r="F32" t="s">
        <v>9995</v>
      </c>
    </row>
    <row r="33" spans="2:6">
      <c r="B33" s="8" t="s">
        <v>8207</v>
      </c>
      <c r="C33" t="s">
        <v>9996</v>
      </c>
      <c r="D33" t="s">
        <v>9993</v>
      </c>
      <c r="E33" t="s">
        <v>9950</v>
      </c>
      <c r="F33" t="s">
        <v>9997</v>
      </c>
    </row>
    <row r="34" spans="2:6">
      <c r="B34" s="8" t="s">
        <v>8207</v>
      </c>
      <c r="C34" t="s">
        <v>4339</v>
      </c>
      <c r="D34" t="s">
        <v>9993</v>
      </c>
      <c r="E34" t="s">
        <v>9950</v>
      </c>
      <c r="F34" t="s">
        <v>9997</v>
      </c>
    </row>
    <row r="35" spans="2:6">
      <c r="B35" s="8" t="s">
        <v>8207</v>
      </c>
      <c r="C35" t="s">
        <v>9998</v>
      </c>
      <c r="D35" t="s">
        <v>9993</v>
      </c>
      <c r="E35" t="s">
        <v>9950</v>
      </c>
      <c r="F35" t="s">
        <v>9999</v>
      </c>
    </row>
    <row r="36" spans="2:6">
      <c r="B36" s="8" t="s">
        <v>8207</v>
      </c>
      <c r="C36" t="s">
        <v>10000</v>
      </c>
      <c r="D36" t="s">
        <v>9993</v>
      </c>
      <c r="E36" t="s">
        <v>9950</v>
      </c>
      <c r="F36" t="s">
        <v>10001</v>
      </c>
    </row>
    <row r="37" spans="2:6">
      <c r="B37" s="8" t="s">
        <v>8207</v>
      </c>
      <c r="C37" t="s">
        <v>1120</v>
      </c>
      <c r="D37" t="s">
        <v>9993</v>
      </c>
      <c r="E37" t="s">
        <v>9950</v>
      </c>
      <c r="F37" t="s">
        <v>10002</v>
      </c>
    </row>
    <row r="38" spans="2:6">
      <c r="B38" s="8" t="s">
        <v>8207</v>
      </c>
      <c r="C38" t="s">
        <v>10003</v>
      </c>
      <c r="D38" t="s">
        <v>9993</v>
      </c>
      <c r="E38" t="s">
        <v>9950</v>
      </c>
      <c r="F38" t="s">
        <v>10004</v>
      </c>
    </row>
    <row r="39" spans="2:6">
      <c r="B39" s="8" t="s">
        <v>8207</v>
      </c>
      <c r="C39" t="s">
        <v>7512</v>
      </c>
      <c r="D39" t="s">
        <v>9993</v>
      </c>
      <c r="E39" t="s">
        <v>9950</v>
      </c>
      <c r="F39" t="s">
        <v>10005</v>
      </c>
    </row>
    <row r="40" spans="2:6">
      <c r="B40" s="8" t="s">
        <v>8207</v>
      </c>
      <c r="C40" t="s">
        <v>5071</v>
      </c>
      <c r="D40" t="s">
        <v>9993</v>
      </c>
      <c r="E40" t="s">
        <v>9950</v>
      </c>
      <c r="F40" t="s">
        <v>10006</v>
      </c>
    </row>
    <row r="41" spans="2:6">
      <c r="B41" s="8" t="s">
        <v>8207</v>
      </c>
      <c r="C41" t="s">
        <v>10007</v>
      </c>
      <c r="D41" t="s">
        <v>9993</v>
      </c>
      <c r="E41" t="s">
        <v>9950</v>
      </c>
      <c r="F41" t="s">
        <v>10008</v>
      </c>
    </row>
    <row r="42" spans="2:6">
      <c r="B42" s="8" t="s">
        <v>8207</v>
      </c>
      <c r="C42" t="s">
        <v>7542</v>
      </c>
      <c r="D42" t="s">
        <v>10009</v>
      </c>
      <c r="E42" t="s">
        <v>9950</v>
      </c>
      <c r="F42" t="s">
        <v>10010</v>
      </c>
    </row>
    <row r="43" spans="2:6">
      <c r="B43" s="8" t="s">
        <v>8207</v>
      </c>
      <c r="C43" t="s">
        <v>5789</v>
      </c>
      <c r="D43" t="s">
        <v>10009</v>
      </c>
      <c r="E43" t="s">
        <v>9950</v>
      </c>
      <c r="F43" t="s">
        <v>10011</v>
      </c>
    </row>
    <row r="44" spans="2:6">
      <c r="B44" s="8" t="s">
        <v>8207</v>
      </c>
      <c r="C44" t="s">
        <v>9186</v>
      </c>
      <c r="D44" t="s">
        <v>10009</v>
      </c>
      <c r="E44" t="s">
        <v>9950</v>
      </c>
      <c r="F44" t="s">
        <v>10012</v>
      </c>
    </row>
    <row r="45" spans="2:6">
      <c r="B45" s="8" t="s">
        <v>8207</v>
      </c>
      <c r="C45" t="s">
        <v>10013</v>
      </c>
      <c r="D45" t="s">
        <v>10009</v>
      </c>
      <c r="E45" t="s">
        <v>9950</v>
      </c>
      <c r="F45" t="s">
        <v>10014</v>
      </c>
    </row>
    <row r="46" spans="2:6">
      <c r="B46" s="8" t="s">
        <v>8207</v>
      </c>
      <c r="C46" t="s">
        <v>9986</v>
      </c>
      <c r="D46" t="s">
        <v>10009</v>
      </c>
      <c r="E46" t="s">
        <v>9950</v>
      </c>
      <c r="F46" t="s">
        <v>10015</v>
      </c>
    </row>
    <row r="47" spans="2:6">
      <c r="B47" s="8" t="s">
        <v>8207</v>
      </c>
      <c r="C47" t="s">
        <v>9988</v>
      </c>
      <c r="D47" t="s">
        <v>10009</v>
      </c>
      <c r="E47" t="s">
        <v>9950</v>
      </c>
      <c r="F47" t="s">
        <v>10016</v>
      </c>
    </row>
    <row r="48" spans="2:6">
      <c r="B48" s="8" t="s">
        <v>8207</v>
      </c>
      <c r="C48" t="s">
        <v>9991</v>
      </c>
      <c r="D48" t="s">
        <v>10009</v>
      </c>
      <c r="E48" t="s">
        <v>9950</v>
      </c>
      <c r="F48" t="s">
        <v>10017</v>
      </c>
    </row>
    <row r="49" spans="2:6">
      <c r="B49" s="8" t="s">
        <v>8207</v>
      </c>
      <c r="C49" t="s">
        <v>10018</v>
      </c>
      <c r="D49" t="s">
        <v>10009</v>
      </c>
      <c r="E49" t="s">
        <v>9950</v>
      </c>
      <c r="F49" t="s">
        <v>10019</v>
      </c>
    </row>
  </sheetData>
  <conditionalFormatting sqref="C3:C19">
    <cfRule type="duplicateValues" dxfId="2" priority="1"/>
  </conditionalFormatting>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38FEB-E59B-420C-90A0-BAB570E8FC44}">
  <sheetPr>
    <tabColor theme="5" tint="0.59999389629810485"/>
  </sheetPr>
  <dimension ref="B1:S6"/>
  <sheetViews>
    <sheetView workbookViewId="0">
      <selection activeCell="Q8" sqref="Q8"/>
    </sheetView>
  </sheetViews>
  <sheetFormatPr defaultRowHeight="15"/>
  <cols>
    <col min="2" max="2" width="21.140625" style="8" customWidth="1"/>
  </cols>
  <sheetData>
    <row r="1" spans="2:19" ht="15.75" thickBot="1">
      <c r="B1" t="s">
        <v>2157</v>
      </c>
      <c r="C1" t="s">
        <v>336</v>
      </c>
      <c r="D1" t="s">
        <v>337</v>
      </c>
      <c r="E1" t="s">
        <v>338</v>
      </c>
      <c r="F1" t="s">
        <v>339</v>
      </c>
      <c r="G1" t="s">
        <v>416</v>
      </c>
      <c r="H1" t="s">
        <v>417</v>
      </c>
      <c r="I1" t="s">
        <v>418</v>
      </c>
      <c r="J1" t="s">
        <v>419</v>
      </c>
      <c r="K1" t="s">
        <v>420</v>
      </c>
      <c r="L1" t="s">
        <v>421</v>
      </c>
      <c r="M1" t="s">
        <v>422</v>
      </c>
      <c r="N1" t="s">
        <v>423</v>
      </c>
      <c r="O1" t="s">
        <v>424</v>
      </c>
      <c r="P1" t="s">
        <v>425</v>
      </c>
      <c r="Q1" t="s">
        <v>426</v>
      </c>
      <c r="R1" t="s">
        <v>427</v>
      </c>
      <c r="S1" t="s">
        <v>428</v>
      </c>
    </row>
    <row r="2" spans="2:19">
      <c r="B2" s="8" t="s">
        <v>8207</v>
      </c>
      <c r="C2" t="s">
        <v>10020</v>
      </c>
      <c r="D2" t="s">
        <v>10021</v>
      </c>
      <c r="E2" t="s">
        <v>118</v>
      </c>
      <c r="F2" t="s">
        <v>10022</v>
      </c>
    </row>
    <row r="3" spans="2:19">
      <c r="B3" s="8" t="s">
        <v>8207</v>
      </c>
      <c r="C3" t="s">
        <v>7075</v>
      </c>
      <c r="D3" t="s">
        <v>10021</v>
      </c>
      <c r="E3" t="s">
        <v>118</v>
      </c>
      <c r="F3" t="s">
        <v>10023</v>
      </c>
    </row>
    <row r="4" spans="2:19">
      <c r="B4" s="8" t="s">
        <v>8207</v>
      </c>
      <c r="C4" t="s">
        <v>10024</v>
      </c>
      <c r="D4" t="s">
        <v>10021</v>
      </c>
      <c r="E4" t="s">
        <v>118</v>
      </c>
      <c r="F4" t="s">
        <v>10025</v>
      </c>
    </row>
    <row r="5" spans="2:19">
      <c r="B5" s="8" t="s">
        <v>8207</v>
      </c>
      <c r="C5" t="s">
        <v>10026</v>
      </c>
      <c r="D5" t="s">
        <v>10021</v>
      </c>
      <c r="E5" t="s">
        <v>118</v>
      </c>
      <c r="F5" t="s">
        <v>10027</v>
      </c>
    </row>
    <row r="6" spans="2:19">
      <c r="B6" s="8" t="s">
        <v>8207</v>
      </c>
      <c r="C6" t="s">
        <v>7615</v>
      </c>
      <c r="D6" t="s">
        <v>10021</v>
      </c>
      <c r="E6" t="s">
        <v>118</v>
      </c>
      <c r="F6" t="s">
        <v>10028</v>
      </c>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48135-B2ED-4BB4-842E-72571ED40BB1}">
  <sheetPr>
    <tabColor theme="9" tint="0.79998168889431442"/>
  </sheetPr>
  <dimension ref="B1:S13"/>
  <sheetViews>
    <sheetView workbookViewId="0">
      <selection activeCell="F12" sqref="F12"/>
    </sheetView>
  </sheetViews>
  <sheetFormatPr defaultRowHeight="15"/>
  <cols>
    <col min="2" max="2" width="15.5703125" style="8" customWidth="1"/>
    <col min="3" max="3" width="25.5703125" style="8" customWidth="1"/>
  </cols>
  <sheetData>
    <row r="1" spans="2:19" ht="15.75" thickBot="1">
      <c r="B1" t="s">
        <v>2157</v>
      </c>
      <c r="C1" t="s">
        <v>336</v>
      </c>
      <c r="D1" t="s">
        <v>337</v>
      </c>
      <c r="E1" t="s">
        <v>338</v>
      </c>
      <c r="F1" t="s">
        <v>339</v>
      </c>
      <c r="G1" t="s">
        <v>416</v>
      </c>
      <c r="H1" t="s">
        <v>417</v>
      </c>
      <c r="I1" t="s">
        <v>418</v>
      </c>
      <c r="J1" t="s">
        <v>419</v>
      </c>
      <c r="K1" t="s">
        <v>420</v>
      </c>
      <c r="L1" t="s">
        <v>421</v>
      </c>
      <c r="M1" t="s">
        <v>422</v>
      </c>
      <c r="N1" t="s">
        <v>423</v>
      </c>
      <c r="O1" t="s">
        <v>424</v>
      </c>
      <c r="P1" t="s">
        <v>425</v>
      </c>
      <c r="Q1" t="s">
        <v>426</v>
      </c>
      <c r="R1" t="s">
        <v>427</v>
      </c>
      <c r="S1" t="s">
        <v>428</v>
      </c>
    </row>
    <row r="2" spans="2:19">
      <c r="B2" s="8" t="s">
        <v>8207</v>
      </c>
      <c r="C2" t="s">
        <v>10029</v>
      </c>
      <c r="D2" t="s">
        <v>10030</v>
      </c>
      <c r="E2" t="s">
        <v>115</v>
      </c>
      <c r="F2" t="s">
        <v>10031</v>
      </c>
      <c r="G2" s="8" t="s">
        <v>10032</v>
      </c>
      <c r="H2" s="8" t="s">
        <v>8384</v>
      </c>
      <c r="I2" s="8">
        <v>50</v>
      </c>
      <c r="J2" s="8">
        <v>19</v>
      </c>
      <c r="O2" s="8" t="s">
        <v>8387</v>
      </c>
      <c r="P2" s="8" t="s">
        <v>10033</v>
      </c>
      <c r="Q2" s="8" t="s">
        <v>10034</v>
      </c>
      <c r="R2" s="8" t="s">
        <v>10035</v>
      </c>
    </row>
    <row r="3" spans="2:19">
      <c r="B3" s="8" t="s">
        <v>8207</v>
      </c>
      <c r="C3" t="s">
        <v>9758</v>
      </c>
      <c r="D3" t="s">
        <v>10030</v>
      </c>
      <c r="E3" t="s">
        <v>115</v>
      </c>
      <c r="F3" t="s">
        <v>10036</v>
      </c>
      <c r="G3" s="8" t="s">
        <v>2207</v>
      </c>
      <c r="H3" s="8" t="s">
        <v>8425</v>
      </c>
      <c r="J3" s="8" t="s">
        <v>49</v>
      </c>
      <c r="K3" s="8" t="s">
        <v>10037</v>
      </c>
      <c r="L3" s="8" t="s">
        <v>8427</v>
      </c>
      <c r="O3" s="8" t="s">
        <v>8387</v>
      </c>
      <c r="P3" s="8" t="s">
        <v>10033</v>
      </c>
      <c r="Q3" s="8" t="s">
        <v>10034</v>
      </c>
      <c r="R3" s="8" t="s">
        <v>8787</v>
      </c>
    </row>
    <row r="4" spans="2:19">
      <c r="B4" s="8" t="s">
        <v>8207</v>
      </c>
      <c r="C4" t="s">
        <v>10038</v>
      </c>
      <c r="D4" t="s">
        <v>10030</v>
      </c>
      <c r="E4" t="s">
        <v>115</v>
      </c>
      <c r="F4" t="s">
        <v>10039</v>
      </c>
      <c r="G4" s="8" t="s">
        <v>2445</v>
      </c>
      <c r="H4" s="8" t="s">
        <v>9814</v>
      </c>
      <c r="J4" s="8">
        <v>5</v>
      </c>
      <c r="O4" s="8" t="s">
        <v>8387</v>
      </c>
      <c r="P4" s="8" t="s">
        <v>10033</v>
      </c>
      <c r="Q4" s="8" t="s">
        <v>10034</v>
      </c>
      <c r="R4" s="8" t="s">
        <v>3968</v>
      </c>
    </row>
    <row r="5" spans="2:19">
      <c r="B5" s="8" t="s">
        <v>8207</v>
      </c>
      <c r="C5" t="s">
        <v>2181</v>
      </c>
      <c r="D5" t="s">
        <v>10030</v>
      </c>
      <c r="E5" t="s">
        <v>115</v>
      </c>
      <c r="F5" t="s">
        <v>10040</v>
      </c>
      <c r="G5" s="8" t="s">
        <v>2445</v>
      </c>
      <c r="H5" s="8" t="s">
        <v>9814</v>
      </c>
      <c r="I5" s="8">
        <v>50</v>
      </c>
      <c r="J5" s="8">
        <v>30</v>
      </c>
      <c r="O5" s="8" t="s">
        <v>8387</v>
      </c>
      <c r="P5" s="8" t="s">
        <v>10033</v>
      </c>
      <c r="Q5" s="8" t="s">
        <v>10034</v>
      </c>
      <c r="R5" s="8" t="s">
        <v>10041</v>
      </c>
    </row>
    <row r="6" spans="2:19">
      <c r="B6" s="8" t="s">
        <v>8207</v>
      </c>
      <c r="C6" t="s">
        <v>10042</v>
      </c>
      <c r="D6" t="s">
        <v>10030</v>
      </c>
      <c r="E6" t="s">
        <v>115</v>
      </c>
      <c r="F6" t="s">
        <v>10043</v>
      </c>
      <c r="G6" s="8" t="s">
        <v>2445</v>
      </c>
      <c r="H6" s="8" t="s">
        <v>9814</v>
      </c>
      <c r="J6" s="8">
        <v>25</v>
      </c>
      <c r="O6" s="8" t="s">
        <v>8387</v>
      </c>
      <c r="P6" s="8" t="s">
        <v>10033</v>
      </c>
      <c r="Q6" s="8" t="s">
        <v>10034</v>
      </c>
      <c r="R6" s="8" t="s">
        <v>10044</v>
      </c>
    </row>
    <row r="7" spans="2:19">
      <c r="B7" s="8" t="s">
        <v>8207</v>
      </c>
      <c r="C7" t="s">
        <v>2215</v>
      </c>
      <c r="D7" t="s">
        <v>10030</v>
      </c>
      <c r="E7" t="s">
        <v>115</v>
      </c>
      <c r="F7" t="s">
        <v>10045</v>
      </c>
      <c r="G7" s="8" t="s">
        <v>2445</v>
      </c>
      <c r="H7" s="8" t="s">
        <v>9814</v>
      </c>
      <c r="J7" s="8">
        <v>3</v>
      </c>
      <c r="O7" s="8" t="s">
        <v>8387</v>
      </c>
      <c r="P7" s="8" t="s">
        <v>10033</v>
      </c>
      <c r="Q7" s="8" t="s">
        <v>10034</v>
      </c>
      <c r="R7" s="8" t="s">
        <v>6702</v>
      </c>
      <c r="S7" s="8" t="s">
        <v>10046</v>
      </c>
    </row>
    <row r="8" spans="2:19">
      <c r="B8" s="8" t="s">
        <v>8207</v>
      </c>
      <c r="C8" t="s">
        <v>2204</v>
      </c>
      <c r="D8" t="s">
        <v>10030</v>
      </c>
      <c r="E8" t="s">
        <v>115</v>
      </c>
      <c r="F8" t="s">
        <v>10047</v>
      </c>
      <c r="G8" s="8" t="s">
        <v>2207</v>
      </c>
      <c r="H8" s="8" t="s">
        <v>8425</v>
      </c>
      <c r="J8" s="8" t="s">
        <v>49</v>
      </c>
      <c r="K8" s="8" t="s">
        <v>10037</v>
      </c>
      <c r="L8" s="8" t="s">
        <v>10048</v>
      </c>
      <c r="O8" s="8" t="s">
        <v>8387</v>
      </c>
      <c r="P8" s="8" t="s">
        <v>10033</v>
      </c>
      <c r="Q8" s="8" t="s">
        <v>10034</v>
      </c>
      <c r="R8" s="8" t="s">
        <v>9027</v>
      </c>
    </row>
    <row r="9" spans="2:19">
      <c r="B9" s="8" t="s">
        <v>8207</v>
      </c>
      <c r="C9" t="s">
        <v>10049</v>
      </c>
      <c r="D9" t="s">
        <v>10030</v>
      </c>
      <c r="E9" t="s">
        <v>115</v>
      </c>
      <c r="F9" t="s">
        <v>10050</v>
      </c>
      <c r="G9" s="8" t="s">
        <v>10032</v>
      </c>
      <c r="H9" s="8" t="s">
        <v>9814</v>
      </c>
      <c r="I9" s="8">
        <v>14</v>
      </c>
      <c r="J9" s="8">
        <v>14</v>
      </c>
      <c r="K9" s="8" t="s">
        <v>10051</v>
      </c>
      <c r="O9" s="8" t="s">
        <v>8387</v>
      </c>
      <c r="P9" s="8" t="s">
        <v>10033</v>
      </c>
      <c r="Q9" s="8" t="s">
        <v>10034</v>
      </c>
      <c r="R9" s="8" t="s">
        <v>9397</v>
      </c>
    </row>
    <row r="10" spans="2:19">
      <c r="B10" s="8" t="s">
        <v>8207</v>
      </c>
      <c r="C10" t="s">
        <v>10052</v>
      </c>
      <c r="D10" t="s">
        <v>10030</v>
      </c>
      <c r="E10" t="s">
        <v>115</v>
      </c>
      <c r="F10" t="s">
        <v>10053</v>
      </c>
      <c r="G10" s="8" t="s">
        <v>2445</v>
      </c>
      <c r="H10" s="8" t="s">
        <v>9814</v>
      </c>
      <c r="J10" s="8">
        <v>3</v>
      </c>
      <c r="O10" s="8" t="s">
        <v>8387</v>
      </c>
      <c r="P10" s="8" t="s">
        <v>10033</v>
      </c>
      <c r="Q10" s="8" t="s">
        <v>10034</v>
      </c>
      <c r="R10" s="8" t="s">
        <v>10054</v>
      </c>
    </row>
    <row r="13" spans="2:19">
      <c r="H13" t="s">
        <v>9407</v>
      </c>
    </row>
  </sheetData>
  <conditionalFormatting sqref="C2:C10">
    <cfRule type="duplicateValues" dxfId="1" priority="1"/>
  </conditionalFormatting>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CD69A-DD4F-4040-8296-D86DED0BABB2}">
  <sheetPr>
    <tabColor theme="5" tint="0.59999389629810485"/>
  </sheetPr>
  <dimension ref="B1:S22"/>
  <sheetViews>
    <sheetView showGridLines="0" topLeftCell="A12" workbookViewId="0">
      <selection activeCell="B21" sqref="B21"/>
    </sheetView>
  </sheetViews>
  <sheetFormatPr defaultColWidth="8.7109375" defaultRowHeight="15"/>
  <cols>
    <col min="2" max="2" width="30.140625" style="374" customWidth="1"/>
    <col min="3" max="3" width="24" style="374" bestFit="1" customWidth="1"/>
    <col min="4" max="4" width="33.5703125" style="374" customWidth="1"/>
    <col min="6" max="6" width="60.85546875" style="374" bestFit="1" customWidth="1"/>
  </cols>
  <sheetData>
    <row r="1" spans="2:19" ht="15.75" thickBot="1">
      <c r="B1" t="s">
        <v>2157</v>
      </c>
      <c r="C1" t="s">
        <v>336</v>
      </c>
      <c r="D1" t="s">
        <v>337</v>
      </c>
      <c r="E1" t="s">
        <v>338</v>
      </c>
      <c r="F1" t="s">
        <v>339</v>
      </c>
      <c r="G1" t="s">
        <v>416</v>
      </c>
      <c r="H1" t="s">
        <v>417</v>
      </c>
      <c r="I1" t="s">
        <v>418</v>
      </c>
      <c r="J1" t="s">
        <v>419</v>
      </c>
      <c r="K1" t="s">
        <v>420</v>
      </c>
      <c r="L1" t="s">
        <v>421</v>
      </c>
      <c r="M1" t="s">
        <v>422</v>
      </c>
      <c r="N1" t="s">
        <v>423</v>
      </c>
      <c r="O1" t="s">
        <v>424</v>
      </c>
      <c r="P1" t="s">
        <v>425</v>
      </c>
      <c r="Q1" t="s">
        <v>426</v>
      </c>
      <c r="R1" t="s">
        <v>427</v>
      </c>
      <c r="S1" t="s">
        <v>428</v>
      </c>
    </row>
    <row r="2" spans="2:19">
      <c r="B2" s="374" t="s">
        <v>3572</v>
      </c>
      <c r="C2" t="s">
        <v>2400</v>
      </c>
      <c r="D2" t="s">
        <v>3589</v>
      </c>
      <c r="E2" t="s">
        <v>110</v>
      </c>
      <c r="F2" t="s">
        <v>10055</v>
      </c>
    </row>
    <row r="3" spans="2:19">
      <c r="B3" s="374" t="s">
        <v>3572</v>
      </c>
      <c r="C3" t="s">
        <v>6184</v>
      </c>
      <c r="D3" t="s">
        <v>3589</v>
      </c>
      <c r="E3" t="s">
        <v>110</v>
      </c>
      <c r="F3" t="s">
        <v>10056</v>
      </c>
    </row>
    <row r="4" spans="2:19">
      <c r="B4" s="374" t="s">
        <v>3572</v>
      </c>
      <c r="C4" t="s">
        <v>6186</v>
      </c>
      <c r="D4" t="s">
        <v>3589</v>
      </c>
      <c r="E4" t="s">
        <v>110</v>
      </c>
      <c r="F4" t="s">
        <v>10057</v>
      </c>
    </row>
    <row r="5" spans="2:19">
      <c r="B5" s="374" t="s">
        <v>3572</v>
      </c>
      <c r="C5" t="s">
        <v>10058</v>
      </c>
      <c r="D5" t="s">
        <v>3589</v>
      </c>
      <c r="E5" t="s">
        <v>110</v>
      </c>
      <c r="F5" t="s">
        <v>10059</v>
      </c>
    </row>
    <row r="6" spans="2:19">
      <c r="B6" s="374" t="s">
        <v>3572</v>
      </c>
      <c r="C6" t="s">
        <v>10060</v>
      </c>
      <c r="D6" t="s">
        <v>3589</v>
      </c>
      <c r="E6" t="s">
        <v>110</v>
      </c>
      <c r="F6" t="s">
        <v>10061</v>
      </c>
    </row>
    <row r="7" spans="2:19">
      <c r="B7" s="374" t="s">
        <v>3572</v>
      </c>
      <c r="C7" t="s">
        <v>10062</v>
      </c>
      <c r="D7" t="s">
        <v>3589</v>
      </c>
      <c r="E7" t="s">
        <v>110</v>
      </c>
      <c r="F7" t="s">
        <v>10063</v>
      </c>
    </row>
    <row r="8" spans="2:19">
      <c r="B8" s="374" t="s">
        <v>3572</v>
      </c>
      <c r="C8" t="s">
        <v>159</v>
      </c>
      <c r="D8" t="s">
        <v>3589</v>
      </c>
      <c r="E8" t="s">
        <v>110</v>
      </c>
      <c r="F8" t="s">
        <v>10064</v>
      </c>
    </row>
    <row r="9" spans="2:19">
      <c r="B9" s="374" t="s">
        <v>3572</v>
      </c>
      <c r="C9" t="s">
        <v>10065</v>
      </c>
      <c r="D9" t="s">
        <v>3589</v>
      </c>
      <c r="E9" t="s">
        <v>110</v>
      </c>
      <c r="F9" t="s">
        <v>10066</v>
      </c>
    </row>
    <row r="10" spans="2:19">
      <c r="B10" s="374" t="s">
        <v>3572</v>
      </c>
      <c r="C10" t="s">
        <v>10067</v>
      </c>
      <c r="D10" t="s">
        <v>3589</v>
      </c>
      <c r="E10" t="s">
        <v>110</v>
      </c>
      <c r="F10" t="s">
        <v>10068</v>
      </c>
    </row>
    <row r="11" spans="2:19">
      <c r="B11" s="374" t="s">
        <v>3572</v>
      </c>
      <c r="C11" t="s">
        <v>10069</v>
      </c>
      <c r="D11" t="s">
        <v>3589</v>
      </c>
      <c r="E11" t="s">
        <v>110</v>
      </c>
      <c r="F11" t="s">
        <v>10070</v>
      </c>
    </row>
    <row r="12" spans="2:19">
      <c r="B12" s="374" t="s">
        <v>3572</v>
      </c>
      <c r="C12" t="s">
        <v>5929</v>
      </c>
      <c r="D12" t="s">
        <v>3589</v>
      </c>
      <c r="E12" t="s">
        <v>110</v>
      </c>
      <c r="F12" t="s">
        <v>10071</v>
      </c>
    </row>
    <row r="17" spans="2:2">
      <c r="B17" s="374" t="s">
        <v>878</v>
      </c>
    </row>
    <row r="18" spans="2:2">
      <c r="B18" s="374" t="s">
        <v>10072</v>
      </c>
    </row>
    <row r="20" spans="2:2">
      <c r="B20" s="374" t="s">
        <v>10073</v>
      </c>
    </row>
    <row r="21" spans="2:2">
      <c r="B21" s="374" t="s">
        <v>10074</v>
      </c>
    </row>
    <row r="22" spans="2:2">
      <c r="B22" s="374" t="s">
        <v>10075</v>
      </c>
    </row>
  </sheetData>
  <autoFilter ref="B1:S12" xr:uid="{AEBCD69A-DD4F-4040-8296-D86DED0BABB2}"/>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1B53-0F41-4570-B0AC-B02A07BF4232}">
  <sheetPr>
    <tabColor theme="9" tint="0.79998168889431442"/>
  </sheetPr>
  <dimension ref="B1:S14"/>
  <sheetViews>
    <sheetView workbookViewId="0">
      <selection activeCell="G12" sqref="G12"/>
    </sheetView>
  </sheetViews>
  <sheetFormatPr defaultRowHeight="15"/>
  <cols>
    <col min="2" max="2" width="30.42578125" style="8" customWidth="1"/>
    <col min="3" max="3" width="42.5703125" style="8" customWidth="1"/>
    <col min="6" max="6" width="16" style="8" customWidth="1"/>
    <col min="8" max="8" width="8.5703125" style="8" bestFit="1" customWidth="1"/>
    <col min="10" max="10" width="12.140625" style="8" bestFit="1" customWidth="1"/>
    <col min="12" max="12" width="12.140625" style="8" bestFit="1" customWidth="1"/>
    <col min="13" max="13" width="42.42578125" style="8" bestFit="1" customWidth="1"/>
    <col min="14" max="14" width="56" style="8" bestFit="1" customWidth="1"/>
    <col min="15" max="15" width="23.85546875" style="8" bestFit="1" customWidth="1"/>
    <col min="19" max="19" width="13.5703125" style="8" customWidth="1"/>
  </cols>
  <sheetData>
    <row r="1" spans="2:19" ht="15.75" thickBot="1">
      <c r="B1" t="s">
        <v>2157</v>
      </c>
      <c r="C1" t="s">
        <v>336</v>
      </c>
      <c r="D1" t="s">
        <v>337</v>
      </c>
      <c r="E1" t="s">
        <v>338</v>
      </c>
      <c r="F1" t="s">
        <v>339</v>
      </c>
      <c r="G1" t="s">
        <v>416</v>
      </c>
      <c r="H1" t="s">
        <v>417</v>
      </c>
      <c r="I1" t="s">
        <v>418</v>
      </c>
      <c r="J1" t="s">
        <v>419</v>
      </c>
      <c r="K1" t="s">
        <v>420</v>
      </c>
      <c r="L1" t="s">
        <v>421</v>
      </c>
      <c r="M1" t="s">
        <v>422</v>
      </c>
      <c r="N1" t="s">
        <v>423</v>
      </c>
      <c r="O1" t="s">
        <v>424</v>
      </c>
      <c r="P1" t="s">
        <v>425</v>
      </c>
      <c r="Q1" t="s">
        <v>426</v>
      </c>
      <c r="R1" t="s">
        <v>427</v>
      </c>
      <c r="S1" t="s">
        <v>428</v>
      </c>
    </row>
    <row r="2" spans="2:19">
      <c r="B2" s="8" t="s">
        <v>8207</v>
      </c>
      <c r="C2" t="s">
        <v>10076</v>
      </c>
      <c r="D2" t="s">
        <v>10077</v>
      </c>
      <c r="E2" t="s">
        <v>105</v>
      </c>
      <c r="F2" t="s">
        <v>10078</v>
      </c>
      <c r="G2" s="8" t="s">
        <v>10079</v>
      </c>
      <c r="H2" s="8" t="s">
        <v>431</v>
      </c>
      <c r="I2" s="8" t="s">
        <v>6930</v>
      </c>
      <c r="J2" s="8" t="s">
        <v>10080</v>
      </c>
      <c r="K2" s="8" t="s">
        <v>2400</v>
      </c>
      <c r="L2" s="8" t="s">
        <v>10080</v>
      </c>
      <c r="M2" s="8" t="s">
        <v>10081</v>
      </c>
      <c r="N2" s="8" t="s">
        <v>10082</v>
      </c>
      <c r="O2" s="8" t="s">
        <v>10083</v>
      </c>
    </row>
    <row r="3" spans="2:19">
      <c r="B3" s="8" t="s">
        <v>8207</v>
      </c>
      <c r="C3" t="s">
        <v>10084</v>
      </c>
      <c r="D3" t="s">
        <v>10077</v>
      </c>
      <c r="E3" t="s">
        <v>105</v>
      </c>
      <c r="F3" t="s">
        <v>10085</v>
      </c>
      <c r="G3" s="8" t="s">
        <v>10079</v>
      </c>
      <c r="H3" s="8" t="s">
        <v>431</v>
      </c>
      <c r="I3" s="8" t="s">
        <v>6930</v>
      </c>
      <c r="J3" s="8" t="s">
        <v>10086</v>
      </c>
      <c r="K3" s="8" t="s">
        <v>431</v>
      </c>
      <c r="L3" s="8" t="s">
        <v>10086</v>
      </c>
      <c r="M3" s="8" t="s">
        <v>10087</v>
      </c>
      <c r="N3" s="8" t="s">
        <v>10088</v>
      </c>
      <c r="O3" s="8" t="s">
        <v>10083</v>
      </c>
    </row>
    <row r="4" spans="2:19">
      <c r="B4" s="8" t="s">
        <v>8207</v>
      </c>
      <c r="C4" t="s">
        <v>10089</v>
      </c>
      <c r="D4" t="s">
        <v>10077</v>
      </c>
      <c r="E4" t="s">
        <v>105</v>
      </c>
      <c r="F4" t="s">
        <v>10090</v>
      </c>
      <c r="G4" s="8" t="s">
        <v>10079</v>
      </c>
      <c r="H4" s="8" t="s">
        <v>431</v>
      </c>
      <c r="I4" s="8" t="s">
        <v>6930</v>
      </c>
      <c r="J4" s="8" t="s">
        <v>10086</v>
      </c>
      <c r="K4" s="8" t="s">
        <v>431</v>
      </c>
      <c r="L4" s="8" t="s">
        <v>10086</v>
      </c>
      <c r="M4" s="8" t="s">
        <v>10091</v>
      </c>
      <c r="N4" s="8" t="s">
        <v>10092</v>
      </c>
      <c r="O4" s="8" t="s">
        <v>10083</v>
      </c>
    </row>
    <row r="5" spans="2:19">
      <c r="B5" s="8" t="s">
        <v>8207</v>
      </c>
      <c r="C5" t="s">
        <v>10093</v>
      </c>
      <c r="D5" t="s">
        <v>10077</v>
      </c>
      <c r="E5" t="s">
        <v>105</v>
      </c>
      <c r="F5" t="s">
        <v>10094</v>
      </c>
      <c r="G5" s="8" t="s">
        <v>10079</v>
      </c>
      <c r="H5" s="8" t="s">
        <v>431</v>
      </c>
      <c r="I5" s="8" t="s">
        <v>6930</v>
      </c>
      <c r="J5" s="8" t="s">
        <v>6930</v>
      </c>
      <c r="K5" s="8" t="s">
        <v>431</v>
      </c>
      <c r="L5" s="8" t="s">
        <v>6930</v>
      </c>
      <c r="M5" s="8" t="s">
        <v>10095</v>
      </c>
      <c r="N5" t="s">
        <v>10096</v>
      </c>
      <c r="O5" s="8" t="s">
        <v>10083</v>
      </c>
    </row>
    <row r="6" spans="2:19">
      <c r="B6" s="8" t="s">
        <v>8207</v>
      </c>
      <c r="C6" t="s">
        <v>10097</v>
      </c>
      <c r="D6" t="s">
        <v>10077</v>
      </c>
      <c r="E6" t="s">
        <v>105</v>
      </c>
      <c r="F6" t="s">
        <v>10098</v>
      </c>
      <c r="G6" s="8" t="s">
        <v>10079</v>
      </c>
      <c r="H6" s="8" t="s">
        <v>431</v>
      </c>
      <c r="I6" s="8" t="s">
        <v>6930</v>
      </c>
      <c r="J6" s="8" t="s">
        <v>10086</v>
      </c>
      <c r="K6" s="8" t="s">
        <v>431</v>
      </c>
      <c r="L6" s="8" t="s">
        <v>10086</v>
      </c>
      <c r="M6" s="8" t="s">
        <v>10099</v>
      </c>
      <c r="N6" t="s">
        <v>10100</v>
      </c>
      <c r="O6" s="8" t="s">
        <v>10083</v>
      </c>
    </row>
    <row r="7" spans="2:19">
      <c r="B7" s="8" t="s">
        <v>8207</v>
      </c>
      <c r="C7" t="s">
        <v>10101</v>
      </c>
      <c r="D7" t="s">
        <v>10077</v>
      </c>
      <c r="E7" t="s">
        <v>105</v>
      </c>
      <c r="F7" t="s">
        <v>10102</v>
      </c>
      <c r="M7" s="8" t="s">
        <v>10103</v>
      </c>
      <c r="O7" s="8" t="s">
        <v>10083</v>
      </c>
    </row>
    <row r="8" spans="2:19">
      <c r="B8" s="8" t="s">
        <v>8207</v>
      </c>
      <c r="C8" t="s">
        <v>2821</v>
      </c>
      <c r="D8" t="s">
        <v>10077</v>
      </c>
      <c r="E8" t="s">
        <v>105</v>
      </c>
      <c r="F8" t="s">
        <v>10104</v>
      </c>
      <c r="G8" s="8" t="s">
        <v>10079</v>
      </c>
      <c r="H8" s="8" t="s">
        <v>431</v>
      </c>
      <c r="I8" s="8" t="s">
        <v>6930</v>
      </c>
      <c r="J8" s="8" t="s">
        <v>10086</v>
      </c>
      <c r="K8" s="8" t="s">
        <v>431</v>
      </c>
      <c r="L8" s="8" t="s">
        <v>10086</v>
      </c>
      <c r="M8" s="8" t="s">
        <v>2821</v>
      </c>
      <c r="N8" s="8" t="s">
        <v>10105</v>
      </c>
      <c r="O8" s="8" t="s">
        <v>10083</v>
      </c>
    </row>
    <row r="9" spans="2:19">
      <c r="B9" s="8" t="s">
        <v>8207</v>
      </c>
      <c r="C9" t="s">
        <v>10106</v>
      </c>
      <c r="D9" t="s">
        <v>10077</v>
      </c>
      <c r="E9" t="s">
        <v>105</v>
      </c>
      <c r="F9" t="s">
        <v>10107</v>
      </c>
      <c r="G9" s="8" t="s">
        <v>10079</v>
      </c>
      <c r="H9" s="8" t="s">
        <v>2645</v>
      </c>
      <c r="I9" s="8" t="s">
        <v>6930</v>
      </c>
      <c r="J9" s="8" t="s">
        <v>6930</v>
      </c>
      <c r="K9" s="8" t="s">
        <v>10108</v>
      </c>
      <c r="L9" s="8" t="s">
        <v>6930</v>
      </c>
      <c r="M9" s="8" t="s">
        <v>10109</v>
      </c>
      <c r="N9" s="8" t="s">
        <v>10110</v>
      </c>
      <c r="O9" s="8" t="s">
        <v>10083</v>
      </c>
    </row>
    <row r="10" spans="2:19">
      <c r="B10" s="8" t="s">
        <v>8207</v>
      </c>
      <c r="C10" t="s">
        <v>10111</v>
      </c>
      <c r="D10" t="s">
        <v>10077</v>
      </c>
      <c r="E10" t="s">
        <v>105</v>
      </c>
      <c r="F10" t="s">
        <v>10112</v>
      </c>
      <c r="G10" s="8" t="s">
        <v>10079</v>
      </c>
      <c r="H10" s="8" t="s">
        <v>431</v>
      </c>
      <c r="I10" s="8" t="s">
        <v>6930</v>
      </c>
      <c r="J10" s="8" t="s">
        <v>10086</v>
      </c>
      <c r="K10" s="8" t="s">
        <v>431</v>
      </c>
      <c r="L10" s="8" t="s">
        <v>10086</v>
      </c>
      <c r="M10" s="8" t="s">
        <v>440</v>
      </c>
      <c r="N10" s="8" t="s">
        <v>10113</v>
      </c>
      <c r="O10" s="8" t="s">
        <v>10083</v>
      </c>
    </row>
    <row r="11" spans="2:19">
      <c r="B11" s="8" t="s">
        <v>8207</v>
      </c>
      <c r="C11" t="s">
        <v>2400</v>
      </c>
      <c r="D11" t="s">
        <v>10114</v>
      </c>
      <c r="E11" t="s">
        <v>105</v>
      </c>
      <c r="F11" t="s">
        <v>10115</v>
      </c>
      <c r="G11" s="8" t="s">
        <v>10079</v>
      </c>
      <c r="H11" s="8" t="s">
        <v>431</v>
      </c>
      <c r="I11" s="8" t="s">
        <v>6930</v>
      </c>
      <c r="J11" s="8" t="s">
        <v>10080</v>
      </c>
      <c r="K11" s="8" t="s">
        <v>431</v>
      </c>
      <c r="L11" s="8" t="s">
        <v>10080</v>
      </c>
      <c r="M11" s="8" t="s">
        <v>4171</v>
      </c>
      <c r="N11" s="8" t="s">
        <v>10116</v>
      </c>
      <c r="O11" s="8" t="s">
        <v>10083</v>
      </c>
    </row>
    <row r="12" spans="2:19">
      <c r="B12" s="8" t="s">
        <v>8207</v>
      </c>
      <c r="C12" t="s">
        <v>10101</v>
      </c>
      <c r="D12" t="s">
        <v>10114</v>
      </c>
      <c r="E12" t="s">
        <v>105</v>
      </c>
      <c r="F12" t="s">
        <v>10117</v>
      </c>
      <c r="M12" s="8" t="s">
        <v>10118</v>
      </c>
      <c r="N12" t="s">
        <v>10100</v>
      </c>
      <c r="O12" s="8" t="s">
        <v>10083</v>
      </c>
    </row>
    <row r="13" spans="2:19">
      <c r="B13" s="8" t="s">
        <v>8207</v>
      </c>
      <c r="C13" t="s">
        <v>159</v>
      </c>
      <c r="D13" t="s">
        <v>10114</v>
      </c>
      <c r="E13" t="s">
        <v>105</v>
      </c>
      <c r="F13" t="s">
        <v>10119</v>
      </c>
      <c r="G13" s="8" t="s">
        <v>10079</v>
      </c>
      <c r="H13" s="8" t="s">
        <v>431</v>
      </c>
      <c r="I13" s="8" t="s">
        <v>6930</v>
      </c>
      <c r="J13" s="8" t="s">
        <v>10086</v>
      </c>
      <c r="K13" s="8" t="s">
        <v>431</v>
      </c>
      <c r="L13" s="8" t="s">
        <v>10086</v>
      </c>
      <c r="M13" s="8" t="s">
        <v>10091</v>
      </c>
      <c r="N13" s="8" t="s">
        <v>10092</v>
      </c>
      <c r="O13" s="8" t="s">
        <v>10083</v>
      </c>
    </row>
    <row r="14" spans="2:19">
      <c r="B14" s="8" t="s">
        <v>8207</v>
      </c>
      <c r="C14" t="s">
        <v>10120</v>
      </c>
      <c r="D14" t="s">
        <v>10114</v>
      </c>
      <c r="E14" t="s">
        <v>105</v>
      </c>
      <c r="F14" t="s">
        <v>10121</v>
      </c>
      <c r="G14" s="8" t="s">
        <v>10079</v>
      </c>
      <c r="H14" s="8" t="s">
        <v>431</v>
      </c>
      <c r="I14" s="8" t="s">
        <v>6930</v>
      </c>
      <c r="J14" s="8" t="s">
        <v>10086</v>
      </c>
      <c r="K14" s="8" t="s">
        <v>431</v>
      </c>
      <c r="L14" s="8" t="s">
        <v>10086</v>
      </c>
      <c r="M14" s="8" t="s">
        <v>10122</v>
      </c>
      <c r="N14" s="8" t="s">
        <v>10092</v>
      </c>
      <c r="O14" s="8" t="s">
        <v>10083</v>
      </c>
    </row>
  </sheetData>
  <autoFilter ref="B1:S14" xr:uid="{D87B1B53-0F41-4570-B0AC-B02A07BF4232}"/>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29DE9-EA28-4097-9037-B02610D8780A}">
  <sheetPr>
    <tabColor theme="5" tint="0.59999389629810485"/>
  </sheetPr>
  <dimension ref="B1:T30"/>
  <sheetViews>
    <sheetView workbookViewId="0">
      <selection activeCell="G13" sqref="G13"/>
    </sheetView>
  </sheetViews>
  <sheetFormatPr defaultRowHeight="15"/>
  <cols>
    <col min="2" max="2" width="14.5703125" style="8" bestFit="1" customWidth="1"/>
    <col min="4" max="4" width="43" style="8" bestFit="1" customWidth="1"/>
    <col min="6" max="6" width="23.5703125" style="8" bestFit="1" customWidth="1"/>
    <col min="7" max="7" width="138.42578125" style="8" bestFit="1" customWidth="1"/>
  </cols>
  <sheetData>
    <row r="1" spans="2:20" ht="15.75" thickBot="1">
      <c r="B1" t="s">
        <v>2157</v>
      </c>
      <c r="C1" t="s">
        <v>336</v>
      </c>
      <c r="D1" t="s">
        <v>337</v>
      </c>
      <c r="F1" t="s">
        <v>338</v>
      </c>
      <c r="G1" t="s">
        <v>339</v>
      </c>
      <c r="H1" t="s">
        <v>416</v>
      </c>
      <c r="I1" t="s">
        <v>417</v>
      </c>
      <c r="J1" t="s">
        <v>418</v>
      </c>
      <c r="K1" t="s">
        <v>419</v>
      </c>
      <c r="L1" t="s">
        <v>420</v>
      </c>
      <c r="M1" t="s">
        <v>421</v>
      </c>
      <c r="N1" t="s">
        <v>422</v>
      </c>
      <c r="O1" t="s">
        <v>423</v>
      </c>
      <c r="P1" t="s">
        <v>424</v>
      </c>
      <c r="Q1" t="s">
        <v>425</v>
      </c>
      <c r="R1" t="s">
        <v>426</v>
      </c>
      <c r="S1" t="s">
        <v>427</v>
      </c>
      <c r="T1" t="s">
        <v>428</v>
      </c>
    </row>
    <row r="2" spans="2:20">
      <c r="B2" s="8" t="s">
        <v>3475</v>
      </c>
      <c r="C2" t="s">
        <v>10123</v>
      </c>
      <c r="D2" t="s">
        <v>3477</v>
      </c>
      <c r="F2" t="s">
        <v>10124</v>
      </c>
      <c r="G2" t="s">
        <v>10125</v>
      </c>
    </row>
    <row r="3" spans="2:20">
      <c r="B3" s="8" t="s">
        <v>3475</v>
      </c>
      <c r="C3" t="s">
        <v>10126</v>
      </c>
      <c r="D3" t="s">
        <v>3477</v>
      </c>
      <c r="F3" t="s">
        <v>10124</v>
      </c>
      <c r="G3" t="s">
        <v>10127</v>
      </c>
    </row>
    <row r="4" spans="2:20">
      <c r="B4" s="8" t="s">
        <v>3475</v>
      </c>
      <c r="C4" t="s">
        <v>10128</v>
      </c>
      <c r="D4" t="s">
        <v>3477</v>
      </c>
      <c r="F4" t="s">
        <v>10124</v>
      </c>
      <c r="G4" t="s">
        <v>10129</v>
      </c>
    </row>
    <row r="5" spans="2:20">
      <c r="B5" s="8" t="s">
        <v>3475</v>
      </c>
      <c r="C5" t="s">
        <v>10130</v>
      </c>
      <c r="D5" t="s">
        <v>10131</v>
      </c>
      <c r="F5" t="s">
        <v>10124</v>
      </c>
      <c r="G5" t="s">
        <v>10132</v>
      </c>
    </row>
    <row r="6" spans="2:20">
      <c r="B6" s="8" t="s">
        <v>3475</v>
      </c>
      <c r="C6" t="s">
        <v>2855</v>
      </c>
      <c r="D6" t="s">
        <v>10131</v>
      </c>
      <c r="F6" t="s">
        <v>10124</v>
      </c>
      <c r="G6" t="s">
        <v>10133</v>
      </c>
    </row>
    <row r="7" spans="2:20">
      <c r="B7" s="8" t="s">
        <v>3475</v>
      </c>
      <c r="C7" t="s">
        <v>10134</v>
      </c>
      <c r="D7" t="s">
        <v>10131</v>
      </c>
      <c r="F7" t="s">
        <v>10124</v>
      </c>
      <c r="G7" t="s">
        <v>10135</v>
      </c>
    </row>
    <row r="8" spans="2:20">
      <c r="B8" s="8" t="s">
        <v>3593</v>
      </c>
      <c r="C8" t="s">
        <v>10126</v>
      </c>
      <c r="D8" t="s">
        <v>10136</v>
      </c>
      <c r="F8" t="s">
        <v>10124</v>
      </c>
      <c r="G8" t="s">
        <v>10137</v>
      </c>
    </row>
    <row r="9" spans="2:20">
      <c r="B9" s="8" t="s">
        <v>3593</v>
      </c>
      <c r="C9" t="s">
        <v>10128</v>
      </c>
      <c r="D9" t="s">
        <v>10136</v>
      </c>
      <c r="F9" t="s">
        <v>10124</v>
      </c>
      <c r="G9" t="s">
        <v>10138</v>
      </c>
    </row>
    <row r="10" spans="2:20">
      <c r="B10" s="8" t="s">
        <v>3593</v>
      </c>
      <c r="C10" t="s">
        <v>10130</v>
      </c>
      <c r="D10" t="s">
        <v>10136</v>
      </c>
      <c r="F10" t="s">
        <v>10124</v>
      </c>
      <c r="G10" t="s">
        <v>10139</v>
      </c>
    </row>
    <row r="11" spans="2:20">
      <c r="B11" s="8" t="s">
        <v>3593</v>
      </c>
      <c r="C11" t="s">
        <v>2855</v>
      </c>
      <c r="D11" t="s">
        <v>10136</v>
      </c>
      <c r="F11" t="s">
        <v>10124</v>
      </c>
      <c r="G11" t="s">
        <v>10140</v>
      </c>
    </row>
    <row r="12" spans="2:20">
      <c r="B12" s="8" t="s">
        <v>3593</v>
      </c>
      <c r="C12" t="s">
        <v>10134</v>
      </c>
      <c r="D12" t="s">
        <v>10136</v>
      </c>
      <c r="F12" t="s">
        <v>10124</v>
      </c>
      <c r="G12" t="s">
        <v>10141</v>
      </c>
    </row>
    <row r="13" spans="2:20">
      <c r="B13" s="8" t="s">
        <v>3593</v>
      </c>
      <c r="C13" t="s">
        <v>10142</v>
      </c>
      <c r="D13" t="s">
        <v>10143</v>
      </c>
      <c r="F13" t="s">
        <v>10124</v>
      </c>
      <c r="G13" t="s">
        <v>10144</v>
      </c>
    </row>
    <row r="14" spans="2:20">
      <c r="B14" s="8" t="s">
        <v>3593</v>
      </c>
      <c r="C14" t="s">
        <v>10145</v>
      </c>
      <c r="D14" t="s">
        <v>10143</v>
      </c>
      <c r="F14" t="s">
        <v>10124</v>
      </c>
      <c r="G14" t="s">
        <v>10146</v>
      </c>
    </row>
    <row r="15" spans="2:20">
      <c r="B15" s="8" t="s">
        <v>3593</v>
      </c>
      <c r="C15" t="s">
        <v>10147</v>
      </c>
      <c r="D15" t="s">
        <v>10143</v>
      </c>
      <c r="F15" t="s">
        <v>10124</v>
      </c>
      <c r="G15" t="s">
        <v>10148</v>
      </c>
    </row>
    <row r="16" spans="2:20">
      <c r="B16" s="8" t="s">
        <v>3593</v>
      </c>
      <c r="C16" t="s">
        <v>10149</v>
      </c>
      <c r="D16" t="s">
        <v>10143</v>
      </c>
      <c r="F16" t="s">
        <v>10124</v>
      </c>
      <c r="G16" t="s">
        <v>10150</v>
      </c>
    </row>
    <row r="17" spans="2:7">
      <c r="B17" s="8" t="s">
        <v>3593</v>
      </c>
      <c r="C17" t="s">
        <v>10151</v>
      </c>
      <c r="D17" t="s">
        <v>10143</v>
      </c>
      <c r="F17" t="s">
        <v>10124</v>
      </c>
      <c r="G17" t="s">
        <v>10152</v>
      </c>
    </row>
    <row r="18" spans="2:7">
      <c r="B18" s="8" t="s">
        <v>3593</v>
      </c>
      <c r="C18" t="s">
        <v>10153</v>
      </c>
      <c r="D18" t="s">
        <v>10143</v>
      </c>
      <c r="F18" t="s">
        <v>10124</v>
      </c>
      <c r="G18" t="s">
        <v>10154</v>
      </c>
    </row>
    <row r="19" spans="2:7">
      <c r="B19" s="8" t="s">
        <v>3593</v>
      </c>
      <c r="C19" t="s">
        <v>10155</v>
      </c>
      <c r="D19" t="s">
        <v>10143</v>
      </c>
      <c r="F19" t="s">
        <v>10124</v>
      </c>
      <c r="G19" t="s">
        <v>10156</v>
      </c>
    </row>
    <row r="20" spans="2:7">
      <c r="B20" s="8" t="s">
        <v>3593</v>
      </c>
      <c r="C20" t="s">
        <v>10157</v>
      </c>
      <c r="D20" t="s">
        <v>10143</v>
      </c>
      <c r="F20" t="s">
        <v>10124</v>
      </c>
      <c r="G20" t="s">
        <v>10158</v>
      </c>
    </row>
    <row r="21" spans="2:7">
      <c r="B21" s="8" t="s">
        <v>3593</v>
      </c>
      <c r="C21" t="s">
        <v>10159</v>
      </c>
      <c r="D21" t="s">
        <v>10143</v>
      </c>
      <c r="F21" t="s">
        <v>10124</v>
      </c>
      <c r="G21" t="s">
        <v>10160</v>
      </c>
    </row>
    <row r="22" spans="2:7">
      <c r="B22" s="8" t="s">
        <v>3593</v>
      </c>
      <c r="C22" t="s">
        <v>10161</v>
      </c>
      <c r="D22" t="s">
        <v>10143</v>
      </c>
      <c r="F22" t="s">
        <v>10124</v>
      </c>
      <c r="G22" t="s">
        <v>10162</v>
      </c>
    </row>
    <row r="23" spans="2:7">
      <c r="B23" s="8" t="s">
        <v>3593</v>
      </c>
      <c r="C23" t="s">
        <v>10163</v>
      </c>
      <c r="D23" t="s">
        <v>10143</v>
      </c>
      <c r="F23" t="s">
        <v>10124</v>
      </c>
      <c r="G23" t="s">
        <v>10164</v>
      </c>
    </row>
    <row r="24" spans="2:7">
      <c r="B24" s="8" t="s">
        <v>3593</v>
      </c>
      <c r="C24" t="s">
        <v>10165</v>
      </c>
      <c r="D24" t="s">
        <v>10143</v>
      </c>
      <c r="F24" t="s">
        <v>10124</v>
      </c>
      <c r="G24" t="s">
        <v>10166</v>
      </c>
    </row>
    <row r="25" spans="2:7">
      <c r="B25" s="8" t="s">
        <v>3593</v>
      </c>
      <c r="C25" t="s">
        <v>10167</v>
      </c>
      <c r="D25" t="s">
        <v>10143</v>
      </c>
      <c r="F25" t="s">
        <v>10124</v>
      </c>
      <c r="G25" t="s">
        <v>10168</v>
      </c>
    </row>
    <row r="26" spans="2:7">
      <c r="B26" s="8" t="s">
        <v>3593</v>
      </c>
      <c r="C26" t="s">
        <v>10169</v>
      </c>
      <c r="D26" t="s">
        <v>10143</v>
      </c>
      <c r="F26" t="s">
        <v>10124</v>
      </c>
      <c r="G26" t="s">
        <v>10170</v>
      </c>
    </row>
    <row r="27" spans="2:7">
      <c r="B27" s="8" t="s">
        <v>3593</v>
      </c>
      <c r="C27" t="s">
        <v>10171</v>
      </c>
      <c r="D27" t="s">
        <v>10143</v>
      </c>
      <c r="F27" t="s">
        <v>10124</v>
      </c>
      <c r="G27" t="s">
        <v>10172</v>
      </c>
    </row>
    <row r="28" spans="2:7">
      <c r="B28" s="8" t="s">
        <v>3593</v>
      </c>
      <c r="C28" t="s">
        <v>10173</v>
      </c>
      <c r="D28" t="s">
        <v>10143</v>
      </c>
      <c r="F28" t="s">
        <v>10124</v>
      </c>
      <c r="G28" t="s">
        <v>10174</v>
      </c>
    </row>
    <row r="29" spans="2:7">
      <c r="B29" s="8" t="s">
        <v>3593</v>
      </c>
      <c r="C29" t="s">
        <v>10175</v>
      </c>
      <c r="D29" t="s">
        <v>10176</v>
      </c>
      <c r="F29" t="s">
        <v>10124</v>
      </c>
      <c r="G29" t="s">
        <v>10177</v>
      </c>
    </row>
    <row r="30" spans="2:7">
      <c r="B30" s="8" t="s">
        <v>3593</v>
      </c>
      <c r="C30" t="s">
        <v>10178</v>
      </c>
      <c r="D30" t="s">
        <v>10176</v>
      </c>
      <c r="F30" t="s">
        <v>10124</v>
      </c>
      <c r="G30" t="s">
        <v>10179</v>
      </c>
    </row>
  </sheetData>
  <autoFilter ref="B1:R30" xr:uid="{AA629DE9-EA28-4097-9037-B02610D8780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06CBA-985F-418E-83D8-3A2E741D9030}">
  <sheetPr>
    <tabColor theme="9" tint="0.79998168889431442"/>
  </sheetPr>
  <dimension ref="A1:AC86"/>
  <sheetViews>
    <sheetView topLeftCell="E33" workbookViewId="0">
      <selection activeCell="F12" sqref="F12"/>
    </sheetView>
  </sheetViews>
  <sheetFormatPr defaultRowHeight="15"/>
  <cols>
    <col min="1" max="1" width="18" style="8" customWidth="1"/>
    <col min="2" max="2" width="25.5703125" style="8" customWidth="1"/>
    <col min="3" max="3" width="25.42578125" style="8" customWidth="1"/>
    <col min="4" max="4" width="17" style="8" bestFit="1" customWidth="1"/>
    <col min="5" max="5" width="158.42578125" style="8" bestFit="1" customWidth="1"/>
    <col min="6" max="6" width="34.5703125" style="8" bestFit="1" customWidth="1"/>
    <col min="7" max="7" width="11.85546875" style="8" bestFit="1" customWidth="1"/>
    <col min="8" max="8" width="16.5703125" style="8" bestFit="1" customWidth="1"/>
    <col min="9" max="9" width="36.42578125" style="8" bestFit="1" customWidth="1"/>
    <col min="10" max="10" width="52.42578125" style="8" bestFit="1" customWidth="1"/>
    <col min="11" max="11" width="39.42578125" style="8" bestFit="1" customWidth="1"/>
    <col min="12" max="12" width="87.42578125" style="8" customWidth="1"/>
    <col min="13" max="13" width="30.42578125" style="8" customWidth="1"/>
    <col min="14" max="14" width="28.5703125" style="8" customWidth="1"/>
    <col min="15" max="15" width="30.42578125" style="8" customWidth="1"/>
    <col min="16" max="16" width="32.140625" style="8" customWidth="1"/>
    <col min="17" max="17" width="19.42578125" style="8" bestFit="1" customWidth="1"/>
    <col min="18" max="18" width="19.140625" style="8" bestFit="1" customWidth="1"/>
    <col min="19" max="20" width="14.85546875" style="8" bestFit="1" customWidth="1"/>
    <col min="21" max="21" width="15.140625" style="8" bestFit="1" customWidth="1"/>
    <col min="22" max="22" width="15" style="8" bestFit="1" customWidth="1"/>
    <col min="23" max="23" width="12.42578125" style="8" customWidth="1"/>
    <col min="24" max="24" width="49.42578125" style="8" customWidth="1"/>
    <col min="25" max="25" width="48.42578125" style="8" bestFit="1" customWidth="1"/>
    <col min="26" max="26" width="33.5703125" style="8" bestFit="1" customWidth="1"/>
    <col min="27" max="27" width="48" style="8" bestFit="1" customWidth="1"/>
    <col min="28" max="28" width="44.85546875" style="8" bestFit="1" customWidth="1"/>
    <col min="29" max="29" width="103.42578125" style="8" bestFit="1" customWidth="1"/>
  </cols>
  <sheetData>
    <row r="1" spans="1:29">
      <c r="A1" t="s">
        <v>10180</v>
      </c>
    </row>
    <row r="2" spans="1:29">
      <c r="A2" s="418" t="s">
        <v>2157</v>
      </c>
      <c r="B2" s="418" t="s">
        <v>336</v>
      </c>
      <c r="C2" s="418" t="s">
        <v>337</v>
      </c>
      <c r="D2" s="418" t="s">
        <v>338</v>
      </c>
      <c r="E2" s="418" t="s">
        <v>339</v>
      </c>
      <c r="F2" s="403" t="s">
        <v>2158</v>
      </c>
      <c r="G2" s="403" t="s">
        <v>2159</v>
      </c>
      <c r="H2" s="403" t="s">
        <v>2160</v>
      </c>
      <c r="I2" s="403" t="s">
        <v>425</v>
      </c>
      <c r="J2" s="403" t="s">
        <v>426</v>
      </c>
      <c r="K2" s="403" t="s">
        <v>427</v>
      </c>
      <c r="L2" s="403" t="s">
        <v>2161</v>
      </c>
      <c r="M2" s="403" t="s">
        <v>2162</v>
      </c>
      <c r="N2" s="403" t="s">
        <v>6856</v>
      </c>
      <c r="O2" s="403" t="s">
        <v>16</v>
      </c>
      <c r="P2" s="403" t="s">
        <v>428</v>
      </c>
      <c r="Q2" s="403" t="s">
        <v>416</v>
      </c>
      <c r="R2" s="403" t="s">
        <v>417</v>
      </c>
      <c r="S2" s="403" t="s">
        <v>418</v>
      </c>
      <c r="T2" s="403" t="s">
        <v>419</v>
      </c>
      <c r="U2" s="403" t="s">
        <v>420</v>
      </c>
      <c r="V2" s="403" t="s">
        <v>421</v>
      </c>
      <c r="W2" s="403" t="s">
        <v>422</v>
      </c>
      <c r="X2" s="403" t="s">
        <v>423</v>
      </c>
      <c r="Y2" s="403" t="s">
        <v>424</v>
      </c>
      <c r="Z2" s="403" t="s">
        <v>425</v>
      </c>
      <c r="AA2" s="403" t="s">
        <v>426</v>
      </c>
      <c r="AB2" s="403" t="s">
        <v>427</v>
      </c>
      <c r="AC2" s="403" t="s">
        <v>428</v>
      </c>
    </row>
    <row r="3" spans="1:29">
      <c r="A3" t="s">
        <v>3593</v>
      </c>
      <c r="B3" t="s">
        <v>3578</v>
      </c>
      <c r="C3" t="s">
        <v>10181</v>
      </c>
      <c r="D3" t="s">
        <v>10182</v>
      </c>
      <c r="E3" t="s">
        <v>10183</v>
      </c>
      <c r="F3" t="s">
        <v>544</v>
      </c>
      <c r="G3"/>
      <c r="H3"/>
      <c r="I3" t="s">
        <v>2140</v>
      </c>
      <c r="J3" t="s">
        <v>641</v>
      </c>
      <c r="K3" t="s">
        <v>10184</v>
      </c>
      <c r="L3" t="s">
        <v>10185</v>
      </c>
      <c r="M3"/>
      <c r="N3"/>
      <c r="O3"/>
      <c r="P3"/>
      <c r="Q3" t="s">
        <v>429</v>
      </c>
      <c r="R3" t="s">
        <v>429</v>
      </c>
      <c r="S3">
        <v>10</v>
      </c>
      <c r="T3" t="s">
        <v>10186</v>
      </c>
      <c r="U3" t="s">
        <v>431</v>
      </c>
      <c r="V3" t="s">
        <v>10186</v>
      </c>
      <c r="W3" t="s">
        <v>10187</v>
      </c>
      <c r="X3" t="s">
        <v>10187</v>
      </c>
      <c r="Y3"/>
      <c r="Z3" t="s">
        <v>2140</v>
      </c>
      <c r="AA3" t="s">
        <v>641</v>
      </c>
      <c r="AB3" t="s">
        <v>10188</v>
      </c>
      <c r="AC3"/>
    </row>
    <row r="4" spans="1:29">
      <c r="A4" t="s">
        <v>3593</v>
      </c>
      <c r="B4" t="s">
        <v>10189</v>
      </c>
      <c r="C4" t="s">
        <v>10181</v>
      </c>
      <c r="D4" t="s">
        <v>10182</v>
      </c>
      <c r="E4" t="s">
        <v>10190</v>
      </c>
      <c r="F4" t="s">
        <v>544</v>
      </c>
      <c r="G4"/>
      <c r="H4"/>
      <c r="I4" t="s">
        <v>2140</v>
      </c>
      <c r="J4" t="s">
        <v>641</v>
      </c>
      <c r="K4" t="s">
        <v>10191</v>
      </c>
      <c r="L4" t="s">
        <v>10185</v>
      </c>
      <c r="M4"/>
      <c r="N4"/>
      <c r="O4"/>
      <c r="P4"/>
      <c r="Q4" t="s">
        <v>435</v>
      </c>
      <c r="R4" t="s">
        <v>435</v>
      </c>
      <c r="S4">
        <v>35</v>
      </c>
      <c r="T4" t="s">
        <v>10192</v>
      </c>
      <c r="U4" t="s">
        <v>431</v>
      </c>
      <c r="V4" t="s">
        <v>10192</v>
      </c>
      <c r="W4"/>
      <c r="X4"/>
      <c r="Y4"/>
      <c r="Z4" t="s">
        <v>2140</v>
      </c>
      <c r="AA4" t="s">
        <v>641</v>
      </c>
      <c r="AB4" t="s">
        <v>10193</v>
      </c>
      <c r="AC4"/>
    </row>
    <row r="5" spans="1:29">
      <c r="A5" t="s">
        <v>3593</v>
      </c>
      <c r="B5" t="s">
        <v>4293</v>
      </c>
      <c r="C5" t="s">
        <v>10181</v>
      </c>
      <c r="D5" t="s">
        <v>10182</v>
      </c>
      <c r="E5" t="s">
        <v>10194</v>
      </c>
      <c r="F5" t="s">
        <v>544</v>
      </c>
      <c r="G5"/>
      <c r="H5"/>
      <c r="I5" t="s">
        <v>2140</v>
      </c>
      <c r="J5" t="s">
        <v>623</v>
      </c>
      <c r="K5" t="s">
        <v>10195</v>
      </c>
      <c r="L5" t="s">
        <v>10196</v>
      </c>
      <c r="M5"/>
      <c r="N5"/>
      <c r="O5"/>
      <c r="P5"/>
      <c r="Q5" t="s">
        <v>435</v>
      </c>
      <c r="R5" t="s">
        <v>435</v>
      </c>
      <c r="S5">
        <v>35</v>
      </c>
      <c r="T5" t="s">
        <v>10192</v>
      </c>
      <c r="U5" t="s">
        <v>431</v>
      </c>
      <c r="V5" t="s">
        <v>10192</v>
      </c>
      <c r="W5"/>
      <c r="X5"/>
      <c r="Y5"/>
      <c r="Z5" t="s">
        <v>2140</v>
      </c>
      <c r="AA5" t="s">
        <v>623</v>
      </c>
      <c r="AB5" t="s">
        <v>10197</v>
      </c>
      <c r="AC5"/>
    </row>
    <row r="6" spans="1:29">
      <c r="A6" t="s">
        <v>3593</v>
      </c>
      <c r="B6" t="s">
        <v>4242</v>
      </c>
      <c r="C6" t="s">
        <v>10181</v>
      </c>
      <c r="D6" t="s">
        <v>10182</v>
      </c>
      <c r="E6" t="s">
        <v>10198</v>
      </c>
      <c r="F6" t="s">
        <v>544</v>
      </c>
      <c r="G6"/>
      <c r="H6"/>
      <c r="I6" t="s">
        <v>2140</v>
      </c>
      <c r="J6" t="s">
        <v>641</v>
      </c>
      <c r="K6" t="s">
        <v>10199</v>
      </c>
      <c r="L6" t="s">
        <v>10185</v>
      </c>
      <c r="M6"/>
      <c r="N6"/>
      <c r="O6"/>
      <c r="P6"/>
      <c r="Q6" t="s">
        <v>435</v>
      </c>
      <c r="R6" t="s">
        <v>435</v>
      </c>
      <c r="S6"/>
      <c r="T6" t="s">
        <v>2207</v>
      </c>
      <c r="U6" t="s">
        <v>431</v>
      </c>
      <c r="V6" t="s">
        <v>8634</v>
      </c>
      <c r="W6"/>
      <c r="X6"/>
      <c r="Y6"/>
      <c r="Z6" t="s">
        <v>2140</v>
      </c>
      <c r="AA6" t="s">
        <v>641</v>
      </c>
      <c r="AB6" t="s">
        <v>10200</v>
      </c>
      <c r="AC6"/>
    </row>
    <row r="7" spans="1:29">
      <c r="A7" t="s">
        <v>3593</v>
      </c>
      <c r="B7" t="s">
        <v>10201</v>
      </c>
      <c r="C7" t="s">
        <v>10181</v>
      </c>
      <c r="D7" t="s">
        <v>10182</v>
      </c>
      <c r="E7" t="s">
        <v>10202</v>
      </c>
      <c r="F7" t="s">
        <v>544</v>
      </c>
      <c r="G7"/>
      <c r="H7"/>
      <c r="I7" t="s">
        <v>2140</v>
      </c>
      <c r="J7" t="s">
        <v>641</v>
      </c>
      <c r="K7" t="s">
        <v>10203</v>
      </c>
      <c r="L7" t="s">
        <v>10185</v>
      </c>
      <c r="M7"/>
      <c r="N7"/>
      <c r="O7"/>
      <c r="P7"/>
      <c r="Q7" t="s">
        <v>435</v>
      </c>
      <c r="R7" t="s">
        <v>435</v>
      </c>
      <c r="S7">
        <v>11</v>
      </c>
      <c r="T7" t="s">
        <v>10204</v>
      </c>
      <c r="U7" t="s">
        <v>431</v>
      </c>
      <c r="V7" t="s">
        <v>10204</v>
      </c>
      <c r="W7"/>
      <c r="X7"/>
      <c r="Y7"/>
      <c r="Z7" t="s">
        <v>2140</v>
      </c>
      <c r="AA7" t="s">
        <v>641</v>
      </c>
      <c r="AB7" t="s">
        <v>10205</v>
      </c>
      <c r="AC7"/>
    </row>
    <row r="8" spans="1:29">
      <c r="A8" t="s">
        <v>3593</v>
      </c>
      <c r="B8" t="s">
        <v>10206</v>
      </c>
      <c r="C8" t="s">
        <v>10181</v>
      </c>
      <c r="D8" t="s">
        <v>10182</v>
      </c>
      <c r="E8" t="s">
        <v>10207</v>
      </c>
      <c r="F8" t="s">
        <v>544</v>
      </c>
      <c r="G8"/>
      <c r="H8"/>
      <c r="I8" t="s">
        <v>2140</v>
      </c>
      <c r="J8" t="s">
        <v>623</v>
      </c>
      <c r="K8" t="s">
        <v>10208</v>
      </c>
      <c r="L8" t="s">
        <v>10196</v>
      </c>
      <c r="M8"/>
      <c r="N8"/>
      <c r="O8" t="s">
        <v>10209</v>
      </c>
      <c r="P8" t="s">
        <v>10209</v>
      </c>
      <c r="Q8" t="s">
        <v>435</v>
      </c>
      <c r="R8" t="s">
        <v>435</v>
      </c>
      <c r="S8">
        <v>11</v>
      </c>
      <c r="T8" t="s">
        <v>10204</v>
      </c>
      <c r="U8" t="s">
        <v>431</v>
      </c>
      <c r="V8" t="s">
        <v>10204</v>
      </c>
      <c r="W8"/>
      <c r="X8"/>
      <c r="Y8"/>
      <c r="Z8" t="s">
        <v>2140</v>
      </c>
      <c r="AA8" t="s">
        <v>623</v>
      </c>
      <c r="AB8" t="s">
        <v>10210</v>
      </c>
      <c r="AC8" t="s">
        <v>10209</v>
      </c>
    </row>
    <row r="9" spans="1:29">
      <c r="A9" t="s">
        <v>3593</v>
      </c>
      <c r="B9" t="s">
        <v>10211</v>
      </c>
      <c r="C9" t="s">
        <v>10181</v>
      </c>
      <c r="D9" t="s">
        <v>10182</v>
      </c>
      <c r="E9" t="s">
        <v>10212</v>
      </c>
      <c r="F9" t="s">
        <v>544</v>
      </c>
      <c r="G9"/>
      <c r="H9"/>
      <c r="I9" t="s">
        <v>2140</v>
      </c>
      <c r="J9" t="s">
        <v>631</v>
      </c>
      <c r="K9" t="s">
        <v>10213</v>
      </c>
      <c r="L9" t="s">
        <v>10214</v>
      </c>
      <c r="M9"/>
      <c r="N9"/>
      <c r="O9"/>
      <c r="P9"/>
      <c r="Q9" t="s">
        <v>435</v>
      </c>
      <c r="R9" t="s">
        <v>435</v>
      </c>
      <c r="S9" t="s">
        <v>10215</v>
      </c>
      <c r="T9" t="s">
        <v>8407</v>
      </c>
      <c r="U9" t="s">
        <v>431</v>
      </c>
      <c r="V9" t="s">
        <v>8407</v>
      </c>
      <c r="W9"/>
      <c r="X9"/>
      <c r="Y9"/>
      <c r="Z9" t="s">
        <v>2140</v>
      </c>
      <c r="AA9" t="s">
        <v>631</v>
      </c>
      <c r="AB9" t="s">
        <v>10216</v>
      </c>
      <c r="AC9"/>
    </row>
    <row r="10" spans="1:29">
      <c r="A10" t="s">
        <v>3593</v>
      </c>
      <c r="B10" t="s">
        <v>5416</v>
      </c>
      <c r="C10" t="s">
        <v>10181</v>
      </c>
      <c r="D10" t="s">
        <v>10182</v>
      </c>
      <c r="E10" t="s">
        <v>10217</v>
      </c>
      <c r="F10" t="s">
        <v>544</v>
      </c>
      <c r="G10"/>
      <c r="H10"/>
      <c r="I10" t="s">
        <v>2140</v>
      </c>
      <c r="J10" t="s">
        <v>623</v>
      </c>
      <c r="K10" t="s">
        <v>10218</v>
      </c>
      <c r="L10" t="s">
        <v>10196</v>
      </c>
      <c r="M10"/>
      <c r="N10"/>
      <c r="O10"/>
      <c r="P10"/>
      <c r="Q10" t="s">
        <v>435</v>
      </c>
      <c r="R10" t="s">
        <v>435</v>
      </c>
      <c r="S10" t="s">
        <v>10215</v>
      </c>
      <c r="T10" t="s">
        <v>10219</v>
      </c>
      <c r="U10" t="s">
        <v>7363</v>
      </c>
      <c r="V10" t="s">
        <v>10219</v>
      </c>
      <c r="W10"/>
      <c r="X10"/>
      <c r="Y10"/>
      <c r="Z10" t="s">
        <v>2140</v>
      </c>
      <c r="AA10" t="s">
        <v>623</v>
      </c>
      <c r="AB10" t="s">
        <v>10220</v>
      </c>
      <c r="AC10"/>
    </row>
    <row r="11" spans="1:29">
      <c r="A11" t="s">
        <v>3593</v>
      </c>
      <c r="B11" t="s">
        <v>7636</v>
      </c>
      <c r="C11" t="s">
        <v>10181</v>
      </c>
      <c r="D11" t="s">
        <v>10182</v>
      </c>
      <c r="E11" t="s">
        <v>10221</v>
      </c>
      <c r="F11" t="s">
        <v>544</v>
      </c>
      <c r="G11"/>
      <c r="H11"/>
      <c r="I11" t="s">
        <v>2140</v>
      </c>
      <c r="J11" t="s">
        <v>623</v>
      </c>
      <c r="K11" t="s">
        <v>10218</v>
      </c>
      <c r="L11" t="s">
        <v>10196</v>
      </c>
      <c r="M11"/>
      <c r="N11"/>
      <c r="O11"/>
      <c r="P11"/>
      <c r="Q11" t="s">
        <v>435</v>
      </c>
      <c r="R11" t="s">
        <v>435</v>
      </c>
      <c r="S11"/>
      <c r="T11" t="s">
        <v>10222</v>
      </c>
      <c r="U11" t="s">
        <v>6872</v>
      </c>
      <c r="V11" t="s">
        <v>10222</v>
      </c>
      <c r="W11"/>
      <c r="X11"/>
      <c r="Y11"/>
      <c r="Z11" t="s">
        <v>2140</v>
      </c>
      <c r="AA11" t="s">
        <v>623</v>
      </c>
      <c r="AB11" t="s">
        <v>10223</v>
      </c>
      <c r="AC11"/>
    </row>
    <row r="12" spans="1:29" ht="45">
      <c r="A12" t="s">
        <v>3593</v>
      </c>
      <c r="B12" t="s">
        <v>10224</v>
      </c>
      <c r="C12" t="s">
        <v>10181</v>
      </c>
      <c r="D12" t="s">
        <v>10182</v>
      </c>
      <c r="E12" t="s">
        <v>10225</v>
      </c>
      <c r="F12" t="s">
        <v>544</v>
      </c>
      <c r="G12"/>
      <c r="H12"/>
      <c r="I12" t="s">
        <v>2140</v>
      </c>
      <c r="J12" t="s">
        <v>584</v>
      </c>
      <c r="K12" t="s">
        <v>10226</v>
      </c>
      <c r="L12" s="12" t="s">
        <v>10227</v>
      </c>
      <c r="M12" t="s">
        <v>10228</v>
      </c>
      <c r="N12"/>
      <c r="O12"/>
      <c r="P12"/>
      <c r="Q12" t="s">
        <v>435</v>
      </c>
      <c r="R12" t="s">
        <v>435</v>
      </c>
      <c r="S12">
        <v>30</v>
      </c>
      <c r="T12" t="s">
        <v>10229</v>
      </c>
      <c r="U12" t="s">
        <v>431</v>
      </c>
      <c r="V12" t="s">
        <v>10229</v>
      </c>
      <c r="W12"/>
      <c r="X12"/>
      <c r="Y12"/>
      <c r="Z12" t="s">
        <v>2140</v>
      </c>
      <c r="AA12" t="s">
        <v>584</v>
      </c>
      <c r="AB12" t="s">
        <v>10230</v>
      </c>
      <c r="AC12"/>
    </row>
    <row r="13" spans="1:29" ht="45">
      <c r="A13" t="s">
        <v>3593</v>
      </c>
      <c r="B13" t="s">
        <v>10089</v>
      </c>
      <c r="C13" t="s">
        <v>10181</v>
      </c>
      <c r="D13" t="s">
        <v>10182</v>
      </c>
      <c r="E13" t="s">
        <v>10231</v>
      </c>
      <c r="F13" t="s">
        <v>544</v>
      </c>
      <c r="G13"/>
      <c r="H13"/>
      <c r="I13" t="s">
        <v>2140</v>
      </c>
      <c r="J13" t="s">
        <v>584</v>
      </c>
      <c r="K13" t="s">
        <v>10232</v>
      </c>
      <c r="L13" s="12" t="s">
        <v>10227</v>
      </c>
      <c r="M13" t="s">
        <v>10228</v>
      </c>
      <c r="N13"/>
      <c r="O13"/>
      <c r="P13"/>
      <c r="Q13" t="s">
        <v>435</v>
      </c>
      <c r="R13" t="s">
        <v>435</v>
      </c>
      <c r="S13">
        <v>30</v>
      </c>
      <c r="T13" t="s">
        <v>10229</v>
      </c>
      <c r="U13" t="s">
        <v>431</v>
      </c>
      <c r="V13" t="s">
        <v>10229</v>
      </c>
      <c r="W13"/>
      <c r="X13"/>
      <c r="Y13"/>
      <c r="Z13" t="s">
        <v>2140</v>
      </c>
      <c r="AA13" t="s">
        <v>584</v>
      </c>
      <c r="AB13" t="s">
        <v>10233</v>
      </c>
      <c r="AC13"/>
    </row>
    <row r="14" spans="1:29">
      <c r="A14" t="s">
        <v>3593</v>
      </c>
      <c r="B14" t="s">
        <v>9554</v>
      </c>
      <c r="C14" t="s">
        <v>10181</v>
      </c>
      <c r="D14" t="s">
        <v>10182</v>
      </c>
      <c r="E14" t="s">
        <v>10234</v>
      </c>
      <c r="F14" t="s">
        <v>544</v>
      </c>
      <c r="G14"/>
      <c r="H14"/>
      <c r="I14" t="s">
        <v>2140</v>
      </c>
      <c r="J14" t="s">
        <v>641</v>
      </c>
      <c r="K14" t="s">
        <v>1234</v>
      </c>
      <c r="L14" t="s">
        <v>10185</v>
      </c>
      <c r="M14"/>
      <c r="N14"/>
      <c r="O14"/>
      <c r="P14"/>
      <c r="Q14" t="s">
        <v>435</v>
      </c>
      <c r="R14" t="s">
        <v>435</v>
      </c>
      <c r="S14"/>
      <c r="T14" t="s">
        <v>2207</v>
      </c>
      <c r="U14" t="s">
        <v>8199</v>
      </c>
      <c r="V14" t="s">
        <v>8199</v>
      </c>
      <c r="W14"/>
      <c r="X14"/>
      <c r="Y14"/>
      <c r="Z14" t="s">
        <v>2140</v>
      </c>
      <c r="AA14" t="s">
        <v>641</v>
      </c>
      <c r="AB14" t="s">
        <v>10235</v>
      </c>
      <c r="AC14"/>
    </row>
    <row r="15" spans="1:29">
      <c r="A15" t="s">
        <v>3593</v>
      </c>
      <c r="B15" t="s">
        <v>10236</v>
      </c>
      <c r="C15" t="s">
        <v>10181</v>
      </c>
      <c r="D15" t="s">
        <v>10182</v>
      </c>
      <c r="E15" t="s">
        <v>10237</v>
      </c>
      <c r="F15" t="s">
        <v>544</v>
      </c>
      <c r="G15"/>
      <c r="H15"/>
      <c r="I15" t="s">
        <v>2140</v>
      </c>
      <c r="J15" t="s">
        <v>10238</v>
      </c>
      <c r="K15" t="s">
        <v>10239</v>
      </c>
      <c r="L15" t="s">
        <v>10240</v>
      </c>
      <c r="M15"/>
      <c r="N15"/>
      <c r="O15"/>
      <c r="P15"/>
      <c r="Q15" t="s">
        <v>435</v>
      </c>
      <c r="R15" t="s">
        <v>435</v>
      </c>
      <c r="S15"/>
      <c r="T15" t="s">
        <v>10222</v>
      </c>
      <c r="U15" t="s">
        <v>6872</v>
      </c>
      <c r="V15" t="s">
        <v>10222</v>
      </c>
      <c r="W15"/>
      <c r="X15"/>
      <c r="Y15"/>
      <c r="Z15" t="s">
        <v>2140</v>
      </c>
      <c r="AA15" t="s">
        <v>623</v>
      </c>
      <c r="AB15" t="s">
        <v>10241</v>
      </c>
      <c r="AC15"/>
    </row>
    <row r="16" spans="1:29" ht="105">
      <c r="A16" t="s">
        <v>3593</v>
      </c>
      <c r="B16" t="s">
        <v>10242</v>
      </c>
      <c r="C16" t="s">
        <v>10181</v>
      </c>
      <c r="D16" t="s">
        <v>10182</v>
      </c>
      <c r="E16" t="s">
        <v>10243</v>
      </c>
      <c r="F16" t="s">
        <v>544</v>
      </c>
      <c r="G16"/>
      <c r="H16"/>
      <c r="I16" t="s">
        <v>2140</v>
      </c>
      <c r="J16" t="s">
        <v>1811</v>
      </c>
      <c r="K16" t="s">
        <v>440</v>
      </c>
      <c r="L16" s="12" t="s">
        <v>10244</v>
      </c>
      <c r="M16"/>
      <c r="N16"/>
      <c r="O16"/>
      <c r="P16"/>
      <c r="Q16" t="s">
        <v>435</v>
      </c>
      <c r="R16" t="s">
        <v>435</v>
      </c>
      <c r="S16"/>
      <c r="T16" t="s">
        <v>10222</v>
      </c>
      <c r="U16" t="s">
        <v>6872</v>
      </c>
      <c r="V16" t="s">
        <v>10222</v>
      </c>
      <c r="W16"/>
      <c r="X16"/>
      <c r="Y16"/>
      <c r="Z16" t="s">
        <v>2140</v>
      </c>
      <c r="AA16" t="s">
        <v>623</v>
      </c>
      <c r="AB16" t="s">
        <v>10245</v>
      </c>
      <c r="AC16"/>
    </row>
    <row r="17" spans="1:29">
      <c r="A17" t="s">
        <v>3593</v>
      </c>
      <c r="B17" t="s">
        <v>10246</v>
      </c>
      <c r="C17" t="s">
        <v>10181</v>
      </c>
      <c r="D17" t="s">
        <v>10182</v>
      </c>
      <c r="E17" t="s">
        <v>10247</v>
      </c>
      <c r="F17" t="s">
        <v>544</v>
      </c>
      <c r="G17"/>
      <c r="H17"/>
      <c r="I17" t="s">
        <v>2140</v>
      </c>
      <c r="J17" t="s">
        <v>623</v>
      </c>
      <c r="K17" t="s">
        <v>10248</v>
      </c>
      <c r="L17" t="s">
        <v>10196</v>
      </c>
      <c r="M17"/>
      <c r="N17"/>
      <c r="O17"/>
      <c r="P17"/>
      <c r="Q17" t="s">
        <v>435</v>
      </c>
      <c r="R17" t="s">
        <v>435</v>
      </c>
      <c r="S17"/>
      <c r="T17" t="s">
        <v>10222</v>
      </c>
      <c r="U17" t="s">
        <v>6872</v>
      </c>
      <c r="V17" t="s">
        <v>10222</v>
      </c>
      <c r="W17"/>
      <c r="X17"/>
      <c r="Y17"/>
      <c r="Z17" t="s">
        <v>2140</v>
      </c>
      <c r="AA17" t="s">
        <v>623</v>
      </c>
      <c r="AB17" t="s">
        <v>10249</v>
      </c>
      <c r="AC17"/>
    </row>
    <row r="18" spans="1:29">
      <c r="A18" t="s">
        <v>3593</v>
      </c>
      <c r="B18" t="s">
        <v>10250</v>
      </c>
      <c r="C18" t="s">
        <v>10181</v>
      </c>
      <c r="D18" t="s">
        <v>10182</v>
      </c>
      <c r="E18" t="s">
        <v>10251</v>
      </c>
      <c r="F18" t="s">
        <v>544</v>
      </c>
      <c r="G18"/>
      <c r="H18"/>
      <c r="I18" t="s">
        <v>2140</v>
      </c>
      <c r="J18" t="s">
        <v>623</v>
      </c>
      <c r="K18" t="s">
        <v>10252</v>
      </c>
      <c r="L18" t="s">
        <v>10196</v>
      </c>
      <c r="M18"/>
      <c r="N18"/>
      <c r="O18"/>
      <c r="P18" t="s">
        <v>10253</v>
      </c>
      <c r="Q18" t="s">
        <v>435</v>
      </c>
      <c r="R18" t="s">
        <v>435</v>
      </c>
      <c r="S18"/>
      <c r="T18" t="s">
        <v>10222</v>
      </c>
      <c r="U18" t="s">
        <v>6872</v>
      </c>
      <c r="V18" t="s">
        <v>10222</v>
      </c>
      <c r="W18"/>
      <c r="X18"/>
      <c r="Y18"/>
      <c r="Z18" t="s">
        <v>2140</v>
      </c>
      <c r="AA18" t="s">
        <v>623</v>
      </c>
      <c r="AB18" t="s">
        <v>10254</v>
      </c>
      <c r="AC18"/>
    </row>
    <row r="19" spans="1:29">
      <c r="A19" t="s">
        <v>3593</v>
      </c>
      <c r="B19" t="s">
        <v>10255</v>
      </c>
      <c r="C19" t="s">
        <v>10181</v>
      </c>
      <c r="D19" t="s">
        <v>10182</v>
      </c>
      <c r="E19" t="s">
        <v>10256</v>
      </c>
      <c r="F19" t="s">
        <v>544</v>
      </c>
      <c r="G19"/>
      <c r="H19"/>
      <c r="I19" t="s">
        <v>2140</v>
      </c>
      <c r="J19" t="s">
        <v>1811</v>
      </c>
      <c r="K19" t="s">
        <v>440</v>
      </c>
      <c r="L19" t="s">
        <v>10257</v>
      </c>
      <c r="M19"/>
      <c r="N19"/>
      <c r="O19"/>
      <c r="P19"/>
      <c r="Q19" t="s">
        <v>435</v>
      </c>
      <c r="R19" t="s">
        <v>435</v>
      </c>
      <c r="S19"/>
      <c r="T19" t="s">
        <v>10222</v>
      </c>
      <c r="U19" t="s">
        <v>6872</v>
      </c>
      <c r="V19" t="s">
        <v>10222</v>
      </c>
      <c r="W19"/>
      <c r="X19"/>
      <c r="Y19"/>
      <c r="Z19" t="s">
        <v>2140</v>
      </c>
      <c r="AA19" t="s">
        <v>623</v>
      </c>
      <c r="AB19" t="s">
        <v>10258</v>
      </c>
      <c r="AC19"/>
    </row>
    <row r="20" spans="1:29" ht="165">
      <c r="A20" t="s">
        <v>3593</v>
      </c>
      <c r="B20" t="s">
        <v>10259</v>
      </c>
      <c r="C20" t="s">
        <v>10181</v>
      </c>
      <c r="D20" t="s">
        <v>10182</v>
      </c>
      <c r="E20" t="s">
        <v>10260</v>
      </c>
      <c r="F20" t="s">
        <v>544</v>
      </c>
      <c r="G20"/>
      <c r="H20"/>
      <c r="I20" t="s">
        <v>2140</v>
      </c>
      <c r="J20" t="s">
        <v>623</v>
      </c>
      <c r="K20" t="s">
        <v>10252</v>
      </c>
      <c r="L20" t="s">
        <v>10196</v>
      </c>
      <c r="M20"/>
      <c r="N20"/>
      <c r="O20"/>
      <c r="P20" s="12" t="s">
        <v>10261</v>
      </c>
      <c r="Q20" t="s">
        <v>435</v>
      </c>
      <c r="R20" t="s">
        <v>435</v>
      </c>
      <c r="S20"/>
      <c r="T20" t="s">
        <v>10222</v>
      </c>
      <c r="U20" t="s">
        <v>6872</v>
      </c>
      <c r="V20" t="s">
        <v>10222</v>
      </c>
      <c r="W20"/>
      <c r="X20"/>
      <c r="Y20"/>
      <c r="Z20" t="s">
        <v>2140</v>
      </c>
      <c r="AA20" t="s">
        <v>623</v>
      </c>
      <c r="AB20" t="s">
        <v>10262</v>
      </c>
      <c r="AC20"/>
    </row>
    <row r="21" spans="1:29">
      <c r="A21" t="s">
        <v>3593</v>
      </c>
      <c r="B21" t="s">
        <v>10263</v>
      </c>
      <c r="C21" t="s">
        <v>10181</v>
      </c>
      <c r="D21" t="s">
        <v>10182</v>
      </c>
      <c r="E21" t="s">
        <v>10264</v>
      </c>
      <c r="F21" t="s">
        <v>544</v>
      </c>
      <c r="G21"/>
      <c r="H21"/>
      <c r="I21" t="s">
        <v>2140</v>
      </c>
      <c r="J21" t="s">
        <v>623</v>
      </c>
      <c r="K21" t="s">
        <v>10265</v>
      </c>
      <c r="L21" t="s">
        <v>10196</v>
      </c>
      <c r="M21"/>
      <c r="N21"/>
      <c r="O21"/>
      <c r="P21"/>
      <c r="Q21" t="s">
        <v>435</v>
      </c>
      <c r="R21" t="s">
        <v>435</v>
      </c>
      <c r="S21"/>
      <c r="T21" t="s">
        <v>10222</v>
      </c>
      <c r="U21" t="s">
        <v>6872</v>
      </c>
      <c r="V21" t="s">
        <v>10222</v>
      </c>
      <c r="W21"/>
      <c r="X21"/>
      <c r="Y21"/>
      <c r="Z21" t="s">
        <v>2140</v>
      </c>
      <c r="AA21" t="s">
        <v>623</v>
      </c>
      <c r="AB21" t="s">
        <v>10266</v>
      </c>
      <c r="AC21"/>
    </row>
    <row r="22" spans="1:29">
      <c r="A22" t="s">
        <v>3593</v>
      </c>
      <c r="B22" t="s">
        <v>10267</v>
      </c>
      <c r="C22" t="s">
        <v>10181</v>
      </c>
      <c r="D22" t="s">
        <v>10182</v>
      </c>
      <c r="E22" t="s">
        <v>10268</v>
      </c>
      <c r="F22" t="s">
        <v>544</v>
      </c>
      <c r="G22"/>
      <c r="H22"/>
      <c r="I22" t="s">
        <v>2140</v>
      </c>
      <c r="J22" t="s">
        <v>10269</v>
      </c>
      <c r="K22" t="s">
        <v>10270</v>
      </c>
      <c r="L22" t="s">
        <v>10196</v>
      </c>
      <c r="M22"/>
      <c r="N22"/>
      <c r="O22"/>
      <c r="P22"/>
      <c r="Q22" t="s">
        <v>435</v>
      </c>
      <c r="R22" t="s">
        <v>435</v>
      </c>
      <c r="S22"/>
      <c r="T22" t="s">
        <v>10222</v>
      </c>
      <c r="U22" t="s">
        <v>6872</v>
      </c>
      <c r="V22" t="s">
        <v>10222</v>
      </c>
      <c r="W22"/>
      <c r="X22"/>
      <c r="Y22"/>
      <c r="Z22" t="s">
        <v>2140</v>
      </c>
      <c r="AA22" t="s">
        <v>623</v>
      </c>
      <c r="AB22" t="s">
        <v>10271</v>
      </c>
      <c r="AC22"/>
    </row>
    <row r="23" spans="1:29">
      <c r="A23" t="s">
        <v>3593</v>
      </c>
      <c r="B23" t="s">
        <v>10272</v>
      </c>
      <c r="C23" t="s">
        <v>10181</v>
      </c>
      <c r="D23" t="s">
        <v>10182</v>
      </c>
      <c r="E23" t="s">
        <v>10273</v>
      </c>
      <c r="F23" t="s">
        <v>544</v>
      </c>
      <c r="G23"/>
      <c r="H23"/>
      <c r="I23" t="s">
        <v>2140</v>
      </c>
      <c r="J23" t="s">
        <v>623</v>
      </c>
      <c r="K23" t="s">
        <v>10252</v>
      </c>
      <c r="L23" t="s">
        <v>10196</v>
      </c>
      <c r="M23"/>
      <c r="N23"/>
      <c r="O23"/>
      <c r="P23" t="s">
        <v>10274</v>
      </c>
      <c r="Q23" t="s">
        <v>435</v>
      </c>
      <c r="R23" t="s">
        <v>435</v>
      </c>
      <c r="S23"/>
      <c r="T23" t="s">
        <v>10222</v>
      </c>
      <c r="U23" t="s">
        <v>6872</v>
      </c>
      <c r="V23" t="s">
        <v>10222</v>
      </c>
      <c r="W23"/>
      <c r="X23"/>
      <c r="Y23"/>
      <c r="Z23" t="s">
        <v>2140</v>
      </c>
      <c r="AA23" t="s">
        <v>623</v>
      </c>
      <c r="AB23" t="s">
        <v>10275</v>
      </c>
      <c r="AC23"/>
    </row>
    <row r="24" spans="1:29">
      <c r="A24" t="s">
        <v>3593</v>
      </c>
      <c r="B24" t="s">
        <v>10276</v>
      </c>
      <c r="C24" t="s">
        <v>10181</v>
      </c>
      <c r="D24" t="s">
        <v>10182</v>
      </c>
      <c r="E24" t="s">
        <v>10277</v>
      </c>
      <c r="F24" t="s">
        <v>544</v>
      </c>
      <c r="G24"/>
      <c r="H24"/>
      <c r="I24" t="s">
        <v>2140</v>
      </c>
      <c r="J24" t="s">
        <v>623</v>
      </c>
      <c r="K24" t="s">
        <v>10252</v>
      </c>
      <c r="L24" t="s">
        <v>10196</v>
      </c>
      <c r="M24"/>
      <c r="N24"/>
      <c r="O24" t="s">
        <v>10278</v>
      </c>
      <c r="P24" t="s">
        <v>10279</v>
      </c>
      <c r="Q24" t="s">
        <v>435</v>
      </c>
      <c r="R24" t="s">
        <v>435</v>
      </c>
      <c r="S24"/>
      <c r="T24" t="s">
        <v>10222</v>
      </c>
      <c r="U24" t="s">
        <v>6872</v>
      </c>
      <c r="V24" t="s">
        <v>10222</v>
      </c>
      <c r="W24"/>
      <c r="X24"/>
      <c r="Y24"/>
      <c r="Z24" t="s">
        <v>2140</v>
      </c>
      <c r="AA24" t="s">
        <v>623</v>
      </c>
      <c r="AB24" t="s">
        <v>10280</v>
      </c>
      <c r="AC24"/>
    </row>
    <row r="25" spans="1:29">
      <c r="A25" t="s">
        <v>3593</v>
      </c>
      <c r="B25" t="s">
        <v>10281</v>
      </c>
      <c r="C25" t="s">
        <v>10181</v>
      </c>
      <c r="D25" t="s">
        <v>10182</v>
      </c>
      <c r="E25" t="s">
        <v>10282</v>
      </c>
      <c r="F25" t="s">
        <v>544</v>
      </c>
      <c r="G25"/>
      <c r="H25"/>
      <c r="I25" t="s">
        <v>2140</v>
      </c>
      <c r="J25" t="s">
        <v>623</v>
      </c>
      <c r="K25" t="s">
        <v>10252</v>
      </c>
      <c r="L25" t="s">
        <v>10196</v>
      </c>
      <c r="M25"/>
      <c r="N25"/>
      <c r="O25" t="s">
        <v>10278</v>
      </c>
      <c r="P25" t="s">
        <v>10283</v>
      </c>
      <c r="Q25" t="s">
        <v>435</v>
      </c>
      <c r="R25" t="s">
        <v>435</v>
      </c>
      <c r="S25"/>
      <c r="T25" t="s">
        <v>10222</v>
      </c>
      <c r="U25" t="s">
        <v>6872</v>
      </c>
      <c r="V25" t="s">
        <v>10222</v>
      </c>
      <c r="W25"/>
      <c r="X25"/>
      <c r="Y25"/>
      <c r="Z25" t="s">
        <v>2140</v>
      </c>
      <c r="AA25" t="s">
        <v>623</v>
      </c>
      <c r="AB25" t="s">
        <v>10284</v>
      </c>
      <c r="AC25"/>
    </row>
    <row r="26" spans="1:29">
      <c r="A26" t="s">
        <v>3593</v>
      </c>
      <c r="B26" t="s">
        <v>10285</v>
      </c>
      <c r="C26" t="s">
        <v>10181</v>
      </c>
      <c r="D26" t="s">
        <v>10182</v>
      </c>
      <c r="E26" t="s">
        <v>10286</v>
      </c>
      <c r="F26" t="s">
        <v>544</v>
      </c>
      <c r="G26"/>
      <c r="H26"/>
      <c r="I26" t="s">
        <v>2140</v>
      </c>
      <c r="J26" t="s">
        <v>623</v>
      </c>
      <c r="K26" t="s">
        <v>10252</v>
      </c>
      <c r="L26" t="s">
        <v>10196</v>
      </c>
      <c r="M26"/>
      <c r="N26"/>
      <c r="O26" t="s">
        <v>10278</v>
      </c>
      <c r="P26" t="s">
        <v>10283</v>
      </c>
      <c r="Q26" t="s">
        <v>435</v>
      </c>
      <c r="R26" t="s">
        <v>435</v>
      </c>
      <c r="S26"/>
      <c r="T26" t="s">
        <v>10222</v>
      </c>
      <c r="U26" t="s">
        <v>6872</v>
      </c>
      <c r="V26" t="s">
        <v>10222</v>
      </c>
      <c r="W26"/>
      <c r="X26"/>
      <c r="Y26"/>
      <c r="Z26" t="s">
        <v>2140</v>
      </c>
      <c r="AA26" t="s">
        <v>623</v>
      </c>
      <c r="AB26" t="s">
        <v>10287</v>
      </c>
      <c r="AC26"/>
    </row>
    <row r="27" spans="1:29">
      <c r="A27" t="s">
        <v>3593</v>
      </c>
      <c r="B27" t="s">
        <v>10288</v>
      </c>
      <c r="C27" t="s">
        <v>10181</v>
      </c>
      <c r="D27" t="s">
        <v>10182</v>
      </c>
      <c r="E27" t="s">
        <v>10289</v>
      </c>
      <c r="F27" t="s">
        <v>544</v>
      </c>
      <c r="G27"/>
      <c r="H27"/>
      <c r="I27" t="s">
        <v>2140</v>
      </c>
      <c r="J27" t="s">
        <v>623</v>
      </c>
      <c r="K27" t="s">
        <v>10252</v>
      </c>
      <c r="L27" t="s">
        <v>10196</v>
      </c>
      <c r="M27"/>
      <c r="N27"/>
      <c r="O27" t="s">
        <v>10278</v>
      </c>
      <c r="P27" t="s">
        <v>10283</v>
      </c>
      <c r="Q27" t="s">
        <v>435</v>
      </c>
      <c r="R27" t="s">
        <v>435</v>
      </c>
      <c r="S27"/>
      <c r="T27" t="s">
        <v>10222</v>
      </c>
      <c r="U27" t="s">
        <v>6872</v>
      </c>
      <c r="V27" t="s">
        <v>10222</v>
      </c>
      <c r="W27"/>
      <c r="X27"/>
      <c r="Y27"/>
      <c r="Z27" t="s">
        <v>2140</v>
      </c>
      <c r="AA27" t="s">
        <v>623</v>
      </c>
      <c r="AB27" t="s">
        <v>10290</v>
      </c>
      <c r="AC27"/>
    </row>
    <row r="28" spans="1:29">
      <c r="A28" t="s">
        <v>3593</v>
      </c>
      <c r="B28" t="s">
        <v>10291</v>
      </c>
      <c r="C28" t="s">
        <v>10181</v>
      </c>
      <c r="D28" t="s">
        <v>10182</v>
      </c>
      <c r="E28" t="s">
        <v>10292</v>
      </c>
      <c r="F28" t="s">
        <v>544</v>
      </c>
      <c r="G28"/>
      <c r="H28"/>
      <c r="I28" t="s">
        <v>2140</v>
      </c>
      <c r="J28" t="s">
        <v>623</v>
      </c>
      <c r="K28" t="s">
        <v>10252</v>
      </c>
      <c r="L28" t="s">
        <v>10196</v>
      </c>
      <c r="M28"/>
      <c r="N28"/>
      <c r="O28"/>
      <c r="P28" t="s">
        <v>10293</v>
      </c>
      <c r="Q28" t="s">
        <v>435</v>
      </c>
      <c r="R28" t="s">
        <v>435</v>
      </c>
      <c r="S28"/>
      <c r="T28" t="s">
        <v>10222</v>
      </c>
      <c r="U28" t="s">
        <v>6872</v>
      </c>
      <c r="V28" t="s">
        <v>10222</v>
      </c>
      <c r="W28"/>
      <c r="X28"/>
      <c r="Y28"/>
      <c r="Z28" t="s">
        <v>2140</v>
      </c>
      <c r="AA28" t="s">
        <v>623</v>
      </c>
      <c r="AB28" t="s">
        <v>10294</v>
      </c>
      <c r="AC28"/>
    </row>
    <row r="29" spans="1:29" ht="90">
      <c r="A29" t="s">
        <v>3593</v>
      </c>
      <c r="B29" t="s">
        <v>4902</v>
      </c>
      <c r="C29" t="s">
        <v>10181</v>
      </c>
      <c r="D29" t="s">
        <v>10182</v>
      </c>
      <c r="E29" t="s">
        <v>10295</v>
      </c>
      <c r="F29" t="s">
        <v>544</v>
      </c>
      <c r="G29"/>
      <c r="H29"/>
      <c r="I29" t="s">
        <v>2140</v>
      </c>
      <c r="J29" t="s">
        <v>623</v>
      </c>
      <c r="K29" t="s">
        <v>10252</v>
      </c>
      <c r="L29" s="12" t="s">
        <v>10196</v>
      </c>
      <c r="M29"/>
      <c r="N29"/>
      <c r="O29"/>
      <c r="P29" t="s">
        <v>10296</v>
      </c>
      <c r="Q29" t="s">
        <v>435</v>
      </c>
      <c r="R29" t="s">
        <v>435</v>
      </c>
      <c r="S29"/>
      <c r="T29" t="s">
        <v>10222</v>
      </c>
      <c r="U29" t="s">
        <v>6872</v>
      </c>
      <c r="V29" t="s">
        <v>10222</v>
      </c>
      <c r="W29"/>
      <c r="X29"/>
      <c r="Y29"/>
      <c r="Z29" t="s">
        <v>2140</v>
      </c>
      <c r="AA29" t="s">
        <v>623</v>
      </c>
      <c r="AB29" t="s">
        <v>10297</v>
      </c>
      <c r="AC29"/>
    </row>
    <row r="30" spans="1:29">
      <c r="A30" t="s">
        <v>3593</v>
      </c>
      <c r="B30" t="s">
        <v>10298</v>
      </c>
      <c r="C30" t="s">
        <v>10181</v>
      </c>
      <c r="D30" t="s">
        <v>10182</v>
      </c>
      <c r="E30" t="s">
        <v>10299</v>
      </c>
      <c r="F30" t="s">
        <v>544</v>
      </c>
      <c r="G30"/>
      <c r="H30"/>
      <c r="I30" t="s">
        <v>2140</v>
      </c>
      <c r="J30" t="s">
        <v>641</v>
      </c>
      <c r="K30" t="s">
        <v>10300</v>
      </c>
      <c r="L30" t="s">
        <v>10185</v>
      </c>
      <c r="M30"/>
      <c r="N30"/>
      <c r="O30"/>
      <c r="P30"/>
      <c r="Q30" t="s">
        <v>435</v>
      </c>
      <c r="R30" t="s">
        <v>435</v>
      </c>
      <c r="S30"/>
      <c r="T30" t="s">
        <v>8199</v>
      </c>
      <c r="U30" t="s">
        <v>8199</v>
      </c>
      <c r="V30" t="s">
        <v>8199</v>
      </c>
      <c r="W30"/>
      <c r="X30"/>
      <c r="Y30"/>
      <c r="Z30" t="s">
        <v>2140</v>
      </c>
      <c r="AA30" t="s">
        <v>641</v>
      </c>
      <c r="AB30" t="s">
        <v>10301</v>
      </c>
      <c r="AC30"/>
    </row>
    <row r="31" spans="1:29">
      <c r="A31" t="s">
        <v>3593</v>
      </c>
      <c r="B31" t="s">
        <v>10302</v>
      </c>
      <c r="C31" t="s">
        <v>10181</v>
      </c>
      <c r="D31" t="s">
        <v>10182</v>
      </c>
      <c r="E31" t="s">
        <v>10303</v>
      </c>
      <c r="F31" t="s">
        <v>544</v>
      </c>
      <c r="G31"/>
      <c r="H31"/>
      <c r="I31" t="s">
        <v>2140</v>
      </c>
      <c r="J31" t="s">
        <v>10304</v>
      </c>
      <c r="K31" t="s">
        <v>10305</v>
      </c>
      <c r="L31" t="s">
        <v>10306</v>
      </c>
      <c r="M31"/>
      <c r="O31" t="s">
        <v>10307</v>
      </c>
      <c r="P31" t="s">
        <v>10307</v>
      </c>
      <c r="Q31" t="s">
        <v>435</v>
      </c>
      <c r="R31" t="s">
        <v>435</v>
      </c>
      <c r="S31"/>
      <c r="T31" t="s">
        <v>8199</v>
      </c>
      <c r="U31" t="s">
        <v>8199</v>
      </c>
      <c r="V31" t="s">
        <v>8199</v>
      </c>
      <c r="W31"/>
      <c r="X31"/>
      <c r="Y31"/>
      <c r="Z31" t="s">
        <v>2140</v>
      </c>
      <c r="AA31" t="s">
        <v>10304</v>
      </c>
      <c r="AB31" t="s">
        <v>10308</v>
      </c>
      <c r="AC31" t="s">
        <v>10307</v>
      </c>
    </row>
    <row r="32" spans="1:29">
      <c r="A32" t="s">
        <v>3593</v>
      </c>
      <c r="B32" t="s">
        <v>10309</v>
      </c>
      <c r="C32" t="s">
        <v>10181</v>
      </c>
      <c r="D32" t="s">
        <v>10182</v>
      </c>
      <c r="E32" t="s">
        <v>10310</v>
      </c>
      <c r="F32" t="s">
        <v>544</v>
      </c>
      <c r="G32"/>
      <c r="H32"/>
      <c r="I32" t="s">
        <v>2140</v>
      </c>
      <c r="J32" t="s">
        <v>641</v>
      </c>
      <c r="K32" t="s">
        <v>10311</v>
      </c>
      <c r="L32" t="s">
        <v>10185</v>
      </c>
      <c r="M32"/>
      <c r="N32"/>
      <c r="O32"/>
      <c r="P32"/>
      <c r="Q32" t="s">
        <v>435</v>
      </c>
      <c r="R32" t="s">
        <v>435</v>
      </c>
      <c r="S32"/>
      <c r="T32" t="s">
        <v>10312</v>
      </c>
      <c r="U32" t="s">
        <v>10313</v>
      </c>
      <c r="V32" t="s">
        <v>10313</v>
      </c>
      <c r="W32" t="s">
        <v>10314</v>
      </c>
      <c r="X32" t="s">
        <v>10315</v>
      </c>
      <c r="Y32"/>
      <c r="Z32" t="s">
        <v>2140</v>
      </c>
      <c r="AA32" t="s">
        <v>641</v>
      </c>
      <c r="AB32" t="s">
        <v>10316</v>
      </c>
      <c r="AC32"/>
    </row>
    <row r="33" spans="1:29">
      <c r="A33" t="s">
        <v>3593</v>
      </c>
      <c r="B33" t="s">
        <v>10317</v>
      </c>
      <c r="C33" t="s">
        <v>10181</v>
      </c>
      <c r="D33" t="s">
        <v>10182</v>
      </c>
      <c r="E33" t="s">
        <v>10318</v>
      </c>
      <c r="F33" t="s">
        <v>544</v>
      </c>
      <c r="G33"/>
      <c r="H33"/>
      <c r="I33" t="s">
        <v>2140</v>
      </c>
      <c r="J33" t="s">
        <v>641</v>
      </c>
      <c r="K33" t="s">
        <v>10311</v>
      </c>
      <c r="L33" t="s">
        <v>10185</v>
      </c>
      <c r="M33"/>
      <c r="N33"/>
      <c r="O33" t="s">
        <v>10319</v>
      </c>
      <c r="P33"/>
      <c r="Q33" t="s">
        <v>435</v>
      </c>
      <c r="R33" t="s">
        <v>435</v>
      </c>
      <c r="S33"/>
      <c r="T33" t="s">
        <v>10312</v>
      </c>
      <c r="U33" t="s">
        <v>10313</v>
      </c>
      <c r="V33" t="s">
        <v>10313</v>
      </c>
      <c r="W33" t="s">
        <v>10314</v>
      </c>
      <c r="X33" t="s">
        <v>10315</v>
      </c>
      <c r="Y33"/>
      <c r="Z33" t="s">
        <v>2140</v>
      </c>
      <c r="AA33" t="s">
        <v>641</v>
      </c>
      <c r="AB33" t="s">
        <v>10320</v>
      </c>
      <c r="AC33" t="s">
        <v>10321</v>
      </c>
    </row>
    <row r="34" spans="1:29">
      <c r="A34" t="s">
        <v>3593</v>
      </c>
      <c r="B34" t="s">
        <v>10322</v>
      </c>
      <c r="C34" t="s">
        <v>10181</v>
      </c>
      <c r="D34" t="s">
        <v>10182</v>
      </c>
      <c r="E34" t="s">
        <v>10323</v>
      </c>
      <c r="F34" t="s">
        <v>544</v>
      </c>
      <c r="G34"/>
      <c r="H34"/>
      <c r="I34" t="s">
        <v>2140</v>
      </c>
      <c r="J34" t="s">
        <v>641</v>
      </c>
      <c r="K34" t="s">
        <v>10324</v>
      </c>
      <c r="L34" t="s">
        <v>10185</v>
      </c>
      <c r="M34"/>
      <c r="N34"/>
      <c r="O34"/>
      <c r="P34"/>
      <c r="Q34" t="s">
        <v>435</v>
      </c>
      <c r="R34" t="s">
        <v>435</v>
      </c>
      <c r="S34"/>
      <c r="T34" t="s">
        <v>10312</v>
      </c>
      <c r="U34" t="s">
        <v>10313</v>
      </c>
      <c r="V34" t="s">
        <v>10313</v>
      </c>
      <c r="W34" t="s">
        <v>10325</v>
      </c>
      <c r="X34" t="s">
        <v>10326</v>
      </c>
      <c r="Y34"/>
      <c r="Z34" t="s">
        <v>2140</v>
      </c>
      <c r="AA34" t="s">
        <v>641</v>
      </c>
      <c r="AB34" t="s">
        <v>10327</v>
      </c>
      <c r="AC34"/>
    </row>
    <row r="35" spans="1:29">
      <c r="A35" t="s">
        <v>3593</v>
      </c>
      <c r="B35" t="s">
        <v>10328</v>
      </c>
      <c r="C35" t="s">
        <v>10181</v>
      </c>
      <c r="D35" t="s">
        <v>10182</v>
      </c>
      <c r="E35" t="s">
        <v>10329</v>
      </c>
      <c r="F35" t="s">
        <v>544</v>
      </c>
      <c r="G35"/>
      <c r="H35"/>
      <c r="I35" t="s">
        <v>2140</v>
      </c>
      <c r="J35" t="s">
        <v>641</v>
      </c>
      <c r="K35" t="s">
        <v>10324</v>
      </c>
      <c r="L35" t="s">
        <v>10185</v>
      </c>
      <c r="M35"/>
      <c r="N35"/>
      <c r="O35" t="s">
        <v>10330</v>
      </c>
      <c r="P35"/>
      <c r="Q35" t="s">
        <v>435</v>
      </c>
      <c r="R35" t="s">
        <v>435</v>
      </c>
      <c r="S35"/>
      <c r="T35" t="s">
        <v>10312</v>
      </c>
      <c r="U35" t="s">
        <v>10313</v>
      </c>
      <c r="V35" t="s">
        <v>10313</v>
      </c>
      <c r="W35" t="s">
        <v>10325</v>
      </c>
      <c r="X35" t="s">
        <v>10326</v>
      </c>
      <c r="Y35"/>
      <c r="Z35" t="s">
        <v>2140</v>
      </c>
      <c r="AA35" t="s">
        <v>641</v>
      </c>
      <c r="AB35" t="s">
        <v>10331</v>
      </c>
      <c r="AC35" t="s">
        <v>10330</v>
      </c>
    </row>
    <row r="36" spans="1:29">
      <c r="A36" t="s">
        <v>3593</v>
      </c>
      <c r="B36" t="s">
        <v>10332</v>
      </c>
      <c r="C36" t="s">
        <v>10181</v>
      </c>
      <c r="D36" t="s">
        <v>10182</v>
      </c>
      <c r="E36" t="s">
        <v>10333</v>
      </c>
      <c r="F36" t="s">
        <v>544</v>
      </c>
      <c r="G36"/>
      <c r="H36"/>
      <c r="I36" t="s">
        <v>2140</v>
      </c>
      <c r="J36" t="s">
        <v>631</v>
      </c>
      <c r="K36" t="s">
        <v>10334</v>
      </c>
      <c r="L36" t="s">
        <v>10214</v>
      </c>
      <c r="M36"/>
      <c r="N36"/>
      <c r="O36"/>
      <c r="P36"/>
      <c r="Q36" t="s">
        <v>435</v>
      </c>
      <c r="R36" t="s">
        <v>435</v>
      </c>
      <c r="S36">
        <v>50</v>
      </c>
      <c r="T36" t="s">
        <v>8390</v>
      </c>
      <c r="U36" t="s">
        <v>431</v>
      </c>
      <c r="V36" t="s">
        <v>8390</v>
      </c>
      <c r="W36"/>
      <c r="X36"/>
      <c r="Y36"/>
      <c r="Z36" t="s">
        <v>2140</v>
      </c>
      <c r="AA36" t="s">
        <v>631</v>
      </c>
      <c r="AB36" t="s">
        <v>10335</v>
      </c>
      <c r="AC36"/>
    </row>
    <row r="37" spans="1:29">
      <c r="A37" t="s">
        <v>3593</v>
      </c>
      <c r="B37" t="s">
        <v>10336</v>
      </c>
      <c r="C37" t="s">
        <v>10181</v>
      </c>
      <c r="D37" t="s">
        <v>10182</v>
      </c>
      <c r="E37" t="s">
        <v>10337</v>
      </c>
      <c r="F37" t="s">
        <v>544</v>
      </c>
      <c r="G37"/>
      <c r="H37"/>
      <c r="I37" t="s">
        <v>2140</v>
      </c>
      <c r="J37" t="s">
        <v>631</v>
      </c>
      <c r="K37" t="s">
        <v>10338</v>
      </c>
      <c r="L37" t="s">
        <v>10214</v>
      </c>
      <c r="M37"/>
      <c r="N37"/>
      <c r="O37"/>
      <c r="P37"/>
      <c r="Q37" t="s">
        <v>435</v>
      </c>
      <c r="R37" t="s">
        <v>435</v>
      </c>
      <c r="S37">
        <v>50</v>
      </c>
      <c r="T37" t="s">
        <v>8390</v>
      </c>
      <c r="U37" t="s">
        <v>431</v>
      </c>
      <c r="V37" t="s">
        <v>8390</v>
      </c>
      <c r="W37"/>
      <c r="X37"/>
      <c r="Y37"/>
      <c r="Z37" t="s">
        <v>2140</v>
      </c>
      <c r="AA37" t="s">
        <v>631</v>
      </c>
      <c r="AB37" t="s">
        <v>10339</v>
      </c>
      <c r="AC37"/>
    </row>
    <row r="38" spans="1:29">
      <c r="A38" t="s">
        <v>3593</v>
      </c>
      <c r="B38" t="s">
        <v>10340</v>
      </c>
      <c r="C38" t="s">
        <v>10341</v>
      </c>
      <c r="D38" t="s">
        <v>10182</v>
      </c>
      <c r="E38" t="s">
        <v>10342</v>
      </c>
      <c r="F38" t="s">
        <v>544</v>
      </c>
      <c r="G38"/>
      <c r="H38"/>
      <c r="I38" t="s">
        <v>2140</v>
      </c>
      <c r="J38" t="s">
        <v>599</v>
      </c>
      <c r="K38" t="s">
        <v>10343</v>
      </c>
      <c r="L38" t="s">
        <v>10344</v>
      </c>
      <c r="M38" t="s">
        <v>10345</v>
      </c>
      <c r="N38"/>
      <c r="O38"/>
      <c r="P38"/>
      <c r="Q38" t="s">
        <v>435</v>
      </c>
      <c r="R38" t="s">
        <v>435</v>
      </c>
      <c r="S38">
        <v>1</v>
      </c>
      <c r="T38" t="s">
        <v>4252</v>
      </c>
      <c r="U38" t="s">
        <v>431</v>
      </c>
      <c r="V38" t="s">
        <v>4252</v>
      </c>
      <c r="W38"/>
      <c r="X38"/>
      <c r="Y38"/>
      <c r="Z38" t="s">
        <v>2140</v>
      </c>
      <c r="AA38" t="s">
        <v>599</v>
      </c>
      <c r="AB38" t="s">
        <v>10346</v>
      </c>
      <c r="AC38"/>
    </row>
    <row r="39" spans="1:29">
      <c r="A39" t="s">
        <v>3593</v>
      </c>
      <c r="B39" t="s">
        <v>10347</v>
      </c>
      <c r="C39" t="s">
        <v>10341</v>
      </c>
      <c r="D39" t="s">
        <v>10182</v>
      </c>
      <c r="E39" t="s">
        <v>10348</v>
      </c>
      <c r="F39" t="s">
        <v>544</v>
      </c>
      <c r="G39"/>
      <c r="H39"/>
      <c r="I39" t="s">
        <v>2140</v>
      </c>
      <c r="J39" t="s">
        <v>599</v>
      </c>
      <c r="K39" t="s">
        <v>10349</v>
      </c>
      <c r="L39" t="s">
        <v>10344</v>
      </c>
      <c r="M39" t="s">
        <v>10345</v>
      </c>
      <c r="N39"/>
      <c r="O39"/>
      <c r="P39"/>
      <c r="Q39" t="s">
        <v>435</v>
      </c>
      <c r="R39" t="s">
        <v>435</v>
      </c>
      <c r="S39">
        <v>1</v>
      </c>
      <c r="T39" t="s">
        <v>8199</v>
      </c>
      <c r="U39" t="s">
        <v>431</v>
      </c>
      <c r="V39" t="s">
        <v>8199</v>
      </c>
      <c r="W39"/>
      <c r="X39"/>
      <c r="Y39"/>
      <c r="Z39" t="s">
        <v>2140</v>
      </c>
      <c r="AA39" t="s">
        <v>599</v>
      </c>
      <c r="AB39" t="s">
        <v>10350</v>
      </c>
      <c r="AC39"/>
    </row>
    <row r="40" spans="1:29">
      <c r="A40" t="s">
        <v>3593</v>
      </c>
      <c r="B40" t="s">
        <v>159</v>
      </c>
      <c r="C40" t="s">
        <v>10341</v>
      </c>
      <c r="D40" t="s">
        <v>10182</v>
      </c>
      <c r="E40" t="s">
        <v>10351</v>
      </c>
      <c r="F40" t="s">
        <v>544</v>
      </c>
      <c r="G40"/>
      <c r="H40"/>
      <c r="I40" t="s">
        <v>2140</v>
      </c>
      <c r="J40" t="s">
        <v>599</v>
      </c>
      <c r="K40" t="s">
        <v>10352</v>
      </c>
      <c r="L40" t="s">
        <v>10344</v>
      </c>
      <c r="M40" t="s">
        <v>10345</v>
      </c>
      <c r="N40"/>
      <c r="O40"/>
      <c r="P40"/>
      <c r="Q40" t="s">
        <v>435</v>
      </c>
      <c r="R40" t="s">
        <v>435</v>
      </c>
      <c r="S40"/>
      <c r="T40" t="s">
        <v>10313</v>
      </c>
      <c r="U40" t="s">
        <v>431</v>
      </c>
      <c r="V40" t="s">
        <v>10313</v>
      </c>
      <c r="W40" t="s">
        <v>10353</v>
      </c>
      <c r="X40" t="s">
        <v>10354</v>
      </c>
      <c r="Y40"/>
      <c r="Z40" t="s">
        <v>2140</v>
      </c>
      <c r="AA40" t="s">
        <v>599</v>
      </c>
      <c r="AB40" t="s">
        <v>10355</v>
      </c>
      <c r="AC40"/>
    </row>
    <row r="41" spans="1:29">
      <c r="A41" t="s">
        <v>3593</v>
      </c>
      <c r="B41" t="s">
        <v>10356</v>
      </c>
      <c r="C41" t="s">
        <v>10341</v>
      </c>
      <c r="D41" t="s">
        <v>10182</v>
      </c>
      <c r="E41" t="s">
        <v>10357</v>
      </c>
      <c r="F41" t="s">
        <v>544</v>
      </c>
      <c r="G41"/>
      <c r="H41"/>
      <c r="I41" t="s">
        <v>2140</v>
      </c>
      <c r="J41" t="s">
        <v>599</v>
      </c>
      <c r="K41" t="s">
        <v>10358</v>
      </c>
      <c r="L41" t="s">
        <v>10344</v>
      </c>
      <c r="M41" t="s">
        <v>10345</v>
      </c>
      <c r="N41"/>
      <c r="O41"/>
      <c r="P41"/>
      <c r="Q41" t="s">
        <v>435</v>
      </c>
      <c r="R41" t="s">
        <v>435</v>
      </c>
      <c r="S41"/>
      <c r="T41" t="s">
        <v>8199</v>
      </c>
      <c r="U41" t="s">
        <v>431</v>
      </c>
      <c r="V41" t="s">
        <v>8199</v>
      </c>
      <c r="W41"/>
      <c r="X41"/>
      <c r="Y41"/>
      <c r="Z41" t="s">
        <v>2140</v>
      </c>
      <c r="AA41" t="s">
        <v>599</v>
      </c>
      <c r="AB41" t="s">
        <v>10359</v>
      </c>
      <c r="AC41"/>
    </row>
    <row r="42" spans="1:29">
      <c r="A42" t="s">
        <v>2168</v>
      </c>
      <c r="B42" s="453" t="s">
        <v>10360</v>
      </c>
      <c r="C42" t="s">
        <v>10361</v>
      </c>
      <c r="D42" t="s">
        <v>10362</v>
      </c>
      <c r="E42" t="s">
        <v>10363</v>
      </c>
      <c r="F42" s="475" t="s">
        <v>544</v>
      </c>
      <c r="G42"/>
      <c r="H42"/>
      <c r="I42" t="s">
        <v>10364</v>
      </c>
      <c r="J42" t="s">
        <v>1488</v>
      </c>
      <c r="K42" t="s">
        <v>10365</v>
      </c>
      <c r="L42" t="s">
        <v>10366</v>
      </c>
      <c r="M42"/>
      <c r="N42"/>
      <c r="O42"/>
      <c r="P42"/>
      <c r="Q42" t="s">
        <v>435</v>
      </c>
      <c r="R42" t="s">
        <v>435</v>
      </c>
      <c r="S42"/>
      <c r="T42" t="s">
        <v>10367</v>
      </c>
      <c r="U42" t="s">
        <v>10368</v>
      </c>
      <c r="V42" t="s">
        <v>10367</v>
      </c>
      <c r="W42"/>
      <c r="X42"/>
      <c r="Y42"/>
      <c r="Z42" t="s">
        <v>10364</v>
      </c>
      <c r="AA42" t="s">
        <v>1488</v>
      </c>
      <c r="AB42" t="s">
        <v>10369</v>
      </c>
      <c r="AC42"/>
    </row>
    <row r="43" spans="1:29">
      <c r="A43" t="s">
        <v>2168</v>
      </c>
      <c r="B43" s="453" t="s">
        <v>7418</v>
      </c>
      <c r="C43" t="s">
        <v>10361</v>
      </c>
      <c r="D43" t="s">
        <v>10362</v>
      </c>
      <c r="E43" t="s">
        <v>10370</v>
      </c>
      <c r="F43" s="475" t="s">
        <v>544</v>
      </c>
      <c r="G43"/>
      <c r="H43"/>
      <c r="I43" t="s">
        <v>10364</v>
      </c>
      <c r="J43" t="s">
        <v>1488</v>
      </c>
      <c r="K43" t="s">
        <v>10371</v>
      </c>
      <c r="L43" t="s">
        <v>10366</v>
      </c>
      <c r="M43"/>
      <c r="N43"/>
      <c r="O43"/>
      <c r="P43"/>
      <c r="Q43" t="s">
        <v>435</v>
      </c>
      <c r="R43" t="s">
        <v>435</v>
      </c>
      <c r="S43"/>
      <c r="T43" t="s">
        <v>10367</v>
      </c>
      <c r="U43" t="s">
        <v>10368</v>
      </c>
      <c r="V43" t="s">
        <v>10367</v>
      </c>
      <c r="W43"/>
      <c r="X43"/>
      <c r="Y43"/>
      <c r="Z43" t="s">
        <v>10364</v>
      </c>
      <c r="AA43" t="s">
        <v>1488</v>
      </c>
      <c r="AB43" t="s">
        <v>10372</v>
      </c>
      <c r="AC43"/>
    </row>
    <row r="46" spans="1:29">
      <c r="A46" t="s">
        <v>10373</v>
      </c>
    </row>
    <row r="47" spans="1:29">
      <c r="A47" t="s">
        <v>2157</v>
      </c>
      <c r="B47" t="s">
        <v>336</v>
      </c>
      <c r="C47" t="s">
        <v>337</v>
      </c>
      <c r="D47" t="s">
        <v>338</v>
      </c>
      <c r="E47" t="s">
        <v>339</v>
      </c>
      <c r="F47" t="s">
        <v>2158</v>
      </c>
      <c r="G47" t="s">
        <v>2159</v>
      </c>
      <c r="H47" t="s">
        <v>2160</v>
      </c>
      <c r="I47" t="s">
        <v>425</v>
      </c>
      <c r="J47" t="s">
        <v>426</v>
      </c>
      <c r="K47" t="s">
        <v>427</v>
      </c>
      <c r="L47" t="s">
        <v>2161</v>
      </c>
      <c r="M47" t="s">
        <v>2162</v>
      </c>
      <c r="N47" t="s">
        <v>6856</v>
      </c>
      <c r="O47" t="s">
        <v>16</v>
      </c>
      <c r="P47" t="s">
        <v>428</v>
      </c>
      <c r="Q47" t="s">
        <v>416</v>
      </c>
      <c r="R47" t="s">
        <v>417</v>
      </c>
      <c r="S47" t="s">
        <v>418</v>
      </c>
      <c r="T47" t="s">
        <v>419</v>
      </c>
      <c r="U47" t="s">
        <v>420</v>
      </c>
      <c r="V47" t="s">
        <v>421</v>
      </c>
      <c r="W47" t="s">
        <v>422</v>
      </c>
      <c r="X47" t="s">
        <v>423</v>
      </c>
      <c r="Y47" t="s">
        <v>424</v>
      </c>
      <c r="Z47" t="s">
        <v>425</v>
      </c>
      <c r="AA47" t="s">
        <v>426</v>
      </c>
      <c r="AB47" t="s">
        <v>427</v>
      </c>
      <c r="AC47" t="s">
        <v>428</v>
      </c>
    </row>
    <row r="48" spans="1:29">
      <c r="A48" t="s">
        <v>3593</v>
      </c>
      <c r="B48" t="s">
        <v>3578</v>
      </c>
      <c r="C48" t="s">
        <v>10181</v>
      </c>
      <c r="D48" t="s">
        <v>10182</v>
      </c>
      <c r="E48" t="s">
        <v>10183</v>
      </c>
      <c r="F48" t="s">
        <v>544</v>
      </c>
      <c r="G48" t="s">
        <v>361</v>
      </c>
      <c r="H48" t="s">
        <v>361</v>
      </c>
      <c r="I48" t="s">
        <v>2140</v>
      </c>
      <c r="J48" t="s">
        <v>636</v>
      </c>
      <c r="K48" t="s">
        <v>10184</v>
      </c>
      <c r="L48" t="s">
        <v>10374</v>
      </c>
      <c r="M48" t="s">
        <v>361</v>
      </c>
      <c r="N48" t="s">
        <v>361</v>
      </c>
      <c r="O48" t="s">
        <v>361</v>
      </c>
      <c r="P48" t="s">
        <v>361</v>
      </c>
      <c r="Q48" t="s">
        <v>429</v>
      </c>
      <c r="R48" t="s">
        <v>429</v>
      </c>
      <c r="S48">
        <v>10</v>
      </c>
      <c r="T48" t="s">
        <v>10186</v>
      </c>
      <c r="U48" t="s">
        <v>431</v>
      </c>
      <c r="V48" t="s">
        <v>10186</v>
      </c>
      <c r="W48" t="s">
        <v>10187</v>
      </c>
      <c r="X48" t="s">
        <v>10187</v>
      </c>
      <c r="Y48" t="s">
        <v>361</v>
      </c>
      <c r="Z48" t="s">
        <v>2140</v>
      </c>
      <c r="AA48" t="s">
        <v>636</v>
      </c>
      <c r="AB48" t="s">
        <v>10188</v>
      </c>
      <c r="AC48" t="s">
        <v>361</v>
      </c>
    </row>
    <row r="49" spans="1:29">
      <c r="A49" t="s">
        <v>3593</v>
      </c>
      <c r="B49" t="s">
        <v>10189</v>
      </c>
      <c r="C49" t="s">
        <v>10181</v>
      </c>
      <c r="D49" t="s">
        <v>10182</v>
      </c>
      <c r="E49" t="s">
        <v>10190</v>
      </c>
      <c r="F49" t="s">
        <v>544</v>
      </c>
      <c r="G49" t="s">
        <v>361</v>
      </c>
      <c r="H49" t="s">
        <v>361</v>
      </c>
      <c r="I49" t="s">
        <v>2140</v>
      </c>
      <c r="J49" t="s">
        <v>636</v>
      </c>
      <c r="K49" t="s">
        <v>10191</v>
      </c>
      <c r="L49" t="s">
        <v>10374</v>
      </c>
      <c r="M49" t="s">
        <v>361</v>
      </c>
      <c r="N49" t="s">
        <v>361</v>
      </c>
      <c r="O49" t="s">
        <v>361</v>
      </c>
      <c r="P49" t="s">
        <v>361</v>
      </c>
      <c r="Q49" t="s">
        <v>435</v>
      </c>
      <c r="R49" t="s">
        <v>435</v>
      </c>
      <c r="S49">
        <v>35</v>
      </c>
      <c r="T49" t="s">
        <v>10192</v>
      </c>
      <c r="U49" t="s">
        <v>431</v>
      </c>
      <c r="V49" t="s">
        <v>10192</v>
      </c>
      <c r="W49" t="s">
        <v>361</v>
      </c>
      <c r="X49" t="s">
        <v>361</v>
      </c>
      <c r="Y49" t="s">
        <v>361</v>
      </c>
      <c r="Z49" t="s">
        <v>2140</v>
      </c>
      <c r="AA49" t="s">
        <v>636</v>
      </c>
      <c r="AB49" t="s">
        <v>10193</v>
      </c>
      <c r="AC49" t="s">
        <v>361</v>
      </c>
    </row>
    <row r="50" spans="1:29">
      <c r="A50" t="s">
        <v>3593</v>
      </c>
      <c r="B50" t="s">
        <v>4293</v>
      </c>
      <c r="C50" t="s">
        <v>10181</v>
      </c>
      <c r="D50" t="s">
        <v>10182</v>
      </c>
      <c r="E50" t="s">
        <v>10194</v>
      </c>
      <c r="F50" t="s">
        <v>544</v>
      </c>
      <c r="G50" t="s">
        <v>361</v>
      </c>
      <c r="H50" t="s">
        <v>361</v>
      </c>
      <c r="I50" t="s">
        <v>2140</v>
      </c>
      <c r="J50" t="s">
        <v>612</v>
      </c>
      <c r="K50" t="s">
        <v>10195</v>
      </c>
      <c r="L50" t="s">
        <v>10374</v>
      </c>
      <c r="M50" t="s">
        <v>361</v>
      </c>
      <c r="N50" t="s">
        <v>361</v>
      </c>
      <c r="O50" t="s">
        <v>361</v>
      </c>
      <c r="P50" t="s">
        <v>361</v>
      </c>
      <c r="Q50" t="s">
        <v>435</v>
      </c>
      <c r="R50" t="s">
        <v>435</v>
      </c>
      <c r="S50">
        <v>35</v>
      </c>
      <c r="T50" t="s">
        <v>10192</v>
      </c>
      <c r="U50" t="s">
        <v>431</v>
      </c>
      <c r="V50" t="s">
        <v>10192</v>
      </c>
      <c r="W50" t="s">
        <v>361</v>
      </c>
      <c r="X50" t="s">
        <v>361</v>
      </c>
      <c r="Y50" t="s">
        <v>361</v>
      </c>
      <c r="Z50" t="s">
        <v>2140</v>
      </c>
      <c r="AA50" t="s">
        <v>612</v>
      </c>
      <c r="AB50" t="s">
        <v>10197</v>
      </c>
      <c r="AC50" t="s">
        <v>361</v>
      </c>
    </row>
    <row r="51" spans="1:29">
      <c r="A51" t="s">
        <v>3593</v>
      </c>
      <c r="B51" t="s">
        <v>4242</v>
      </c>
      <c r="C51" t="s">
        <v>10181</v>
      </c>
      <c r="D51" t="s">
        <v>10182</v>
      </c>
      <c r="E51" t="s">
        <v>10198</v>
      </c>
      <c r="F51" t="s">
        <v>544</v>
      </c>
      <c r="G51" t="s">
        <v>361</v>
      </c>
      <c r="H51" t="s">
        <v>361</v>
      </c>
      <c r="I51" t="s">
        <v>2140</v>
      </c>
      <c r="J51" t="s">
        <v>636</v>
      </c>
      <c r="K51" t="s">
        <v>10199</v>
      </c>
      <c r="L51" t="s">
        <v>10374</v>
      </c>
      <c r="M51" t="s">
        <v>361</v>
      </c>
      <c r="N51" t="s">
        <v>361</v>
      </c>
      <c r="O51" t="s">
        <v>361</v>
      </c>
      <c r="P51" t="s">
        <v>361</v>
      </c>
      <c r="Q51" t="s">
        <v>435</v>
      </c>
      <c r="R51" t="s">
        <v>435</v>
      </c>
      <c r="S51" t="s">
        <v>361</v>
      </c>
      <c r="T51" t="s">
        <v>2207</v>
      </c>
      <c r="U51" t="s">
        <v>431</v>
      </c>
      <c r="V51" t="s">
        <v>8634</v>
      </c>
      <c r="W51" t="s">
        <v>361</v>
      </c>
      <c r="X51" t="s">
        <v>361</v>
      </c>
      <c r="Y51" t="s">
        <v>361</v>
      </c>
      <c r="Z51" t="s">
        <v>2140</v>
      </c>
      <c r="AA51" t="s">
        <v>636</v>
      </c>
      <c r="AB51" t="s">
        <v>10200</v>
      </c>
      <c r="AC51" t="s">
        <v>361</v>
      </c>
    </row>
    <row r="52" spans="1:29">
      <c r="A52" t="s">
        <v>3593</v>
      </c>
      <c r="B52" t="s">
        <v>10201</v>
      </c>
      <c r="C52" t="s">
        <v>10181</v>
      </c>
      <c r="D52" t="s">
        <v>10182</v>
      </c>
      <c r="E52" t="s">
        <v>10202</v>
      </c>
      <c r="F52" t="s">
        <v>544</v>
      </c>
      <c r="G52" t="s">
        <v>361</v>
      </c>
      <c r="H52" t="s">
        <v>361</v>
      </c>
      <c r="I52" t="s">
        <v>2140</v>
      </c>
      <c r="J52" t="s">
        <v>636</v>
      </c>
      <c r="K52" t="s">
        <v>10203</v>
      </c>
      <c r="L52" t="s">
        <v>10374</v>
      </c>
      <c r="M52" t="s">
        <v>361</v>
      </c>
      <c r="N52" t="s">
        <v>361</v>
      </c>
      <c r="O52" t="s">
        <v>361</v>
      </c>
      <c r="P52" t="s">
        <v>361</v>
      </c>
      <c r="Q52" t="s">
        <v>435</v>
      </c>
      <c r="R52" t="s">
        <v>435</v>
      </c>
      <c r="S52">
        <v>11</v>
      </c>
      <c r="T52" t="s">
        <v>10204</v>
      </c>
      <c r="U52" t="s">
        <v>431</v>
      </c>
      <c r="V52" t="s">
        <v>10204</v>
      </c>
      <c r="W52" t="s">
        <v>361</v>
      </c>
      <c r="X52" t="s">
        <v>361</v>
      </c>
      <c r="Y52" t="s">
        <v>361</v>
      </c>
      <c r="Z52" t="s">
        <v>2140</v>
      </c>
      <c r="AA52" t="s">
        <v>636</v>
      </c>
      <c r="AB52" t="s">
        <v>10205</v>
      </c>
      <c r="AC52" t="s">
        <v>361</v>
      </c>
    </row>
    <row r="53" spans="1:29">
      <c r="A53" t="s">
        <v>3593</v>
      </c>
      <c r="B53" t="s">
        <v>10206</v>
      </c>
      <c r="C53" t="s">
        <v>10181</v>
      </c>
      <c r="D53" t="s">
        <v>10182</v>
      </c>
      <c r="E53" t="s">
        <v>10207</v>
      </c>
      <c r="F53" t="s">
        <v>544</v>
      </c>
      <c r="G53" t="s">
        <v>361</v>
      </c>
      <c r="H53" t="s">
        <v>361</v>
      </c>
      <c r="I53" t="s">
        <v>2140</v>
      </c>
      <c r="J53" t="s">
        <v>612</v>
      </c>
      <c r="K53" t="s">
        <v>10208</v>
      </c>
      <c r="L53" t="s">
        <v>10374</v>
      </c>
      <c r="M53" t="s">
        <v>361</v>
      </c>
      <c r="N53" t="s">
        <v>361</v>
      </c>
      <c r="O53" t="s">
        <v>10209</v>
      </c>
      <c r="P53" t="s">
        <v>10209</v>
      </c>
      <c r="Q53" t="s">
        <v>435</v>
      </c>
      <c r="R53" t="s">
        <v>435</v>
      </c>
      <c r="S53">
        <v>11</v>
      </c>
      <c r="T53" t="s">
        <v>10204</v>
      </c>
      <c r="U53" t="s">
        <v>431</v>
      </c>
      <c r="V53" t="s">
        <v>10204</v>
      </c>
      <c r="W53" t="s">
        <v>361</v>
      </c>
      <c r="X53" t="s">
        <v>361</v>
      </c>
      <c r="Y53" t="s">
        <v>361</v>
      </c>
      <c r="Z53" t="s">
        <v>2140</v>
      </c>
      <c r="AA53" t="s">
        <v>612</v>
      </c>
      <c r="AB53" t="s">
        <v>10210</v>
      </c>
      <c r="AC53" t="s">
        <v>10209</v>
      </c>
    </row>
    <row r="54" spans="1:29">
      <c r="A54" t="s">
        <v>3593</v>
      </c>
      <c r="B54" t="s">
        <v>10211</v>
      </c>
      <c r="C54" t="s">
        <v>10181</v>
      </c>
      <c r="D54" t="s">
        <v>10182</v>
      </c>
      <c r="E54" t="s">
        <v>10212</v>
      </c>
      <c r="F54" t="s">
        <v>544</v>
      </c>
      <c r="G54" t="s">
        <v>361</v>
      </c>
      <c r="H54" t="s">
        <v>361</v>
      </c>
      <c r="I54" t="s">
        <v>2140</v>
      </c>
      <c r="J54" t="s">
        <v>617</v>
      </c>
      <c r="K54" t="s">
        <v>10213</v>
      </c>
      <c r="L54" t="s">
        <v>10375</v>
      </c>
      <c r="M54" t="s">
        <v>361</v>
      </c>
      <c r="N54" t="s">
        <v>361</v>
      </c>
      <c r="O54" t="s">
        <v>361</v>
      </c>
      <c r="P54" t="s">
        <v>361</v>
      </c>
      <c r="Q54" t="s">
        <v>435</v>
      </c>
      <c r="R54" t="s">
        <v>435</v>
      </c>
      <c r="S54" t="s">
        <v>10215</v>
      </c>
      <c r="T54" t="s">
        <v>8407</v>
      </c>
      <c r="U54" t="s">
        <v>431</v>
      </c>
      <c r="V54" t="s">
        <v>8407</v>
      </c>
      <c r="W54" t="s">
        <v>361</v>
      </c>
      <c r="X54" t="s">
        <v>361</v>
      </c>
      <c r="Y54" t="s">
        <v>361</v>
      </c>
      <c r="Z54" t="s">
        <v>2140</v>
      </c>
      <c r="AA54" t="s">
        <v>617</v>
      </c>
      <c r="AB54" t="s">
        <v>10216</v>
      </c>
      <c r="AC54" t="s">
        <v>361</v>
      </c>
    </row>
    <row r="55" spans="1:29">
      <c r="A55" t="s">
        <v>3593</v>
      </c>
      <c r="B55" t="s">
        <v>5416</v>
      </c>
      <c r="C55" t="s">
        <v>10181</v>
      </c>
      <c r="D55" t="s">
        <v>10182</v>
      </c>
      <c r="E55" t="s">
        <v>10217</v>
      </c>
      <c r="F55" t="s">
        <v>544</v>
      </c>
      <c r="G55" t="s">
        <v>361</v>
      </c>
      <c r="H55" t="s">
        <v>361</v>
      </c>
      <c r="I55" t="s">
        <v>2140</v>
      </c>
      <c r="J55" t="s">
        <v>612</v>
      </c>
      <c r="K55" t="s">
        <v>10218</v>
      </c>
      <c r="L55" t="s">
        <v>10374</v>
      </c>
      <c r="M55" t="s">
        <v>361</v>
      </c>
      <c r="N55" t="s">
        <v>361</v>
      </c>
      <c r="O55" t="s">
        <v>361</v>
      </c>
      <c r="P55" t="s">
        <v>361</v>
      </c>
      <c r="Q55" t="s">
        <v>435</v>
      </c>
      <c r="R55" t="s">
        <v>435</v>
      </c>
      <c r="S55" t="s">
        <v>10215</v>
      </c>
      <c r="T55" t="s">
        <v>10219</v>
      </c>
      <c r="U55" t="s">
        <v>7363</v>
      </c>
      <c r="V55" t="s">
        <v>10219</v>
      </c>
      <c r="W55" t="s">
        <v>361</v>
      </c>
      <c r="X55" t="s">
        <v>361</v>
      </c>
      <c r="Y55" t="s">
        <v>361</v>
      </c>
      <c r="Z55" t="s">
        <v>2140</v>
      </c>
      <c r="AA55" t="s">
        <v>612</v>
      </c>
      <c r="AB55" t="s">
        <v>10220</v>
      </c>
      <c r="AC55" t="s">
        <v>361</v>
      </c>
    </row>
    <row r="56" spans="1:29">
      <c r="A56" t="s">
        <v>3593</v>
      </c>
      <c r="B56" t="s">
        <v>7636</v>
      </c>
      <c r="C56" t="s">
        <v>10181</v>
      </c>
      <c r="D56" t="s">
        <v>10182</v>
      </c>
      <c r="E56" t="s">
        <v>10221</v>
      </c>
      <c r="F56" t="s">
        <v>544</v>
      </c>
      <c r="G56" t="s">
        <v>361</v>
      </c>
      <c r="H56" t="s">
        <v>361</v>
      </c>
      <c r="I56" t="s">
        <v>2140</v>
      </c>
      <c r="J56" t="s">
        <v>612</v>
      </c>
      <c r="K56" t="s">
        <v>10218</v>
      </c>
      <c r="L56" t="s">
        <v>10374</v>
      </c>
      <c r="M56" t="s">
        <v>361</v>
      </c>
      <c r="N56" t="s">
        <v>361</v>
      </c>
      <c r="O56" t="s">
        <v>361</v>
      </c>
      <c r="P56" t="s">
        <v>361</v>
      </c>
      <c r="Q56" t="s">
        <v>435</v>
      </c>
      <c r="R56" t="s">
        <v>435</v>
      </c>
      <c r="S56" t="s">
        <v>361</v>
      </c>
      <c r="T56" t="s">
        <v>10222</v>
      </c>
      <c r="U56" t="s">
        <v>6872</v>
      </c>
      <c r="V56" t="s">
        <v>10222</v>
      </c>
      <c r="W56" t="s">
        <v>361</v>
      </c>
      <c r="X56" t="s">
        <v>361</v>
      </c>
      <c r="Y56" t="s">
        <v>361</v>
      </c>
      <c r="Z56" t="s">
        <v>2140</v>
      </c>
      <c r="AA56" t="s">
        <v>612</v>
      </c>
      <c r="AB56" t="s">
        <v>10223</v>
      </c>
      <c r="AC56" t="s">
        <v>361</v>
      </c>
    </row>
    <row r="57" spans="1:29" ht="45">
      <c r="A57" t="s">
        <v>3593</v>
      </c>
      <c r="B57" t="s">
        <v>10224</v>
      </c>
      <c r="C57" t="s">
        <v>10181</v>
      </c>
      <c r="D57" t="s">
        <v>10182</v>
      </c>
      <c r="E57" t="s">
        <v>10225</v>
      </c>
      <c r="F57" t="s">
        <v>544</v>
      </c>
      <c r="G57" t="s">
        <v>361</v>
      </c>
      <c r="H57" t="s">
        <v>361</v>
      </c>
      <c r="I57" t="s">
        <v>2140</v>
      </c>
      <c r="J57" t="s">
        <v>584</v>
      </c>
      <c r="K57" t="s">
        <v>10226</v>
      </c>
      <c r="L57" s="12" t="s">
        <v>10376</v>
      </c>
      <c r="M57" t="s">
        <v>10228</v>
      </c>
      <c r="N57" t="s">
        <v>361</v>
      </c>
      <c r="O57" t="s">
        <v>361</v>
      </c>
      <c r="P57" t="s">
        <v>361</v>
      </c>
      <c r="Q57" t="s">
        <v>435</v>
      </c>
      <c r="R57" t="s">
        <v>435</v>
      </c>
      <c r="S57">
        <v>30</v>
      </c>
      <c r="T57" t="s">
        <v>10229</v>
      </c>
      <c r="U57" t="s">
        <v>431</v>
      </c>
      <c r="V57" t="s">
        <v>10229</v>
      </c>
      <c r="W57" t="s">
        <v>361</v>
      </c>
      <c r="X57" t="s">
        <v>361</v>
      </c>
      <c r="Y57" t="s">
        <v>361</v>
      </c>
      <c r="Z57" t="s">
        <v>2140</v>
      </c>
      <c r="AA57" t="s">
        <v>584</v>
      </c>
      <c r="AB57" t="s">
        <v>10230</v>
      </c>
      <c r="AC57" t="s">
        <v>361</v>
      </c>
    </row>
    <row r="58" spans="1:29" ht="45">
      <c r="A58" t="s">
        <v>3593</v>
      </c>
      <c r="B58" t="s">
        <v>10089</v>
      </c>
      <c r="C58" t="s">
        <v>10181</v>
      </c>
      <c r="D58" t="s">
        <v>10182</v>
      </c>
      <c r="E58" t="s">
        <v>10231</v>
      </c>
      <c r="F58" t="s">
        <v>544</v>
      </c>
      <c r="G58" t="s">
        <v>361</v>
      </c>
      <c r="H58" t="s">
        <v>361</v>
      </c>
      <c r="I58" t="s">
        <v>2140</v>
      </c>
      <c r="J58" t="s">
        <v>584</v>
      </c>
      <c r="K58" t="s">
        <v>10232</v>
      </c>
      <c r="L58" s="12" t="s">
        <v>10376</v>
      </c>
      <c r="M58" t="s">
        <v>10228</v>
      </c>
      <c r="N58" t="s">
        <v>361</v>
      </c>
      <c r="O58" t="s">
        <v>361</v>
      </c>
      <c r="P58" t="s">
        <v>361</v>
      </c>
      <c r="Q58" t="s">
        <v>435</v>
      </c>
      <c r="R58" t="s">
        <v>435</v>
      </c>
      <c r="S58">
        <v>30</v>
      </c>
      <c r="T58" t="s">
        <v>10229</v>
      </c>
      <c r="U58" t="s">
        <v>431</v>
      </c>
      <c r="V58" t="s">
        <v>10229</v>
      </c>
      <c r="W58" t="s">
        <v>361</v>
      </c>
      <c r="X58" t="s">
        <v>361</v>
      </c>
      <c r="Y58" t="s">
        <v>361</v>
      </c>
      <c r="Z58" t="s">
        <v>2140</v>
      </c>
      <c r="AA58" t="s">
        <v>584</v>
      </c>
      <c r="AB58" t="s">
        <v>10233</v>
      </c>
      <c r="AC58" t="s">
        <v>361</v>
      </c>
    </row>
    <row r="59" spans="1:29">
      <c r="A59" t="s">
        <v>3593</v>
      </c>
      <c r="B59" t="s">
        <v>9554</v>
      </c>
      <c r="C59" t="s">
        <v>10181</v>
      </c>
      <c r="D59" t="s">
        <v>10182</v>
      </c>
      <c r="E59" t="s">
        <v>10234</v>
      </c>
      <c r="F59" t="s">
        <v>544</v>
      </c>
      <c r="G59" t="s">
        <v>361</v>
      </c>
      <c r="H59" t="s">
        <v>361</v>
      </c>
      <c r="I59" t="s">
        <v>2140</v>
      </c>
      <c r="J59" t="s">
        <v>636</v>
      </c>
      <c r="K59" t="s">
        <v>1234</v>
      </c>
      <c r="L59" t="s">
        <v>10374</v>
      </c>
      <c r="M59" t="s">
        <v>361</v>
      </c>
      <c r="N59" t="s">
        <v>361</v>
      </c>
      <c r="O59" t="s">
        <v>361</v>
      </c>
      <c r="P59" t="s">
        <v>361</v>
      </c>
      <c r="Q59" t="s">
        <v>435</v>
      </c>
      <c r="R59" t="s">
        <v>435</v>
      </c>
      <c r="S59" t="s">
        <v>361</v>
      </c>
      <c r="T59" t="s">
        <v>2207</v>
      </c>
      <c r="U59" t="s">
        <v>8199</v>
      </c>
      <c r="V59" t="s">
        <v>8199</v>
      </c>
      <c r="W59" t="s">
        <v>361</v>
      </c>
      <c r="X59" t="s">
        <v>361</v>
      </c>
      <c r="Y59" t="s">
        <v>361</v>
      </c>
      <c r="Z59" t="s">
        <v>2140</v>
      </c>
      <c r="AA59" t="s">
        <v>636</v>
      </c>
      <c r="AB59" t="s">
        <v>10235</v>
      </c>
      <c r="AC59" t="s">
        <v>361</v>
      </c>
    </row>
    <row r="60" spans="1:29">
      <c r="A60" t="s">
        <v>3593</v>
      </c>
      <c r="B60" t="s">
        <v>10236</v>
      </c>
      <c r="C60" t="s">
        <v>10181</v>
      </c>
      <c r="D60" t="s">
        <v>10182</v>
      </c>
      <c r="E60" t="s">
        <v>10237</v>
      </c>
      <c r="F60" t="s">
        <v>544</v>
      </c>
      <c r="G60" t="s">
        <v>361</v>
      </c>
      <c r="H60" t="s">
        <v>361</v>
      </c>
      <c r="I60" t="s">
        <v>2140</v>
      </c>
      <c r="J60" t="s">
        <v>10377</v>
      </c>
      <c r="K60" t="s">
        <v>10239</v>
      </c>
      <c r="L60" t="s">
        <v>10378</v>
      </c>
      <c r="M60" t="s">
        <v>361</v>
      </c>
      <c r="N60" t="s">
        <v>361</v>
      </c>
      <c r="O60" t="s">
        <v>361</v>
      </c>
      <c r="P60" t="s">
        <v>361</v>
      </c>
      <c r="Q60" t="s">
        <v>435</v>
      </c>
      <c r="R60" t="s">
        <v>435</v>
      </c>
      <c r="S60" t="s">
        <v>361</v>
      </c>
      <c r="T60" t="s">
        <v>10222</v>
      </c>
      <c r="U60" t="s">
        <v>6872</v>
      </c>
      <c r="V60" t="s">
        <v>10222</v>
      </c>
      <c r="W60" t="s">
        <v>361</v>
      </c>
      <c r="X60" t="s">
        <v>361</v>
      </c>
      <c r="Y60" t="s">
        <v>361</v>
      </c>
      <c r="Z60" t="s">
        <v>2140</v>
      </c>
      <c r="AA60" t="s">
        <v>612</v>
      </c>
      <c r="AB60" t="s">
        <v>10241</v>
      </c>
      <c r="AC60" t="s">
        <v>361</v>
      </c>
    </row>
    <row r="61" spans="1:29" ht="105">
      <c r="A61" t="s">
        <v>3593</v>
      </c>
      <c r="B61" t="s">
        <v>10242</v>
      </c>
      <c r="C61" t="s">
        <v>10181</v>
      </c>
      <c r="D61" t="s">
        <v>10182</v>
      </c>
      <c r="E61" t="s">
        <v>10243</v>
      </c>
      <c r="F61" t="s">
        <v>544</v>
      </c>
      <c r="G61" t="s">
        <v>361</v>
      </c>
      <c r="H61" t="s">
        <v>361</v>
      </c>
      <c r="I61" t="s">
        <v>2140</v>
      </c>
      <c r="J61" t="s">
        <v>1811</v>
      </c>
      <c r="K61" t="s">
        <v>440</v>
      </c>
      <c r="L61" s="12" t="s">
        <v>10379</v>
      </c>
      <c r="M61" t="s">
        <v>361</v>
      </c>
      <c r="N61" t="s">
        <v>361</v>
      </c>
      <c r="O61" t="s">
        <v>361</v>
      </c>
      <c r="P61" t="s">
        <v>361</v>
      </c>
      <c r="Q61" t="s">
        <v>435</v>
      </c>
      <c r="R61" t="s">
        <v>435</v>
      </c>
      <c r="S61" t="s">
        <v>361</v>
      </c>
      <c r="T61" t="s">
        <v>10222</v>
      </c>
      <c r="U61" t="s">
        <v>6872</v>
      </c>
      <c r="V61" t="s">
        <v>10222</v>
      </c>
      <c r="W61" t="s">
        <v>361</v>
      </c>
      <c r="X61" t="s">
        <v>361</v>
      </c>
      <c r="Y61" t="s">
        <v>361</v>
      </c>
      <c r="Z61" t="s">
        <v>2140</v>
      </c>
      <c r="AA61" t="s">
        <v>612</v>
      </c>
      <c r="AB61" t="s">
        <v>10245</v>
      </c>
      <c r="AC61" t="s">
        <v>361</v>
      </c>
    </row>
    <row r="62" spans="1:29">
      <c r="A62" t="s">
        <v>3593</v>
      </c>
      <c r="B62" t="s">
        <v>10246</v>
      </c>
      <c r="C62" t="s">
        <v>10181</v>
      </c>
      <c r="D62" t="s">
        <v>10182</v>
      </c>
      <c r="E62" t="s">
        <v>10247</v>
      </c>
      <c r="F62" t="s">
        <v>544</v>
      </c>
      <c r="G62" t="s">
        <v>361</v>
      </c>
      <c r="H62" t="s">
        <v>361</v>
      </c>
      <c r="I62" t="s">
        <v>2140</v>
      </c>
      <c r="J62" t="s">
        <v>612</v>
      </c>
      <c r="K62" t="s">
        <v>10248</v>
      </c>
      <c r="L62" t="s">
        <v>10374</v>
      </c>
      <c r="M62" t="s">
        <v>361</v>
      </c>
      <c r="N62" t="s">
        <v>361</v>
      </c>
      <c r="O62" t="s">
        <v>361</v>
      </c>
      <c r="P62" t="s">
        <v>361</v>
      </c>
      <c r="Q62" t="s">
        <v>435</v>
      </c>
      <c r="R62" t="s">
        <v>435</v>
      </c>
      <c r="S62" t="s">
        <v>361</v>
      </c>
      <c r="T62" t="s">
        <v>10222</v>
      </c>
      <c r="U62" t="s">
        <v>6872</v>
      </c>
      <c r="V62" t="s">
        <v>10222</v>
      </c>
      <c r="W62" t="s">
        <v>361</v>
      </c>
      <c r="X62" t="s">
        <v>361</v>
      </c>
      <c r="Y62" t="s">
        <v>361</v>
      </c>
      <c r="Z62" t="s">
        <v>2140</v>
      </c>
      <c r="AA62" t="s">
        <v>612</v>
      </c>
      <c r="AB62" t="s">
        <v>10249</v>
      </c>
      <c r="AC62" t="s">
        <v>361</v>
      </c>
    </row>
    <row r="63" spans="1:29">
      <c r="A63" t="s">
        <v>3593</v>
      </c>
      <c r="B63" t="s">
        <v>10250</v>
      </c>
      <c r="C63" t="s">
        <v>10181</v>
      </c>
      <c r="D63" t="s">
        <v>10182</v>
      </c>
      <c r="E63" t="s">
        <v>10251</v>
      </c>
      <c r="F63" t="s">
        <v>544</v>
      </c>
      <c r="G63" t="s">
        <v>361</v>
      </c>
      <c r="H63" t="s">
        <v>361</v>
      </c>
      <c r="I63" t="s">
        <v>2140</v>
      </c>
      <c r="J63" t="s">
        <v>612</v>
      </c>
      <c r="K63" t="s">
        <v>10252</v>
      </c>
      <c r="L63" t="s">
        <v>10374</v>
      </c>
      <c r="M63" t="s">
        <v>361</v>
      </c>
      <c r="N63" t="s">
        <v>361</v>
      </c>
      <c r="O63" t="s">
        <v>361</v>
      </c>
      <c r="P63" t="s">
        <v>10253</v>
      </c>
      <c r="Q63" t="s">
        <v>435</v>
      </c>
      <c r="R63" t="s">
        <v>435</v>
      </c>
      <c r="S63" t="s">
        <v>361</v>
      </c>
      <c r="T63" t="s">
        <v>10222</v>
      </c>
      <c r="U63" t="s">
        <v>6872</v>
      </c>
      <c r="V63" t="s">
        <v>10222</v>
      </c>
      <c r="W63" t="s">
        <v>361</v>
      </c>
      <c r="X63" t="s">
        <v>361</v>
      </c>
      <c r="Y63" t="s">
        <v>361</v>
      </c>
      <c r="Z63" t="s">
        <v>2140</v>
      </c>
      <c r="AA63" t="s">
        <v>612</v>
      </c>
      <c r="AB63" t="s">
        <v>10254</v>
      </c>
      <c r="AC63" t="s">
        <v>361</v>
      </c>
    </row>
    <row r="64" spans="1:29" ht="105">
      <c r="A64" t="s">
        <v>3593</v>
      </c>
      <c r="B64" t="s">
        <v>10255</v>
      </c>
      <c r="C64" t="s">
        <v>10181</v>
      </c>
      <c r="D64" t="s">
        <v>10182</v>
      </c>
      <c r="E64" t="s">
        <v>10380</v>
      </c>
      <c r="F64" t="s">
        <v>544</v>
      </c>
      <c r="G64" t="s">
        <v>361</v>
      </c>
      <c r="H64" t="s">
        <v>361</v>
      </c>
      <c r="I64" t="s">
        <v>2140</v>
      </c>
      <c r="J64" t="s">
        <v>1811</v>
      </c>
      <c r="K64" t="s">
        <v>440</v>
      </c>
      <c r="L64" s="12" t="s">
        <v>10381</v>
      </c>
      <c r="M64" t="s">
        <v>361</v>
      </c>
      <c r="N64" t="s">
        <v>361</v>
      </c>
      <c r="O64" t="s">
        <v>361</v>
      </c>
      <c r="P64" t="s">
        <v>361</v>
      </c>
      <c r="Q64" t="s">
        <v>435</v>
      </c>
      <c r="R64" t="s">
        <v>435</v>
      </c>
      <c r="S64" t="s">
        <v>361</v>
      </c>
      <c r="T64" t="s">
        <v>10222</v>
      </c>
      <c r="U64" t="s">
        <v>6872</v>
      </c>
      <c r="V64" t="s">
        <v>10222</v>
      </c>
      <c r="W64" t="s">
        <v>361</v>
      </c>
      <c r="X64" t="s">
        <v>361</v>
      </c>
      <c r="Y64" t="s">
        <v>361</v>
      </c>
      <c r="Z64" t="s">
        <v>2140</v>
      </c>
      <c r="AA64" t="s">
        <v>612</v>
      </c>
      <c r="AB64" t="s">
        <v>10258</v>
      </c>
      <c r="AC64" t="s">
        <v>361</v>
      </c>
    </row>
    <row r="65" spans="1:29" ht="165">
      <c r="A65" t="s">
        <v>3593</v>
      </c>
      <c r="B65" t="s">
        <v>10259</v>
      </c>
      <c r="C65" t="s">
        <v>10181</v>
      </c>
      <c r="D65" t="s">
        <v>10182</v>
      </c>
      <c r="E65" t="s">
        <v>10382</v>
      </c>
      <c r="F65" t="s">
        <v>544</v>
      </c>
      <c r="G65" t="s">
        <v>361</v>
      </c>
      <c r="H65" t="s">
        <v>361</v>
      </c>
      <c r="I65" t="s">
        <v>2140</v>
      </c>
      <c r="J65" t="s">
        <v>10383</v>
      </c>
      <c r="K65" t="s">
        <v>440</v>
      </c>
      <c r="L65" t="s">
        <v>10374</v>
      </c>
      <c r="M65" t="s">
        <v>361</v>
      </c>
      <c r="N65" t="s">
        <v>361</v>
      </c>
      <c r="O65" t="s">
        <v>361</v>
      </c>
      <c r="P65" s="12" t="s">
        <v>10384</v>
      </c>
      <c r="Q65" t="s">
        <v>435</v>
      </c>
      <c r="R65" t="s">
        <v>435</v>
      </c>
      <c r="S65" t="s">
        <v>361</v>
      </c>
      <c r="T65" t="s">
        <v>10222</v>
      </c>
      <c r="U65" t="s">
        <v>6872</v>
      </c>
      <c r="V65" t="s">
        <v>10222</v>
      </c>
      <c r="W65" t="s">
        <v>361</v>
      </c>
      <c r="X65" t="s">
        <v>361</v>
      </c>
      <c r="Y65" t="s">
        <v>361</v>
      </c>
      <c r="Z65" t="s">
        <v>2140</v>
      </c>
      <c r="AA65" t="s">
        <v>612</v>
      </c>
      <c r="AB65" t="s">
        <v>10262</v>
      </c>
      <c r="AC65" t="s">
        <v>361</v>
      </c>
    </row>
    <row r="66" spans="1:29">
      <c r="A66" t="s">
        <v>3593</v>
      </c>
      <c r="B66" t="s">
        <v>10263</v>
      </c>
      <c r="C66" t="s">
        <v>10181</v>
      </c>
      <c r="D66" t="s">
        <v>10182</v>
      </c>
      <c r="E66" t="s">
        <v>10385</v>
      </c>
      <c r="F66" t="s">
        <v>544</v>
      </c>
      <c r="G66" t="s">
        <v>361</v>
      </c>
      <c r="H66" t="s">
        <v>361</v>
      </c>
      <c r="I66" t="s">
        <v>2140</v>
      </c>
      <c r="J66" t="s">
        <v>612</v>
      </c>
      <c r="K66" t="s">
        <v>10265</v>
      </c>
      <c r="L66" t="s">
        <v>10374</v>
      </c>
      <c r="M66" t="s">
        <v>361</v>
      </c>
      <c r="N66" t="s">
        <v>361</v>
      </c>
      <c r="O66" t="s">
        <v>361</v>
      </c>
      <c r="P66" t="s">
        <v>361</v>
      </c>
      <c r="Q66" t="s">
        <v>435</v>
      </c>
      <c r="R66" t="s">
        <v>435</v>
      </c>
      <c r="S66" t="s">
        <v>361</v>
      </c>
      <c r="T66" t="s">
        <v>10222</v>
      </c>
      <c r="U66" t="s">
        <v>6872</v>
      </c>
      <c r="V66" t="s">
        <v>10222</v>
      </c>
      <c r="W66" t="s">
        <v>361</v>
      </c>
      <c r="X66" t="s">
        <v>361</v>
      </c>
      <c r="Y66" t="s">
        <v>361</v>
      </c>
      <c r="Z66" t="s">
        <v>2140</v>
      </c>
      <c r="AA66" t="s">
        <v>612</v>
      </c>
      <c r="AB66" t="s">
        <v>10266</v>
      </c>
      <c r="AC66" t="s">
        <v>361</v>
      </c>
    </row>
    <row r="67" spans="1:29">
      <c r="A67" t="s">
        <v>3593</v>
      </c>
      <c r="B67" t="s">
        <v>10267</v>
      </c>
      <c r="C67" t="s">
        <v>10181</v>
      </c>
      <c r="D67" t="s">
        <v>10182</v>
      </c>
      <c r="E67" t="s">
        <v>10386</v>
      </c>
      <c r="F67" t="s">
        <v>544</v>
      </c>
      <c r="G67" t="s">
        <v>361</v>
      </c>
      <c r="H67" t="s">
        <v>361</v>
      </c>
      <c r="I67" t="s">
        <v>2140</v>
      </c>
      <c r="J67" t="s">
        <v>10377</v>
      </c>
      <c r="K67" t="s">
        <v>10270</v>
      </c>
      <c r="L67" t="s">
        <v>10374</v>
      </c>
      <c r="M67" t="s">
        <v>361</v>
      </c>
      <c r="N67" t="s">
        <v>361</v>
      </c>
      <c r="O67" t="s">
        <v>361</v>
      </c>
      <c r="P67" t="s">
        <v>361</v>
      </c>
      <c r="Q67" t="s">
        <v>435</v>
      </c>
      <c r="R67" t="s">
        <v>435</v>
      </c>
      <c r="S67" t="s">
        <v>361</v>
      </c>
      <c r="T67" t="s">
        <v>10222</v>
      </c>
      <c r="U67" t="s">
        <v>6872</v>
      </c>
      <c r="V67" t="s">
        <v>10222</v>
      </c>
      <c r="W67" t="s">
        <v>361</v>
      </c>
      <c r="X67" t="s">
        <v>361</v>
      </c>
      <c r="Y67" t="s">
        <v>361</v>
      </c>
      <c r="Z67" t="s">
        <v>2140</v>
      </c>
      <c r="AA67" t="s">
        <v>612</v>
      </c>
      <c r="AB67" t="s">
        <v>10271</v>
      </c>
      <c r="AC67" t="s">
        <v>361</v>
      </c>
    </row>
    <row r="68" spans="1:29">
      <c r="A68" t="s">
        <v>3593</v>
      </c>
      <c r="B68" t="s">
        <v>10272</v>
      </c>
      <c r="C68" t="s">
        <v>10181</v>
      </c>
      <c r="D68" t="s">
        <v>10182</v>
      </c>
      <c r="E68" t="s">
        <v>10273</v>
      </c>
      <c r="F68" t="s">
        <v>544</v>
      </c>
      <c r="G68" t="s">
        <v>361</v>
      </c>
      <c r="H68" t="s">
        <v>361</v>
      </c>
      <c r="I68" t="s">
        <v>2140</v>
      </c>
      <c r="J68" t="s">
        <v>612</v>
      </c>
      <c r="K68" t="s">
        <v>10252</v>
      </c>
      <c r="L68" t="s">
        <v>10374</v>
      </c>
      <c r="M68" t="s">
        <v>361</v>
      </c>
      <c r="N68" t="s">
        <v>361</v>
      </c>
      <c r="O68" t="s">
        <v>361</v>
      </c>
      <c r="P68" s="423" t="s">
        <v>10387</v>
      </c>
      <c r="Q68" t="s">
        <v>435</v>
      </c>
      <c r="R68" t="s">
        <v>435</v>
      </c>
      <c r="S68" t="s">
        <v>361</v>
      </c>
      <c r="T68" t="s">
        <v>10222</v>
      </c>
      <c r="U68" t="s">
        <v>6872</v>
      </c>
      <c r="V68" t="s">
        <v>10222</v>
      </c>
      <c r="W68" t="s">
        <v>361</v>
      </c>
      <c r="X68" t="s">
        <v>361</v>
      </c>
      <c r="Y68" t="s">
        <v>361</v>
      </c>
      <c r="Z68" t="s">
        <v>2140</v>
      </c>
      <c r="AA68" t="s">
        <v>612</v>
      </c>
      <c r="AB68" t="s">
        <v>10275</v>
      </c>
      <c r="AC68" t="s">
        <v>361</v>
      </c>
    </row>
    <row r="69" spans="1:29">
      <c r="A69" t="s">
        <v>3593</v>
      </c>
      <c r="B69" t="s">
        <v>10276</v>
      </c>
      <c r="C69" t="s">
        <v>10181</v>
      </c>
      <c r="D69" t="s">
        <v>10182</v>
      </c>
      <c r="E69" t="s">
        <v>10277</v>
      </c>
      <c r="F69" t="s">
        <v>544</v>
      </c>
      <c r="G69" t="s">
        <v>361</v>
      </c>
      <c r="H69" t="s">
        <v>361</v>
      </c>
      <c r="I69" t="s">
        <v>2140</v>
      </c>
      <c r="J69" t="s">
        <v>612</v>
      </c>
      <c r="K69" t="s">
        <v>10252</v>
      </c>
      <c r="L69" t="s">
        <v>10374</v>
      </c>
      <c r="M69" t="s">
        <v>361</v>
      </c>
      <c r="N69" t="s">
        <v>361</v>
      </c>
      <c r="O69" t="s">
        <v>10278</v>
      </c>
      <c r="P69" t="s">
        <v>10279</v>
      </c>
      <c r="Q69" t="s">
        <v>435</v>
      </c>
      <c r="R69" t="s">
        <v>435</v>
      </c>
      <c r="S69" t="s">
        <v>361</v>
      </c>
      <c r="T69" t="s">
        <v>10222</v>
      </c>
      <c r="U69" t="s">
        <v>6872</v>
      </c>
      <c r="V69" t="s">
        <v>10222</v>
      </c>
      <c r="W69" t="s">
        <v>361</v>
      </c>
      <c r="X69" t="s">
        <v>361</v>
      </c>
      <c r="Y69" t="s">
        <v>361</v>
      </c>
      <c r="Z69" t="s">
        <v>2140</v>
      </c>
      <c r="AA69" t="s">
        <v>612</v>
      </c>
      <c r="AB69" t="s">
        <v>10280</v>
      </c>
      <c r="AC69" t="s">
        <v>361</v>
      </c>
    </row>
    <row r="70" spans="1:29">
      <c r="A70" t="s">
        <v>3593</v>
      </c>
      <c r="B70" t="s">
        <v>10281</v>
      </c>
      <c r="C70" t="s">
        <v>10181</v>
      </c>
      <c r="D70" t="s">
        <v>10182</v>
      </c>
      <c r="E70" t="s">
        <v>10282</v>
      </c>
      <c r="F70" t="s">
        <v>544</v>
      </c>
      <c r="G70" t="s">
        <v>361</v>
      </c>
      <c r="H70" t="s">
        <v>361</v>
      </c>
      <c r="I70" t="s">
        <v>2140</v>
      </c>
      <c r="J70" t="s">
        <v>612</v>
      </c>
      <c r="K70" t="s">
        <v>10252</v>
      </c>
      <c r="L70" t="s">
        <v>10374</v>
      </c>
      <c r="M70" t="s">
        <v>361</v>
      </c>
      <c r="N70" t="s">
        <v>361</v>
      </c>
      <c r="O70" t="s">
        <v>10278</v>
      </c>
      <c r="P70" t="s">
        <v>10283</v>
      </c>
      <c r="Q70" t="s">
        <v>435</v>
      </c>
      <c r="R70" t="s">
        <v>435</v>
      </c>
      <c r="S70" t="s">
        <v>361</v>
      </c>
      <c r="T70" t="s">
        <v>10222</v>
      </c>
      <c r="U70" t="s">
        <v>6872</v>
      </c>
      <c r="V70" t="s">
        <v>10222</v>
      </c>
      <c r="W70" t="s">
        <v>361</v>
      </c>
      <c r="X70" t="s">
        <v>361</v>
      </c>
      <c r="Y70" t="s">
        <v>361</v>
      </c>
      <c r="Z70" t="s">
        <v>2140</v>
      </c>
      <c r="AA70" t="s">
        <v>612</v>
      </c>
      <c r="AB70" t="s">
        <v>10284</v>
      </c>
      <c r="AC70" t="s">
        <v>361</v>
      </c>
    </row>
    <row r="71" spans="1:29">
      <c r="A71" t="s">
        <v>3593</v>
      </c>
      <c r="B71" t="s">
        <v>10285</v>
      </c>
      <c r="C71" t="s">
        <v>10181</v>
      </c>
      <c r="D71" t="s">
        <v>10182</v>
      </c>
      <c r="E71" t="s">
        <v>10286</v>
      </c>
      <c r="F71" t="s">
        <v>544</v>
      </c>
      <c r="G71" t="s">
        <v>361</v>
      </c>
      <c r="H71" t="s">
        <v>361</v>
      </c>
      <c r="I71" t="s">
        <v>2140</v>
      </c>
      <c r="J71" t="s">
        <v>612</v>
      </c>
      <c r="K71" t="s">
        <v>10252</v>
      </c>
      <c r="L71" t="s">
        <v>10374</v>
      </c>
      <c r="M71" t="s">
        <v>361</v>
      </c>
      <c r="N71" t="s">
        <v>361</v>
      </c>
      <c r="O71" t="s">
        <v>10278</v>
      </c>
      <c r="P71" t="s">
        <v>10283</v>
      </c>
      <c r="Q71" t="s">
        <v>435</v>
      </c>
      <c r="R71" t="s">
        <v>435</v>
      </c>
      <c r="S71" t="s">
        <v>361</v>
      </c>
      <c r="T71" t="s">
        <v>10222</v>
      </c>
      <c r="U71" t="s">
        <v>6872</v>
      </c>
      <c r="V71" t="s">
        <v>10222</v>
      </c>
      <c r="W71" t="s">
        <v>361</v>
      </c>
      <c r="X71" t="s">
        <v>361</v>
      </c>
      <c r="Y71" t="s">
        <v>361</v>
      </c>
      <c r="Z71" t="s">
        <v>2140</v>
      </c>
      <c r="AA71" t="s">
        <v>612</v>
      </c>
      <c r="AB71" t="s">
        <v>10287</v>
      </c>
      <c r="AC71" t="s">
        <v>361</v>
      </c>
    </row>
    <row r="72" spans="1:29">
      <c r="A72" t="s">
        <v>3593</v>
      </c>
      <c r="B72" t="s">
        <v>10288</v>
      </c>
      <c r="C72" t="s">
        <v>10181</v>
      </c>
      <c r="D72" t="s">
        <v>10182</v>
      </c>
      <c r="E72" t="s">
        <v>10289</v>
      </c>
      <c r="F72" t="s">
        <v>544</v>
      </c>
      <c r="G72" t="s">
        <v>361</v>
      </c>
      <c r="H72" t="s">
        <v>361</v>
      </c>
      <c r="I72" t="s">
        <v>2140</v>
      </c>
      <c r="J72" t="s">
        <v>612</v>
      </c>
      <c r="K72" t="s">
        <v>10252</v>
      </c>
      <c r="L72" t="s">
        <v>10374</v>
      </c>
      <c r="M72" t="s">
        <v>361</v>
      </c>
      <c r="N72" t="s">
        <v>361</v>
      </c>
      <c r="O72" t="s">
        <v>10278</v>
      </c>
      <c r="P72" t="s">
        <v>10283</v>
      </c>
      <c r="Q72" t="s">
        <v>435</v>
      </c>
      <c r="R72" t="s">
        <v>435</v>
      </c>
      <c r="S72" t="s">
        <v>361</v>
      </c>
      <c r="T72" t="s">
        <v>10222</v>
      </c>
      <c r="U72" t="s">
        <v>6872</v>
      </c>
      <c r="V72" t="s">
        <v>10222</v>
      </c>
      <c r="W72" t="s">
        <v>361</v>
      </c>
      <c r="X72" t="s">
        <v>361</v>
      </c>
      <c r="Y72" t="s">
        <v>361</v>
      </c>
      <c r="Z72" t="s">
        <v>2140</v>
      </c>
      <c r="AA72" t="s">
        <v>612</v>
      </c>
      <c r="AB72" t="s">
        <v>10290</v>
      </c>
      <c r="AC72" t="s">
        <v>361</v>
      </c>
    </row>
    <row r="73" spans="1:29">
      <c r="A73" t="s">
        <v>3593</v>
      </c>
      <c r="B73" t="s">
        <v>10291</v>
      </c>
      <c r="C73" t="s">
        <v>10181</v>
      </c>
      <c r="D73" t="s">
        <v>10182</v>
      </c>
      <c r="E73" t="s">
        <v>10292</v>
      </c>
      <c r="F73" t="s">
        <v>544</v>
      </c>
      <c r="G73" t="s">
        <v>361</v>
      </c>
      <c r="H73" t="s">
        <v>361</v>
      </c>
      <c r="I73" t="s">
        <v>2140</v>
      </c>
      <c r="J73" t="s">
        <v>612</v>
      </c>
      <c r="K73" t="s">
        <v>10252</v>
      </c>
      <c r="L73" t="s">
        <v>10374</v>
      </c>
      <c r="M73" t="s">
        <v>361</v>
      </c>
      <c r="N73" t="s">
        <v>361</v>
      </c>
      <c r="O73" t="s">
        <v>361</v>
      </c>
      <c r="P73" s="423" t="s">
        <v>10388</v>
      </c>
      <c r="Q73" t="s">
        <v>435</v>
      </c>
      <c r="R73" t="s">
        <v>435</v>
      </c>
      <c r="S73" t="s">
        <v>361</v>
      </c>
      <c r="T73" t="s">
        <v>10222</v>
      </c>
      <c r="U73" t="s">
        <v>6872</v>
      </c>
      <c r="V73" t="s">
        <v>10222</v>
      </c>
      <c r="W73" t="s">
        <v>361</v>
      </c>
      <c r="X73" t="s">
        <v>361</v>
      </c>
      <c r="Y73" t="s">
        <v>361</v>
      </c>
      <c r="Z73" t="s">
        <v>2140</v>
      </c>
      <c r="AA73" t="s">
        <v>612</v>
      </c>
      <c r="AB73" t="s">
        <v>10294</v>
      </c>
      <c r="AC73" t="s">
        <v>361</v>
      </c>
    </row>
    <row r="74" spans="1:29">
      <c r="A74" t="s">
        <v>3593</v>
      </c>
      <c r="B74" t="s">
        <v>4902</v>
      </c>
      <c r="C74" t="s">
        <v>10181</v>
      </c>
      <c r="D74" t="s">
        <v>10182</v>
      </c>
      <c r="E74" t="s">
        <v>10295</v>
      </c>
      <c r="F74" t="s">
        <v>544</v>
      </c>
      <c r="G74" t="s">
        <v>361</v>
      </c>
      <c r="H74" t="s">
        <v>361</v>
      </c>
      <c r="I74" t="s">
        <v>2140</v>
      </c>
      <c r="J74" t="s">
        <v>612</v>
      </c>
      <c r="K74" t="s">
        <v>10252</v>
      </c>
      <c r="L74" t="s">
        <v>10374</v>
      </c>
      <c r="M74" t="s">
        <v>361</v>
      </c>
      <c r="N74" t="s">
        <v>361</v>
      </c>
      <c r="O74" t="s">
        <v>361</v>
      </c>
      <c r="P74" s="423" t="s">
        <v>10389</v>
      </c>
      <c r="Q74" t="s">
        <v>435</v>
      </c>
      <c r="R74" t="s">
        <v>435</v>
      </c>
      <c r="S74" t="s">
        <v>361</v>
      </c>
      <c r="T74" t="s">
        <v>10222</v>
      </c>
      <c r="U74" t="s">
        <v>6872</v>
      </c>
      <c r="V74" t="s">
        <v>10222</v>
      </c>
      <c r="W74" t="s">
        <v>361</v>
      </c>
      <c r="X74" t="s">
        <v>361</v>
      </c>
      <c r="Y74" t="s">
        <v>361</v>
      </c>
      <c r="Z74" t="s">
        <v>2140</v>
      </c>
      <c r="AA74" t="s">
        <v>612</v>
      </c>
      <c r="AB74" t="s">
        <v>10297</v>
      </c>
      <c r="AC74" t="s">
        <v>361</v>
      </c>
    </row>
    <row r="75" spans="1:29">
      <c r="A75" t="s">
        <v>3593</v>
      </c>
      <c r="B75" t="s">
        <v>10298</v>
      </c>
      <c r="C75" t="s">
        <v>10181</v>
      </c>
      <c r="D75" t="s">
        <v>10182</v>
      </c>
      <c r="E75" t="s">
        <v>10299</v>
      </c>
      <c r="F75" t="s">
        <v>544</v>
      </c>
      <c r="G75" t="s">
        <v>361</v>
      </c>
      <c r="H75" t="s">
        <v>361</v>
      </c>
      <c r="I75" t="s">
        <v>2140</v>
      </c>
      <c r="J75" t="s">
        <v>636</v>
      </c>
      <c r="K75" t="s">
        <v>10390</v>
      </c>
      <c r="L75" t="s">
        <v>10374</v>
      </c>
      <c r="M75" t="s">
        <v>361</v>
      </c>
      <c r="N75" t="s">
        <v>361</v>
      </c>
      <c r="O75" t="s">
        <v>361</v>
      </c>
      <c r="P75" t="s">
        <v>361</v>
      </c>
      <c r="Q75" t="s">
        <v>435</v>
      </c>
      <c r="R75" t="s">
        <v>435</v>
      </c>
      <c r="S75" t="s">
        <v>361</v>
      </c>
      <c r="T75" t="s">
        <v>8199</v>
      </c>
      <c r="U75" t="s">
        <v>8199</v>
      </c>
      <c r="V75" t="s">
        <v>8199</v>
      </c>
      <c r="W75" t="s">
        <v>361</v>
      </c>
      <c r="X75" t="s">
        <v>361</v>
      </c>
      <c r="Y75" t="s">
        <v>361</v>
      </c>
      <c r="Z75" t="s">
        <v>2140</v>
      </c>
      <c r="AA75" t="s">
        <v>636</v>
      </c>
      <c r="AB75" t="s">
        <v>10301</v>
      </c>
      <c r="AC75" t="s">
        <v>361</v>
      </c>
    </row>
    <row r="76" spans="1:29">
      <c r="A76" t="s">
        <v>3593</v>
      </c>
      <c r="B76" t="s">
        <v>10302</v>
      </c>
      <c r="C76" t="s">
        <v>10181</v>
      </c>
      <c r="D76" t="s">
        <v>10182</v>
      </c>
      <c r="E76" t="s">
        <v>10303</v>
      </c>
      <c r="F76" t="s">
        <v>544</v>
      </c>
      <c r="G76" t="s">
        <v>361</v>
      </c>
      <c r="H76" t="s">
        <v>361</v>
      </c>
      <c r="I76" t="s">
        <v>2140</v>
      </c>
      <c r="J76" t="s">
        <v>10391</v>
      </c>
      <c r="K76" t="s">
        <v>10392</v>
      </c>
      <c r="L76" t="s">
        <v>10393</v>
      </c>
      <c r="M76" t="s">
        <v>361</v>
      </c>
      <c r="N76" t="s">
        <v>361</v>
      </c>
      <c r="O76" t="s">
        <v>10394</v>
      </c>
      <c r="P76" t="s">
        <v>10394</v>
      </c>
      <c r="Q76" t="s">
        <v>435</v>
      </c>
      <c r="R76" t="s">
        <v>435</v>
      </c>
      <c r="S76" t="s">
        <v>361</v>
      </c>
      <c r="T76" t="s">
        <v>8199</v>
      </c>
      <c r="U76" t="s">
        <v>8199</v>
      </c>
      <c r="V76" t="s">
        <v>8199</v>
      </c>
      <c r="W76" t="s">
        <v>361</v>
      </c>
      <c r="X76" t="s">
        <v>361</v>
      </c>
      <c r="Y76" t="s">
        <v>361</v>
      </c>
      <c r="Z76" t="s">
        <v>2140</v>
      </c>
      <c r="AA76" t="s">
        <v>636</v>
      </c>
      <c r="AB76" t="s">
        <v>10395</v>
      </c>
      <c r="AC76" t="s">
        <v>10394</v>
      </c>
    </row>
    <row r="77" spans="1:29">
      <c r="A77" t="s">
        <v>3593</v>
      </c>
      <c r="B77" t="s">
        <v>10309</v>
      </c>
      <c r="C77" t="s">
        <v>10181</v>
      </c>
      <c r="D77" t="s">
        <v>10182</v>
      </c>
      <c r="E77" t="s">
        <v>10310</v>
      </c>
      <c r="F77" t="s">
        <v>544</v>
      </c>
      <c r="G77" t="s">
        <v>361</v>
      </c>
      <c r="H77" t="s">
        <v>361</v>
      </c>
      <c r="I77" t="s">
        <v>2140</v>
      </c>
      <c r="J77" t="s">
        <v>636</v>
      </c>
      <c r="K77" t="s">
        <v>10311</v>
      </c>
      <c r="L77" t="s">
        <v>10374</v>
      </c>
      <c r="M77" t="s">
        <v>361</v>
      </c>
      <c r="N77" t="s">
        <v>361</v>
      </c>
      <c r="O77" t="s">
        <v>361</v>
      </c>
      <c r="P77" t="s">
        <v>361</v>
      </c>
      <c r="Q77" t="s">
        <v>435</v>
      </c>
      <c r="R77" t="s">
        <v>435</v>
      </c>
      <c r="S77" t="s">
        <v>361</v>
      </c>
      <c r="T77" t="s">
        <v>10312</v>
      </c>
      <c r="U77" t="s">
        <v>10313</v>
      </c>
      <c r="V77" t="s">
        <v>10313</v>
      </c>
      <c r="W77" t="s">
        <v>10314</v>
      </c>
      <c r="X77" t="s">
        <v>10315</v>
      </c>
      <c r="Y77" t="s">
        <v>361</v>
      </c>
      <c r="Z77" t="s">
        <v>2140</v>
      </c>
      <c r="AA77" t="s">
        <v>636</v>
      </c>
      <c r="AB77" t="s">
        <v>10316</v>
      </c>
      <c r="AC77" t="s">
        <v>361</v>
      </c>
    </row>
    <row r="78" spans="1:29">
      <c r="A78" t="s">
        <v>3593</v>
      </c>
      <c r="B78" t="s">
        <v>10317</v>
      </c>
      <c r="C78" t="s">
        <v>10181</v>
      </c>
      <c r="D78" t="s">
        <v>10182</v>
      </c>
      <c r="E78" t="s">
        <v>10318</v>
      </c>
      <c r="F78" t="s">
        <v>544</v>
      </c>
      <c r="G78" t="s">
        <v>361</v>
      </c>
      <c r="H78" t="s">
        <v>361</v>
      </c>
      <c r="I78" t="s">
        <v>2140</v>
      </c>
      <c r="J78" t="s">
        <v>636</v>
      </c>
      <c r="K78" t="s">
        <v>10311</v>
      </c>
      <c r="L78" t="s">
        <v>10374</v>
      </c>
      <c r="M78" t="s">
        <v>361</v>
      </c>
      <c r="N78" t="s">
        <v>361</v>
      </c>
      <c r="O78" t="s">
        <v>10330</v>
      </c>
      <c r="P78" t="s">
        <v>361</v>
      </c>
      <c r="Q78" t="s">
        <v>435</v>
      </c>
      <c r="R78" t="s">
        <v>435</v>
      </c>
      <c r="S78" t="s">
        <v>361</v>
      </c>
      <c r="T78" t="s">
        <v>10312</v>
      </c>
      <c r="U78" t="s">
        <v>10313</v>
      </c>
      <c r="V78" t="s">
        <v>10313</v>
      </c>
      <c r="W78" t="s">
        <v>10314</v>
      </c>
      <c r="X78" t="s">
        <v>10315</v>
      </c>
      <c r="Y78" t="s">
        <v>361</v>
      </c>
      <c r="Z78" t="s">
        <v>2140</v>
      </c>
      <c r="AA78" t="s">
        <v>636</v>
      </c>
      <c r="AB78" t="s">
        <v>10320</v>
      </c>
      <c r="AC78" t="s">
        <v>10321</v>
      </c>
    </row>
    <row r="79" spans="1:29">
      <c r="A79" t="s">
        <v>3593</v>
      </c>
      <c r="B79" t="s">
        <v>10322</v>
      </c>
      <c r="C79" t="s">
        <v>10181</v>
      </c>
      <c r="D79" t="s">
        <v>10182</v>
      </c>
      <c r="E79" t="s">
        <v>10323</v>
      </c>
      <c r="F79" t="s">
        <v>544</v>
      </c>
      <c r="G79" t="s">
        <v>361</v>
      </c>
      <c r="H79" t="s">
        <v>361</v>
      </c>
      <c r="I79" t="s">
        <v>2140</v>
      </c>
      <c r="J79" t="s">
        <v>636</v>
      </c>
      <c r="K79" t="s">
        <v>10324</v>
      </c>
      <c r="L79" t="s">
        <v>10374</v>
      </c>
      <c r="M79" t="s">
        <v>361</v>
      </c>
      <c r="N79" t="s">
        <v>361</v>
      </c>
      <c r="O79" t="s">
        <v>361</v>
      </c>
      <c r="P79" t="s">
        <v>361</v>
      </c>
      <c r="Q79" t="s">
        <v>435</v>
      </c>
      <c r="R79" t="s">
        <v>435</v>
      </c>
      <c r="S79" t="s">
        <v>361</v>
      </c>
      <c r="T79" t="s">
        <v>10312</v>
      </c>
      <c r="U79" t="s">
        <v>10313</v>
      </c>
      <c r="V79" t="s">
        <v>10313</v>
      </c>
      <c r="W79" t="s">
        <v>10325</v>
      </c>
      <c r="X79" t="s">
        <v>10326</v>
      </c>
      <c r="Y79" t="s">
        <v>361</v>
      </c>
      <c r="Z79" t="s">
        <v>2140</v>
      </c>
      <c r="AA79" t="s">
        <v>636</v>
      </c>
      <c r="AB79" t="s">
        <v>10327</v>
      </c>
      <c r="AC79" t="s">
        <v>361</v>
      </c>
    </row>
    <row r="80" spans="1:29">
      <c r="A80" t="s">
        <v>3593</v>
      </c>
      <c r="B80" t="s">
        <v>10328</v>
      </c>
      <c r="C80" t="s">
        <v>10181</v>
      </c>
      <c r="D80" t="s">
        <v>10182</v>
      </c>
      <c r="E80" t="s">
        <v>10329</v>
      </c>
      <c r="F80" t="s">
        <v>544</v>
      </c>
      <c r="G80" t="s">
        <v>361</v>
      </c>
      <c r="H80" t="s">
        <v>361</v>
      </c>
      <c r="I80" t="s">
        <v>2140</v>
      </c>
      <c r="J80" t="s">
        <v>636</v>
      </c>
      <c r="K80" t="s">
        <v>10324</v>
      </c>
      <c r="L80" t="s">
        <v>10374</v>
      </c>
      <c r="M80" t="s">
        <v>361</v>
      </c>
      <c r="N80" t="s">
        <v>361</v>
      </c>
      <c r="O80" t="s">
        <v>10330</v>
      </c>
      <c r="P80" t="s">
        <v>361</v>
      </c>
      <c r="Q80" t="s">
        <v>435</v>
      </c>
      <c r="R80" t="s">
        <v>435</v>
      </c>
      <c r="S80" t="s">
        <v>361</v>
      </c>
      <c r="T80" t="s">
        <v>10312</v>
      </c>
      <c r="U80" t="s">
        <v>10313</v>
      </c>
      <c r="V80" t="s">
        <v>10313</v>
      </c>
      <c r="W80" t="s">
        <v>10325</v>
      </c>
      <c r="X80" t="s">
        <v>10326</v>
      </c>
      <c r="Y80" t="s">
        <v>361</v>
      </c>
      <c r="Z80" t="s">
        <v>2140</v>
      </c>
      <c r="AA80" t="s">
        <v>636</v>
      </c>
      <c r="AB80" t="s">
        <v>10331</v>
      </c>
      <c r="AC80" t="s">
        <v>10330</v>
      </c>
    </row>
    <row r="81" spans="1:29">
      <c r="A81" t="s">
        <v>3593</v>
      </c>
      <c r="B81" t="s">
        <v>10332</v>
      </c>
      <c r="C81" t="s">
        <v>10181</v>
      </c>
      <c r="D81" t="s">
        <v>10182</v>
      </c>
      <c r="E81" t="s">
        <v>10333</v>
      </c>
      <c r="F81" t="s">
        <v>544</v>
      </c>
      <c r="G81" t="s">
        <v>361</v>
      </c>
      <c r="H81" t="s">
        <v>361</v>
      </c>
      <c r="I81" t="s">
        <v>2140</v>
      </c>
      <c r="J81" t="s">
        <v>617</v>
      </c>
      <c r="K81" t="s">
        <v>10334</v>
      </c>
      <c r="L81" t="s">
        <v>10375</v>
      </c>
      <c r="M81" t="s">
        <v>361</v>
      </c>
      <c r="N81" t="s">
        <v>361</v>
      </c>
      <c r="O81" t="s">
        <v>361</v>
      </c>
      <c r="P81" t="s">
        <v>361</v>
      </c>
      <c r="Q81" t="s">
        <v>435</v>
      </c>
      <c r="R81" t="s">
        <v>435</v>
      </c>
      <c r="S81">
        <v>50</v>
      </c>
      <c r="T81" t="s">
        <v>8390</v>
      </c>
      <c r="U81" t="s">
        <v>431</v>
      </c>
      <c r="V81" t="s">
        <v>8390</v>
      </c>
      <c r="W81" t="s">
        <v>361</v>
      </c>
      <c r="X81" t="s">
        <v>361</v>
      </c>
      <c r="Y81" t="s">
        <v>361</v>
      </c>
      <c r="Z81" t="s">
        <v>2140</v>
      </c>
      <c r="AA81" t="s">
        <v>617</v>
      </c>
      <c r="AB81" t="s">
        <v>10335</v>
      </c>
      <c r="AC81" t="s">
        <v>361</v>
      </c>
    </row>
    <row r="82" spans="1:29">
      <c r="A82" t="s">
        <v>3593</v>
      </c>
      <c r="B82" t="s">
        <v>10336</v>
      </c>
      <c r="C82" t="s">
        <v>10181</v>
      </c>
      <c r="D82" t="s">
        <v>10182</v>
      </c>
      <c r="E82" t="s">
        <v>10337</v>
      </c>
      <c r="F82" t="s">
        <v>544</v>
      </c>
      <c r="G82" t="s">
        <v>361</v>
      </c>
      <c r="H82" t="s">
        <v>361</v>
      </c>
      <c r="I82" t="s">
        <v>2140</v>
      </c>
      <c r="J82" t="s">
        <v>617</v>
      </c>
      <c r="K82" t="s">
        <v>10338</v>
      </c>
      <c r="L82" t="s">
        <v>10375</v>
      </c>
      <c r="M82" t="s">
        <v>361</v>
      </c>
      <c r="N82" t="s">
        <v>361</v>
      </c>
      <c r="O82" t="s">
        <v>361</v>
      </c>
      <c r="P82" t="s">
        <v>361</v>
      </c>
      <c r="Q82" t="s">
        <v>435</v>
      </c>
      <c r="R82" t="s">
        <v>435</v>
      </c>
      <c r="S82">
        <v>50</v>
      </c>
      <c r="T82" t="s">
        <v>8390</v>
      </c>
      <c r="U82" t="s">
        <v>431</v>
      </c>
      <c r="V82" t="s">
        <v>8390</v>
      </c>
      <c r="W82" t="s">
        <v>361</v>
      </c>
      <c r="X82" t="s">
        <v>361</v>
      </c>
      <c r="Y82" t="s">
        <v>361</v>
      </c>
      <c r="Z82" t="s">
        <v>2140</v>
      </c>
      <c r="AA82" t="s">
        <v>617</v>
      </c>
      <c r="AB82" t="s">
        <v>10339</v>
      </c>
      <c r="AC82" t="s">
        <v>361</v>
      </c>
    </row>
    <row r="83" spans="1:29">
      <c r="A83" t="s">
        <v>3593</v>
      </c>
      <c r="B83" t="s">
        <v>10340</v>
      </c>
      <c r="C83" t="s">
        <v>10341</v>
      </c>
      <c r="D83" t="s">
        <v>10182</v>
      </c>
      <c r="E83" t="s">
        <v>10342</v>
      </c>
      <c r="F83" t="s">
        <v>544</v>
      </c>
      <c r="G83" t="s">
        <v>361</v>
      </c>
      <c r="H83" t="s">
        <v>361</v>
      </c>
      <c r="I83" t="s">
        <v>2140</v>
      </c>
      <c r="J83" t="s">
        <v>599</v>
      </c>
      <c r="K83" t="s">
        <v>10343</v>
      </c>
      <c r="L83" t="s">
        <v>10396</v>
      </c>
      <c r="M83" t="s">
        <v>10397</v>
      </c>
      <c r="N83" t="s">
        <v>361</v>
      </c>
      <c r="O83" t="s">
        <v>361</v>
      </c>
      <c r="P83" t="s">
        <v>361</v>
      </c>
      <c r="Q83" t="s">
        <v>435</v>
      </c>
      <c r="R83" t="s">
        <v>435</v>
      </c>
      <c r="S83">
        <v>1</v>
      </c>
      <c r="T83" t="s">
        <v>4252</v>
      </c>
      <c r="U83" t="s">
        <v>431</v>
      </c>
      <c r="V83" t="s">
        <v>4252</v>
      </c>
      <c r="W83" t="s">
        <v>361</v>
      </c>
      <c r="X83" t="s">
        <v>361</v>
      </c>
      <c r="Y83" t="s">
        <v>361</v>
      </c>
      <c r="Z83" t="s">
        <v>2140</v>
      </c>
      <c r="AA83" t="s">
        <v>599</v>
      </c>
      <c r="AB83" t="s">
        <v>10346</v>
      </c>
      <c r="AC83" t="s">
        <v>361</v>
      </c>
    </row>
    <row r="84" spans="1:29">
      <c r="A84" t="s">
        <v>3593</v>
      </c>
      <c r="B84" t="s">
        <v>10347</v>
      </c>
      <c r="C84" t="s">
        <v>10341</v>
      </c>
      <c r="D84" t="s">
        <v>10182</v>
      </c>
      <c r="E84" t="s">
        <v>10348</v>
      </c>
      <c r="F84" t="s">
        <v>544</v>
      </c>
      <c r="G84" t="s">
        <v>361</v>
      </c>
      <c r="H84" t="s">
        <v>361</v>
      </c>
      <c r="I84" t="s">
        <v>2140</v>
      </c>
      <c r="J84" t="s">
        <v>599</v>
      </c>
      <c r="K84" t="s">
        <v>10349</v>
      </c>
      <c r="L84" t="s">
        <v>10396</v>
      </c>
      <c r="M84" t="s">
        <v>10397</v>
      </c>
      <c r="N84" t="s">
        <v>361</v>
      </c>
      <c r="O84" t="s">
        <v>361</v>
      </c>
      <c r="P84" t="s">
        <v>361</v>
      </c>
      <c r="Q84" t="s">
        <v>435</v>
      </c>
      <c r="R84" t="s">
        <v>435</v>
      </c>
      <c r="S84">
        <v>1</v>
      </c>
      <c r="T84" t="s">
        <v>8199</v>
      </c>
      <c r="U84" t="s">
        <v>431</v>
      </c>
      <c r="V84" t="s">
        <v>8199</v>
      </c>
      <c r="W84" t="s">
        <v>361</v>
      </c>
      <c r="X84" t="s">
        <v>361</v>
      </c>
      <c r="Y84" t="s">
        <v>361</v>
      </c>
      <c r="Z84" t="s">
        <v>2140</v>
      </c>
      <c r="AA84" t="s">
        <v>599</v>
      </c>
      <c r="AB84" t="s">
        <v>10350</v>
      </c>
      <c r="AC84" t="s">
        <v>361</v>
      </c>
    </row>
    <row r="85" spans="1:29">
      <c r="A85" t="s">
        <v>3593</v>
      </c>
      <c r="B85" t="s">
        <v>159</v>
      </c>
      <c r="C85" t="s">
        <v>10341</v>
      </c>
      <c r="D85" t="s">
        <v>10182</v>
      </c>
      <c r="E85" t="s">
        <v>10351</v>
      </c>
      <c r="F85" t="s">
        <v>544</v>
      </c>
      <c r="G85" t="s">
        <v>361</v>
      </c>
      <c r="H85" t="s">
        <v>361</v>
      </c>
      <c r="I85" t="s">
        <v>2140</v>
      </c>
      <c r="J85" t="s">
        <v>599</v>
      </c>
      <c r="K85" t="s">
        <v>10352</v>
      </c>
      <c r="L85" t="s">
        <v>10396</v>
      </c>
      <c r="M85" t="s">
        <v>10397</v>
      </c>
      <c r="N85" t="s">
        <v>361</v>
      </c>
      <c r="O85" t="s">
        <v>361</v>
      </c>
      <c r="P85" t="s">
        <v>361</v>
      </c>
      <c r="Q85" t="s">
        <v>435</v>
      </c>
      <c r="R85" t="s">
        <v>435</v>
      </c>
      <c r="S85" t="s">
        <v>361</v>
      </c>
      <c r="T85" t="s">
        <v>10313</v>
      </c>
      <c r="U85" t="s">
        <v>431</v>
      </c>
      <c r="V85" t="s">
        <v>10313</v>
      </c>
      <c r="W85" t="s">
        <v>10353</v>
      </c>
      <c r="X85" t="s">
        <v>10354</v>
      </c>
      <c r="Y85" t="s">
        <v>361</v>
      </c>
      <c r="Z85" t="s">
        <v>2140</v>
      </c>
      <c r="AA85" t="s">
        <v>599</v>
      </c>
      <c r="AB85" t="s">
        <v>10355</v>
      </c>
      <c r="AC85" t="s">
        <v>361</v>
      </c>
    </row>
    <row r="86" spans="1:29">
      <c r="A86" t="s">
        <v>3593</v>
      </c>
      <c r="B86" t="s">
        <v>10356</v>
      </c>
      <c r="C86" t="s">
        <v>10341</v>
      </c>
      <c r="D86" t="s">
        <v>10182</v>
      </c>
      <c r="E86" t="s">
        <v>10357</v>
      </c>
      <c r="F86" t="s">
        <v>544</v>
      </c>
      <c r="G86" t="s">
        <v>361</v>
      </c>
      <c r="H86" t="s">
        <v>361</v>
      </c>
      <c r="I86" t="s">
        <v>2140</v>
      </c>
      <c r="J86" t="s">
        <v>599</v>
      </c>
      <c r="K86" t="s">
        <v>10358</v>
      </c>
      <c r="L86" t="s">
        <v>10396</v>
      </c>
      <c r="M86" t="s">
        <v>10397</v>
      </c>
      <c r="N86" t="s">
        <v>361</v>
      </c>
      <c r="O86" t="s">
        <v>361</v>
      </c>
      <c r="P86" t="s">
        <v>361</v>
      </c>
      <c r="Q86" t="s">
        <v>435</v>
      </c>
      <c r="R86" t="s">
        <v>435</v>
      </c>
      <c r="S86" t="s">
        <v>361</v>
      </c>
      <c r="T86" t="s">
        <v>8199</v>
      </c>
      <c r="U86" t="s">
        <v>431</v>
      </c>
      <c r="V86" t="s">
        <v>8199</v>
      </c>
      <c r="W86" t="s">
        <v>361</v>
      </c>
      <c r="X86" t="s">
        <v>361</v>
      </c>
      <c r="Y86" t="s">
        <v>361</v>
      </c>
      <c r="Z86" t="s">
        <v>2140</v>
      </c>
      <c r="AA86" t="s">
        <v>599</v>
      </c>
      <c r="AB86" t="s">
        <v>10359</v>
      </c>
      <c r="AC86" t="s">
        <v>361</v>
      </c>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4A646-A7F2-4710-BF99-9A93603B5993}">
  <sheetPr>
    <tabColor theme="9" tint="0.79998168889431442"/>
  </sheetPr>
  <dimension ref="B1:U35"/>
  <sheetViews>
    <sheetView topLeftCell="F16" zoomScale="90" zoomScaleNormal="90" workbookViewId="0">
      <selection activeCell="F25" sqref="F25"/>
    </sheetView>
  </sheetViews>
  <sheetFormatPr defaultRowHeight="15"/>
  <cols>
    <col min="2" max="2" width="30.42578125" style="8" customWidth="1"/>
    <col min="3" max="3" width="27.5703125" style="8" customWidth="1"/>
    <col min="4" max="4" width="47.5703125" style="8" customWidth="1"/>
    <col min="6" max="6" width="131.5703125" style="8" bestFit="1" customWidth="1"/>
    <col min="7" max="7" width="36.140625" style="8" customWidth="1"/>
    <col min="8" max="8" width="9.140625" style="8" customWidth="1"/>
    <col min="18" max="18" width="14.5703125" style="8" bestFit="1" customWidth="1"/>
    <col min="19" max="19" width="18.5703125" style="8" bestFit="1" customWidth="1"/>
    <col min="20" max="20" width="19.5703125" style="8" bestFit="1" customWidth="1"/>
    <col min="21" max="21" width="15.85546875" style="8" customWidth="1"/>
  </cols>
  <sheetData>
    <row r="1" spans="2:21">
      <c r="B1" s="358" t="s">
        <v>2157</v>
      </c>
      <c r="C1" s="358" t="s">
        <v>336</v>
      </c>
      <c r="D1" s="358" t="s">
        <v>337</v>
      </c>
      <c r="E1" s="358" t="s">
        <v>338</v>
      </c>
      <c r="F1" s="358" t="s">
        <v>339</v>
      </c>
      <c r="G1" t="s">
        <v>2158</v>
      </c>
      <c r="H1" t="s">
        <v>2159</v>
      </c>
      <c r="I1" t="s">
        <v>416</v>
      </c>
      <c r="J1" t="s">
        <v>417</v>
      </c>
      <c r="K1" t="s">
        <v>418</v>
      </c>
      <c r="L1" t="s">
        <v>419</v>
      </c>
      <c r="M1" t="s">
        <v>420</v>
      </c>
      <c r="N1" t="s">
        <v>421</v>
      </c>
      <c r="O1" t="s">
        <v>422</v>
      </c>
      <c r="P1" t="s">
        <v>423</v>
      </c>
      <c r="Q1" t="s">
        <v>424</v>
      </c>
      <c r="R1" t="s">
        <v>425</v>
      </c>
      <c r="S1" t="s">
        <v>426</v>
      </c>
      <c r="T1" t="s">
        <v>427</v>
      </c>
      <c r="U1" t="s">
        <v>428</v>
      </c>
    </row>
    <row r="2" spans="2:21">
      <c r="B2" s="8" t="s">
        <v>2168</v>
      </c>
      <c r="C2" t="s">
        <v>10398</v>
      </c>
      <c r="D2" t="s">
        <v>2427</v>
      </c>
      <c r="E2" t="s">
        <v>66</v>
      </c>
      <c r="F2" t="s">
        <v>10399</v>
      </c>
      <c r="G2" t="s">
        <v>2196</v>
      </c>
      <c r="H2" t="s">
        <v>2546</v>
      </c>
      <c r="R2" t="s">
        <v>2025</v>
      </c>
      <c r="S2" t="s">
        <v>550</v>
      </c>
      <c r="T2"/>
      <c r="U2" t="s">
        <v>10400</v>
      </c>
    </row>
    <row r="3" spans="2:21">
      <c r="B3" s="8" t="s">
        <v>2168</v>
      </c>
      <c r="C3" t="s">
        <v>10401</v>
      </c>
      <c r="D3" t="s">
        <v>2439</v>
      </c>
      <c r="E3" t="s">
        <v>66</v>
      </c>
      <c r="F3" t="s">
        <v>10402</v>
      </c>
      <c r="G3" t="s">
        <v>2196</v>
      </c>
      <c r="H3" t="s">
        <v>2546</v>
      </c>
      <c r="R3" t="s">
        <v>2025</v>
      </c>
      <c r="S3" t="s">
        <v>550</v>
      </c>
      <c r="T3"/>
      <c r="U3" t="s">
        <v>10403</v>
      </c>
    </row>
    <row r="4" spans="2:21">
      <c r="B4" s="8" t="s">
        <v>2168</v>
      </c>
      <c r="C4" t="s">
        <v>10404</v>
      </c>
      <c r="D4" t="s">
        <v>2439</v>
      </c>
      <c r="E4" t="s">
        <v>66</v>
      </c>
      <c r="F4" t="s">
        <v>10405</v>
      </c>
      <c r="G4" t="s">
        <v>2196</v>
      </c>
      <c r="H4" t="s">
        <v>2546</v>
      </c>
      <c r="R4" t="s">
        <v>2025</v>
      </c>
      <c r="S4" t="s">
        <v>550</v>
      </c>
      <c r="T4"/>
      <c r="U4" t="s">
        <v>10406</v>
      </c>
    </row>
    <row r="5" spans="2:21">
      <c r="B5" s="8" t="s">
        <v>2168</v>
      </c>
      <c r="C5" t="s">
        <v>10407</v>
      </c>
      <c r="D5" t="s">
        <v>2439</v>
      </c>
      <c r="E5" t="s">
        <v>66</v>
      </c>
      <c r="F5" t="s">
        <v>10408</v>
      </c>
      <c r="G5" t="s">
        <v>2196</v>
      </c>
      <c r="H5" t="s">
        <v>2546</v>
      </c>
      <c r="R5" t="s">
        <v>2025</v>
      </c>
      <c r="S5" t="s">
        <v>550</v>
      </c>
      <c r="T5"/>
      <c r="U5" t="s">
        <v>10409</v>
      </c>
    </row>
    <row r="6" spans="2:21">
      <c r="B6" s="8" t="s">
        <v>2168</v>
      </c>
      <c r="C6" t="s">
        <v>10410</v>
      </c>
      <c r="D6" t="s">
        <v>2439</v>
      </c>
      <c r="E6" t="s">
        <v>66</v>
      </c>
      <c r="F6" t="s">
        <v>10411</v>
      </c>
      <c r="G6" t="s">
        <v>2196</v>
      </c>
      <c r="H6" t="s">
        <v>2546</v>
      </c>
      <c r="R6" t="s">
        <v>2025</v>
      </c>
      <c r="S6" t="s">
        <v>550</v>
      </c>
      <c r="T6"/>
      <c r="U6" t="s">
        <v>10412</v>
      </c>
    </row>
    <row r="7" spans="2:21">
      <c r="B7" s="8" t="s">
        <v>2168</v>
      </c>
      <c r="C7" t="s">
        <v>10413</v>
      </c>
      <c r="D7" t="s">
        <v>2439</v>
      </c>
      <c r="E7" t="s">
        <v>66</v>
      </c>
      <c r="F7" t="s">
        <v>10414</v>
      </c>
      <c r="G7" t="s">
        <v>2196</v>
      </c>
      <c r="H7" t="s">
        <v>2546</v>
      </c>
      <c r="R7" t="s">
        <v>2025</v>
      </c>
      <c r="S7" t="s">
        <v>550</v>
      </c>
      <c r="T7"/>
      <c r="U7" t="s">
        <v>10415</v>
      </c>
    </row>
    <row r="8" spans="2:21">
      <c r="B8" s="8" t="s">
        <v>2168</v>
      </c>
      <c r="C8" t="s">
        <v>10416</v>
      </c>
      <c r="D8" t="s">
        <v>10417</v>
      </c>
      <c r="E8" t="s">
        <v>66</v>
      </c>
      <c r="F8" t="s">
        <v>10418</v>
      </c>
      <c r="G8"/>
      <c r="H8" t="s">
        <v>2546</v>
      </c>
      <c r="R8" t="s">
        <v>1203</v>
      </c>
      <c r="S8" t="s">
        <v>1540</v>
      </c>
      <c r="T8" t="s">
        <v>10419</v>
      </c>
      <c r="U8"/>
    </row>
    <row r="9" spans="2:21">
      <c r="B9" s="8" t="s">
        <v>2168</v>
      </c>
      <c r="C9" t="s">
        <v>10420</v>
      </c>
      <c r="D9" t="s">
        <v>10417</v>
      </c>
      <c r="E9" t="s">
        <v>66</v>
      </c>
      <c r="F9" t="s">
        <v>10421</v>
      </c>
      <c r="G9"/>
      <c r="H9" t="s">
        <v>2546</v>
      </c>
      <c r="R9" t="s">
        <v>1203</v>
      </c>
      <c r="S9" t="s">
        <v>1540</v>
      </c>
      <c r="T9" t="s">
        <v>10422</v>
      </c>
      <c r="U9"/>
    </row>
    <row r="10" spans="2:21">
      <c r="B10" s="8" t="s">
        <v>2168</v>
      </c>
      <c r="C10" t="s">
        <v>10423</v>
      </c>
      <c r="D10" t="s">
        <v>10417</v>
      </c>
      <c r="E10" t="s">
        <v>66</v>
      </c>
      <c r="F10" t="s">
        <v>10424</v>
      </c>
      <c r="G10"/>
      <c r="H10" t="s">
        <v>2546</v>
      </c>
      <c r="R10" t="s">
        <v>1203</v>
      </c>
      <c r="S10" t="s">
        <v>1540</v>
      </c>
      <c r="T10" t="s">
        <v>10425</v>
      </c>
      <c r="U10"/>
    </row>
    <row r="11" spans="2:21">
      <c r="B11" s="8" t="s">
        <v>2168</v>
      </c>
      <c r="C11" t="s">
        <v>10426</v>
      </c>
      <c r="D11" t="s">
        <v>10417</v>
      </c>
      <c r="E11" t="s">
        <v>66</v>
      </c>
      <c r="F11" t="s">
        <v>10427</v>
      </c>
      <c r="G11"/>
      <c r="H11" t="s">
        <v>2546</v>
      </c>
      <c r="R11" t="s">
        <v>1203</v>
      </c>
      <c r="S11" t="s">
        <v>1540</v>
      </c>
      <c r="T11" t="s">
        <v>10428</v>
      </c>
      <c r="U11"/>
    </row>
    <row r="12" spans="2:21">
      <c r="B12" s="8" t="s">
        <v>2168</v>
      </c>
      <c r="C12" t="s">
        <v>10429</v>
      </c>
      <c r="D12" t="s">
        <v>10417</v>
      </c>
      <c r="E12" t="s">
        <v>66</v>
      </c>
      <c r="F12" t="s">
        <v>10430</v>
      </c>
      <c r="G12"/>
      <c r="H12" t="s">
        <v>2546</v>
      </c>
      <c r="R12" t="s">
        <v>1203</v>
      </c>
      <c r="S12" t="s">
        <v>1540</v>
      </c>
      <c r="T12" t="s">
        <v>10431</v>
      </c>
      <c r="U12"/>
    </row>
    <row r="13" spans="2:21">
      <c r="B13" s="8" t="s">
        <v>2895</v>
      </c>
      <c r="C13" t="s">
        <v>10398</v>
      </c>
      <c r="D13" t="s">
        <v>2427</v>
      </c>
      <c r="E13" t="s">
        <v>66</v>
      </c>
      <c r="F13" t="s">
        <v>10399</v>
      </c>
      <c r="G13"/>
      <c r="H13" t="s">
        <v>2546</v>
      </c>
      <c r="R13" t="s">
        <v>2025</v>
      </c>
      <c r="S13" t="s">
        <v>550</v>
      </c>
      <c r="T13"/>
      <c r="U13" t="s">
        <v>10400</v>
      </c>
    </row>
    <row r="14" spans="2:21">
      <c r="B14" s="8" t="s">
        <v>2895</v>
      </c>
      <c r="C14" t="s">
        <v>10401</v>
      </c>
      <c r="D14" t="s">
        <v>2439</v>
      </c>
      <c r="E14" t="s">
        <v>66</v>
      </c>
      <c r="F14" t="s">
        <v>10402</v>
      </c>
      <c r="G14"/>
      <c r="H14" t="s">
        <v>2546</v>
      </c>
      <c r="R14" t="s">
        <v>2025</v>
      </c>
      <c r="S14" t="s">
        <v>550</v>
      </c>
      <c r="T14"/>
      <c r="U14" t="s">
        <v>10403</v>
      </c>
    </row>
    <row r="15" spans="2:21">
      <c r="B15" s="8" t="s">
        <v>2895</v>
      </c>
      <c r="C15" t="s">
        <v>10404</v>
      </c>
      <c r="D15" t="s">
        <v>2439</v>
      </c>
      <c r="E15" t="s">
        <v>66</v>
      </c>
      <c r="F15" t="s">
        <v>10405</v>
      </c>
      <c r="G15"/>
      <c r="H15" t="s">
        <v>2546</v>
      </c>
      <c r="R15" t="s">
        <v>2025</v>
      </c>
      <c r="S15" t="s">
        <v>550</v>
      </c>
      <c r="T15"/>
      <c r="U15" t="s">
        <v>10406</v>
      </c>
    </row>
    <row r="16" spans="2:21">
      <c r="B16" s="8" t="s">
        <v>2895</v>
      </c>
      <c r="C16" t="s">
        <v>10407</v>
      </c>
      <c r="D16" t="s">
        <v>2439</v>
      </c>
      <c r="E16" t="s">
        <v>66</v>
      </c>
      <c r="F16" t="s">
        <v>10408</v>
      </c>
      <c r="G16"/>
      <c r="H16" t="s">
        <v>2546</v>
      </c>
      <c r="R16" t="s">
        <v>2025</v>
      </c>
      <c r="S16" t="s">
        <v>550</v>
      </c>
      <c r="T16"/>
      <c r="U16" t="s">
        <v>10409</v>
      </c>
    </row>
    <row r="17" spans="2:21">
      <c r="B17" s="8" t="s">
        <v>2895</v>
      </c>
      <c r="C17" t="s">
        <v>10410</v>
      </c>
      <c r="D17" t="s">
        <v>2439</v>
      </c>
      <c r="E17" t="s">
        <v>66</v>
      </c>
      <c r="F17" t="s">
        <v>10411</v>
      </c>
      <c r="G17"/>
      <c r="H17" t="s">
        <v>2546</v>
      </c>
      <c r="R17" t="s">
        <v>2025</v>
      </c>
      <c r="S17" t="s">
        <v>550</v>
      </c>
      <c r="T17"/>
      <c r="U17" t="s">
        <v>10412</v>
      </c>
    </row>
    <row r="18" spans="2:21">
      <c r="B18" s="8" t="s">
        <v>2895</v>
      </c>
      <c r="C18" t="s">
        <v>10413</v>
      </c>
      <c r="D18" t="s">
        <v>2439</v>
      </c>
      <c r="E18" t="s">
        <v>66</v>
      </c>
      <c r="F18" t="s">
        <v>10414</v>
      </c>
      <c r="G18"/>
      <c r="H18" t="s">
        <v>2546</v>
      </c>
      <c r="R18" t="s">
        <v>2025</v>
      </c>
      <c r="S18" t="s">
        <v>550</v>
      </c>
      <c r="T18"/>
      <c r="U18" t="s">
        <v>10415</v>
      </c>
    </row>
    <row r="19" spans="2:21">
      <c r="B19" s="8" t="s">
        <v>2895</v>
      </c>
      <c r="C19" t="s">
        <v>10416</v>
      </c>
      <c r="D19" t="s">
        <v>10417</v>
      </c>
      <c r="E19" t="s">
        <v>66</v>
      </c>
      <c r="F19" t="s">
        <v>10418</v>
      </c>
      <c r="G19"/>
      <c r="H19" t="s">
        <v>2546</v>
      </c>
      <c r="R19" t="s">
        <v>1203</v>
      </c>
      <c r="S19" t="s">
        <v>1540</v>
      </c>
      <c r="T19" t="s">
        <v>10419</v>
      </c>
      <c r="U19"/>
    </row>
    <row r="20" spans="2:21">
      <c r="B20" s="8" t="s">
        <v>2895</v>
      </c>
      <c r="C20" t="s">
        <v>10420</v>
      </c>
      <c r="D20" t="s">
        <v>10417</v>
      </c>
      <c r="E20" t="s">
        <v>66</v>
      </c>
      <c r="F20" t="s">
        <v>10421</v>
      </c>
      <c r="G20"/>
      <c r="H20" t="s">
        <v>2546</v>
      </c>
      <c r="R20" t="s">
        <v>1203</v>
      </c>
      <c r="S20" t="s">
        <v>1540</v>
      </c>
      <c r="T20" t="s">
        <v>10422</v>
      </c>
      <c r="U20"/>
    </row>
    <row r="21" spans="2:21">
      <c r="B21" s="8" t="s">
        <v>2895</v>
      </c>
      <c r="C21" t="s">
        <v>10423</v>
      </c>
      <c r="D21" t="s">
        <v>10417</v>
      </c>
      <c r="E21" t="s">
        <v>66</v>
      </c>
      <c r="F21" t="s">
        <v>10424</v>
      </c>
      <c r="G21"/>
      <c r="H21" t="s">
        <v>2546</v>
      </c>
      <c r="R21" t="s">
        <v>1203</v>
      </c>
      <c r="S21" t="s">
        <v>1540</v>
      </c>
      <c r="T21" t="s">
        <v>10425</v>
      </c>
      <c r="U21"/>
    </row>
    <row r="22" spans="2:21">
      <c r="B22" s="8" t="s">
        <v>2895</v>
      </c>
      <c r="C22" t="s">
        <v>10426</v>
      </c>
      <c r="D22" t="s">
        <v>10417</v>
      </c>
      <c r="E22" t="s">
        <v>66</v>
      </c>
      <c r="F22" t="s">
        <v>10427</v>
      </c>
      <c r="G22"/>
      <c r="H22" t="s">
        <v>2546</v>
      </c>
      <c r="R22" t="s">
        <v>1203</v>
      </c>
      <c r="S22" t="s">
        <v>1540</v>
      </c>
      <c r="T22" t="s">
        <v>10428</v>
      </c>
      <c r="U22"/>
    </row>
    <row r="23" spans="2:21">
      <c r="B23" s="8" t="s">
        <v>2895</v>
      </c>
      <c r="C23" t="s">
        <v>10429</v>
      </c>
      <c r="D23" t="s">
        <v>10417</v>
      </c>
      <c r="E23" t="s">
        <v>66</v>
      </c>
      <c r="F23" t="s">
        <v>10430</v>
      </c>
      <c r="G23"/>
      <c r="H23" t="s">
        <v>2546</v>
      </c>
      <c r="R23" t="s">
        <v>1203</v>
      </c>
      <c r="S23" t="s">
        <v>1540</v>
      </c>
      <c r="T23" t="s">
        <v>10431</v>
      </c>
      <c r="U23"/>
    </row>
    <row r="24" spans="2:21">
      <c r="B24" s="8" t="s">
        <v>8207</v>
      </c>
      <c r="C24" t="s">
        <v>8778</v>
      </c>
      <c r="D24" t="s">
        <v>10432</v>
      </c>
      <c r="E24" t="s">
        <v>66</v>
      </c>
      <c r="F24" t="s">
        <v>10433</v>
      </c>
      <c r="H24" t="s">
        <v>2546</v>
      </c>
      <c r="R24" t="s">
        <v>1203</v>
      </c>
      <c r="S24" t="s">
        <v>1218</v>
      </c>
      <c r="T24" t="s">
        <v>10434</v>
      </c>
      <c r="U24"/>
    </row>
    <row r="25" spans="2:21">
      <c r="B25" s="8" t="s">
        <v>8207</v>
      </c>
      <c r="C25" t="s">
        <v>5265</v>
      </c>
      <c r="D25" t="s">
        <v>10432</v>
      </c>
      <c r="E25" t="s">
        <v>66</v>
      </c>
      <c r="F25" t="s">
        <v>10435</v>
      </c>
      <c r="H25" t="s">
        <v>2546</v>
      </c>
      <c r="R25" t="s">
        <v>1203</v>
      </c>
      <c r="S25" t="s">
        <v>1218</v>
      </c>
      <c r="T25" t="s">
        <v>10436</v>
      </c>
      <c r="U25"/>
    </row>
    <row r="26" spans="2:21">
      <c r="B26" s="8" t="s">
        <v>8207</v>
      </c>
      <c r="C26" t="s">
        <v>9860</v>
      </c>
      <c r="D26" t="s">
        <v>10432</v>
      </c>
      <c r="E26" t="s">
        <v>66</v>
      </c>
      <c r="F26" t="s">
        <v>10437</v>
      </c>
      <c r="H26" t="s">
        <v>2546</v>
      </c>
      <c r="R26" t="s">
        <v>1203</v>
      </c>
      <c r="S26" t="s">
        <v>1204</v>
      </c>
      <c r="T26" t="s">
        <v>702</v>
      </c>
      <c r="U26"/>
    </row>
    <row r="27" spans="2:21">
      <c r="B27" s="8" t="s">
        <v>8207</v>
      </c>
      <c r="C27" t="s">
        <v>10438</v>
      </c>
      <c r="D27" t="s">
        <v>10432</v>
      </c>
      <c r="E27" t="s">
        <v>66</v>
      </c>
      <c r="F27" t="s">
        <v>10439</v>
      </c>
      <c r="H27" t="s">
        <v>2546</v>
      </c>
      <c r="R27" t="s">
        <v>1203</v>
      </c>
      <c r="S27" t="s">
        <v>1204</v>
      </c>
      <c r="T27" t="s">
        <v>10440</v>
      </c>
      <c r="U27"/>
    </row>
    <row r="28" spans="2:21">
      <c r="B28" s="8" t="s">
        <v>8207</v>
      </c>
      <c r="C28" t="s">
        <v>8228</v>
      </c>
      <c r="D28" t="s">
        <v>10432</v>
      </c>
      <c r="E28" t="s">
        <v>66</v>
      </c>
      <c r="F28" t="s">
        <v>10441</v>
      </c>
      <c r="H28" t="s">
        <v>2546</v>
      </c>
      <c r="R28" t="s">
        <v>1203</v>
      </c>
      <c r="S28" t="s">
        <v>1204</v>
      </c>
      <c r="T28" t="s">
        <v>10440</v>
      </c>
      <c r="U28"/>
    </row>
    <row r="29" spans="2:21">
      <c r="B29" s="8" t="s">
        <v>8207</v>
      </c>
      <c r="C29" t="s">
        <v>159</v>
      </c>
      <c r="D29" t="s">
        <v>10432</v>
      </c>
      <c r="E29" t="s">
        <v>66</v>
      </c>
      <c r="F29" t="s">
        <v>10442</v>
      </c>
      <c r="H29" t="s">
        <v>2546</v>
      </c>
      <c r="R29" t="s">
        <v>1203</v>
      </c>
      <c r="S29" t="s">
        <v>1204</v>
      </c>
      <c r="T29" t="s">
        <v>2818</v>
      </c>
      <c r="U29"/>
    </row>
    <row r="30" spans="2:21">
      <c r="B30" s="8" t="s">
        <v>8207</v>
      </c>
      <c r="C30" t="s">
        <v>5784</v>
      </c>
      <c r="D30" t="s">
        <v>10432</v>
      </c>
      <c r="E30" t="s">
        <v>66</v>
      </c>
      <c r="F30" t="s">
        <v>10443</v>
      </c>
      <c r="H30" t="s">
        <v>2546</v>
      </c>
      <c r="R30" t="s">
        <v>1203</v>
      </c>
      <c r="S30" t="s">
        <v>1218</v>
      </c>
      <c r="T30" t="s">
        <v>10444</v>
      </c>
      <c r="U30"/>
    </row>
    <row r="31" spans="2:21">
      <c r="B31" s="8" t="s">
        <v>8207</v>
      </c>
      <c r="C31" t="s">
        <v>10445</v>
      </c>
      <c r="D31" t="s">
        <v>10432</v>
      </c>
      <c r="E31" t="s">
        <v>66</v>
      </c>
      <c r="F31" t="s">
        <v>10446</v>
      </c>
      <c r="H31" t="s">
        <v>2546</v>
      </c>
      <c r="R31" t="s">
        <v>1203</v>
      </c>
      <c r="S31" t="s">
        <v>1692</v>
      </c>
      <c r="T31" t="s">
        <v>10447</v>
      </c>
      <c r="U31"/>
    </row>
    <row r="32" spans="2:21">
      <c r="B32" s="8" t="s">
        <v>8207</v>
      </c>
      <c r="C32" t="s">
        <v>10448</v>
      </c>
      <c r="D32" t="s">
        <v>10432</v>
      </c>
      <c r="E32" t="s">
        <v>66</v>
      </c>
      <c r="F32" t="s">
        <v>10449</v>
      </c>
      <c r="H32" t="s">
        <v>2546</v>
      </c>
      <c r="R32" t="s">
        <v>1203</v>
      </c>
      <c r="S32" t="s">
        <v>1204</v>
      </c>
      <c r="T32" t="s">
        <v>10450</v>
      </c>
      <c r="U32"/>
    </row>
    <row r="33" spans="2:21">
      <c r="B33" s="8" t="s">
        <v>8207</v>
      </c>
      <c r="C33" t="s">
        <v>10451</v>
      </c>
      <c r="D33" t="s">
        <v>10432</v>
      </c>
      <c r="E33" t="s">
        <v>66</v>
      </c>
      <c r="F33" t="s">
        <v>10452</v>
      </c>
      <c r="H33" t="s">
        <v>2546</v>
      </c>
      <c r="R33" t="s">
        <v>1203</v>
      </c>
      <c r="S33" t="s">
        <v>1204</v>
      </c>
      <c r="T33" t="s">
        <v>10453</v>
      </c>
      <c r="U33"/>
    </row>
    <row r="34" spans="2:21">
      <c r="B34" s="8" t="s">
        <v>8207</v>
      </c>
      <c r="C34" t="s">
        <v>10454</v>
      </c>
      <c r="D34" t="s">
        <v>10432</v>
      </c>
      <c r="E34" t="s">
        <v>66</v>
      </c>
      <c r="F34" t="s">
        <v>10455</v>
      </c>
      <c r="H34" t="s">
        <v>2546</v>
      </c>
      <c r="R34" t="s">
        <v>1203</v>
      </c>
      <c r="S34" t="s">
        <v>1485</v>
      </c>
      <c r="T34" t="s">
        <v>10456</v>
      </c>
      <c r="U34"/>
    </row>
    <row r="35" spans="2:21">
      <c r="R35"/>
      <c r="S35"/>
      <c r="T35"/>
    </row>
  </sheetData>
  <conditionalFormatting sqref="C29:C31 C24:C27">
    <cfRule type="duplicateValues" dxfId="0" priority="1"/>
  </conditionalFormatting>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D458E-E3C7-402C-87C5-AC5239E250D2}">
  <sheetPr>
    <tabColor rgb="FFFFFF00"/>
  </sheetPr>
  <dimension ref="B1:Z51"/>
  <sheetViews>
    <sheetView workbookViewId="0">
      <selection activeCell="A45" sqref="A45"/>
    </sheetView>
  </sheetViews>
  <sheetFormatPr defaultColWidth="9.140625" defaultRowHeight="15" customHeight="1"/>
  <cols>
    <col min="2" max="2" width="23.85546875" style="8" bestFit="1" customWidth="1"/>
    <col min="3" max="3" width="22" style="8" bestFit="1" customWidth="1"/>
    <col min="4" max="4" width="42.85546875" style="8" bestFit="1" customWidth="1"/>
    <col min="5" max="5" width="40.5703125" style="8" bestFit="1" customWidth="1"/>
    <col min="6" max="6" width="162" style="8" customWidth="1"/>
    <col min="7" max="7" width="32.7109375" style="8" bestFit="1" customWidth="1"/>
    <col min="8" max="8" width="20.42578125" style="8" bestFit="1" customWidth="1"/>
    <col min="9" max="9" width="17.28515625" style="8" bestFit="1" customWidth="1"/>
    <col min="10" max="10" width="67.85546875" style="8" bestFit="1" customWidth="1"/>
    <col min="11" max="11" width="12.5703125" style="8" bestFit="1" customWidth="1"/>
    <col min="12" max="12" width="21.85546875" style="8" bestFit="1" customWidth="1"/>
    <col min="13" max="13" width="50.5703125" style="8" bestFit="1" customWidth="1"/>
    <col min="14" max="14" width="21.5703125" style="8" bestFit="1" customWidth="1"/>
    <col min="15" max="15" width="113.140625" style="8" bestFit="1" customWidth="1"/>
    <col min="16" max="16" width="71.5703125" style="8" bestFit="1" customWidth="1"/>
    <col min="17" max="17" width="102.140625" style="8" bestFit="1" customWidth="1"/>
    <col min="18" max="18" width="22.140625" style="8" bestFit="1" customWidth="1"/>
    <col min="19" max="19" width="21.85546875" style="8" bestFit="1" customWidth="1"/>
    <col min="20" max="20" width="17.5703125" style="8" bestFit="1" customWidth="1"/>
    <col min="21" max="21" width="20.5703125" style="8" bestFit="1" customWidth="1"/>
    <col min="22" max="22" width="17.85546875" style="8" bestFit="1" customWidth="1"/>
    <col min="23" max="23" width="20.5703125" style="8" bestFit="1" customWidth="1"/>
    <col min="24" max="24" width="160.85546875" style="8" bestFit="1" customWidth="1"/>
    <col min="25" max="25" width="50.28515625" style="8" bestFit="1" customWidth="1"/>
    <col min="26" max="26" width="51.5703125" style="8" bestFit="1" customWidth="1"/>
  </cols>
  <sheetData>
    <row r="1" spans="2:26">
      <c r="B1" s="358" t="s">
        <v>2157</v>
      </c>
      <c r="C1" s="358" t="s">
        <v>336</v>
      </c>
      <c r="D1" s="358" t="s">
        <v>337</v>
      </c>
      <c r="E1" s="358" t="s">
        <v>338</v>
      </c>
      <c r="F1" s="358" t="s">
        <v>339</v>
      </c>
      <c r="G1" s="358" t="s">
        <v>2158</v>
      </c>
      <c r="H1" s="403" t="s">
        <v>2159</v>
      </c>
      <c r="I1" s="403" t="s">
        <v>2160</v>
      </c>
      <c r="J1" s="403" t="s">
        <v>425</v>
      </c>
      <c r="K1" s="403" t="s">
        <v>426</v>
      </c>
      <c r="L1" s="403" t="s">
        <v>427</v>
      </c>
      <c r="M1" s="403" t="s">
        <v>2161</v>
      </c>
      <c r="N1" s="403" t="s">
        <v>2162</v>
      </c>
      <c r="O1" s="403" t="s">
        <v>6856</v>
      </c>
      <c r="P1" s="403" t="s">
        <v>428</v>
      </c>
      <c r="Q1" s="403" t="s">
        <v>16</v>
      </c>
      <c r="R1" s="403" t="s">
        <v>416</v>
      </c>
      <c r="S1" s="403" t="s">
        <v>417</v>
      </c>
      <c r="T1" s="403" t="s">
        <v>418</v>
      </c>
      <c r="U1" s="403" t="s">
        <v>419</v>
      </c>
      <c r="V1" s="403" t="s">
        <v>420</v>
      </c>
      <c r="W1" s="403" t="s">
        <v>421</v>
      </c>
      <c r="X1" s="403" t="s">
        <v>422</v>
      </c>
      <c r="Y1" s="403" t="s">
        <v>423</v>
      </c>
      <c r="Z1" s="403" t="s">
        <v>424</v>
      </c>
    </row>
    <row r="2" spans="2:26">
      <c r="B2" t="s">
        <v>2168</v>
      </c>
      <c r="C2" t="s">
        <v>10457</v>
      </c>
      <c r="D2" t="s">
        <v>2427</v>
      </c>
      <c r="E2" t="s">
        <v>57</v>
      </c>
      <c r="F2" t="s">
        <v>10458</v>
      </c>
      <c r="G2" t="s">
        <v>2196</v>
      </c>
      <c r="H2" t="s">
        <v>2546</v>
      </c>
      <c r="I2" t="s">
        <v>1236</v>
      </c>
      <c r="J2" t="s">
        <v>10459</v>
      </c>
      <c r="K2" t="s">
        <v>10460</v>
      </c>
      <c r="L2" t="s">
        <v>10461</v>
      </c>
      <c r="M2" t="s">
        <v>10462</v>
      </c>
      <c r="N2" t="s">
        <v>10463</v>
      </c>
      <c r="O2" t="s">
        <v>2177</v>
      </c>
      <c r="P2" t="s">
        <v>10463</v>
      </c>
      <c r="Q2"/>
      <c r="R2" t="s">
        <v>2213</v>
      </c>
      <c r="S2" t="s">
        <v>2213</v>
      </c>
      <c r="T2">
        <v>3</v>
      </c>
      <c r="U2" t="s">
        <v>6280</v>
      </c>
      <c r="V2" t="s">
        <v>431</v>
      </c>
      <c r="W2" t="s">
        <v>6280</v>
      </c>
      <c r="X2" t="s">
        <v>10464</v>
      </c>
      <c r="Y2" t="s">
        <v>10465</v>
      </c>
      <c r="Z2" t="s">
        <v>855</v>
      </c>
    </row>
    <row r="3" spans="2:26">
      <c r="B3" t="s">
        <v>2168</v>
      </c>
      <c r="C3" t="s">
        <v>9659</v>
      </c>
      <c r="D3" t="s">
        <v>10361</v>
      </c>
      <c r="E3" t="s">
        <v>57</v>
      </c>
      <c r="F3" t="s">
        <v>10466</v>
      </c>
      <c r="G3" t="s">
        <v>2527</v>
      </c>
      <c r="H3" t="s">
        <v>2546</v>
      </c>
      <c r="I3" t="s">
        <v>1236</v>
      </c>
      <c r="J3" t="s">
        <v>10459</v>
      </c>
      <c r="K3" t="s">
        <v>10460</v>
      </c>
      <c r="L3" t="s">
        <v>4195</v>
      </c>
      <c r="M3" t="s">
        <v>10462</v>
      </c>
      <c r="N3"/>
      <c r="O3" t="s">
        <v>2177</v>
      </c>
      <c r="P3"/>
      <c r="Q3"/>
      <c r="R3" t="s">
        <v>2213</v>
      </c>
      <c r="S3" t="s">
        <v>2213</v>
      </c>
      <c r="T3">
        <v>32</v>
      </c>
      <c r="U3" t="s">
        <v>10467</v>
      </c>
      <c r="V3" t="s">
        <v>431</v>
      </c>
      <c r="W3" t="s">
        <v>10467</v>
      </c>
      <c r="X3"/>
      <c r="Y3"/>
      <c r="Z3" t="s">
        <v>855</v>
      </c>
    </row>
    <row r="4" spans="2:26">
      <c r="B4" t="s">
        <v>2168</v>
      </c>
      <c r="C4" t="s">
        <v>10468</v>
      </c>
      <c r="D4" t="s">
        <v>10361</v>
      </c>
      <c r="E4" t="s">
        <v>57</v>
      </c>
      <c r="F4" t="s">
        <v>10469</v>
      </c>
      <c r="G4" t="s">
        <v>2527</v>
      </c>
      <c r="H4" t="s">
        <v>2546</v>
      </c>
      <c r="I4" t="s">
        <v>1236</v>
      </c>
      <c r="J4" t="s">
        <v>10459</v>
      </c>
      <c r="K4" t="s">
        <v>10460</v>
      </c>
      <c r="L4" t="s">
        <v>10461</v>
      </c>
      <c r="M4" t="s">
        <v>10462</v>
      </c>
      <c r="N4" t="s">
        <v>10463</v>
      </c>
      <c r="O4" t="s">
        <v>2177</v>
      </c>
      <c r="P4" t="s">
        <v>10463</v>
      </c>
      <c r="Q4"/>
      <c r="R4" t="s">
        <v>2213</v>
      </c>
      <c r="S4" t="s">
        <v>2213</v>
      </c>
      <c r="T4">
        <v>3</v>
      </c>
      <c r="U4" t="s">
        <v>6280</v>
      </c>
      <c r="V4" t="s">
        <v>431</v>
      </c>
      <c r="W4" t="s">
        <v>6280</v>
      </c>
      <c r="X4" t="s">
        <v>10464</v>
      </c>
      <c r="Y4" t="s">
        <v>10465</v>
      </c>
      <c r="Z4" t="s">
        <v>855</v>
      </c>
    </row>
    <row r="5" spans="2:26">
      <c r="B5" t="s">
        <v>2168</v>
      </c>
      <c r="C5" t="s">
        <v>10470</v>
      </c>
      <c r="D5" t="s">
        <v>10361</v>
      </c>
      <c r="E5" t="s">
        <v>57</v>
      </c>
      <c r="F5" t="s">
        <v>10471</v>
      </c>
      <c r="G5" t="s">
        <v>2527</v>
      </c>
      <c r="H5" t="s">
        <v>2546</v>
      </c>
      <c r="I5" t="s">
        <v>1236</v>
      </c>
      <c r="J5" t="s">
        <v>10459</v>
      </c>
      <c r="K5" t="s">
        <v>10460</v>
      </c>
      <c r="L5" t="s">
        <v>10472</v>
      </c>
      <c r="M5" t="s">
        <v>10462</v>
      </c>
      <c r="N5" t="s">
        <v>10463</v>
      </c>
      <c r="O5" t="s">
        <v>2177</v>
      </c>
      <c r="P5" t="s">
        <v>10463</v>
      </c>
      <c r="Q5"/>
      <c r="R5" t="s">
        <v>2213</v>
      </c>
      <c r="S5" t="s">
        <v>2213</v>
      </c>
      <c r="T5">
        <v>3</v>
      </c>
      <c r="U5" t="s">
        <v>6280</v>
      </c>
      <c r="V5" t="s">
        <v>431</v>
      </c>
      <c r="W5" t="s">
        <v>6280</v>
      </c>
      <c r="X5" t="s">
        <v>10473</v>
      </c>
      <c r="Y5" t="s">
        <v>10474</v>
      </c>
      <c r="Z5" t="s">
        <v>855</v>
      </c>
    </row>
    <row r="6" spans="2:26">
      <c r="B6" t="s">
        <v>2168</v>
      </c>
      <c r="C6" t="s">
        <v>10475</v>
      </c>
      <c r="D6" t="s">
        <v>10361</v>
      </c>
      <c r="E6" t="s">
        <v>57</v>
      </c>
      <c r="F6" t="s">
        <v>10471</v>
      </c>
      <c r="G6" t="s">
        <v>2527</v>
      </c>
      <c r="H6" t="s">
        <v>2546</v>
      </c>
      <c r="I6" t="s">
        <v>1236</v>
      </c>
      <c r="J6" t="s">
        <v>10459</v>
      </c>
      <c r="K6" t="s">
        <v>10460</v>
      </c>
      <c r="L6" t="s">
        <v>10472</v>
      </c>
      <c r="M6" t="s">
        <v>10462</v>
      </c>
      <c r="N6" t="s">
        <v>10463</v>
      </c>
      <c r="O6" t="s">
        <v>2177</v>
      </c>
      <c r="P6" t="s">
        <v>10463</v>
      </c>
      <c r="Q6"/>
      <c r="R6" t="s">
        <v>2213</v>
      </c>
      <c r="S6" t="s">
        <v>2213</v>
      </c>
      <c r="T6">
        <v>3</v>
      </c>
      <c r="U6" t="s">
        <v>6280</v>
      </c>
      <c r="V6" t="s">
        <v>431</v>
      </c>
      <c r="W6" t="s">
        <v>6280</v>
      </c>
      <c r="X6" t="s">
        <v>10464</v>
      </c>
      <c r="Y6" t="s">
        <v>10465</v>
      </c>
      <c r="Z6" t="s">
        <v>855</v>
      </c>
    </row>
    <row r="7" spans="2:26">
      <c r="B7" t="s">
        <v>2168</v>
      </c>
      <c r="C7" t="s">
        <v>10476</v>
      </c>
      <c r="D7" t="s">
        <v>10361</v>
      </c>
      <c r="E7" t="s">
        <v>57</v>
      </c>
      <c r="F7" t="s">
        <v>10477</v>
      </c>
      <c r="G7" t="s">
        <v>2527</v>
      </c>
      <c r="H7" t="s">
        <v>2546</v>
      </c>
      <c r="I7" t="s">
        <v>1236</v>
      </c>
      <c r="J7" t="s">
        <v>10459</v>
      </c>
      <c r="K7" t="s">
        <v>10478</v>
      </c>
      <c r="L7" t="s">
        <v>10472</v>
      </c>
      <c r="M7" t="s">
        <v>361</v>
      </c>
      <c r="N7"/>
      <c r="O7" t="s">
        <v>2177</v>
      </c>
      <c r="P7" t="s">
        <v>10479</v>
      </c>
      <c r="Q7"/>
      <c r="R7" t="s">
        <v>2213</v>
      </c>
      <c r="S7" t="s">
        <v>2213</v>
      </c>
      <c r="T7">
        <v>3</v>
      </c>
      <c r="U7" t="s">
        <v>6280</v>
      </c>
      <c r="V7" t="s">
        <v>431</v>
      </c>
      <c r="W7" t="s">
        <v>6280</v>
      </c>
      <c r="X7" t="s">
        <v>10464</v>
      </c>
      <c r="Y7" t="s">
        <v>10465</v>
      </c>
      <c r="Z7" t="s">
        <v>855</v>
      </c>
    </row>
    <row r="8" spans="2:26">
      <c r="B8" t="s">
        <v>2168</v>
      </c>
      <c r="C8" t="s">
        <v>375</v>
      </c>
      <c r="D8" t="s">
        <v>10480</v>
      </c>
      <c r="E8" t="s">
        <v>57</v>
      </c>
      <c r="F8" t="s">
        <v>10481</v>
      </c>
      <c r="G8" t="s">
        <v>2527</v>
      </c>
      <c r="H8" t="s">
        <v>2546</v>
      </c>
      <c r="I8" t="s">
        <v>1236</v>
      </c>
      <c r="J8" t="s">
        <v>10459</v>
      </c>
      <c r="K8" t="s">
        <v>10482</v>
      </c>
      <c r="L8" t="s">
        <v>10483</v>
      </c>
      <c r="M8" t="s">
        <v>10484</v>
      </c>
      <c r="N8" t="s">
        <v>10485</v>
      </c>
      <c r="O8" t="s">
        <v>2177</v>
      </c>
      <c r="P8" t="s">
        <v>10485</v>
      </c>
      <c r="Q8"/>
      <c r="R8" t="s">
        <v>2213</v>
      </c>
      <c r="S8" t="s">
        <v>2213</v>
      </c>
      <c r="T8">
        <v>256</v>
      </c>
      <c r="U8" t="s">
        <v>6280</v>
      </c>
      <c r="V8" t="s">
        <v>431</v>
      </c>
      <c r="W8" t="s">
        <v>6280</v>
      </c>
      <c r="X8" t="s">
        <v>10486</v>
      </c>
      <c r="Y8" t="s">
        <v>10487</v>
      </c>
      <c r="Z8" t="s">
        <v>855</v>
      </c>
    </row>
    <row r="9" spans="2:26">
      <c r="B9" t="s">
        <v>2168</v>
      </c>
      <c r="C9" t="s">
        <v>10488</v>
      </c>
      <c r="D9" t="s">
        <v>10480</v>
      </c>
      <c r="E9" t="s">
        <v>57</v>
      </c>
      <c r="F9" t="s">
        <v>10489</v>
      </c>
      <c r="G9" t="s">
        <v>2527</v>
      </c>
      <c r="H9" t="s">
        <v>2546</v>
      </c>
      <c r="I9" t="s">
        <v>1236</v>
      </c>
      <c r="J9" t="s">
        <v>10459</v>
      </c>
      <c r="K9" t="s">
        <v>10482</v>
      </c>
      <c r="L9" t="s">
        <v>10490</v>
      </c>
      <c r="M9" t="s">
        <v>10484</v>
      </c>
      <c r="N9" t="s">
        <v>10491</v>
      </c>
      <c r="O9" t="s">
        <v>2177</v>
      </c>
      <c r="P9" t="s">
        <v>10491</v>
      </c>
      <c r="Q9"/>
      <c r="R9" t="s">
        <v>2213</v>
      </c>
      <c r="S9" t="s">
        <v>2213</v>
      </c>
      <c r="T9">
        <v>256</v>
      </c>
      <c r="U9" t="s">
        <v>6280</v>
      </c>
      <c r="V9" t="s">
        <v>431</v>
      </c>
      <c r="W9" t="s">
        <v>6280</v>
      </c>
      <c r="X9" t="s">
        <v>10492</v>
      </c>
      <c r="Y9" t="s">
        <v>10493</v>
      </c>
      <c r="Z9" t="s">
        <v>855</v>
      </c>
    </row>
    <row r="10" spans="2:26">
      <c r="B10" t="s">
        <v>2168</v>
      </c>
      <c r="C10" t="s">
        <v>2343</v>
      </c>
      <c r="D10" t="s">
        <v>10480</v>
      </c>
      <c r="E10" t="s">
        <v>57</v>
      </c>
      <c r="F10" t="s">
        <v>10494</v>
      </c>
      <c r="G10" t="s">
        <v>2527</v>
      </c>
      <c r="H10" t="s">
        <v>2546</v>
      </c>
      <c r="I10" t="s">
        <v>1236</v>
      </c>
      <c r="J10" t="s">
        <v>10459</v>
      </c>
      <c r="K10" t="s">
        <v>10482</v>
      </c>
      <c r="L10" t="s">
        <v>10495</v>
      </c>
      <c r="M10" t="s">
        <v>10484</v>
      </c>
      <c r="N10" t="s">
        <v>10496</v>
      </c>
      <c r="O10" t="s">
        <v>2177</v>
      </c>
      <c r="P10" t="s">
        <v>10496</v>
      </c>
      <c r="Q10"/>
      <c r="R10" t="s">
        <v>2213</v>
      </c>
      <c r="S10" t="s">
        <v>2213</v>
      </c>
      <c r="T10">
        <v>255</v>
      </c>
      <c r="U10" t="s">
        <v>10497</v>
      </c>
      <c r="V10" t="s">
        <v>431</v>
      </c>
      <c r="W10" t="s">
        <v>10498</v>
      </c>
      <c r="X10"/>
      <c r="Y10"/>
      <c r="Z10" t="s">
        <v>855</v>
      </c>
    </row>
    <row r="11" spans="2:26">
      <c r="B11" t="s">
        <v>2168</v>
      </c>
      <c r="C11" t="s">
        <v>9659</v>
      </c>
      <c r="D11" t="s">
        <v>10480</v>
      </c>
      <c r="E11" t="s">
        <v>57</v>
      </c>
      <c r="F11" t="s">
        <v>10499</v>
      </c>
      <c r="G11" t="s">
        <v>2527</v>
      </c>
      <c r="H11" t="s">
        <v>2546</v>
      </c>
      <c r="I11" t="s">
        <v>1236</v>
      </c>
      <c r="J11" t="s">
        <v>10459</v>
      </c>
      <c r="K11" t="s">
        <v>10482</v>
      </c>
      <c r="L11" t="s">
        <v>10500</v>
      </c>
      <c r="M11" t="s">
        <v>10484</v>
      </c>
      <c r="N11"/>
      <c r="O11" t="s">
        <v>2177</v>
      </c>
      <c r="P11"/>
      <c r="Q11"/>
      <c r="R11" t="s">
        <v>2213</v>
      </c>
      <c r="S11" t="s">
        <v>2213</v>
      </c>
      <c r="T11">
        <v>255</v>
      </c>
      <c r="U11" t="s">
        <v>10498</v>
      </c>
      <c r="V11" t="s">
        <v>431</v>
      </c>
      <c r="W11" t="s">
        <v>10498</v>
      </c>
      <c r="X11"/>
      <c r="Y11"/>
      <c r="Z11" t="s">
        <v>855</v>
      </c>
    </row>
    <row r="12" spans="2:26">
      <c r="B12" t="s">
        <v>2168</v>
      </c>
      <c r="C12" t="s">
        <v>10501</v>
      </c>
      <c r="D12" t="s">
        <v>10480</v>
      </c>
      <c r="E12" t="s">
        <v>57</v>
      </c>
      <c r="F12" t="s">
        <v>10502</v>
      </c>
      <c r="G12" t="s">
        <v>2527</v>
      </c>
      <c r="H12" t="s">
        <v>2546</v>
      </c>
      <c r="I12" t="s">
        <v>1236</v>
      </c>
      <c r="J12" t="s">
        <v>10459</v>
      </c>
      <c r="K12" t="s">
        <v>10482</v>
      </c>
      <c r="L12" t="s">
        <v>10503</v>
      </c>
      <c r="M12" t="s">
        <v>10484</v>
      </c>
      <c r="N12" t="s">
        <v>10504</v>
      </c>
      <c r="O12" t="s">
        <v>2177</v>
      </c>
      <c r="P12" t="s">
        <v>10504</v>
      </c>
      <c r="Q12"/>
      <c r="R12" t="s">
        <v>2213</v>
      </c>
      <c r="S12" t="s">
        <v>2213</v>
      </c>
      <c r="T12">
        <v>256</v>
      </c>
      <c r="U12" t="s">
        <v>6280</v>
      </c>
      <c r="V12" t="s">
        <v>431</v>
      </c>
      <c r="W12" t="s">
        <v>6280</v>
      </c>
      <c r="X12" t="s">
        <v>10505</v>
      </c>
      <c r="Y12" t="s">
        <v>10506</v>
      </c>
      <c r="Z12" t="s">
        <v>855</v>
      </c>
    </row>
    <row r="13" spans="2:26">
      <c r="B13" t="s">
        <v>2168</v>
      </c>
      <c r="C13" t="s">
        <v>10507</v>
      </c>
      <c r="D13" t="s">
        <v>10480</v>
      </c>
      <c r="E13" t="s">
        <v>57</v>
      </c>
      <c r="F13" t="s">
        <v>10508</v>
      </c>
      <c r="G13" t="s">
        <v>2527</v>
      </c>
      <c r="H13" t="s">
        <v>2546</v>
      </c>
      <c r="I13" t="s">
        <v>1236</v>
      </c>
      <c r="J13" t="s">
        <v>10459</v>
      </c>
      <c r="K13" t="s">
        <v>10482</v>
      </c>
      <c r="L13" t="s">
        <v>10509</v>
      </c>
      <c r="M13" t="s">
        <v>10484</v>
      </c>
      <c r="N13"/>
      <c r="O13" t="s">
        <v>2177</v>
      </c>
      <c r="P13"/>
      <c r="Q13"/>
      <c r="R13" t="s">
        <v>2213</v>
      </c>
      <c r="S13" t="s">
        <v>2213</v>
      </c>
      <c r="T13"/>
      <c r="U13" t="s">
        <v>2207</v>
      </c>
      <c r="V13" t="s">
        <v>2400</v>
      </c>
      <c r="W13" t="s">
        <v>2207</v>
      </c>
      <c r="X13"/>
      <c r="Y13"/>
      <c r="Z13" t="s">
        <v>855</v>
      </c>
    </row>
    <row r="14" spans="2:26">
      <c r="B14" t="s">
        <v>2168</v>
      </c>
      <c r="C14" t="s">
        <v>10510</v>
      </c>
      <c r="D14" t="s">
        <v>10480</v>
      </c>
      <c r="E14" t="s">
        <v>57</v>
      </c>
      <c r="F14" t="s">
        <v>10511</v>
      </c>
      <c r="G14" t="s">
        <v>2527</v>
      </c>
      <c r="H14" t="s">
        <v>7234</v>
      </c>
      <c r="I14"/>
      <c r="J14" t="s">
        <v>10459</v>
      </c>
      <c r="K14" t="s">
        <v>10482</v>
      </c>
      <c r="L14"/>
      <c r="M14" t="s">
        <v>10484</v>
      </c>
      <c r="N14"/>
      <c r="O14" t="s">
        <v>2550</v>
      </c>
      <c r="P14"/>
      <c r="Q14"/>
      <c r="R14" t="s">
        <v>10512</v>
      </c>
      <c r="S14" t="s">
        <v>10512</v>
      </c>
      <c r="T14"/>
      <c r="U14"/>
      <c r="V14" t="s">
        <v>10513</v>
      </c>
      <c r="W14"/>
      <c r="X14"/>
      <c r="Y14"/>
      <c r="Z14" t="s">
        <v>855</v>
      </c>
    </row>
    <row r="15" spans="2:26">
      <c r="B15" t="s">
        <v>2168</v>
      </c>
      <c r="C15" t="s">
        <v>10514</v>
      </c>
      <c r="D15" t="s">
        <v>10515</v>
      </c>
      <c r="E15" t="s">
        <v>57</v>
      </c>
      <c r="F15" t="s">
        <v>10516</v>
      </c>
      <c r="G15" t="s">
        <v>2527</v>
      </c>
      <c r="H15" t="s">
        <v>4538</v>
      </c>
      <c r="I15"/>
      <c r="J15"/>
      <c r="K15"/>
      <c r="L15"/>
      <c r="M15" t="s">
        <v>361</v>
      </c>
      <c r="N15"/>
      <c r="O15"/>
      <c r="P15" t="s">
        <v>10517</v>
      </c>
      <c r="Q15" t="s">
        <v>10518</v>
      </c>
      <c r="R15" t="s">
        <v>2213</v>
      </c>
      <c r="S15" t="s">
        <v>2213</v>
      </c>
      <c r="T15">
        <v>256</v>
      </c>
      <c r="U15"/>
      <c r="V15" t="s">
        <v>431</v>
      </c>
      <c r="W15"/>
      <c r="X15" t="s">
        <v>10519</v>
      </c>
      <c r="Y15" t="s">
        <v>10520</v>
      </c>
      <c r="Z15" t="s">
        <v>261</v>
      </c>
    </row>
    <row r="16" spans="2:26">
      <c r="B16" t="s">
        <v>2895</v>
      </c>
      <c r="C16" t="s">
        <v>9659</v>
      </c>
      <c r="D16" t="s">
        <v>10361</v>
      </c>
      <c r="E16" t="s">
        <v>57</v>
      </c>
      <c r="F16" t="s">
        <v>10521</v>
      </c>
      <c r="G16" t="s">
        <v>2527</v>
      </c>
      <c r="H16" t="s">
        <v>2546</v>
      </c>
      <c r="I16" t="s">
        <v>1236</v>
      </c>
      <c r="J16" t="s">
        <v>10459</v>
      </c>
      <c r="K16" t="s">
        <v>10460</v>
      </c>
      <c r="L16" t="s">
        <v>4195</v>
      </c>
      <c r="M16" t="s">
        <v>10462</v>
      </c>
      <c r="N16"/>
      <c r="O16" t="s">
        <v>2177</v>
      </c>
      <c r="P16"/>
      <c r="Q16"/>
      <c r="R16" t="s">
        <v>2213</v>
      </c>
      <c r="S16" t="s">
        <v>2213</v>
      </c>
      <c r="T16">
        <v>32</v>
      </c>
      <c r="U16" t="s">
        <v>10467</v>
      </c>
      <c r="V16" t="s">
        <v>431</v>
      </c>
      <c r="W16" t="s">
        <v>10467</v>
      </c>
      <c r="X16"/>
      <c r="Y16"/>
      <c r="Z16" t="s">
        <v>855</v>
      </c>
    </row>
    <row r="17" spans="2:26">
      <c r="B17" t="s">
        <v>2895</v>
      </c>
      <c r="C17" t="s">
        <v>10468</v>
      </c>
      <c r="D17" t="s">
        <v>10361</v>
      </c>
      <c r="E17" t="s">
        <v>57</v>
      </c>
      <c r="F17" t="s">
        <v>10522</v>
      </c>
      <c r="G17" t="s">
        <v>2527</v>
      </c>
      <c r="H17" t="s">
        <v>2546</v>
      </c>
      <c r="I17" t="s">
        <v>1236</v>
      </c>
      <c r="J17" t="s">
        <v>10459</v>
      </c>
      <c r="K17" t="s">
        <v>10460</v>
      </c>
      <c r="L17" t="s">
        <v>10461</v>
      </c>
      <c r="M17" t="s">
        <v>10462</v>
      </c>
      <c r="N17" t="s">
        <v>10463</v>
      </c>
      <c r="O17" t="s">
        <v>2177</v>
      </c>
      <c r="P17" t="s">
        <v>10463</v>
      </c>
      <c r="Q17"/>
      <c r="R17" t="s">
        <v>2213</v>
      </c>
      <c r="S17" t="s">
        <v>2213</v>
      </c>
      <c r="T17">
        <v>3</v>
      </c>
      <c r="U17" t="s">
        <v>6280</v>
      </c>
      <c r="V17" t="s">
        <v>431</v>
      </c>
      <c r="W17" t="s">
        <v>6280</v>
      </c>
      <c r="X17" t="s">
        <v>10523</v>
      </c>
      <c r="Y17" t="s">
        <v>10524</v>
      </c>
      <c r="Z17" t="s">
        <v>855</v>
      </c>
    </row>
    <row r="18" spans="2:26">
      <c r="B18" t="s">
        <v>2895</v>
      </c>
      <c r="C18" t="s">
        <v>10470</v>
      </c>
      <c r="D18" t="s">
        <v>10361</v>
      </c>
      <c r="E18" t="s">
        <v>57</v>
      </c>
      <c r="F18" t="s">
        <v>10525</v>
      </c>
      <c r="G18" t="s">
        <v>2527</v>
      </c>
      <c r="H18" t="s">
        <v>2546</v>
      </c>
      <c r="I18" t="s">
        <v>1236</v>
      </c>
      <c r="J18" t="s">
        <v>10459</v>
      </c>
      <c r="K18" t="s">
        <v>10460</v>
      </c>
      <c r="L18" t="s">
        <v>10472</v>
      </c>
      <c r="M18" t="s">
        <v>10462</v>
      </c>
      <c r="N18" t="s">
        <v>10463</v>
      </c>
      <c r="O18" t="s">
        <v>2177</v>
      </c>
      <c r="P18" t="s">
        <v>10463</v>
      </c>
      <c r="Q18"/>
      <c r="R18" t="s">
        <v>2213</v>
      </c>
      <c r="S18" t="s">
        <v>2213</v>
      </c>
      <c r="T18">
        <v>3</v>
      </c>
      <c r="U18" t="s">
        <v>6280</v>
      </c>
      <c r="V18" t="s">
        <v>431</v>
      </c>
      <c r="W18" t="s">
        <v>6280</v>
      </c>
      <c r="X18" t="s">
        <v>10523</v>
      </c>
      <c r="Y18" t="s">
        <v>10524</v>
      </c>
      <c r="Z18" t="s">
        <v>855</v>
      </c>
    </row>
    <row r="19" spans="2:26">
      <c r="B19" t="s">
        <v>2895</v>
      </c>
      <c r="C19" t="s">
        <v>10475</v>
      </c>
      <c r="D19" t="s">
        <v>10361</v>
      </c>
      <c r="E19" t="s">
        <v>57</v>
      </c>
      <c r="F19" t="s">
        <v>10526</v>
      </c>
      <c r="G19" t="s">
        <v>2527</v>
      </c>
      <c r="H19" t="s">
        <v>2546</v>
      </c>
      <c r="I19" t="s">
        <v>1236</v>
      </c>
      <c r="J19" t="s">
        <v>10459</v>
      </c>
      <c r="K19" t="s">
        <v>10460</v>
      </c>
      <c r="L19" t="s">
        <v>10472</v>
      </c>
      <c r="M19" t="s">
        <v>10462</v>
      </c>
      <c r="N19" t="s">
        <v>10463</v>
      </c>
      <c r="O19" t="s">
        <v>2177</v>
      </c>
      <c r="P19" t="s">
        <v>10463</v>
      </c>
      <c r="Q19"/>
      <c r="R19" t="s">
        <v>2213</v>
      </c>
      <c r="S19" t="s">
        <v>2213</v>
      </c>
      <c r="T19">
        <v>3</v>
      </c>
      <c r="U19" t="s">
        <v>6280</v>
      </c>
      <c r="V19" t="s">
        <v>431</v>
      </c>
      <c r="W19" t="s">
        <v>6280</v>
      </c>
      <c r="X19" t="s">
        <v>10523</v>
      </c>
      <c r="Y19" t="s">
        <v>10524</v>
      </c>
      <c r="Z19" t="s">
        <v>855</v>
      </c>
    </row>
    <row r="20" spans="2:26">
      <c r="B20" t="s">
        <v>2895</v>
      </c>
      <c r="C20" t="s">
        <v>10476</v>
      </c>
      <c r="D20" t="s">
        <v>10361</v>
      </c>
      <c r="E20" t="s">
        <v>57</v>
      </c>
      <c r="F20" t="s">
        <v>10527</v>
      </c>
      <c r="G20" t="s">
        <v>2527</v>
      </c>
      <c r="H20" t="s">
        <v>2546</v>
      </c>
      <c r="I20" t="s">
        <v>1236</v>
      </c>
      <c r="J20" t="s">
        <v>10459</v>
      </c>
      <c r="K20" t="s">
        <v>10478</v>
      </c>
      <c r="L20" t="s">
        <v>10472</v>
      </c>
      <c r="M20" t="s">
        <v>361</v>
      </c>
      <c r="N20"/>
      <c r="O20" t="s">
        <v>2177</v>
      </c>
      <c r="P20" t="s">
        <v>10479</v>
      </c>
      <c r="Q20"/>
      <c r="R20" t="s">
        <v>2213</v>
      </c>
      <c r="S20" t="s">
        <v>2213</v>
      </c>
      <c r="T20">
        <v>3</v>
      </c>
      <c r="U20" t="s">
        <v>6280</v>
      </c>
      <c r="V20" t="s">
        <v>431</v>
      </c>
      <c r="W20" t="s">
        <v>6280</v>
      </c>
      <c r="X20" t="s">
        <v>10464</v>
      </c>
      <c r="Y20" t="s">
        <v>10465</v>
      </c>
      <c r="Z20" t="s">
        <v>855</v>
      </c>
    </row>
    <row r="21" spans="2:26">
      <c r="B21" t="s">
        <v>2895</v>
      </c>
      <c r="C21" t="s">
        <v>375</v>
      </c>
      <c r="D21" t="s">
        <v>10480</v>
      </c>
      <c r="E21" t="s">
        <v>57</v>
      </c>
      <c r="F21" t="s">
        <v>10528</v>
      </c>
      <c r="G21" t="s">
        <v>2527</v>
      </c>
      <c r="H21" t="s">
        <v>2546</v>
      </c>
      <c r="I21" t="s">
        <v>1236</v>
      </c>
      <c r="J21" t="s">
        <v>10459</v>
      </c>
      <c r="K21" t="s">
        <v>10482</v>
      </c>
      <c r="L21" t="s">
        <v>10483</v>
      </c>
      <c r="M21" t="s">
        <v>10484</v>
      </c>
      <c r="N21"/>
      <c r="O21" t="s">
        <v>2177</v>
      </c>
      <c r="P21"/>
      <c r="Q21"/>
      <c r="R21" t="s">
        <v>2213</v>
      </c>
      <c r="S21" t="s">
        <v>2213</v>
      </c>
      <c r="T21">
        <v>256</v>
      </c>
      <c r="U21" t="s">
        <v>6280</v>
      </c>
      <c r="V21" t="s">
        <v>431</v>
      </c>
      <c r="W21" t="s">
        <v>6280</v>
      </c>
      <c r="X21" t="s">
        <v>10486</v>
      </c>
      <c r="Y21" t="s">
        <v>10529</v>
      </c>
      <c r="Z21" t="s">
        <v>855</v>
      </c>
    </row>
    <row r="22" spans="2:26">
      <c r="B22" t="s">
        <v>2895</v>
      </c>
      <c r="C22" t="s">
        <v>10488</v>
      </c>
      <c r="D22" t="s">
        <v>10480</v>
      </c>
      <c r="E22" t="s">
        <v>57</v>
      </c>
      <c r="F22" t="s">
        <v>10530</v>
      </c>
      <c r="G22" t="s">
        <v>2527</v>
      </c>
      <c r="H22" t="s">
        <v>2546</v>
      </c>
      <c r="I22" t="s">
        <v>1236</v>
      </c>
      <c r="J22" t="s">
        <v>10459</v>
      </c>
      <c r="K22" t="s">
        <v>10482</v>
      </c>
      <c r="L22" t="s">
        <v>10490</v>
      </c>
      <c r="M22" t="s">
        <v>10484</v>
      </c>
      <c r="N22"/>
      <c r="O22" t="s">
        <v>2177</v>
      </c>
      <c r="P22"/>
      <c r="Q22"/>
      <c r="R22" t="s">
        <v>2213</v>
      </c>
      <c r="S22" t="s">
        <v>2213</v>
      </c>
      <c r="T22">
        <v>256</v>
      </c>
      <c r="U22" t="s">
        <v>6280</v>
      </c>
      <c r="V22" t="s">
        <v>431</v>
      </c>
      <c r="W22" t="s">
        <v>6280</v>
      </c>
      <c r="X22" t="s">
        <v>10492</v>
      </c>
      <c r="Y22" t="s">
        <v>10493</v>
      </c>
      <c r="Z22" t="s">
        <v>855</v>
      </c>
    </row>
    <row r="23" spans="2:26">
      <c r="B23" t="s">
        <v>2895</v>
      </c>
      <c r="C23" t="s">
        <v>2343</v>
      </c>
      <c r="D23" t="s">
        <v>10480</v>
      </c>
      <c r="E23" t="s">
        <v>57</v>
      </c>
      <c r="F23" t="s">
        <v>10531</v>
      </c>
      <c r="G23" t="s">
        <v>2527</v>
      </c>
      <c r="H23" t="s">
        <v>2546</v>
      </c>
      <c r="I23" t="s">
        <v>1236</v>
      </c>
      <c r="J23" t="s">
        <v>10459</v>
      </c>
      <c r="K23" t="s">
        <v>10482</v>
      </c>
      <c r="L23" t="s">
        <v>10495</v>
      </c>
      <c r="M23" t="s">
        <v>10484</v>
      </c>
      <c r="N23"/>
      <c r="O23" t="s">
        <v>2177</v>
      </c>
      <c r="P23"/>
      <c r="Q23"/>
      <c r="R23" t="s">
        <v>2213</v>
      </c>
      <c r="S23" t="s">
        <v>2213</v>
      </c>
      <c r="T23">
        <v>255</v>
      </c>
      <c r="U23" t="s">
        <v>10497</v>
      </c>
      <c r="V23" t="s">
        <v>431</v>
      </c>
      <c r="W23" t="s">
        <v>10498</v>
      </c>
      <c r="X23"/>
      <c r="Y23"/>
      <c r="Z23" t="s">
        <v>855</v>
      </c>
    </row>
    <row r="24" spans="2:26">
      <c r="B24" t="s">
        <v>2895</v>
      </c>
      <c r="C24" t="s">
        <v>9659</v>
      </c>
      <c r="D24" t="s">
        <v>10480</v>
      </c>
      <c r="E24" t="s">
        <v>57</v>
      </c>
      <c r="F24" t="s">
        <v>10532</v>
      </c>
      <c r="G24" t="s">
        <v>2527</v>
      </c>
      <c r="H24" t="s">
        <v>2546</v>
      </c>
      <c r="I24" t="s">
        <v>1236</v>
      </c>
      <c r="J24" t="s">
        <v>10459</v>
      </c>
      <c r="K24" t="s">
        <v>10482</v>
      </c>
      <c r="L24" t="s">
        <v>10500</v>
      </c>
      <c r="M24" t="s">
        <v>10484</v>
      </c>
      <c r="N24"/>
      <c r="O24" t="s">
        <v>2177</v>
      </c>
      <c r="P24"/>
      <c r="Q24"/>
      <c r="R24" t="s">
        <v>2213</v>
      </c>
      <c r="S24" t="s">
        <v>2213</v>
      </c>
      <c r="T24">
        <v>255</v>
      </c>
      <c r="U24" t="s">
        <v>10498</v>
      </c>
      <c r="V24" t="s">
        <v>431</v>
      </c>
      <c r="W24" t="s">
        <v>10498</v>
      </c>
      <c r="X24"/>
      <c r="Y24"/>
      <c r="Z24" t="s">
        <v>855</v>
      </c>
    </row>
    <row r="25" spans="2:26">
      <c r="B25" t="s">
        <v>2895</v>
      </c>
      <c r="C25" t="s">
        <v>10501</v>
      </c>
      <c r="D25" t="s">
        <v>10480</v>
      </c>
      <c r="E25" t="s">
        <v>57</v>
      </c>
      <c r="F25" t="s">
        <v>10533</v>
      </c>
      <c r="G25" t="s">
        <v>2527</v>
      </c>
      <c r="H25" t="s">
        <v>2546</v>
      </c>
      <c r="I25" t="s">
        <v>1236</v>
      </c>
      <c r="J25" t="s">
        <v>10459</v>
      </c>
      <c r="K25" t="s">
        <v>10482</v>
      </c>
      <c r="L25" t="s">
        <v>10503</v>
      </c>
      <c r="M25" t="s">
        <v>10484</v>
      </c>
      <c r="N25"/>
      <c r="O25" t="s">
        <v>2177</v>
      </c>
      <c r="P25"/>
      <c r="Q25"/>
      <c r="R25" t="s">
        <v>2213</v>
      </c>
      <c r="S25" t="s">
        <v>2213</v>
      </c>
      <c r="T25">
        <v>256</v>
      </c>
      <c r="U25" t="s">
        <v>6280</v>
      </c>
      <c r="V25" t="s">
        <v>431</v>
      </c>
      <c r="W25" t="s">
        <v>6280</v>
      </c>
      <c r="X25" t="s">
        <v>10505</v>
      </c>
      <c r="Y25" t="s">
        <v>10506</v>
      </c>
      <c r="Z25" t="s">
        <v>855</v>
      </c>
    </row>
    <row r="26" spans="2:26">
      <c r="B26" t="s">
        <v>2895</v>
      </c>
      <c r="C26" t="s">
        <v>10507</v>
      </c>
      <c r="D26" t="s">
        <v>10480</v>
      </c>
      <c r="E26" t="s">
        <v>57</v>
      </c>
      <c r="F26" t="s">
        <v>10534</v>
      </c>
      <c r="G26" t="s">
        <v>2527</v>
      </c>
      <c r="H26" t="s">
        <v>2546</v>
      </c>
      <c r="I26" t="s">
        <v>1236</v>
      </c>
      <c r="J26" t="s">
        <v>10459</v>
      </c>
      <c r="K26" t="s">
        <v>10482</v>
      </c>
      <c r="L26" t="s">
        <v>10509</v>
      </c>
      <c r="M26" t="s">
        <v>10484</v>
      </c>
      <c r="N26"/>
      <c r="O26" t="s">
        <v>2177</v>
      </c>
      <c r="P26"/>
      <c r="Q26"/>
      <c r="R26" t="s">
        <v>2213</v>
      </c>
      <c r="S26" t="s">
        <v>2213</v>
      </c>
      <c r="T26"/>
      <c r="U26" t="s">
        <v>2207</v>
      </c>
      <c r="V26" t="s">
        <v>2400</v>
      </c>
      <c r="W26" t="s">
        <v>2207</v>
      </c>
      <c r="X26"/>
      <c r="Y26"/>
      <c r="Z26" t="s">
        <v>855</v>
      </c>
    </row>
    <row r="27" spans="2:26">
      <c r="B27" t="s">
        <v>2895</v>
      </c>
      <c r="C27" t="s">
        <v>10510</v>
      </c>
      <c r="D27" t="s">
        <v>10480</v>
      </c>
      <c r="E27" t="s">
        <v>57</v>
      </c>
      <c r="F27" t="s">
        <v>10535</v>
      </c>
      <c r="G27" t="s">
        <v>2527</v>
      </c>
      <c r="H27" t="s">
        <v>7234</v>
      </c>
      <c r="I27"/>
      <c r="J27" t="s">
        <v>10459</v>
      </c>
      <c r="K27" t="s">
        <v>10482</v>
      </c>
      <c r="L27"/>
      <c r="M27" t="s">
        <v>10484</v>
      </c>
      <c r="N27"/>
      <c r="O27" t="s">
        <v>2550</v>
      </c>
      <c r="P27"/>
      <c r="Q27"/>
      <c r="R27" t="s">
        <v>10512</v>
      </c>
      <c r="S27" t="s">
        <v>10512</v>
      </c>
      <c r="T27"/>
      <c r="U27"/>
      <c r="V27" t="s">
        <v>10513</v>
      </c>
      <c r="W27"/>
      <c r="X27"/>
      <c r="Y27"/>
      <c r="Z27" t="s">
        <v>855</v>
      </c>
    </row>
    <row r="28" spans="2:26">
      <c r="B28" t="s">
        <v>2895</v>
      </c>
      <c r="C28" t="s">
        <v>10514</v>
      </c>
      <c r="D28" t="s">
        <v>10515</v>
      </c>
      <c r="E28" t="s">
        <v>57</v>
      </c>
      <c r="F28" t="s">
        <v>10536</v>
      </c>
      <c r="G28" t="s">
        <v>2527</v>
      </c>
      <c r="H28" t="s">
        <v>4538</v>
      </c>
      <c r="I28"/>
      <c r="J28"/>
      <c r="K28"/>
      <c r="L28"/>
      <c r="M28" t="s">
        <v>361</v>
      </c>
      <c r="N28"/>
      <c r="O28"/>
      <c r="P28" t="s">
        <v>10517</v>
      </c>
      <c r="Q28" t="s">
        <v>10518</v>
      </c>
      <c r="R28" t="s">
        <v>2213</v>
      </c>
      <c r="S28" t="s">
        <v>2213</v>
      </c>
      <c r="T28">
        <v>256</v>
      </c>
      <c r="U28"/>
      <c r="V28" t="s">
        <v>431</v>
      </c>
      <c r="W28"/>
      <c r="X28" t="s">
        <v>10519</v>
      </c>
      <c r="Y28" t="s">
        <v>10520</v>
      </c>
      <c r="Z28" t="s">
        <v>261</v>
      </c>
    </row>
    <row r="29" spans="2:26">
      <c r="B29" t="s">
        <v>3572</v>
      </c>
      <c r="C29" t="s">
        <v>10537</v>
      </c>
      <c r="D29" t="s">
        <v>10538</v>
      </c>
      <c r="E29" t="s">
        <v>57</v>
      </c>
      <c r="F29" t="s">
        <v>10539</v>
      </c>
      <c r="G29" t="s">
        <v>2527</v>
      </c>
      <c r="H29" t="s">
        <v>2546</v>
      </c>
      <c r="I29" t="s">
        <v>1236</v>
      </c>
      <c r="J29" t="s">
        <v>10459</v>
      </c>
      <c r="K29" t="s">
        <v>10540</v>
      </c>
      <c r="L29" t="s">
        <v>10541</v>
      </c>
      <c r="M29" t="s">
        <v>10462</v>
      </c>
      <c r="N29"/>
      <c r="O29" t="s">
        <v>2177</v>
      </c>
      <c r="P29"/>
      <c r="Q29" t="s">
        <v>10542</v>
      </c>
      <c r="R29" t="s">
        <v>2213</v>
      </c>
      <c r="S29" t="s">
        <v>2213</v>
      </c>
      <c r="T29">
        <v>10</v>
      </c>
      <c r="U29" t="s">
        <v>9901</v>
      </c>
      <c r="V29" t="s">
        <v>8386</v>
      </c>
      <c r="W29" t="s">
        <v>9901</v>
      </c>
      <c r="X29"/>
      <c r="Y29"/>
      <c r="Z29" t="s">
        <v>855</v>
      </c>
    </row>
    <row r="30" spans="2:26">
      <c r="B30" t="s">
        <v>3572</v>
      </c>
      <c r="C30" t="s">
        <v>6157</v>
      </c>
      <c r="D30" t="s">
        <v>10538</v>
      </c>
      <c r="E30" t="s">
        <v>57</v>
      </c>
      <c r="F30" t="s">
        <v>10543</v>
      </c>
      <c r="G30" t="s">
        <v>2527</v>
      </c>
      <c r="H30" t="s">
        <v>2546</v>
      </c>
      <c r="I30" t="s">
        <v>1236</v>
      </c>
      <c r="J30" t="s">
        <v>10459</v>
      </c>
      <c r="K30" t="s">
        <v>10540</v>
      </c>
      <c r="L30" t="s">
        <v>10544</v>
      </c>
      <c r="M30" t="s">
        <v>10462</v>
      </c>
      <c r="N30" t="s">
        <v>10545</v>
      </c>
      <c r="O30" t="s">
        <v>2177</v>
      </c>
      <c r="P30" t="s">
        <v>10545</v>
      </c>
      <c r="Q30"/>
      <c r="R30" t="s">
        <v>2213</v>
      </c>
      <c r="S30" t="s">
        <v>2213</v>
      </c>
      <c r="T30">
        <v>3</v>
      </c>
      <c r="U30" t="s">
        <v>10546</v>
      </c>
      <c r="V30" t="s">
        <v>431</v>
      </c>
      <c r="W30" t="s">
        <v>10546</v>
      </c>
      <c r="X30"/>
      <c r="Y30"/>
      <c r="Z30" t="s">
        <v>855</v>
      </c>
    </row>
    <row r="31" spans="2:26">
      <c r="B31" t="s">
        <v>3572</v>
      </c>
      <c r="C31" t="s">
        <v>10547</v>
      </c>
      <c r="D31" t="s">
        <v>10538</v>
      </c>
      <c r="E31" t="s">
        <v>57</v>
      </c>
      <c r="F31" t="s">
        <v>10548</v>
      </c>
      <c r="G31" t="s">
        <v>2527</v>
      </c>
      <c r="H31" t="s">
        <v>2546</v>
      </c>
      <c r="I31" t="s">
        <v>1236</v>
      </c>
      <c r="J31" t="s">
        <v>10459</v>
      </c>
      <c r="K31" t="s">
        <v>10540</v>
      </c>
      <c r="L31" t="s">
        <v>10549</v>
      </c>
      <c r="M31" t="s">
        <v>10462</v>
      </c>
      <c r="N31" t="s">
        <v>10550</v>
      </c>
      <c r="O31" t="s">
        <v>2177</v>
      </c>
      <c r="P31" t="s">
        <v>10550</v>
      </c>
      <c r="Q31"/>
      <c r="R31" t="s">
        <v>2213</v>
      </c>
      <c r="S31" t="s">
        <v>2213</v>
      </c>
      <c r="T31">
        <v>256</v>
      </c>
      <c r="U31" t="s">
        <v>10551</v>
      </c>
      <c r="V31" t="s">
        <v>431</v>
      </c>
      <c r="W31" t="s">
        <v>10551</v>
      </c>
      <c r="X31" t="s">
        <v>10552</v>
      </c>
      <c r="Y31" t="s">
        <v>10553</v>
      </c>
      <c r="Z31" t="s">
        <v>855</v>
      </c>
    </row>
    <row r="32" spans="2:26">
      <c r="B32" t="s">
        <v>3572</v>
      </c>
      <c r="C32" t="s">
        <v>2400</v>
      </c>
      <c r="D32" t="s">
        <v>10538</v>
      </c>
      <c r="E32" t="s">
        <v>57</v>
      </c>
      <c r="F32" t="s">
        <v>10554</v>
      </c>
      <c r="G32" t="s">
        <v>2527</v>
      </c>
      <c r="H32" t="s">
        <v>2546</v>
      </c>
      <c r="I32" t="s">
        <v>1236</v>
      </c>
      <c r="J32" t="s">
        <v>10459</v>
      </c>
      <c r="K32" t="s">
        <v>10540</v>
      </c>
      <c r="L32" t="s">
        <v>10509</v>
      </c>
      <c r="M32" t="s">
        <v>10462</v>
      </c>
      <c r="N32"/>
      <c r="O32" t="s">
        <v>2177</v>
      </c>
      <c r="P32"/>
      <c r="Q32"/>
      <c r="R32" t="s">
        <v>2213</v>
      </c>
      <c r="S32" t="s">
        <v>2213</v>
      </c>
      <c r="T32"/>
      <c r="U32" t="s">
        <v>2207</v>
      </c>
      <c r="V32" t="s">
        <v>2400</v>
      </c>
      <c r="W32" t="s">
        <v>2207</v>
      </c>
      <c r="X32"/>
      <c r="Y32"/>
      <c r="Z32" t="s">
        <v>855</v>
      </c>
    </row>
    <row r="33" spans="2:26">
      <c r="B33" t="s">
        <v>3572</v>
      </c>
      <c r="C33" t="s">
        <v>159</v>
      </c>
      <c r="D33" t="s">
        <v>10538</v>
      </c>
      <c r="E33" t="s">
        <v>57</v>
      </c>
      <c r="F33" t="s">
        <v>10555</v>
      </c>
      <c r="G33" t="s">
        <v>2527</v>
      </c>
      <c r="H33" t="s">
        <v>2546</v>
      </c>
      <c r="I33" t="s">
        <v>1236</v>
      </c>
      <c r="J33" t="s">
        <v>10459</v>
      </c>
      <c r="K33" t="s">
        <v>10540</v>
      </c>
      <c r="L33" t="s">
        <v>10556</v>
      </c>
      <c r="M33" t="s">
        <v>10462</v>
      </c>
      <c r="N33" t="s">
        <v>10557</v>
      </c>
      <c r="O33" t="s">
        <v>2177</v>
      </c>
      <c r="P33" t="s">
        <v>10557</v>
      </c>
      <c r="Q33"/>
      <c r="R33" t="s">
        <v>2213</v>
      </c>
      <c r="S33" t="s">
        <v>2213</v>
      </c>
      <c r="T33">
        <v>256</v>
      </c>
      <c r="U33" t="s">
        <v>10546</v>
      </c>
      <c r="V33" t="s">
        <v>431</v>
      </c>
      <c r="W33" t="s">
        <v>10546</v>
      </c>
      <c r="X33" t="s">
        <v>10558</v>
      </c>
      <c r="Y33" t="s">
        <v>10559</v>
      </c>
      <c r="Z33" t="s">
        <v>855</v>
      </c>
    </row>
    <row r="34" spans="2:26">
      <c r="B34" t="s">
        <v>3572</v>
      </c>
      <c r="C34" t="s">
        <v>10560</v>
      </c>
      <c r="D34" t="s">
        <v>10538</v>
      </c>
      <c r="E34" t="s">
        <v>57</v>
      </c>
      <c r="F34" t="s">
        <v>10561</v>
      </c>
      <c r="G34" t="s">
        <v>2527</v>
      </c>
      <c r="H34" t="s">
        <v>2546</v>
      </c>
      <c r="I34" t="s">
        <v>1236</v>
      </c>
      <c r="J34" t="s">
        <v>10459</v>
      </c>
      <c r="K34" t="s">
        <v>10540</v>
      </c>
      <c r="L34" t="s">
        <v>10562</v>
      </c>
      <c r="M34" t="s">
        <v>10462</v>
      </c>
      <c r="N34"/>
      <c r="O34" t="s">
        <v>2177</v>
      </c>
      <c r="P34"/>
      <c r="Q34"/>
      <c r="R34" t="s">
        <v>2213</v>
      </c>
      <c r="S34" t="s">
        <v>2213</v>
      </c>
      <c r="T34">
        <v>255</v>
      </c>
      <c r="U34" t="s">
        <v>10498</v>
      </c>
      <c r="V34" t="s">
        <v>431</v>
      </c>
      <c r="W34" t="s">
        <v>10498</v>
      </c>
      <c r="X34"/>
      <c r="Y34"/>
      <c r="Z34" t="s">
        <v>855</v>
      </c>
    </row>
    <row r="35" spans="2:26">
      <c r="B35" t="s">
        <v>3572</v>
      </c>
      <c r="C35" t="s">
        <v>10563</v>
      </c>
      <c r="D35" t="s">
        <v>10564</v>
      </c>
      <c r="E35" t="s">
        <v>57</v>
      </c>
      <c r="F35" t="s">
        <v>10565</v>
      </c>
      <c r="G35" t="s">
        <v>2527</v>
      </c>
      <c r="H35" t="s">
        <v>7234</v>
      </c>
      <c r="I35"/>
      <c r="J35"/>
      <c r="K35"/>
      <c r="L35"/>
      <c r="M35" t="s">
        <v>361</v>
      </c>
      <c r="N35"/>
      <c r="O35" t="s">
        <v>2550</v>
      </c>
      <c r="P35"/>
      <c r="Q35" t="s">
        <v>10566</v>
      </c>
      <c r="R35"/>
      <c r="S35"/>
      <c r="T35"/>
      <c r="U35"/>
      <c r="V35"/>
      <c r="W35"/>
      <c r="X35"/>
      <c r="Y35"/>
      <c r="Z35"/>
    </row>
    <row r="36" spans="2:26">
      <c r="B36" t="s">
        <v>3572</v>
      </c>
      <c r="C36" t="s">
        <v>10567</v>
      </c>
      <c r="D36" t="s">
        <v>10564</v>
      </c>
      <c r="E36" t="s">
        <v>57</v>
      </c>
      <c r="F36" t="s">
        <v>10568</v>
      </c>
      <c r="G36" t="s">
        <v>2527</v>
      </c>
      <c r="H36" t="s">
        <v>7234</v>
      </c>
      <c r="I36"/>
      <c r="J36"/>
      <c r="K36"/>
      <c r="L36"/>
      <c r="M36" t="s">
        <v>361</v>
      </c>
      <c r="N36"/>
      <c r="O36" t="s">
        <v>2550</v>
      </c>
      <c r="P36"/>
      <c r="Q36" t="s">
        <v>10566</v>
      </c>
      <c r="R36"/>
      <c r="S36"/>
      <c r="T36"/>
      <c r="U36"/>
      <c r="V36"/>
      <c r="W36"/>
      <c r="X36"/>
      <c r="Y36"/>
      <c r="Z36"/>
    </row>
    <row r="37" spans="2:26">
      <c r="B37" t="s">
        <v>3572</v>
      </c>
      <c r="C37" t="s">
        <v>159</v>
      </c>
      <c r="D37" t="s">
        <v>10569</v>
      </c>
      <c r="E37" t="s">
        <v>57</v>
      </c>
      <c r="F37" t="s">
        <v>10555</v>
      </c>
      <c r="G37" t="s">
        <v>2527</v>
      </c>
      <c r="H37" t="s">
        <v>2546</v>
      </c>
      <c r="I37" t="s">
        <v>1236</v>
      </c>
      <c r="J37" t="s">
        <v>10459</v>
      </c>
      <c r="K37" t="s">
        <v>10540</v>
      </c>
      <c r="L37" t="s">
        <v>10556</v>
      </c>
      <c r="M37" t="s">
        <v>10462</v>
      </c>
      <c r="N37" t="s">
        <v>10557</v>
      </c>
      <c r="O37" t="s">
        <v>2177</v>
      </c>
      <c r="P37" t="s">
        <v>10557</v>
      </c>
      <c r="Q37"/>
      <c r="R37" t="s">
        <v>2213</v>
      </c>
      <c r="S37" t="s">
        <v>2213</v>
      </c>
      <c r="T37">
        <v>256</v>
      </c>
      <c r="U37" t="s">
        <v>10546</v>
      </c>
      <c r="V37" t="s">
        <v>431</v>
      </c>
      <c r="W37" t="s">
        <v>10546</v>
      </c>
      <c r="X37" t="s">
        <v>10558</v>
      </c>
      <c r="Y37" t="s">
        <v>10559</v>
      </c>
      <c r="Z37" t="s">
        <v>855</v>
      </c>
    </row>
    <row r="38" spans="2:26">
      <c r="B38" t="s">
        <v>3572</v>
      </c>
      <c r="C38" t="s">
        <v>16</v>
      </c>
      <c r="D38" t="s">
        <v>10569</v>
      </c>
      <c r="E38" t="s">
        <v>57</v>
      </c>
      <c r="F38" t="s">
        <v>10570</v>
      </c>
      <c r="G38" t="s">
        <v>2527</v>
      </c>
      <c r="H38" t="s">
        <v>2546</v>
      </c>
      <c r="I38" t="s">
        <v>1236</v>
      </c>
      <c r="J38" t="s">
        <v>10459</v>
      </c>
      <c r="K38" t="s">
        <v>10571</v>
      </c>
      <c r="L38" t="s">
        <v>10572</v>
      </c>
      <c r="M38" t="s">
        <v>361</v>
      </c>
      <c r="N38"/>
      <c r="O38" t="s">
        <v>2177</v>
      </c>
      <c r="P38"/>
      <c r="Q38"/>
      <c r="R38" t="s">
        <v>2213</v>
      </c>
      <c r="S38" t="s">
        <v>2213</v>
      </c>
      <c r="T38">
        <v>12</v>
      </c>
      <c r="U38" t="s">
        <v>10573</v>
      </c>
      <c r="V38" t="s">
        <v>8386</v>
      </c>
      <c r="W38" t="s">
        <v>10573</v>
      </c>
      <c r="X38"/>
      <c r="Y38"/>
      <c r="Z38" t="s">
        <v>855</v>
      </c>
    </row>
    <row r="39" spans="2:26">
      <c r="B39" t="s">
        <v>3572</v>
      </c>
      <c r="C39" t="s">
        <v>10501</v>
      </c>
      <c r="D39" t="s">
        <v>10569</v>
      </c>
      <c r="E39" t="s">
        <v>57</v>
      </c>
      <c r="F39" t="s">
        <v>10574</v>
      </c>
      <c r="G39" t="s">
        <v>2527</v>
      </c>
      <c r="H39" t="s">
        <v>2546</v>
      </c>
      <c r="I39" t="s">
        <v>1236</v>
      </c>
      <c r="J39" t="s">
        <v>10459</v>
      </c>
      <c r="K39" t="s">
        <v>10571</v>
      </c>
      <c r="L39" t="s">
        <v>10503</v>
      </c>
      <c r="M39" t="s">
        <v>361</v>
      </c>
      <c r="N39"/>
      <c r="O39" t="s">
        <v>2177</v>
      </c>
      <c r="P39"/>
      <c r="Q39"/>
      <c r="R39" t="s">
        <v>2213</v>
      </c>
      <c r="S39" t="s">
        <v>2213</v>
      </c>
      <c r="T39">
        <v>65</v>
      </c>
      <c r="U39" t="s">
        <v>10575</v>
      </c>
      <c r="V39" t="s">
        <v>431</v>
      </c>
      <c r="W39" t="s">
        <v>10575</v>
      </c>
      <c r="X39"/>
      <c r="Y39"/>
      <c r="Z39" t="s">
        <v>855</v>
      </c>
    </row>
    <row r="40" spans="2:26">
      <c r="B40" t="s">
        <v>3572</v>
      </c>
      <c r="C40" t="s">
        <v>10576</v>
      </c>
      <c r="D40" t="s">
        <v>10569</v>
      </c>
      <c r="E40" t="s">
        <v>57</v>
      </c>
      <c r="F40" t="s">
        <v>10577</v>
      </c>
      <c r="G40" t="s">
        <v>2527</v>
      </c>
      <c r="H40" t="s">
        <v>2546</v>
      </c>
      <c r="I40" t="s">
        <v>1236</v>
      </c>
      <c r="J40" t="s">
        <v>10459</v>
      </c>
      <c r="K40" t="s">
        <v>10571</v>
      </c>
      <c r="L40" t="s">
        <v>10509</v>
      </c>
      <c r="M40" t="s">
        <v>361</v>
      </c>
      <c r="N40"/>
      <c r="O40" t="s">
        <v>2177</v>
      </c>
      <c r="P40"/>
      <c r="Q40"/>
      <c r="R40" t="s">
        <v>2213</v>
      </c>
      <c r="S40" t="s">
        <v>2213</v>
      </c>
      <c r="T40"/>
      <c r="U40" t="s">
        <v>2207</v>
      </c>
      <c r="V40" t="s">
        <v>2400</v>
      </c>
      <c r="W40" t="s">
        <v>2207</v>
      </c>
      <c r="X40"/>
      <c r="Y40"/>
      <c r="Z40" t="s">
        <v>855</v>
      </c>
    </row>
    <row r="41" spans="2:26">
      <c r="B41" t="s">
        <v>3572</v>
      </c>
      <c r="C41" t="s">
        <v>10578</v>
      </c>
      <c r="D41" t="s">
        <v>10569</v>
      </c>
      <c r="E41" t="s">
        <v>57</v>
      </c>
      <c r="F41" t="s">
        <v>10579</v>
      </c>
      <c r="G41" t="s">
        <v>2527</v>
      </c>
      <c r="H41" t="s">
        <v>2546</v>
      </c>
      <c r="I41" t="s">
        <v>1236</v>
      </c>
      <c r="J41" t="s">
        <v>10459</v>
      </c>
      <c r="K41" t="s">
        <v>10571</v>
      </c>
      <c r="L41" t="s">
        <v>3968</v>
      </c>
      <c r="M41" t="s">
        <v>361</v>
      </c>
      <c r="N41"/>
      <c r="O41" t="s">
        <v>2177</v>
      </c>
      <c r="P41"/>
      <c r="Q41"/>
      <c r="R41" t="s">
        <v>2213</v>
      </c>
      <c r="S41" t="s">
        <v>2213</v>
      </c>
      <c r="T41">
        <v>1</v>
      </c>
      <c r="U41" t="s">
        <v>6280</v>
      </c>
      <c r="V41"/>
      <c r="W41" t="s">
        <v>6280</v>
      </c>
      <c r="X41"/>
      <c r="Y41" t="s">
        <v>10580</v>
      </c>
      <c r="Z41" t="s">
        <v>855</v>
      </c>
    </row>
    <row r="42" spans="2:26">
      <c r="B42" t="s">
        <v>3572</v>
      </c>
      <c r="C42" t="s">
        <v>10581</v>
      </c>
      <c r="D42" t="s">
        <v>2895</v>
      </c>
      <c r="E42" t="s">
        <v>57</v>
      </c>
      <c r="F42" t="s">
        <v>10582</v>
      </c>
      <c r="G42" t="s">
        <v>2527</v>
      </c>
      <c r="H42" t="s">
        <v>2546</v>
      </c>
      <c r="I42" t="s">
        <v>1236</v>
      </c>
      <c r="J42" t="s">
        <v>10459</v>
      </c>
      <c r="K42" t="s">
        <v>10460</v>
      </c>
      <c r="L42" t="s">
        <v>4027</v>
      </c>
      <c r="M42" t="s">
        <v>10462</v>
      </c>
      <c r="N42"/>
      <c r="O42" t="s">
        <v>2177</v>
      </c>
      <c r="P42"/>
      <c r="Q42"/>
      <c r="R42" t="s">
        <v>2213</v>
      </c>
      <c r="S42" t="s">
        <v>2213</v>
      </c>
      <c r="T42">
        <v>64</v>
      </c>
      <c r="U42" t="s">
        <v>10467</v>
      </c>
      <c r="V42" t="s">
        <v>431</v>
      </c>
      <c r="W42" t="s">
        <v>10583</v>
      </c>
      <c r="X42"/>
      <c r="Y42"/>
      <c r="Z42" t="s">
        <v>855</v>
      </c>
    </row>
    <row r="43" spans="2:26">
      <c r="B43" t="s">
        <v>3572</v>
      </c>
      <c r="C43" t="s">
        <v>10584</v>
      </c>
      <c r="D43" t="s">
        <v>10569</v>
      </c>
      <c r="E43" t="s">
        <v>57</v>
      </c>
      <c r="F43" t="s">
        <v>10585</v>
      </c>
      <c r="G43" t="s">
        <v>2527</v>
      </c>
      <c r="H43" t="s">
        <v>2546</v>
      </c>
      <c r="I43" t="s">
        <v>1236</v>
      </c>
      <c r="J43" t="s">
        <v>10459</v>
      </c>
      <c r="K43" t="s">
        <v>10460</v>
      </c>
      <c r="L43" t="s">
        <v>10586</v>
      </c>
      <c r="M43" t="s">
        <v>10462</v>
      </c>
      <c r="N43"/>
      <c r="O43" t="s">
        <v>2177</v>
      </c>
      <c r="P43"/>
      <c r="Q43"/>
      <c r="R43" t="s">
        <v>2213</v>
      </c>
      <c r="S43" t="s">
        <v>2213</v>
      </c>
      <c r="T43">
        <v>100</v>
      </c>
      <c r="U43" t="s">
        <v>10467</v>
      </c>
      <c r="V43" t="s">
        <v>431</v>
      </c>
      <c r="W43" t="s">
        <v>10587</v>
      </c>
      <c r="X43"/>
      <c r="Y43"/>
      <c r="Z43" t="s">
        <v>855</v>
      </c>
    </row>
    <row r="44" spans="2:26">
      <c r="B44" t="s">
        <v>6151</v>
      </c>
      <c r="C44" t="s">
        <v>4313</v>
      </c>
      <c r="D44" t="s">
        <v>6152</v>
      </c>
      <c r="E44" t="s">
        <v>10588</v>
      </c>
      <c r="F44" t="s">
        <v>10589</v>
      </c>
      <c r="G44" t="s">
        <v>2857</v>
      </c>
      <c r="H44" t="s">
        <v>2546</v>
      </c>
      <c r="I44" t="s">
        <v>1236</v>
      </c>
      <c r="J44" t="s">
        <v>10459</v>
      </c>
      <c r="K44" t="s">
        <v>10590</v>
      </c>
      <c r="L44" t="s">
        <v>10591</v>
      </c>
      <c r="M44" t="s">
        <v>10592</v>
      </c>
      <c r="N44"/>
      <c r="O44" t="s">
        <v>2177</v>
      </c>
      <c r="P44"/>
      <c r="Q44"/>
      <c r="R44" t="s">
        <v>2213</v>
      </c>
      <c r="S44" t="s">
        <v>2213</v>
      </c>
      <c r="T44">
        <v>16</v>
      </c>
      <c r="U44" t="s">
        <v>10593</v>
      </c>
      <c r="V44" t="s">
        <v>8386</v>
      </c>
      <c r="W44" t="s">
        <v>10593</v>
      </c>
      <c r="X44"/>
      <c r="Y44"/>
      <c r="Z44" t="s">
        <v>855</v>
      </c>
    </row>
    <row r="45" spans="2:26">
      <c r="B45" t="s">
        <v>6151</v>
      </c>
      <c r="C45" t="s">
        <v>6157</v>
      </c>
      <c r="D45" t="s">
        <v>6152</v>
      </c>
      <c r="E45" t="s">
        <v>10588</v>
      </c>
      <c r="F45" t="s">
        <v>10594</v>
      </c>
      <c r="G45" t="s">
        <v>2527</v>
      </c>
      <c r="H45" t="s">
        <v>2546</v>
      </c>
      <c r="I45" t="s">
        <v>1236</v>
      </c>
      <c r="J45" t="s">
        <v>10459</v>
      </c>
      <c r="K45" t="s">
        <v>10595</v>
      </c>
      <c r="L45" t="s">
        <v>10596</v>
      </c>
      <c r="M45" t="s">
        <v>10592</v>
      </c>
      <c r="N45" t="s">
        <v>10597</v>
      </c>
      <c r="O45" t="s">
        <v>2177</v>
      </c>
      <c r="P45" t="s">
        <v>10597</v>
      </c>
      <c r="Q45"/>
      <c r="R45" t="s">
        <v>2213</v>
      </c>
      <c r="S45" t="s">
        <v>2213</v>
      </c>
      <c r="T45">
        <v>3</v>
      </c>
      <c r="U45" t="s">
        <v>10546</v>
      </c>
      <c r="V45" t="s">
        <v>431</v>
      </c>
      <c r="W45" t="s">
        <v>10546</v>
      </c>
      <c r="X45"/>
      <c r="Y45"/>
      <c r="Z45" t="s">
        <v>855</v>
      </c>
    </row>
    <row r="46" spans="2:26">
      <c r="B46" t="s">
        <v>6151</v>
      </c>
      <c r="C46" t="s">
        <v>159</v>
      </c>
      <c r="D46" t="s">
        <v>6152</v>
      </c>
      <c r="E46" t="s">
        <v>10588</v>
      </c>
      <c r="F46" t="s">
        <v>10598</v>
      </c>
      <c r="G46" t="s">
        <v>2527</v>
      </c>
      <c r="H46" t="s">
        <v>7234</v>
      </c>
      <c r="I46"/>
      <c r="J46" t="s">
        <v>10459</v>
      </c>
      <c r="K46" t="s">
        <v>9943</v>
      </c>
      <c r="L46"/>
      <c r="M46" t="s">
        <v>361</v>
      </c>
      <c r="N46" t="s">
        <v>10599</v>
      </c>
      <c r="O46" t="s">
        <v>2550</v>
      </c>
      <c r="P46" t="s">
        <v>10599</v>
      </c>
      <c r="Q46"/>
      <c r="R46" t="s">
        <v>2213</v>
      </c>
      <c r="S46" t="s">
        <v>2213</v>
      </c>
      <c r="T46">
        <v>256</v>
      </c>
      <c r="U46" t="s">
        <v>10546</v>
      </c>
      <c r="V46" t="s">
        <v>431</v>
      </c>
      <c r="W46" t="s">
        <v>10546</v>
      </c>
      <c r="X46" t="s">
        <v>10600</v>
      </c>
      <c r="Y46" t="s">
        <v>10601</v>
      </c>
      <c r="Z46" t="s">
        <v>855</v>
      </c>
    </row>
    <row r="47" spans="2:26" ht="225">
      <c r="B47" t="s">
        <v>6151</v>
      </c>
      <c r="C47" t="s">
        <v>4186</v>
      </c>
      <c r="D47" t="s">
        <v>6152</v>
      </c>
      <c r="E47" t="s">
        <v>10588</v>
      </c>
      <c r="F47" t="s">
        <v>10602</v>
      </c>
      <c r="G47" t="s">
        <v>2527</v>
      </c>
      <c r="H47" t="s">
        <v>2546</v>
      </c>
      <c r="I47" t="s">
        <v>1236</v>
      </c>
      <c r="J47" t="s">
        <v>10459</v>
      </c>
      <c r="K47" t="s">
        <v>10590</v>
      </c>
      <c r="L47" t="s">
        <v>10603</v>
      </c>
      <c r="M47" s="12" t="s">
        <v>10592</v>
      </c>
      <c r="N47"/>
      <c r="O47" t="s">
        <v>2177</v>
      </c>
      <c r="P47" t="s">
        <v>10604</v>
      </c>
      <c r="Q47"/>
      <c r="R47" t="s">
        <v>2213</v>
      </c>
      <c r="S47" t="s">
        <v>2213</v>
      </c>
      <c r="T47">
        <v>65</v>
      </c>
      <c r="U47" t="s">
        <v>10575</v>
      </c>
      <c r="V47" t="s">
        <v>431</v>
      </c>
      <c r="W47" t="s">
        <v>10575</v>
      </c>
      <c r="X47"/>
      <c r="Y47"/>
      <c r="Z47" t="s">
        <v>855</v>
      </c>
    </row>
    <row r="48" spans="2:26" ht="225">
      <c r="B48" t="s">
        <v>6151</v>
      </c>
      <c r="C48" t="s">
        <v>6170</v>
      </c>
      <c r="D48" t="s">
        <v>6152</v>
      </c>
      <c r="E48" t="s">
        <v>10588</v>
      </c>
      <c r="F48" t="s">
        <v>10605</v>
      </c>
      <c r="G48" t="s">
        <v>2527</v>
      </c>
      <c r="H48" t="s">
        <v>2546</v>
      </c>
      <c r="I48" t="s">
        <v>1236</v>
      </c>
      <c r="J48" t="s">
        <v>10459</v>
      </c>
      <c r="K48" t="s">
        <v>10590</v>
      </c>
      <c r="L48" t="s">
        <v>10509</v>
      </c>
      <c r="M48" s="12" t="s">
        <v>10592</v>
      </c>
      <c r="N48"/>
      <c r="O48" t="s">
        <v>2177</v>
      </c>
      <c r="P48"/>
      <c r="Q48"/>
      <c r="R48" t="s">
        <v>2213</v>
      </c>
      <c r="S48" t="s">
        <v>2213</v>
      </c>
      <c r="T48"/>
      <c r="U48" t="s">
        <v>2207</v>
      </c>
      <c r="V48" t="s">
        <v>2400</v>
      </c>
      <c r="W48" t="s">
        <v>2207</v>
      </c>
      <c r="X48"/>
      <c r="Y48"/>
      <c r="Z48" t="s">
        <v>855</v>
      </c>
    </row>
    <row r="49" spans="2:26">
      <c r="B49" t="s">
        <v>2895</v>
      </c>
      <c r="C49" t="s">
        <v>10457</v>
      </c>
      <c r="D49" t="s">
        <v>2427</v>
      </c>
      <c r="E49" t="s">
        <v>57</v>
      </c>
      <c r="F49" t="s">
        <v>10606</v>
      </c>
      <c r="G49" t="s">
        <v>2527</v>
      </c>
      <c r="H49" t="s">
        <v>2546</v>
      </c>
      <c r="I49" t="s">
        <v>1236</v>
      </c>
      <c r="J49" t="s">
        <v>10459</v>
      </c>
      <c r="K49" t="s">
        <v>10460</v>
      </c>
      <c r="L49" t="s">
        <v>10461</v>
      </c>
      <c r="M49" t="s">
        <v>10462</v>
      </c>
      <c r="N49" t="s">
        <v>10463</v>
      </c>
      <c r="O49" t="s">
        <v>2177</v>
      </c>
      <c r="P49" t="s">
        <v>10463</v>
      </c>
      <c r="Q49"/>
      <c r="R49" t="s">
        <v>2213</v>
      </c>
      <c r="S49" t="s">
        <v>2213</v>
      </c>
      <c r="T49">
        <v>3</v>
      </c>
      <c r="U49" t="s">
        <v>6280</v>
      </c>
      <c r="V49" t="s">
        <v>431</v>
      </c>
      <c r="W49" t="s">
        <v>6280</v>
      </c>
      <c r="X49" t="s">
        <v>10523</v>
      </c>
      <c r="Y49" t="s">
        <v>10524</v>
      </c>
      <c r="Z49" t="s">
        <v>855</v>
      </c>
    </row>
    <row r="50" spans="2:26" ht="15" customHeight="1">
      <c r="B50" t="s">
        <v>6151</v>
      </c>
      <c r="C50" s="8" t="s">
        <v>10607</v>
      </c>
      <c r="D50" s="8" t="s">
        <v>6152</v>
      </c>
      <c r="E50" t="s">
        <v>57</v>
      </c>
      <c r="F50" s="456" t="s">
        <v>10608</v>
      </c>
      <c r="G50" s="8" t="s">
        <v>551</v>
      </c>
      <c r="H50" t="s">
        <v>2546</v>
      </c>
      <c r="I50" t="s">
        <v>1236</v>
      </c>
      <c r="J50" t="s">
        <v>10459</v>
      </c>
      <c r="K50" t="s">
        <v>10540</v>
      </c>
      <c r="L50" s="8" t="s">
        <v>10609</v>
      </c>
      <c r="M50" t="s">
        <v>10610</v>
      </c>
    </row>
    <row r="51" spans="2:26" ht="15" customHeight="1">
      <c r="C51" s="455"/>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CB11F-0EF3-4F57-94F9-E874E17C319B}">
  <sheetPr>
    <tabColor theme="9" tint="0.79998168889431442"/>
  </sheetPr>
  <dimension ref="B1:AB33"/>
  <sheetViews>
    <sheetView topLeftCell="F1" workbookViewId="0">
      <selection activeCell="L18" sqref="L18:L27"/>
    </sheetView>
  </sheetViews>
  <sheetFormatPr defaultRowHeight="15"/>
  <cols>
    <col min="2" max="2" width="23.42578125" style="8" bestFit="1" customWidth="1"/>
    <col min="3" max="3" width="25.5703125" style="8" customWidth="1"/>
    <col min="4" max="4" width="33.140625" style="8" customWidth="1"/>
    <col min="6" max="6" width="77.42578125" style="8" customWidth="1"/>
    <col min="7" max="7" width="37.5703125" style="8" bestFit="1" customWidth="1"/>
    <col min="8" max="8" width="14.42578125" style="8" bestFit="1" customWidth="1"/>
    <col min="10" max="10" width="39.42578125" style="8" bestFit="1" customWidth="1"/>
    <col min="11" max="11" width="23.42578125" style="8" bestFit="1" customWidth="1"/>
    <col min="12" max="12" width="20" style="8" bestFit="1" customWidth="1"/>
    <col min="13" max="13" width="33.85546875" style="8" customWidth="1"/>
    <col min="14" max="14" width="51.140625" style="8" customWidth="1"/>
    <col min="15" max="15" width="39" style="8" bestFit="1" customWidth="1"/>
    <col min="17" max="17" width="87.5703125" style="8" customWidth="1"/>
    <col min="18" max="18" width="59.140625" style="8" customWidth="1"/>
    <col min="19" max="19" width="52.42578125" style="8" customWidth="1"/>
    <col min="20" max="20" width="22.85546875" style="8" customWidth="1"/>
    <col min="21" max="27" width="9.140625" style="8" bestFit="1" customWidth="1"/>
    <col min="28" max="28" width="84.5703125" style="8" customWidth="1"/>
  </cols>
  <sheetData>
    <row r="1" spans="2:28">
      <c r="B1" t="s">
        <v>2157</v>
      </c>
      <c r="C1" t="s">
        <v>336</v>
      </c>
      <c r="D1" t="s">
        <v>337</v>
      </c>
      <c r="E1" t="s">
        <v>338</v>
      </c>
      <c r="F1" t="s">
        <v>339</v>
      </c>
      <c r="G1" t="s">
        <v>2158</v>
      </c>
      <c r="H1" t="s">
        <v>2159</v>
      </c>
      <c r="I1" t="s">
        <v>2160</v>
      </c>
      <c r="J1" t="s">
        <v>425</v>
      </c>
      <c r="K1" t="s">
        <v>426</v>
      </c>
      <c r="L1" t="s">
        <v>427</v>
      </c>
      <c r="M1" t="s">
        <v>10611</v>
      </c>
      <c r="N1" t="s">
        <v>10612</v>
      </c>
      <c r="O1" t="s">
        <v>6856</v>
      </c>
      <c r="P1" t="s">
        <v>16</v>
      </c>
      <c r="Q1" t="s">
        <v>428</v>
      </c>
      <c r="R1" t="s">
        <v>10613</v>
      </c>
      <c r="S1"/>
      <c r="T1" t="s">
        <v>416</v>
      </c>
      <c r="U1" t="s">
        <v>417</v>
      </c>
      <c r="V1" t="s">
        <v>418</v>
      </c>
      <c r="W1" t="s">
        <v>419</v>
      </c>
      <c r="X1" t="s">
        <v>420</v>
      </c>
      <c r="Y1" t="s">
        <v>421</v>
      </c>
      <c r="Z1" t="s">
        <v>422</v>
      </c>
      <c r="AA1" t="s">
        <v>423</v>
      </c>
      <c r="AB1" t="s">
        <v>424</v>
      </c>
    </row>
    <row r="2" spans="2:28" ht="75">
      <c r="B2" t="s">
        <v>2168</v>
      </c>
      <c r="C2" t="s">
        <v>10614</v>
      </c>
      <c r="D2" t="s">
        <v>2170</v>
      </c>
      <c r="E2" t="s">
        <v>71</v>
      </c>
      <c r="F2" t="s">
        <v>10615</v>
      </c>
      <c r="G2" t="s">
        <v>2196</v>
      </c>
      <c r="H2" t="s">
        <v>2173</v>
      </c>
      <c r="I2" t="s">
        <v>361</v>
      </c>
      <c r="J2" t="s">
        <v>10616</v>
      </c>
      <c r="K2" t="s">
        <v>589</v>
      </c>
      <c r="L2" t="s">
        <v>10617</v>
      </c>
      <c r="M2" t="s">
        <v>361</v>
      </c>
      <c r="N2" t="s">
        <v>10618</v>
      </c>
      <c r="O2" t="s">
        <v>2177</v>
      </c>
      <c r="P2" t="s">
        <v>361</v>
      </c>
      <c r="Q2" s="12" t="s">
        <v>10619</v>
      </c>
      <c r="R2" t="s">
        <v>10620</v>
      </c>
      <c r="S2"/>
      <c r="T2" t="s">
        <v>2191</v>
      </c>
      <c r="U2" t="s">
        <v>10621</v>
      </c>
      <c r="V2" t="s">
        <v>361</v>
      </c>
      <c r="W2" t="s">
        <v>10621</v>
      </c>
      <c r="X2" t="s">
        <v>361</v>
      </c>
      <c r="Y2" t="s">
        <v>361</v>
      </c>
      <c r="Z2" t="s">
        <v>10622</v>
      </c>
      <c r="AA2" t="s">
        <v>10622</v>
      </c>
      <c r="AB2" t="s">
        <v>10623</v>
      </c>
    </row>
    <row r="3" spans="2:28" ht="75">
      <c r="B3" t="s">
        <v>2168</v>
      </c>
      <c r="C3" t="s">
        <v>10624</v>
      </c>
      <c r="D3" t="s">
        <v>2170</v>
      </c>
      <c r="E3" t="s">
        <v>71</v>
      </c>
      <c r="F3" t="s">
        <v>10625</v>
      </c>
      <c r="G3" t="s">
        <v>2196</v>
      </c>
      <c r="H3" t="s">
        <v>2173</v>
      </c>
      <c r="I3" t="s">
        <v>361</v>
      </c>
      <c r="J3" t="s">
        <v>10616</v>
      </c>
      <c r="K3" t="s">
        <v>589</v>
      </c>
      <c r="L3" t="s">
        <v>10617</v>
      </c>
      <c r="M3" t="s">
        <v>361</v>
      </c>
      <c r="N3" t="s">
        <v>10626</v>
      </c>
      <c r="O3" t="s">
        <v>2177</v>
      </c>
      <c r="P3" t="s">
        <v>361</v>
      </c>
      <c r="Q3" s="12" t="s">
        <v>10627</v>
      </c>
      <c r="R3" t="s">
        <v>10620</v>
      </c>
      <c r="S3"/>
      <c r="T3" t="s">
        <v>2191</v>
      </c>
      <c r="U3" t="s">
        <v>10621</v>
      </c>
      <c r="V3" t="s">
        <v>361</v>
      </c>
      <c r="W3" t="s">
        <v>10621</v>
      </c>
      <c r="X3" t="s">
        <v>361</v>
      </c>
      <c r="Y3" t="s">
        <v>361</v>
      </c>
      <c r="Z3" t="s">
        <v>10622</v>
      </c>
      <c r="AA3" t="s">
        <v>10622</v>
      </c>
      <c r="AB3" t="s">
        <v>10623</v>
      </c>
    </row>
    <row r="4" spans="2:28" ht="75">
      <c r="B4" t="s">
        <v>2168</v>
      </c>
      <c r="C4" t="s">
        <v>10628</v>
      </c>
      <c r="D4" t="s">
        <v>2170</v>
      </c>
      <c r="E4" t="s">
        <v>71</v>
      </c>
      <c r="F4" t="s">
        <v>10629</v>
      </c>
      <c r="G4" t="s">
        <v>2196</v>
      </c>
      <c r="H4" t="s">
        <v>2173</v>
      </c>
      <c r="I4" t="s">
        <v>361</v>
      </c>
      <c r="J4" t="s">
        <v>10616</v>
      </c>
      <c r="K4" t="s">
        <v>589</v>
      </c>
      <c r="L4" t="s">
        <v>10617</v>
      </c>
      <c r="M4" t="s">
        <v>361</v>
      </c>
      <c r="N4" t="s">
        <v>10630</v>
      </c>
      <c r="O4" t="s">
        <v>2177</v>
      </c>
      <c r="P4" t="s">
        <v>361</v>
      </c>
      <c r="Q4" s="12" t="s">
        <v>10631</v>
      </c>
      <c r="R4" t="s">
        <v>10620</v>
      </c>
      <c r="S4"/>
      <c r="T4" t="s">
        <v>2191</v>
      </c>
      <c r="U4" t="s">
        <v>10621</v>
      </c>
      <c r="V4" t="s">
        <v>361</v>
      </c>
      <c r="W4" t="s">
        <v>10621</v>
      </c>
      <c r="X4" t="s">
        <v>361</v>
      </c>
      <c r="Y4" t="s">
        <v>361</v>
      </c>
      <c r="Z4" t="s">
        <v>10622</v>
      </c>
      <c r="AA4" t="s">
        <v>10622</v>
      </c>
      <c r="AB4" t="s">
        <v>10623</v>
      </c>
    </row>
    <row r="5" spans="2:28">
      <c r="B5" t="s">
        <v>2168</v>
      </c>
      <c r="C5" t="s">
        <v>10632</v>
      </c>
      <c r="D5" t="s">
        <v>10633</v>
      </c>
      <c r="E5" t="s">
        <v>71</v>
      </c>
      <c r="F5" t="s">
        <v>10634</v>
      </c>
      <c r="G5" t="s">
        <v>544</v>
      </c>
      <c r="H5" t="s">
        <v>2173</v>
      </c>
      <c r="I5" t="s">
        <v>361</v>
      </c>
      <c r="J5" t="s">
        <v>10616</v>
      </c>
      <c r="K5" t="s">
        <v>589</v>
      </c>
      <c r="L5" t="s">
        <v>10617</v>
      </c>
      <c r="M5" t="s">
        <v>361</v>
      </c>
      <c r="N5" t="s">
        <v>10635</v>
      </c>
      <c r="O5" t="s">
        <v>2177</v>
      </c>
      <c r="P5" t="s">
        <v>361</v>
      </c>
      <c r="Q5" t="s">
        <v>10636</v>
      </c>
      <c r="R5" t="s">
        <v>10620</v>
      </c>
      <c r="S5"/>
      <c r="T5" t="s">
        <v>2191</v>
      </c>
      <c r="U5" t="s">
        <v>10621</v>
      </c>
      <c r="V5" t="s">
        <v>361</v>
      </c>
      <c r="W5" t="s">
        <v>10621</v>
      </c>
      <c r="X5" t="s">
        <v>361</v>
      </c>
      <c r="Y5" t="s">
        <v>361</v>
      </c>
      <c r="Z5" t="s">
        <v>10622</v>
      </c>
      <c r="AA5" t="s">
        <v>10622</v>
      </c>
      <c r="AB5" t="s">
        <v>10623</v>
      </c>
    </row>
    <row r="6" spans="2:28">
      <c r="B6" t="s">
        <v>2168</v>
      </c>
      <c r="C6" t="s">
        <v>10637</v>
      </c>
      <c r="D6" t="s">
        <v>10633</v>
      </c>
      <c r="E6" t="s">
        <v>71</v>
      </c>
      <c r="F6" t="s">
        <v>10638</v>
      </c>
      <c r="G6" t="s">
        <v>544</v>
      </c>
      <c r="H6" t="s">
        <v>2173</v>
      </c>
      <c r="I6" t="s">
        <v>361</v>
      </c>
      <c r="J6" t="s">
        <v>10616</v>
      </c>
      <c r="K6" t="s">
        <v>589</v>
      </c>
      <c r="L6" t="s">
        <v>10617</v>
      </c>
      <c r="M6" t="s">
        <v>361</v>
      </c>
      <c r="N6" t="s">
        <v>10639</v>
      </c>
      <c r="O6" t="s">
        <v>2177</v>
      </c>
      <c r="P6" t="s">
        <v>361</v>
      </c>
      <c r="Q6" t="s">
        <v>10640</v>
      </c>
      <c r="R6" t="s">
        <v>10620</v>
      </c>
      <c r="S6"/>
      <c r="T6" t="s">
        <v>2191</v>
      </c>
      <c r="U6" t="s">
        <v>10621</v>
      </c>
      <c r="V6" t="s">
        <v>361</v>
      </c>
      <c r="W6" t="s">
        <v>10621</v>
      </c>
      <c r="X6" t="s">
        <v>361</v>
      </c>
      <c r="Y6" t="s">
        <v>361</v>
      </c>
      <c r="Z6" t="s">
        <v>10622</v>
      </c>
      <c r="AA6" t="s">
        <v>10622</v>
      </c>
      <c r="AB6" t="s">
        <v>10623</v>
      </c>
    </row>
    <row r="7" spans="2:28">
      <c r="B7" t="s">
        <v>2168</v>
      </c>
      <c r="C7" t="s">
        <v>10641</v>
      </c>
      <c r="D7" t="s">
        <v>10633</v>
      </c>
      <c r="E7" t="s">
        <v>71</v>
      </c>
      <c r="F7" t="s">
        <v>10642</v>
      </c>
      <c r="G7" t="s">
        <v>544</v>
      </c>
      <c r="H7" t="s">
        <v>2173</v>
      </c>
      <c r="I7" t="s">
        <v>361</v>
      </c>
      <c r="J7" t="s">
        <v>10616</v>
      </c>
      <c r="K7" t="s">
        <v>589</v>
      </c>
      <c r="L7" t="s">
        <v>10617</v>
      </c>
      <c r="M7" t="s">
        <v>361</v>
      </c>
      <c r="N7" t="s">
        <v>10643</v>
      </c>
      <c r="O7" t="s">
        <v>2177</v>
      </c>
      <c r="P7" t="s">
        <v>361</v>
      </c>
      <c r="Q7" t="s">
        <v>10644</v>
      </c>
      <c r="R7" t="s">
        <v>10620</v>
      </c>
      <c r="S7"/>
      <c r="T7" t="s">
        <v>2191</v>
      </c>
      <c r="U7" t="s">
        <v>10621</v>
      </c>
      <c r="V7" t="s">
        <v>361</v>
      </c>
      <c r="W7" t="s">
        <v>10621</v>
      </c>
      <c r="X7" t="s">
        <v>361</v>
      </c>
      <c r="Y7" t="s">
        <v>361</v>
      </c>
      <c r="Z7" t="s">
        <v>10622</v>
      </c>
      <c r="AA7" t="s">
        <v>10622</v>
      </c>
      <c r="AB7" t="s">
        <v>10623</v>
      </c>
    </row>
    <row r="8" spans="2:28">
      <c r="B8" t="s">
        <v>2168</v>
      </c>
      <c r="C8" t="s">
        <v>10645</v>
      </c>
      <c r="D8" t="s">
        <v>10633</v>
      </c>
      <c r="E8" t="s">
        <v>71</v>
      </c>
      <c r="F8" t="s">
        <v>10646</v>
      </c>
      <c r="G8" t="s">
        <v>544</v>
      </c>
      <c r="H8" t="s">
        <v>2173</v>
      </c>
      <c r="I8" t="s">
        <v>361</v>
      </c>
      <c r="J8" t="s">
        <v>10616</v>
      </c>
      <c r="K8" t="s">
        <v>589</v>
      </c>
      <c r="L8" t="s">
        <v>10617</v>
      </c>
      <c r="M8" t="s">
        <v>361</v>
      </c>
      <c r="N8" t="s">
        <v>10647</v>
      </c>
      <c r="O8" t="s">
        <v>2177</v>
      </c>
      <c r="P8" t="s">
        <v>361</v>
      </c>
      <c r="Q8" t="s">
        <v>10648</v>
      </c>
      <c r="R8" t="s">
        <v>10620</v>
      </c>
      <c r="S8"/>
      <c r="T8" t="s">
        <v>10079</v>
      </c>
      <c r="U8" t="s">
        <v>10621</v>
      </c>
      <c r="V8" t="s">
        <v>361</v>
      </c>
      <c r="W8" t="s">
        <v>10621</v>
      </c>
      <c r="X8" t="s">
        <v>361</v>
      </c>
      <c r="Y8" t="s">
        <v>361</v>
      </c>
      <c r="Z8" t="s">
        <v>6247</v>
      </c>
      <c r="AA8" t="s">
        <v>6247</v>
      </c>
      <c r="AB8" t="s">
        <v>10623</v>
      </c>
    </row>
    <row r="9" spans="2:28">
      <c r="B9" t="s">
        <v>2168</v>
      </c>
      <c r="C9" t="s">
        <v>1218</v>
      </c>
      <c r="D9" t="s">
        <v>10633</v>
      </c>
      <c r="E9" t="s">
        <v>71</v>
      </c>
      <c r="F9" t="s">
        <v>10649</v>
      </c>
      <c r="G9" t="s">
        <v>544</v>
      </c>
      <c r="H9" t="s">
        <v>2173</v>
      </c>
      <c r="I9" t="s">
        <v>361</v>
      </c>
      <c r="J9" t="s">
        <v>10616</v>
      </c>
      <c r="K9" t="s">
        <v>589</v>
      </c>
      <c r="L9" t="s">
        <v>10617</v>
      </c>
      <c r="M9" t="s">
        <v>361</v>
      </c>
      <c r="N9" t="s">
        <v>10650</v>
      </c>
      <c r="O9" t="s">
        <v>2177</v>
      </c>
      <c r="P9" t="s">
        <v>361</v>
      </c>
      <c r="Q9" t="s">
        <v>10651</v>
      </c>
      <c r="R9" t="s">
        <v>10620</v>
      </c>
      <c r="S9"/>
      <c r="T9" t="s">
        <v>2191</v>
      </c>
      <c r="U9" t="s">
        <v>10621</v>
      </c>
      <c r="V9" t="s">
        <v>361</v>
      </c>
      <c r="W9" t="s">
        <v>10621</v>
      </c>
      <c r="X9" t="s">
        <v>361</v>
      </c>
      <c r="Y9" t="s">
        <v>361</v>
      </c>
      <c r="Z9" t="s">
        <v>10622</v>
      </c>
      <c r="AA9" t="s">
        <v>10622</v>
      </c>
      <c r="AB9" t="s">
        <v>10623</v>
      </c>
    </row>
    <row r="10" spans="2:28">
      <c r="B10" t="s">
        <v>2168</v>
      </c>
      <c r="C10" t="s">
        <v>10652</v>
      </c>
      <c r="D10" t="s">
        <v>10633</v>
      </c>
      <c r="E10" t="s">
        <v>71</v>
      </c>
      <c r="F10" t="s">
        <v>10653</v>
      </c>
      <c r="G10" t="s">
        <v>544</v>
      </c>
      <c r="H10" t="s">
        <v>2173</v>
      </c>
      <c r="I10" t="s">
        <v>361</v>
      </c>
      <c r="J10" t="s">
        <v>10616</v>
      </c>
      <c r="K10" t="s">
        <v>589</v>
      </c>
      <c r="L10" t="s">
        <v>10617</v>
      </c>
      <c r="M10" t="s">
        <v>361</v>
      </c>
      <c r="N10" t="s">
        <v>10654</v>
      </c>
      <c r="O10" t="s">
        <v>2177</v>
      </c>
      <c r="P10" t="s">
        <v>361</v>
      </c>
      <c r="Q10" t="s">
        <v>10655</v>
      </c>
      <c r="R10" t="s">
        <v>10620</v>
      </c>
      <c r="S10"/>
      <c r="T10" t="s">
        <v>2191</v>
      </c>
      <c r="U10" t="s">
        <v>10621</v>
      </c>
      <c r="V10" t="s">
        <v>361</v>
      </c>
      <c r="W10" t="s">
        <v>10621</v>
      </c>
      <c r="X10" t="s">
        <v>361</v>
      </c>
      <c r="Y10" t="s">
        <v>361</v>
      </c>
      <c r="Z10" t="s">
        <v>10622</v>
      </c>
      <c r="AA10" t="s">
        <v>10622</v>
      </c>
      <c r="AB10" t="s">
        <v>10623</v>
      </c>
    </row>
    <row r="11" spans="2:28">
      <c r="B11" t="s">
        <v>2168</v>
      </c>
      <c r="C11" t="s">
        <v>10656</v>
      </c>
      <c r="D11" t="s">
        <v>10633</v>
      </c>
      <c r="E11" t="s">
        <v>71</v>
      </c>
      <c r="F11" t="s">
        <v>10657</v>
      </c>
      <c r="G11" t="s">
        <v>544</v>
      </c>
      <c r="H11" t="s">
        <v>2173</v>
      </c>
      <c r="I11" t="s">
        <v>361</v>
      </c>
      <c r="J11" t="s">
        <v>10616</v>
      </c>
      <c r="K11" t="s">
        <v>589</v>
      </c>
      <c r="L11" t="s">
        <v>10617</v>
      </c>
      <c r="M11" t="s">
        <v>361</v>
      </c>
      <c r="N11" t="s">
        <v>10658</v>
      </c>
      <c r="O11" t="s">
        <v>2177</v>
      </c>
      <c r="P11" t="s">
        <v>361</v>
      </c>
      <c r="Q11" t="s">
        <v>10659</v>
      </c>
      <c r="R11" t="s">
        <v>10620</v>
      </c>
      <c r="S11"/>
      <c r="T11" t="s">
        <v>10079</v>
      </c>
      <c r="U11" t="s">
        <v>10621</v>
      </c>
      <c r="V11" t="s">
        <v>361</v>
      </c>
      <c r="W11" t="s">
        <v>10621</v>
      </c>
      <c r="X11" t="s">
        <v>361</v>
      </c>
      <c r="Y11" t="s">
        <v>361</v>
      </c>
      <c r="Z11" t="s">
        <v>6247</v>
      </c>
      <c r="AA11" t="s">
        <v>6247</v>
      </c>
      <c r="AB11" t="s">
        <v>10623</v>
      </c>
    </row>
    <row r="12" spans="2:28">
      <c r="B12" t="s">
        <v>2168</v>
      </c>
      <c r="C12" t="s">
        <v>10660</v>
      </c>
      <c r="D12" t="s">
        <v>10633</v>
      </c>
      <c r="E12" t="s">
        <v>71</v>
      </c>
      <c r="F12" t="s">
        <v>10661</v>
      </c>
      <c r="G12" t="s">
        <v>544</v>
      </c>
      <c r="H12" t="s">
        <v>2173</v>
      </c>
      <c r="I12" t="s">
        <v>361</v>
      </c>
      <c r="J12" t="s">
        <v>10616</v>
      </c>
      <c r="K12" t="s">
        <v>613</v>
      </c>
      <c r="L12" t="s">
        <v>10662</v>
      </c>
      <c r="M12" t="s">
        <v>10663</v>
      </c>
      <c r="N12" t="s">
        <v>10664</v>
      </c>
      <c r="O12" t="s">
        <v>2177</v>
      </c>
      <c r="P12" t="s">
        <v>361</v>
      </c>
      <c r="Q12" s="572" t="s">
        <v>10665</v>
      </c>
      <c r="R12" t="s">
        <v>10666</v>
      </c>
      <c r="S12"/>
      <c r="T12" t="s">
        <v>10079</v>
      </c>
      <c r="U12" t="s">
        <v>10621</v>
      </c>
      <c r="V12" t="s">
        <v>361</v>
      </c>
      <c r="W12" t="s">
        <v>10621</v>
      </c>
      <c r="X12" t="s">
        <v>361</v>
      </c>
      <c r="Y12" t="s">
        <v>361</v>
      </c>
      <c r="Z12" t="s">
        <v>10667</v>
      </c>
      <c r="AA12" t="s">
        <v>10667</v>
      </c>
      <c r="AB12" t="s">
        <v>10623</v>
      </c>
    </row>
    <row r="13" spans="2:28">
      <c r="B13" t="s">
        <v>2168</v>
      </c>
      <c r="C13" t="s">
        <v>7067</v>
      </c>
      <c r="D13" t="s">
        <v>10633</v>
      </c>
      <c r="E13" t="s">
        <v>71</v>
      </c>
      <c r="F13" t="s">
        <v>10668</v>
      </c>
      <c r="G13" t="s">
        <v>544</v>
      </c>
      <c r="H13" t="s">
        <v>2173</v>
      </c>
      <c r="I13" t="s">
        <v>361</v>
      </c>
      <c r="J13" t="s">
        <v>10616</v>
      </c>
      <c r="K13" t="s">
        <v>637</v>
      </c>
      <c r="L13" t="s">
        <v>10617</v>
      </c>
      <c r="M13" t="s">
        <v>10663</v>
      </c>
      <c r="N13" t="s">
        <v>10664</v>
      </c>
      <c r="O13" t="s">
        <v>2177</v>
      </c>
      <c r="P13" t="s">
        <v>361</v>
      </c>
      <c r="Q13" s="572"/>
      <c r="R13" t="s">
        <v>10666</v>
      </c>
      <c r="S13"/>
      <c r="T13" t="s">
        <v>10079</v>
      </c>
      <c r="U13" t="s">
        <v>10621</v>
      </c>
      <c r="V13" t="s">
        <v>361</v>
      </c>
      <c r="W13" t="s">
        <v>10621</v>
      </c>
      <c r="X13" t="s">
        <v>361</v>
      </c>
      <c r="Y13" t="s">
        <v>361</v>
      </c>
      <c r="Z13" t="s">
        <v>10622</v>
      </c>
      <c r="AA13" t="s">
        <v>10622</v>
      </c>
      <c r="AB13" t="s">
        <v>10623</v>
      </c>
    </row>
    <row r="14" spans="2:28">
      <c r="B14" t="s">
        <v>2168</v>
      </c>
      <c r="C14" t="s">
        <v>2400</v>
      </c>
      <c r="D14" t="s">
        <v>10633</v>
      </c>
      <c r="E14" t="s">
        <v>71</v>
      </c>
      <c r="F14" t="s">
        <v>10669</v>
      </c>
      <c r="G14" t="s">
        <v>544</v>
      </c>
      <c r="H14" t="s">
        <v>2173</v>
      </c>
      <c r="I14" t="s">
        <v>361</v>
      </c>
      <c r="J14" t="s">
        <v>10616</v>
      </c>
      <c r="K14" t="s">
        <v>637</v>
      </c>
      <c r="L14" t="s">
        <v>10670</v>
      </c>
      <c r="M14" t="s">
        <v>10663</v>
      </c>
      <c r="N14" t="s">
        <v>10664</v>
      </c>
      <c r="O14" t="s">
        <v>2177</v>
      </c>
      <c r="P14" t="s">
        <v>361</v>
      </c>
      <c r="Q14" s="572"/>
      <c r="R14" t="s">
        <v>10666</v>
      </c>
      <c r="S14"/>
      <c r="T14" t="s">
        <v>10079</v>
      </c>
      <c r="U14" t="s">
        <v>10671</v>
      </c>
      <c r="V14" t="s">
        <v>361</v>
      </c>
      <c r="W14" t="s">
        <v>10671</v>
      </c>
      <c r="X14" t="s">
        <v>8427</v>
      </c>
      <c r="Y14" t="s">
        <v>10672</v>
      </c>
      <c r="Z14" t="s">
        <v>361</v>
      </c>
      <c r="AA14" t="s">
        <v>361</v>
      </c>
      <c r="AB14" t="s">
        <v>10623</v>
      </c>
    </row>
    <row r="15" spans="2:28">
      <c r="B15" t="s">
        <v>2168</v>
      </c>
      <c r="C15" t="s">
        <v>858</v>
      </c>
      <c r="D15" t="s">
        <v>10633</v>
      </c>
      <c r="E15" t="s">
        <v>71</v>
      </c>
      <c r="F15" t="s">
        <v>10673</v>
      </c>
      <c r="G15" t="s">
        <v>544</v>
      </c>
      <c r="H15" t="s">
        <v>2173</v>
      </c>
      <c r="I15" t="s">
        <v>361</v>
      </c>
      <c r="J15" t="s">
        <v>10616</v>
      </c>
      <c r="K15" t="s">
        <v>637</v>
      </c>
      <c r="L15" t="s">
        <v>10674</v>
      </c>
      <c r="M15" t="s">
        <v>10663</v>
      </c>
      <c r="N15" t="s">
        <v>10664</v>
      </c>
      <c r="O15" t="s">
        <v>2177</v>
      </c>
      <c r="P15" t="s">
        <v>361</v>
      </c>
      <c r="Q15" s="572"/>
      <c r="R15" t="s">
        <v>10666</v>
      </c>
      <c r="S15"/>
      <c r="T15" t="s">
        <v>10079</v>
      </c>
      <c r="U15" t="s">
        <v>10675</v>
      </c>
      <c r="V15" t="s">
        <v>361</v>
      </c>
      <c r="W15" t="s">
        <v>10675</v>
      </c>
      <c r="X15" t="s">
        <v>361</v>
      </c>
      <c r="Y15" t="s">
        <v>361</v>
      </c>
      <c r="Z15" t="s">
        <v>10676</v>
      </c>
      <c r="AA15" t="s">
        <v>10676</v>
      </c>
      <c r="AB15" t="s">
        <v>10623</v>
      </c>
    </row>
    <row r="16" spans="2:28">
      <c r="B16" t="s">
        <v>2168</v>
      </c>
      <c r="C16" t="s">
        <v>3578</v>
      </c>
      <c r="D16" t="s">
        <v>10633</v>
      </c>
      <c r="E16" t="s">
        <v>71</v>
      </c>
      <c r="F16" t="s">
        <v>10677</v>
      </c>
      <c r="G16" t="s">
        <v>544</v>
      </c>
      <c r="H16" t="s">
        <v>2173</v>
      </c>
      <c r="I16" t="s">
        <v>361</v>
      </c>
      <c r="J16" t="s">
        <v>10616</v>
      </c>
      <c r="K16" t="s">
        <v>637</v>
      </c>
      <c r="L16" t="s">
        <v>10678</v>
      </c>
      <c r="M16" t="s">
        <v>10663</v>
      </c>
      <c r="N16" t="s">
        <v>10664</v>
      </c>
      <c r="O16" t="s">
        <v>2177</v>
      </c>
      <c r="P16" t="s">
        <v>361</v>
      </c>
      <c r="Q16" s="572"/>
      <c r="R16" t="s">
        <v>10666</v>
      </c>
      <c r="S16"/>
      <c r="T16" t="s">
        <v>10079</v>
      </c>
      <c r="U16" t="s">
        <v>10675</v>
      </c>
      <c r="V16" t="s">
        <v>361</v>
      </c>
      <c r="W16" t="s">
        <v>10675</v>
      </c>
      <c r="X16" t="s">
        <v>361</v>
      </c>
      <c r="Y16" t="s">
        <v>361</v>
      </c>
      <c r="Z16" t="s">
        <v>10679</v>
      </c>
      <c r="AA16" t="s">
        <v>10679</v>
      </c>
      <c r="AB16" t="s">
        <v>10623</v>
      </c>
    </row>
    <row r="17" spans="2:28">
      <c r="B17" t="s">
        <v>2168</v>
      </c>
      <c r="C17" t="s">
        <v>10680</v>
      </c>
      <c r="D17" t="s">
        <v>10633</v>
      </c>
      <c r="E17" t="s">
        <v>71</v>
      </c>
      <c r="F17" t="s">
        <v>10681</v>
      </c>
      <c r="G17" t="s">
        <v>544</v>
      </c>
      <c r="H17" t="s">
        <v>2173</v>
      </c>
      <c r="I17" t="s">
        <v>361</v>
      </c>
      <c r="J17" t="s">
        <v>10616</v>
      </c>
      <c r="K17" t="s">
        <v>637</v>
      </c>
      <c r="L17" t="s">
        <v>10682</v>
      </c>
      <c r="M17" t="s">
        <v>10663</v>
      </c>
      <c r="N17" t="s">
        <v>10664</v>
      </c>
      <c r="O17" t="s">
        <v>2177</v>
      </c>
      <c r="P17" t="s">
        <v>361</v>
      </c>
      <c r="Q17" s="572"/>
      <c r="R17" t="s">
        <v>10666</v>
      </c>
      <c r="S17"/>
      <c r="T17" t="s">
        <v>10079</v>
      </c>
      <c r="U17" t="s">
        <v>10683</v>
      </c>
      <c r="V17" t="s">
        <v>361</v>
      </c>
      <c r="W17" t="s">
        <v>10683</v>
      </c>
      <c r="X17" t="s">
        <v>361</v>
      </c>
      <c r="Y17" t="s">
        <v>361</v>
      </c>
      <c r="Z17" t="s">
        <v>10684</v>
      </c>
      <c r="AA17" t="s">
        <v>10684</v>
      </c>
      <c r="AB17" t="s">
        <v>10623</v>
      </c>
    </row>
    <row r="18" spans="2:28">
      <c r="B18" t="s">
        <v>2895</v>
      </c>
      <c r="C18" t="s">
        <v>10614</v>
      </c>
      <c r="D18" t="s">
        <v>2170</v>
      </c>
      <c r="E18" t="s">
        <v>71</v>
      </c>
      <c r="F18" t="s">
        <v>10615</v>
      </c>
      <c r="G18" t="s">
        <v>2527</v>
      </c>
      <c r="H18" t="s">
        <v>2173</v>
      </c>
      <c r="I18" t="s">
        <v>361</v>
      </c>
      <c r="J18" t="s">
        <v>10616</v>
      </c>
      <c r="K18" t="s">
        <v>589</v>
      </c>
      <c r="L18" t="s">
        <v>10617</v>
      </c>
      <c r="M18" t="s">
        <v>361</v>
      </c>
      <c r="N18" t="s">
        <v>10685</v>
      </c>
      <c r="O18" t="s">
        <v>2177</v>
      </c>
      <c r="P18" t="s">
        <v>361</v>
      </c>
      <c r="Q18" t="s">
        <v>10686</v>
      </c>
      <c r="R18" t="s">
        <v>10687</v>
      </c>
      <c r="S18"/>
      <c r="T18" t="s">
        <v>2191</v>
      </c>
      <c r="U18" t="s">
        <v>10621</v>
      </c>
      <c r="V18" t="s">
        <v>361</v>
      </c>
      <c r="W18" t="s">
        <v>10621</v>
      </c>
      <c r="X18" t="s">
        <v>361</v>
      </c>
      <c r="Y18" t="s">
        <v>361</v>
      </c>
      <c r="Z18" t="s">
        <v>10622</v>
      </c>
      <c r="AA18" t="s">
        <v>10622</v>
      </c>
      <c r="AB18" t="s">
        <v>10623</v>
      </c>
    </row>
    <row r="19" spans="2:28">
      <c r="B19" t="s">
        <v>2895</v>
      </c>
      <c r="C19" t="s">
        <v>10624</v>
      </c>
      <c r="D19" t="s">
        <v>2170</v>
      </c>
      <c r="E19" t="s">
        <v>71</v>
      </c>
      <c r="F19" t="s">
        <v>10625</v>
      </c>
      <c r="G19" t="s">
        <v>2527</v>
      </c>
      <c r="H19" t="s">
        <v>2173</v>
      </c>
      <c r="I19" t="s">
        <v>361</v>
      </c>
      <c r="J19" t="s">
        <v>10616</v>
      </c>
      <c r="K19" t="s">
        <v>589</v>
      </c>
      <c r="L19" t="s">
        <v>10617</v>
      </c>
      <c r="M19" t="s">
        <v>361</v>
      </c>
      <c r="N19" t="s">
        <v>10688</v>
      </c>
      <c r="O19" t="s">
        <v>2177</v>
      </c>
      <c r="P19" t="s">
        <v>361</v>
      </c>
      <c r="Q19" t="s">
        <v>10689</v>
      </c>
      <c r="R19" t="s">
        <v>10687</v>
      </c>
      <c r="S19"/>
      <c r="T19" t="s">
        <v>2191</v>
      </c>
      <c r="U19" t="s">
        <v>10621</v>
      </c>
      <c r="V19" t="s">
        <v>361</v>
      </c>
      <c r="W19" t="s">
        <v>10621</v>
      </c>
      <c r="X19" t="s">
        <v>361</v>
      </c>
      <c r="Y19" t="s">
        <v>361</v>
      </c>
      <c r="Z19" t="s">
        <v>10622</v>
      </c>
      <c r="AA19" t="s">
        <v>10622</v>
      </c>
      <c r="AB19" t="s">
        <v>10623</v>
      </c>
    </row>
    <row r="20" spans="2:28">
      <c r="B20" t="s">
        <v>2895</v>
      </c>
      <c r="C20" t="s">
        <v>10628</v>
      </c>
      <c r="D20" t="s">
        <v>2170</v>
      </c>
      <c r="E20" t="s">
        <v>71</v>
      </c>
      <c r="F20" t="s">
        <v>10629</v>
      </c>
      <c r="G20" t="s">
        <v>2527</v>
      </c>
      <c r="H20" t="s">
        <v>2173</v>
      </c>
      <c r="I20" t="s">
        <v>361</v>
      </c>
      <c r="J20" t="s">
        <v>10616</v>
      </c>
      <c r="K20" t="s">
        <v>589</v>
      </c>
      <c r="L20" t="s">
        <v>10617</v>
      </c>
      <c r="M20" t="s">
        <v>361</v>
      </c>
      <c r="N20" t="s">
        <v>10690</v>
      </c>
      <c r="O20" t="s">
        <v>2177</v>
      </c>
      <c r="P20" t="s">
        <v>361</v>
      </c>
      <c r="Q20" t="s">
        <v>10691</v>
      </c>
      <c r="R20" t="s">
        <v>10687</v>
      </c>
      <c r="S20"/>
      <c r="T20" t="s">
        <v>2191</v>
      </c>
      <c r="U20" t="s">
        <v>10621</v>
      </c>
      <c r="V20" t="s">
        <v>361</v>
      </c>
      <c r="W20" t="s">
        <v>10621</v>
      </c>
      <c r="X20" t="s">
        <v>361</v>
      </c>
      <c r="Y20" t="s">
        <v>361</v>
      </c>
      <c r="Z20" t="s">
        <v>10622</v>
      </c>
      <c r="AA20" t="s">
        <v>10622</v>
      </c>
      <c r="AB20" t="s">
        <v>10623</v>
      </c>
    </row>
    <row r="21" spans="2:28">
      <c r="B21" t="s">
        <v>2895</v>
      </c>
      <c r="C21" t="s">
        <v>10632</v>
      </c>
      <c r="D21" t="s">
        <v>10633</v>
      </c>
      <c r="E21" t="s">
        <v>71</v>
      </c>
      <c r="F21" t="s">
        <v>10634</v>
      </c>
      <c r="G21" t="s">
        <v>2527</v>
      </c>
      <c r="H21" t="s">
        <v>2173</v>
      </c>
      <c r="I21" t="s">
        <v>361</v>
      </c>
      <c r="J21" t="s">
        <v>10616</v>
      </c>
      <c r="K21" t="s">
        <v>589</v>
      </c>
      <c r="L21" t="s">
        <v>10617</v>
      </c>
      <c r="M21" t="s">
        <v>361</v>
      </c>
      <c r="N21" t="s">
        <v>10692</v>
      </c>
      <c r="O21" t="s">
        <v>2177</v>
      </c>
      <c r="P21" t="s">
        <v>361</v>
      </c>
      <c r="Q21" t="s">
        <v>10693</v>
      </c>
      <c r="R21" t="s">
        <v>10687</v>
      </c>
      <c r="S21"/>
      <c r="T21" t="s">
        <v>2191</v>
      </c>
      <c r="U21" t="s">
        <v>10621</v>
      </c>
      <c r="V21" t="s">
        <v>361</v>
      </c>
      <c r="W21" t="s">
        <v>10621</v>
      </c>
      <c r="X21" t="s">
        <v>361</v>
      </c>
      <c r="Y21" t="s">
        <v>361</v>
      </c>
      <c r="Z21" t="s">
        <v>10622</v>
      </c>
      <c r="AA21" t="s">
        <v>10622</v>
      </c>
      <c r="AB21" t="s">
        <v>10623</v>
      </c>
    </row>
    <row r="22" spans="2:28">
      <c r="B22" t="s">
        <v>2895</v>
      </c>
      <c r="C22" t="s">
        <v>10637</v>
      </c>
      <c r="D22" t="s">
        <v>10633</v>
      </c>
      <c r="E22" t="s">
        <v>71</v>
      </c>
      <c r="F22" t="s">
        <v>10638</v>
      </c>
      <c r="G22" t="s">
        <v>2527</v>
      </c>
      <c r="H22" t="s">
        <v>2173</v>
      </c>
      <c r="I22" t="s">
        <v>361</v>
      </c>
      <c r="J22" t="s">
        <v>10616</v>
      </c>
      <c r="K22" t="s">
        <v>589</v>
      </c>
      <c r="L22" t="s">
        <v>10617</v>
      </c>
      <c r="M22" t="s">
        <v>361</v>
      </c>
      <c r="N22" t="s">
        <v>10694</v>
      </c>
      <c r="O22" t="s">
        <v>2177</v>
      </c>
      <c r="P22" t="s">
        <v>361</v>
      </c>
      <c r="Q22" t="s">
        <v>10695</v>
      </c>
      <c r="R22" t="s">
        <v>10687</v>
      </c>
      <c r="S22"/>
      <c r="T22" t="s">
        <v>2191</v>
      </c>
      <c r="U22" t="s">
        <v>10621</v>
      </c>
      <c r="V22" t="s">
        <v>361</v>
      </c>
      <c r="W22" t="s">
        <v>10621</v>
      </c>
      <c r="X22" t="s">
        <v>361</v>
      </c>
      <c r="Y22" t="s">
        <v>361</v>
      </c>
      <c r="Z22" t="s">
        <v>10622</v>
      </c>
      <c r="AA22" t="s">
        <v>10622</v>
      </c>
      <c r="AB22" t="s">
        <v>10623</v>
      </c>
    </row>
    <row r="23" spans="2:28">
      <c r="B23" t="s">
        <v>2895</v>
      </c>
      <c r="C23" t="s">
        <v>10641</v>
      </c>
      <c r="D23" t="s">
        <v>10633</v>
      </c>
      <c r="E23" t="s">
        <v>71</v>
      </c>
      <c r="F23" t="s">
        <v>10642</v>
      </c>
      <c r="G23" t="s">
        <v>2527</v>
      </c>
      <c r="H23" t="s">
        <v>2173</v>
      </c>
      <c r="I23" t="s">
        <v>361</v>
      </c>
      <c r="J23" t="s">
        <v>10616</v>
      </c>
      <c r="K23" t="s">
        <v>589</v>
      </c>
      <c r="L23" t="s">
        <v>10617</v>
      </c>
      <c r="M23" t="s">
        <v>361</v>
      </c>
      <c r="N23" t="s">
        <v>10696</v>
      </c>
      <c r="O23" t="s">
        <v>2177</v>
      </c>
      <c r="P23" t="s">
        <v>361</v>
      </c>
      <c r="Q23" t="s">
        <v>10697</v>
      </c>
      <c r="R23" t="s">
        <v>10687</v>
      </c>
      <c r="S23"/>
      <c r="T23" t="s">
        <v>2191</v>
      </c>
      <c r="U23" t="s">
        <v>10621</v>
      </c>
      <c r="V23" t="s">
        <v>361</v>
      </c>
      <c r="W23" t="s">
        <v>10621</v>
      </c>
      <c r="X23" t="s">
        <v>361</v>
      </c>
      <c r="Y23" t="s">
        <v>361</v>
      </c>
      <c r="Z23" t="s">
        <v>10622</v>
      </c>
      <c r="AA23" t="s">
        <v>10622</v>
      </c>
      <c r="AB23" t="s">
        <v>10623</v>
      </c>
    </row>
    <row r="24" spans="2:28">
      <c r="B24" t="s">
        <v>2895</v>
      </c>
      <c r="C24" t="s">
        <v>10645</v>
      </c>
      <c r="D24" t="s">
        <v>10633</v>
      </c>
      <c r="E24" t="s">
        <v>71</v>
      </c>
      <c r="F24" t="s">
        <v>10646</v>
      </c>
      <c r="G24" t="s">
        <v>2527</v>
      </c>
      <c r="H24" t="s">
        <v>2173</v>
      </c>
      <c r="I24" t="s">
        <v>361</v>
      </c>
      <c r="J24" t="s">
        <v>10616</v>
      </c>
      <c r="K24" t="s">
        <v>589</v>
      </c>
      <c r="L24" t="s">
        <v>10617</v>
      </c>
      <c r="M24" t="s">
        <v>361</v>
      </c>
      <c r="N24" t="s">
        <v>10698</v>
      </c>
      <c r="O24" t="s">
        <v>2177</v>
      </c>
      <c r="P24" t="s">
        <v>361</v>
      </c>
      <c r="Q24" t="s">
        <v>10699</v>
      </c>
      <c r="R24" t="s">
        <v>10687</v>
      </c>
      <c r="S24"/>
      <c r="T24" t="s">
        <v>10079</v>
      </c>
      <c r="U24" t="s">
        <v>10621</v>
      </c>
      <c r="V24" t="s">
        <v>361</v>
      </c>
      <c r="W24" t="s">
        <v>10621</v>
      </c>
      <c r="X24" t="s">
        <v>361</v>
      </c>
      <c r="Y24" t="s">
        <v>361</v>
      </c>
      <c r="Z24" t="s">
        <v>6247</v>
      </c>
      <c r="AA24" t="s">
        <v>6247</v>
      </c>
      <c r="AB24" t="s">
        <v>10623</v>
      </c>
    </row>
    <row r="25" spans="2:28">
      <c r="B25" t="s">
        <v>2895</v>
      </c>
      <c r="C25" t="s">
        <v>1218</v>
      </c>
      <c r="D25" t="s">
        <v>10633</v>
      </c>
      <c r="E25" t="s">
        <v>71</v>
      </c>
      <c r="F25" t="s">
        <v>10649</v>
      </c>
      <c r="G25" t="s">
        <v>2527</v>
      </c>
      <c r="H25" t="s">
        <v>2173</v>
      </c>
      <c r="I25" t="s">
        <v>361</v>
      </c>
      <c r="J25" t="s">
        <v>10616</v>
      </c>
      <c r="K25" t="s">
        <v>589</v>
      </c>
      <c r="L25" t="s">
        <v>10617</v>
      </c>
      <c r="M25" t="s">
        <v>361</v>
      </c>
      <c r="N25" t="s">
        <v>10700</v>
      </c>
      <c r="O25" t="s">
        <v>2177</v>
      </c>
      <c r="P25" t="s">
        <v>361</v>
      </c>
      <c r="Q25" t="s">
        <v>10701</v>
      </c>
      <c r="R25" t="s">
        <v>10687</v>
      </c>
      <c r="S25"/>
      <c r="T25" t="s">
        <v>2191</v>
      </c>
      <c r="U25" t="s">
        <v>10621</v>
      </c>
      <c r="V25" t="s">
        <v>361</v>
      </c>
      <c r="W25" t="s">
        <v>10621</v>
      </c>
      <c r="X25" t="s">
        <v>361</v>
      </c>
      <c r="Y25" t="s">
        <v>361</v>
      </c>
      <c r="Z25" t="s">
        <v>10622</v>
      </c>
      <c r="AA25" t="s">
        <v>10622</v>
      </c>
      <c r="AB25" t="s">
        <v>10623</v>
      </c>
    </row>
    <row r="26" spans="2:28">
      <c r="B26" t="s">
        <v>2895</v>
      </c>
      <c r="C26" t="s">
        <v>10652</v>
      </c>
      <c r="D26" t="s">
        <v>10633</v>
      </c>
      <c r="E26" t="s">
        <v>71</v>
      </c>
      <c r="F26" t="s">
        <v>10653</v>
      </c>
      <c r="G26" t="s">
        <v>2527</v>
      </c>
      <c r="H26" t="s">
        <v>2173</v>
      </c>
      <c r="I26" t="s">
        <v>361</v>
      </c>
      <c r="J26" t="s">
        <v>10616</v>
      </c>
      <c r="K26" t="s">
        <v>589</v>
      </c>
      <c r="L26" t="s">
        <v>10617</v>
      </c>
      <c r="M26" t="s">
        <v>361</v>
      </c>
      <c r="N26" t="s">
        <v>10702</v>
      </c>
      <c r="O26" t="s">
        <v>2177</v>
      </c>
      <c r="P26" t="s">
        <v>361</v>
      </c>
      <c r="Q26" t="s">
        <v>10703</v>
      </c>
      <c r="R26" t="s">
        <v>10687</v>
      </c>
      <c r="S26"/>
      <c r="T26" t="s">
        <v>2191</v>
      </c>
      <c r="U26" t="s">
        <v>10621</v>
      </c>
      <c r="V26" t="s">
        <v>361</v>
      </c>
      <c r="W26" t="s">
        <v>10621</v>
      </c>
      <c r="X26" t="s">
        <v>361</v>
      </c>
      <c r="Y26" t="s">
        <v>361</v>
      </c>
      <c r="Z26" t="s">
        <v>10622</v>
      </c>
      <c r="AA26" t="s">
        <v>10622</v>
      </c>
      <c r="AB26" t="s">
        <v>10623</v>
      </c>
    </row>
    <row r="27" spans="2:28">
      <c r="B27" t="s">
        <v>2895</v>
      </c>
      <c r="C27" t="s">
        <v>10656</v>
      </c>
      <c r="D27" t="s">
        <v>10633</v>
      </c>
      <c r="E27" t="s">
        <v>71</v>
      </c>
      <c r="F27" t="s">
        <v>10657</v>
      </c>
      <c r="G27" t="s">
        <v>2527</v>
      </c>
      <c r="H27" t="s">
        <v>2173</v>
      </c>
      <c r="I27" t="s">
        <v>361</v>
      </c>
      <c r="J27" t="s">
        <v>10616</v>
      </c>
      <c r="K27" t="s">
        <v>589</v>
      </c>
      <c r="L27" t="s">
        <v>10617</v>
      </c>
      <c r="M27" t="s">
        <v>361</v>
      </c>
      <c r="N27" t="s">
        <v>10704</v>
      </c>
      <c r="O27" t="s">
        <v>2177</v>
      </c>
      <c r="P27" t="s">
        <v>361</v>
      </c>
      <c r="Q27" t="s">
        <v>10705</v>
      </c>
      <c r="R27" t="s">
        <v>10687</v>
      </c>
      <c r="S27"/>
      <c r="T27" t="s">
        <v>10079</v>
      </c>
      <c r="U27" t="s">
        <v>10621</v>
      </c>
      <c r="V27" t="s">
        <v>361</v>
      </c>
      <c r="W27" t="s">
        <v>10621</v>
      </c>
      <c r="X27" t="s">
        <v>361</v>
      </c>
      <c r="Y27" t="s">
        <v>361</v>
      </c>
      <c r="Z27" t="s">
        <v>6247</v>
      </c>
      <c r="AA27" t="s">
        <v>6247</v>
      </c>
      <c r="AB27" t="s">
        <v>10623</v>
      </c>
    </row>
    <row r="28" spans="2:28">
      <c r="B28" t="s">
        <v>2895</v>
      </c>
      <c r="C28" t="s">
        <v>10660</v>
      </c>
      <c r="D28" t="s">
        <v>10633</v>
      </c>
      <c r="E28" t="s">
        <v>71</v>
      </c>
      <c r="F28" t="s">
        <v>10661</v>
      </c>
      <c r="G28" t="s">
        <v>2527</v>
      </c>
      <c r="H28" t="s">
        <v>2173</v>
      </c>
      <c r="I28" t="s">
        <v>361</v>
      </c>
      <c r="J28" t="s">
        <v>10616</v>
      </c>
      <c r="K28" t="s">
        <v>613</v>
      </c>
      <c r="L28" t="s">
        <v>10662</v>
      </c>
      <c r="M28" t="s">
        <v>10663</v>
      </c>
      <c r="N28" t="s">
        <v>10706</v>
      </c>
      <c r="O28" t="s">
        <v>2177</v>
      </c>
      <c r="P28" t="s">
        <v>361</v>
      </c>
      <c r="Q28" s="572" t="s">
        <v>10707</v>
      </c>
      <c r="R28" t="s">
        <v>10708</v>
      </c>
      <c r="S28"/>
      <c r="T28" t="s">
        <v>10079</v>
      </c>
      <c r="U28" t="s">
        <v>10621</v>
      </c>
      <c r="V28" t="s">
        <v>361</v>
      </c>
      <c r="W28" t="s">
        <v>10621</v>
      </c>
      <c r="X28" t="s">
        <v>361</v>
      </c>
      <c r="Y28" t="s">
        <v>361</v>
      </c>
      <c r="Z28" t="s">
        <v>10667</v>
      </c>
      <c r="AA28" t="s">
        <v>10667</v>
      </c>
      <c r="AB28" t="s">
        <v>10623</v>
      </c>
    </row>
    <row r="29" spans="2:28">
      <c r="B29" t="s">
        <v>2895</v>
      </c>
      <c r="C29" t="s">
        <v>7067</v>
      </c>
      <c r="D29" t="s">
        <v>10633</v>
      </c>
      <c r="E29" t="s">
        <v>71</v>
      </c>
      <c r="F29" t="s">
        <v>10668</v>
      </c>
      <c r="G29" t="s">
        <v>2527</v>
      </c>
      <c r="H29" t="s">
        <v>2173</v>
      </c>
      <c r="I29" t="s">
        <v>361</v>
      </c>
      <c r="J29" t="s">
        <v>10616</v>
      </c>
      <c r="K29" t="s">
        <v>637</v>
      </c>
      <c r="L29" t="s">
        <v>10617</v>
      </c>
      <c r="M29" t="s">
        <v>10663</v>
      </c>
      <c r="N29" t="s">
        <v>10706</v>
      </c>
      <c r="O29" t="s">
        <v>2177</v>
      </c>
      <c r="P29" t="s">
        <v>361</v>
      </c>
      <c r="Q29" s="572"/>
      <c r="R29" t="s">
        <v>10708</v>
      </c>
      <c r="S29"/>
      <c r="T29" t="s">
        <v>10079</v>
      </c>
      <c r="U29" t="s">
        <v>10621</v>
      </c>
      <c r="V29" t="s">
        <v>361</v>
      </c>
      <c r="W29" t="s">
        <v>10621</v>
      </c>
      <c r="X29" t="s">
        <v>361</v>
      </c>
      <c r="Y29" t="s">
        <v>361</v>
      </c>
      <c r="Z29" t="s">
        <v>10622</v>
      </c>
      <c r="AA29" t="s">
        <v>10622</v>
      </c>
      <c r="AB29" t="s">
        <v>10623</v>
      </c>
    </row>
    <row r="30" spans="2:28">
      <c r="B30" t="s">
        <v>2895</v>
      </c>
      <c r="C30" t="s">
        <v>2400</v>
      </c>
      <c r="D30" t="s">
        <v>10633</v>
      </c>
      <c r="E30" t="s">
        <v>71</v>
      </c>
      <c r="F30" t="s">
        <v>10669</v>
      </c>
      <c r="G30" t="s">
        <v>2527</v>
      </c>
      <c r="H30" t="s">
        <v>2173</v>
      </c>
      <c r="I30" t="s">
        <v>361</v>
      </c>
      <c r="J30" t="s">
        <v>10616</v>
      </c>
      <c r="K30" t="s">
        <v>637</v>
      </c>
      <c r="L30" t="s">
        <v>10670</v>
      </c>
      <c r="M30" t="s">
        <v>10663</v>
      </c>
      <c r="N30" t="s">
        <v>10706</v>
      </c>
      <c r="O30" t="s">
        <v>2177</v>
      </c>
      <c r="P30" t="s">
        <v>361</v>
      </c>
      <c r="Q30" s="572"/>
      <c r="R30" t="s">
        <v>10708</v>
      </c>
      <c r="S30"/>
      <c r="T30" t="s">
        <v>10079</v>
      </c>
      <c r="U30" t="s">
        <v>10671</v>
      </c>
      <c r="V30" t="s">
        <v>361</v>
      </c>
      <c r="W30" t="s">
        <v>10671</v>
      </c>
      <c r="X30" t="s">
        <v>8427</v>
      </c>
      <c r="Y30" t="s">
        <v>10672</v>
      </c>
      <c r="Z30" t="s">
        <v>361</v>
      </c>
      <c r="AA30" t="s">
        <v>361</v>
      </c>
      <c r="AB30" t="s">
        <v>10623</v>
      </c>
    </row>
    <row r="31" spans="2:28">
      <c r="B31" t="s">
        <v>2895</v>
      </c>
      <c r="C31" t="s">
        <v>858</v>
      </c>
      <c r="D31" t="s">
        <v>10633</v>
      </c>
      <c r="E31" t="s">
        <v>71</v>
      </c>
      <c r="F31" t="s">
        <v>10673</v>
      </c>
      <c r="G31" t="s">
        <v>2527</v>
      </c>
      <c r="H31" t="s">
        <v>2173</v>
      </c>
      <c r="I31" t="s">
        <v>361</v>
      </c>
      <c r="J31" t="s">
        <v>10616</v>
      </c>
      <c r="K31" t="s">
        <v>637</v>
      </c>
      <c r="L31" t="s">
        <v>10674</v>
      </c>
      <c r="M31" t="s">
        <v>10663</v>
      </c>
      <c r="N31" t="s">
        <v>10706</v>
      </c>
      <c r="O31" t="s">
        <v>2177</v>
      </c>
      <c r="P31" t="s">
        <v>361</v>
      </c>
      <c r="Q31" s="572"/>
      <c r="R31" t="s">
        <v>10708</v>
      </c>
      <c r="S31"/>
      <c r="T31" t="s">
        <v>10079</v>
      </c>
      <c r="U31" t="s">
        <v>10675</v>
      </c>
      <c r="V31" t="s">
        <v>361</v>
      </c>
      <c r="W31" t="s">
        <v>10675</v>
      </c>
      <c r="X31" t="s">
        <v>361</v>
      </c>
      <c r="Y31" t="s">
        <v>361</v>
      </c>
      <c r="Z31" t="s">
        <v>10676</v>
      </c>
      <c r="AA31" t="s">
        <v>10676</v>
      </c>
      <c r="AB31" t="s">
        <v>10623</v>
      </c>
    </row>
    <row r="32" spans="2:28">
      <c r="B32" t="s">
        <v>2895</v>
      </c>
      <c r="C32" t="s">
        <v>3578</v>
      </c>
      <c r="D32" t="s">
        <v>10633</v>
      </c>
      <c r="E32" t="s">
        <v>71</v>
      </c>
      <c r="F32" t="s">
        <v>10677</v>
      </c>
      <c r="G32" t="s">
        <v>2527</v>
      </c>
      <c r="H32" t="s">
        <v>2173</v>
      </c>
      <c r="I32" t="s">
        <v>361</v>
      </c>
      <c r="J32" t="s">
        <v>10616</v>
      </c>
      <c r="K32" t="s">
        <v>637</v>
      </c>
      <c r="L32" t="s">
        <v>10678</v>
      </c>
      <c r="M32" t="s">
        <v>10663</v>
      </c>
      <c r="N32" t="s">
        <v>10706</v>
      </c>
      <c r="O32" t="s">
        <v>2177</v>
      </c>
      <c r="P32" t="s">
        <v>361</v>
      </c>
      <c r="Q32" s="572"/>
      <c r="R32" t="s">
        <v>10708</v>
      </c>
      <c r="S32"/>
      <c r="T32" t="s">
        <v>10079</v>
      </c>
      <c r="U32" t="s">
        <v>10675</v>
      </c>
      <c r="V32" t="s">
        <v>361</v>
      </c>
      <c r="W32" t="s">
        <v>10675</v>
      </c>
      <c r="X32" t="s">
        <v>361</v>
      </c>
      <c r="Y32" t="s">
        <v>361</v>
      </c>
      <c r="Z32" t="s">
        <v>10679</v>
      </c>
      <c r="AA32" t="s">
        <v>10679</v>
      </c>
      <c r="AB32" t="s">
        <v>10623</v>
      </c>
    </row>
    <row r="33" spans="2:28">
      <c r="B33" t="s">
        <v>2895</v>
      </c>
      <c r="C33" t="s">
        <v>10680</v>
      </c>
      <c r="D33" t="s">
        <v>10633</v>
      </c>
      <c r="E33" t="s">
        <v>71</v>
      </c>
      <c r="F33" t="s">
        <v>10681</v>
      </c>
      <c r="G33" t="s">
        <v>2527</v>
      </c>
      <c r="H33" t="s">
        <v>2173</v>
      </c>
      <c r="I33" t="s">
        <v>361</v>
      </c>
      <c r="J33" t="s">
        <v>10616</v>
      </c>
      <c r="K33" t="s">
        <v>637</v>
      </c>
      <c r="L33" t="s">
        <v>10682</v>
      </c>
      <c r="M33" t="s">
        <v>10663</v>
      </c>
      <c r="N33" t="s">
        <v>10706</v>
      </c>
      <c r="O33" t="s">
        <v>2177</v>
      </c>
      <c r="P33" t="s">
        <v>361</v>
      </c>
      <c r="Q33" s="572"/>
      <c r="R33" t="s">
        <v>10708</v>
      </c>
      <c r="S33"/>
      <c r="T33" t="s">
        <v>10079</v>
      </c>
      <c r="U33" t="s">
        <v>10683</v>
      </c>
      <c r="V33" t="s">
        <v>361</v>
      </c>
      <c r="W33" t="s">
        <v>10683</v>
      </c>
      <c r="X33" t="s">
        <v>361</v>
      </c>
      <c r="Y33" t="s">
        <v>361</v>
      </c>
      <c r="Z33" t="s">
        <v>10684</v>
      </c>
      <c r="AA33" t="s">
        <v>10684</v>
      </c>
      <c r="AB33" t="s">
        <v>10623</v>
      </c>
    </row>
  </sheetData>
  <autoFilter ref="B1:R33" xr:uid="{9D5CB11F-0EF3-4F57-94F9-E874E17C319B}"/>
  <mergeCells count="2">
    <mergeCell ref="Q12:Q17"/>
    <mergeCell ref="Q28:Q33"/>
  </mergeCells>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74294-87EF-4DD7-81B4-CE409EF8EC9C}">
  <sheetPr>
    <tabColor theme="5" tint="0.59999389629810485"/>
  </sheetPr>
  <dimension ref="B1:S3"/>
  <sheetViews>
    <sheetView workbookViewId="0">
      <selection activeCell="C3" sqref="C3"/>
    </sheetView>
  </sheetViews>
  <sheetFormatPr defaultRowHeight="15"/>
  <cols>
    <col min="2" max="2" width="23.42578125" style="8" bestFit="1" customWidth="1"/>
    <col min="3" max="3" width="17.5703125" style="8" bestFit="1" customWidth="1"/>
    <col min="5" max="5" width="20.140625" style="8" bestFit="1" customWidth="1"/>
  </cols>
  <sheetData>
    <row r="1" spans="2:19" ht="15.75" thickBot="1">
      <c r="B1" t="s">
        <v>2157</v>
      </c>
      <c r="C1" t="s">
        <v>336</v>
      </c>
      <c r="D1" t="s">
        <v>337</v>
      </c>
      <c r="E1" t="s">
        <v>338</v>
      </c>
      <c r="F1" t="s">
        <v>339</v>
      </c>
      <c r="G1" t="s">
        <v>416</v>
      </c>
      <c r="H1" t="s">
        <v>417</v>
      </c>
      <c r="I1" t="s">
        <v>418</v>
      </c>
      <c r="J1" t="s">
        <v>419</v>
      </c>
      <c r="K1" t="s">
        <v>420</v>
      </c>
      <c r="L1" t="s">
        <v>421</v>
      </c>
      <c r="M1" t="s">
        <v>422</v>
      </c>
      <c r="N1" t="s">
        <v>423</v>
      </c>
      <c r="O1" t="s">
        <v>424</v>
      </c>
      <c r="P1" t="s">
        <v>425</v>
      </c>
      <c r="Q1" t="s">
        <v>426</v>
      </c>
      <c r="R1" t="s">
        <v>427</v>
      </c>
      <c r="S1" t="s">
        <v>428</v>
      </c>
    </row>
    <row r="2" spans="2:19">
      <c r="B2" s="8" t="s">
        <v>2168</v>
      </c>
      <c r="C2" t="s">
        <v>10709</v>
      </c>
      <c r="D2" t="s">
        <v>2170</v>
      </c>
      <c r="E2" t="s">
        <v>123</v>
      </c>
    </row>
    <row r="3" spans="2:19">
      <c r="B3" s="8" t="s">
        <v>2895</v>
      </c>
      <c r="C3" t="s">
        <v>10709</v>
      </c>
      <c r="D3" t="s">
        <v>2170</v>
      </c>
      <c r="E3" t="s">
        <v>123</v>
      </c>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C7CB3-201E-4E1E-9D68-9612E1DEBF4A}">
  <sheetPr filterMode="1">
    <tabColor rgb="FFFFFF00"/>
  </sheetPr>
  <dimension ref="B1:S17"/>
  <sheetViews>
    <sheetView workbookViewId="0">
      <selection activeCell="F21" sqref="F21"/>
    </sheetView>
  </sheetViews>
  <sheetFormatPr defaultRowHeight="15"/>
  <cols>
    <col min="2" max="2" width="13.85546875" style="8" bestFit="1" customWidth="1"/>
    <col min="3" max="3" width="18.140625" style="8" bestFit="1" customWidth="1"/>
    <col min="4" max="4" width="11.42578125" style="8" bestFit="1" customWidth="1"/>
    <col min="5" max="5" width="18.42578125" style="8" bestFit="1" customWidth="1"/>
    <col min="6" max="6" width="53.5703125" style="8" customWidth="1"/>
    <col min="13" max="13" width="17.140625" style="8" customWidth="1"/>
  </cols>
  <sheetData>
    <row r="1" spans="2:19">
      <c r="B1" t="s">
        <v>2157</v>
      </c>
      <c r="C1" t="s">
        <v>336</v>
      </c>
      <c r="D1" t="s">
        <v>337</v>
      </c>
      <c r="E1" t="s">
        <v>338</v>
      </c>
      <c r="F1" t="s">
        <v>339</v>
      </c>
      <c r="G1" t="s">
        <v>416</v>
      </c>
      <c r="H1" t="s">
        <v>417</v>
      </c>
      <c r="I1" t="s">
        <v>418</v>
      </c>
      <c r="J1" t="s">
        <v>419</v>
      </c>
      <c r="K1" t="s">
        <v>420</v>
      </c>
      <c r="L1" t="s">
        <v>421</v>
      </c>
      <c r="M1" t="s">
        <v>422</v>
      </c>
      <c r="N1" t="s">
        <v>423</v>
      </c>
      <c r="O1" t="s">
        <v>424</v>
      </c>
      <c r="P1" t="s">
        <v>425</v>
      </c>
      <c r="Q1" t="s">
        <v>426</v>
      </c>
      <c r="R1" t="s">
        <v>427</v>
      </c>
      <c r="S1" t="s">
        <v>428</v>
      </c>
    </row>
    <row r="2" spans="2:19" hidden="1">
      <c r="B2" s="8" t="s">
        <v>8437</v>
      </c>
      <c r="C2" t="s">
        <v>8438</v>
      </c>
      <c r="D2" t="s">
        <v>8439</v>
      </c>
      <c r="E2" t="s">
        <v>10710</v>
      </c>
      <c r="F2" t="s">
        <v>10711</v>
      </c>
      <c r="G2" t="s">
        <v>435</v>
      </c>
      <c r="I2" t="s">
        <v>10712</v>
      </c>
      <c r="K2" t="s">
        <v>431</v>
      </c>
      <c r="M2" t="s">
        <v>49</v>
      </c>
    </row>
    <row r="3" spans="2:19" hidden="1">
      <c r="B3" s="8" t="s">
        <v>8437</v>
      </c>
      <c r="C3" t="s">
        <v>8446</v>
      </c>
      <c r="D3" t="s">
        <v>8439</v>
      </c>
      <c r="E3" t="s">
        <v>10710</v>
      </c>
      <c r="F3" t="s">
        <v>10713</v>
      </c>
      <c r="M3"/>
    </row>
    <row r="4" spans="2:19">
      <c r="B4" s="8" t="s">
        <v>8437</v>
      </c>
      <c r="C4" t="s">
        <v>8449</v>
      </c>
      <c r="D4" t="s">
        <v>8439</v>
      </c>
      <c r="E4" t="s">
        <v>10710</v>
      </c>
      <c r="F4" t="s">
        <v>10713</v>
      </c>
      <c r="M4"/>
    </row>
    <row r="5" spans="2:19" hidden="1">
      <c r="B5" s="8" t="s">
        <v>8437</v>
      </c>
      <c r="C5" t="s">
        <v>6617</v>
      </c>
      <c r="D5" t="s">
        <v>8439</v>
      </c>
      <c r="E5" t="s">
        <v>10710</v>
      </c>
      <c r="F5" t="s">
        <v>10714</v>
      </c>
      <c r="G5" t="s">
        <v>435</v>
      </c>
      <c r="I5" t="s">
        <v>10712</v>
      </c>
      <c r="K5" t="s">
        <v>431</v>
      </c>
      <c r="M5" t="s">
        <v>10715</v>
      </c>
    </row>
    <row r="6" spans="2:19" hidden="1">
      <c r="B6" s="8" t="s">
        <v>8437</v>
      </c>
      <c r="C6" t="s">
        <v>8457</v>
      </c>
      <c r="D6" t="s">
        <v>8439</v>
      </c>
      <c r="E6" t="s">
        <v>10710</v>
      </c>
      <c r="F6" t="s">
        <v>10716</v>
      </c>
      <c r="G6" t="s">
        <v>435</v>
      </c>
      <c r="I6" t="s">
        <v>10712</v>
      </c>
      <c r="K6" t="s">
        <v>431</v>
      </c>
      <c r="M6" t="s">
        <v>10717</v>
      </c>
    </row>
    <row r="7" spans="2:19" hidden="1">
      <c r="B7" s="8" t="s">
        <v>8437</v>
      </c>
      <c r="C7" t="s">
        <v>8463</v>
      </c>
      <c r="D7" t="s">
        <v>8439</v>
      </c>
      <c r="E7" t="s">
        <v>10710</v>
      </c>
      <c r="F7" t="s">
        <v>10718</v>
      </c>
      <c r="G7" t="s">
        <v>435</v>
      </c>
      <c r="I7" t="s">
        <v>10712</v>
      </c>
      <c r="K7" t="s">
        <v>431</v>
      </c>
      <c r="M7" t="s">
        <v>10719</v>
      </c>
    </row>
    <row r="8" spans="2:19" hidden="1">
      <c r="B8" s="8" t="s">
        <v>8437</v>
      </c>
      <c r="C8" t="s">
        <v>7029</v>
      </c>
      <c r="D8" t="s">
        <v>8439</v>
      </c>
      <c r="E8" t="s">
        <v>10710</v>
      </c>
      <c r="F8" t="s">
        <v>10720</v>
      </c>
      <c r="G8" t="s">
        <v>2400</v>
      </c>
      <c r="K8" t="s">
        <v>2400</v>
      </c>
      <c r="M8" t="s">
        <v>10721</v>
      </c>
    </row>
    <row r="9" spans="2:19" hidden="1">
      <c r="B9" s="8" t="s">
        <v>8437</v>
      </c>
      <c r="C9" t="s">
        <v>8483</v>
      </c>
      <c r="D9" t="s">
        <v>8439</v>
      </c>
      <c r="E9" t="s">
        <v>10710</v>
      </c>
      <c r="F9" t="s">
        <v>10722</v>
      </c>
      <c r="G9" t="s">
        <v>435</v>
      </c>
      <c r="I9" t="s">
        <v>10712</v>
      </c>
      <c r="K9" t="s">
        <v>431</v>
      </c>
      <c r="M9" t="s">
        <v>10723</v>
      </c>
    </row>
    <row r="10" spans="2:19" hidden="1">
      <c r="B10" s="8" t="s">
        <v>8437</v>
      </c>
      <c r="C10" t="s">
        <v>8488</v>
      </c>
      <c r="D10" t="s">
        <v>8439</v>
      </c>
      <c r="E10" t="s">
        <v>10710</v>
      </c>
      <c r="F10" t="s">
        <v>10724</v>
      </c>
      <c r="G10" t="s">
        <v>435</v>
      </c>
      <c r="I10" t="s">
        <v>10712</v>
      </c>
      <c r="K10" t="s">
        <v>431</v>
      </c>
      <c r="M10" t="s">
        <v>10725</v>
      </c>
    </row>
    <row r="11" spans="2:19" hidden="1">
      <c r="B11" s="8" t="s">
        <v>8437</v>
      </c>
      <c r="C11" t="s">
        <v>2900</v>
      </c>
      <c r="D11" t="s">
        <v>8439</v>
      </c>
      <c r="E11" t="s">
        <v>10710</v>
      </c>
      <c r="F11" t="s">
        <v>10726</v>
      </c>
      <c r="G11" t="s">
        <v>435</v>
      </c>
      <c r="I11" t="s">
        <v>10712</v>
      </c>
      <c r="K11" t="s">
        <v>431</v>
      </c>
      <c r="M11" t="s">
        <v>49</v>
      </c>
    </row>
    <row r="12" spans="2:19" hidden="1">
      <c r="B12" s="8" t="s">
        <v>8437</v>
      </c>
      <c r="C12" t="s">
        <v>8495</v>
      </c>
      <c r="D12" t="s">
        <v>8439</v>
      </c>
      <c r="E12" t="s">
        <v>10710</v>
      </c>
      <c r="F12" t="s">
        <v>10727</v>
      </c>
      <c r="G12" t="s">
        <v>435</v>
      </c>
      <c r="I12" t="s">
        <v>10712</v>
      </c>
      <c r="K12" t="s">
        <v>431</v>
      </c>
      <c r="M12" t="s">
        <v>10728</v>
      </c>
    </row>
    <row r="13" spans="2:19" hidden="1">
      <c r="B13" s="8" t="s">
        <v>8437</v>
      </c>
      <c r="C13" t="s">
        <v>8499</v>
      </c>
      <c r="D13" t="s">
        <v>8439</v>
      </c>
      <c r="E13" t="s">
        <v>10710</v>
      </c>
      <c r="F13" t="s">
        <v>10729</v>
      </c>
      <c r="G13" t="s">
        <v>2400</v>
      </c>
      <c r="K13" t="s">
        <v>2400</v>
      </c>
      <c r="M13" t="s">
        <v>10730</v>
      </c>
    </row>
    <row r="14" spans="2:19" hidden="1">
      <c r="B14" s="8" t="s">
        <v>8437</v>
      </c>
      <c r="C14" t="s">
        <v>8505</v>
      </c>
      <c r="D14" t="s">
        <v>8439</v>
      </c>
      <c r="E14" t="s">
        <v>10710</v>
      </c>
      <c r="F14" t="s">
        <v>10726</v>
      </c>
      <c r="G14" t="s">
        <v>435</v>
      </c>
      <c r="I14" t="s">
        <v>10712</v>
      </c>
      <c r="K14" t="s">
        <v>431</v>
      </c>
      <c r="M14" t="s">
        <v>49</v>
      </c>
    </row>
    <row r="15" spans="2:19" hidden="1">
      <c r="B15" s="8" t="s">
        <v>8437</v>
      </c>
      <c r="C15" t="s">
        <v>8514</v>
      </c>
      <c r="D15" t="s">
        <v>8439</v>
      </c>
      <c r="E15" t="s">
        <v>10710</v>
      </c>
      <c r="F15" t="s">
        <v>10731</v>
      </c>
      <c r="G15" t="s">
        <v>6265</v>
      </c>
      <c r="I15" t="s">
        <v>10712</v>
      </c>
      <c r="K15" t="s">
        <v>431</v>
      </c>
      <c r="M15" t="s">
        <v>49</v>
      </c>
    </row>
    <row r="16" spans="2:19" hidden="1">
      <c r="B16" s="8" t="s">
        <v>8437</v>
      </c>
      <c r="C16" t="s">
        <v>2782</v>
      </c>
      <c r="D16" t="s">
        <v>8439</v>
      </c>
      <c r="E16" t="s">
        <v>10710</v>
      </c>
      <c r="F16" t="s">
        <v>10732</v>
      </c>
      <c r="G16" t="s">
        <v>435</v>
      </c>
      <c r="I16" t="s">
        <v>10712</v>
      </c>
      <c r="K16" t="s">
        <v>431</v>
      </c>
      <c r="M16" t="s">
        <v>49</v>
      </c>
    </row>
    <row r="17" spans="2:13" hidden="1">
      <c r="B17" s="8" t="s">
        <v>8437</v>
      </c>
      <c r="C17" t="s">
        <v>2637</v>
      </c>
      <c r="D17" t="s">
        <v>8439</v>
      </c>
      <c r="E17" t="s">
        <v>10710</v>
      </c>
      <c r="F17" t="s">
        <v>10733</v>
      </c>
      <c r="G17" t="s">
        <v>435</v>
      </c>
      <c r="I17">
        <v>150</v>
      </c>
      <c r="K17" t="s">
        <v>431</v>
      </c>
      <c r="M17" t="s">
        <v>49</v>
      </c>
    </row>
  </sheetData>
  <autoFilter ref="B1:S17" xr:uid="{2E0C7CB3-201E-4E1E-9D68-9612E1DEBF4A}">
    <filterColumn colId="1">
      <filters>
        <filter val="Lead Reference No"/>
      </filters>
    </filterColumn>
  </autoFilter>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EC008-4552-45CB-B241-0F570C199D99}">
  <dimension ref="B3:G38"/>
  <sheetViews>
    <sheetView topLeftCell="A22" workbookViewId="0">
      <selection activeCell="E6" sqref="E6"/>
    </sheetView>
  </sheetViews>
  <sheetFormatPr defaultRowHeight="15"/>
  <cols>
    <col min="2" max="2" width="10.5703125" style="8" bestFit="1" customWidth="1"/>
    <col min="3" max="3" width="24.140625" style="8" bestFit="1" customWidth="1"/>
    <col min="4" max="4" width="19.5703125" style="8" bestFit="1" customWidth="1"/>
    <col min="5" max="5" width="39.140625" style="8" customWidth="1"/>
    <col min="6" max="6" width="39.85546875" style="8" bestFit="1" customWidth="1"/>
    <col min="7" max="7" width="10.42578125" style="8" bestFit="1" customWidth="1"/>
  </cols>
  <sheetData>
    <row r="3" spans="2:7">
      <c r="B3" s="403" t="s">
        <v>1</v>
      </c>
      <c r="C3" s="403" t="s">
        <v>10734</v>
      </c>
      <c r="D3" s="403" t="s">
        <v>10735</v>
      </c>
      <c r="E3" s="403" t="s">
        <v>10736</v>
      </c>
      <c r="F3" s="403" t="s">
        <v>10737</v>
      </c>
      <c r="G3"/>
    </row>
    <row r="4" spans="2:7">
      <c r="B4">
        <v>1180</v>
      </c>
      <c r="C4" t="s">
        <v>17</v>
      </c>
      <c r="D4" t="s">
        <v>6247</v>
      </c>
      <c r="E4" t="s">
        <v>444</v>
      </c>
      <c r="F4" t="s">
        <v>444</v>
      </c>
    </row>
    <row r="5" spans="2:7">
      <c r="B5"/>
      <c r="C5" t="s">
        <v>71</v>
      </c>
      <c r="D5" t="s">
        <v>6247</v>
      </c>
      <c r="E5" t="s">
        <v>10738</v>
      </c>
      <c r="F5" t="s">
        <v>10739</v>
      </c>
    </row>
    <row r="6" spans="2:7">
      <c r="B6"/>
      <c r="C6" t="s">
        <v>123</v>
      </c>
      <c r="D6" t="s">
        <v>6290</v>
      </c>
      <c r="E6"/>
      <c r="F6" t="s">
        <v>117</v>
      </c>
    </row>
    <row r="7" spans="2:7">
      <c r="B7"/>
      <c r="C7" t="s">
        <v>57</v>
      </c>
      <c r="D7" t="s">
        <v>6247</v>
      </c>
      <c r="E7" t="s">
        <v>10740</v>
      </c>
      <c r="F7" t="s">
        <v>474</v>
      </c>
    </row>
    <row r="8" spans="2:7">
      <c r="B8"/>
      <c r="C8" t="s">
        <v>66</v>
      </c>
      <c r="D8" t="s">
        <v>6290</v>
      </c>
      <c r="E8"/>
      <c r="F8" t="s">
        <v>10741</v>
      </c>
    </row>
    <row r="9" spans="2:7">
      <c r="B9"/>
      <c r="C9" t="s">
        <v>10362</v>
      </c>
      <c r="D9" t="s">
        <v>6290</v>
      </c>
      <c r="E9"/>
      <c r="F9" t="s">
        <v>10742</v>
      </c>
    </row>
    <row r="10" spans="2:7">
      <c r="B10"/>
      <c r="C10" t="s">
        <v>10124</v>
      </c>
      <c r="D10" t="s">
        <v>6290</v>
      </c>
      <c r="E10"/>
      <c r="F10" t="s">
        <v>10743</v>
      </c>
    </row>
    <row r="11" spans="2:7">
      <c r="B11"/>
      <c r="C11" t="s">
        <v>110</v>
      </c>
      <c r="D11" t="s">
        <v>6290</v>
      </c>
      <c r="E11"/>
      <c r="F11" t="s">
        <v>10744</v>
      </c>
    </row>
    <row r="12" spans="2:7">
      <c r="B12"/>
      <c r="C12" t="s">
        <v>118</v>
      </c>
      <c r="D12" t="s">
        <v>6290</v>
      </c>
      <c r="E12"/>
      <c r="F12" t="s">
        <v>43</v>
      </c>
    </row>
    <row r="13" spans="2:7">
      <c r="B13"/>
      <c r="C13" t="s">
        <v>115</v>
      </c>
      <c r="D13" t="s">
        <v>6290</v>
      </c>
      <c r="E13"/>
      <c r="F13" t="s">
        <v>10745</v>
      </c>
    </row>
    <row r="14" spans="2:7">
      <c r="B14"/>
      <c r="C14" t="s">
        <v>9950</v>
      </c>
      <c r="D14" t="s">
        <v>6290</v>
      </c>
      <c r="E14"/>
      <c r="F14" t="s">
        <v>10738</v>
      </c>
    </row>
    <row r="15" spans="2:7">
      <c r="B15"/>
      <c r="C15" t="s">
        <v>9898</v>
      </c>
      <c r="D15" t="s">
        <v>6247</v>
      </c>
      <c r="E15" t="s">
        <v>10746</v>
      </c>
      <c r="F15" t="s">
        <v>10740</v>
      </c>
    </row>
    <row r="16" spans="2:7">
      <c r="B16"/>
      <c r="C16" t="s">
        <v>116</v>
      </c>
      <c r="D16" t="s">
        <v>6290</v>
      </c>
      <c r="E16"/>
      <c r="F16" t="s">
        <v>10747</v>
      </c>
    </row>
    <row r="17" spans="2:6">
      <c r="B17"/>
      <c r="C17" t="s">
        <v>120</v>
      </c>
      <c r="D17" t="s">
        <v>6290</v>
      </c>
      <c r="E17"/>
      <c r="F17" t="s">
        <v>485</v>
      </c>
    </row>
    <row r="18" spans="2:6">
      <c r="B18"/>
      <c r="C18" t="s">
        <v>105</v>
      </c>
      <c r="D18" t="s">
        <v>6290</v>
      </c>
      <c r="E18"/>
      <c r="F18" t="s">
        <v>10748</v>
      </c>
    </row>
    <row r="19" spans="2:6">
      <c r="B19"/>
      <c r="C19" t="s">
        <v>119</v>
      </c>
      <c r="D19" t="s">
        <v>6247</v>
      </c>
      <c r="E19" t="s">
        <v>10749</v>
      </c>
      <c r="F19" t="s">
        <v>10750</v>
      </c>
    </row>
    <row r="20" spans="2:6">
      <c r="B20"/>
      <c r="C20" t="s">
        <v>80</v>
      </c>
      <c r="D20" t="s">
        <v>6290</v>
      </c>
      <c r="E20"/>
      <c r="F20" t="s">
        <v>10751</v>
      </c>
    </row>
    <row r="21" spans="2:6">
      <c r="B21"/>
      <c r="C21" t="s">
        <v>51</v>
      </c>
      <c r="D21" t="s">
        <v>6247</v>
      </c>
      <c r="E21" t="s">
        <v>10751</v>
      </c>
      <c r="F21" t="s">
        <v>451</v>
      </c>
    </row>
    <row r="22" spans="2:6">
      <c r="B22"/>
      <c r="C22" t="s">
        <v>43</v>
      </c>
      <c r="D22" t="s">
        <v>6247</v>
      </c>
      <c r="E22" t="s">
        <v>43</v>
      </c>
      <c r="F22" t="s">
        <v>10752</v>
      </c>
    </row>
    <row r="23" spans="2:6">
      <c r="B23">
        <v>335</v>
      </c>
      <c r="C23" t="s">
        <v>10753</v>
      </c>
      <c r="D23" t="s">
        <v>6247</v>
      </c>
      <c r="E23" t="s">
        <v>10754</v>
      </c>
      <c r="F23" t="s">
        <v>10755</v>
      </c>
    </row>
    <row r="24" spans="2:6">
      <c r="B24">
        <v>3</v>
      </c>
      <c r="C24" t="s">
        <v>122</v>
      </c>
      <c r="D24" t="s">
        <v>6290</v>
      </c>
      <c r="E24"/>
      <c r="F24" t="s">
        <v>10756</v>
      </c>
    </row>
    <row r="25" spans="2:6">
      <c r="B25"/>
      <c r="C25" t="s">
        <v>100</v>
      </c>
      <c r="D25" t="s">
        <v>6290</v>
      </c>
      <c r="E25"/>
      <c r="F25" t="s">
        <v>39</v>
      </c>
    </row>
    <row r="26" spans="2:6">
      <c r="B26">
        <v>6</v>
      </c>
      <c r="C26" t="s">
        <v>117</v>
      </c>
      <c r="D26" t="s">
        <v>6247</v>
      </c>
      <c r="E26" t="s">
        <v>117</v>
      </c>
      <c r="F26" t="s">
        <v>10749</v>
      </c>
    </row>
    <row r="27" spans="2:6">
      <c r="B27"/>
      <c r="C27" t="s">
        <v>72</v>
      </c>
      <c r="D27" t="s">
        <v>6290</v>
      </c>
      <c r="E27"/>
      <c r="F27" t="s">
        <v>10757</v>
      </c>
    </row>
    <row r="28" spans="2:6">
      <c r="B28"/>
      <c r="C28" t="s">
        <v>130</v>
      </c>
      <c r="D28" t="s">
        <v>6290</v>
      </c>
      <c r="E28"/>
      <c r="F28" t="s">
        <v>10758</v>
      </c>
    </row>
    <row r="29" spans="2:6">
      <c r="B29"/>
      <c r="C29" t="s">
        <v>94</v>
      </c>
      <c r="D29" t="s">
        <v>6290</v>
      </c>
      <c r="E29"/>
      <c r="F29" t="s">
        <v>10759</v>
      </c>
    </row>
    <row r="30" spans="2:6">
      <c r="B30">
        <v>20</v>
      </c>
      <c r="C30" t="s">
        <v>93</v>
      </c>
      <c r="D30" t="s">
        <v>6247</v>
      </c>
      <c r="E30" t="s">
        <v>10743</v>
      </c>
      <c r="F30" t="s">
        <v>10760</v>
      </c>
    </row>
    <row r="31" spans="2:6">
      <c r="B31"/>
      <c r="C31" t="s">
        <v>39</v>
      </c>
      <c r="D31" t="s">
        <v>6247</v>
      </c>
      <c r="E31" t="s">
        <v>39</v>
      </c>
      <c r="F31" t="s">
        <v>10761</v>
      </c>
    </row>
    <row r="32" spans="2:6">
      <c r="B32"/>
      <c r="C32" t="s">
        <v>132</v>
      </c>
      <c r="D32" t="s">
        <v>6247</v>
      </c>
      <c r="E32" t="s">
        <v>10745</v>
      </c>
      <c r="F32" t="s">
        <v>10762</v>
      </c>
    </row>
    <row r="33" spans="2:6">
      <c r="B33"/>
      <c r="C33" t="s">
        <v>36</v>
      </c>
      <c r="D33" t="s">
        <v>6247</v>
      </c>
      <c r="E33" t="s">
        <v>10759</v>
      </c>
      <c r="F33" t="s">
        <v>10763</v>
      </c>
    </row>
    <row r="34" spans="2:6">
      <c r="B34"/>
      <c r="C34" t="s">
        <v>47</v>
      </c>
      <c r="D34" t="s">
        <v>6290</v>
      </c>
      <c r="E34"/>
      <c r="F34"/>
    </row>
    <row r="35" spans="2:6">
      <c r="B35">
        <v>10</v>
      </c>
      <c r="C35" t="s">
        <v>112</v>
      </c>
      <c r="D35" t="s">
        <v>6247</v>
      </c>
      <c r="E35" t="s">
        <v>10739</v>
      </c>
      <c r="F35"/>
    </row>
    <row r="36" spans="2:6">
      <c r="B36">
        <v>10</v>
      </c>
      <c r="C36" t="s">
        <v>113</v>
      </c>
      <c r="D36" t="s">
        <v>6290</v>
      </c>
      <c r="E36"/>
      <c r="F36"/>
    </row>
    <row r="37" spans="2:6">
      <c r="B37">
        <v>25</v>
      </c>
      <c r="C37" t="s">
        <v>81</v>
      </c>
      <c r="D37" t="s">
        <v>6290</v>
      </c>
      <c r="E37"/>
      <c r="F37"/>
    </row>
    <row r="38" spans="2:6">
      <c r="B38"/>
      <c r="C38" t="s">
        <v>95</v>
      </c>
      <c r="D38" t="s">
        <v>6290</v>
      </c>
      <c r="E38"/>
      <c r="F38"/>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CE5BD-61DD-46CC-AED7-FF6065039D68}">
  <dimension ref="B1:N37"/>
  <sheetViews>
    <sheetView workbookViewId="0">
      <selection activeCell="E10" sqref="E10"/>
    </sheetView>
  </sheetViews>
  <sheetFormatPr defaultRowHeight="15"/>
  <cols>
    <col min="2" max="2" width="13.42578125" bestFit="1" customWidth="1"/>
    <col min="3" max="3" width="34.7109375" bestFit="1" customWidth="1"/>
    <col min="4" max="4" width="10.42578125" customWidth="1"/>
    <col min="5" max="5" width="78.85546875" bestFit="1" customWidth="1"/>
    <col min="6" max="6" width="10.28515625" style="471" customWidth="1"/>
    <col min="7" max="7" width="17.42578125" style="471" bestFit="1" customWidth="1"/>
    <col min="8" max="8" width="13.5703125" style="471" bestFit="1" customWidth="1"/>
    <col min="9" max="9" width="16.5703125" style="471" bestFit="1" customWidth="1"/>
    <col min="10" max="10" width="20.5703125" style="471" bestFit="1" customWidth="1"/>
    <col min="11" max="11" width="16.7109375" style="471" bestFit="1" customWidth="1"/>
    <col min="12" max="12" width="18.140625" style="471" customWidth="1"/>
    <col min="13" max="13" width="16" style="471" customWidth="1"/>
    <col min="14" max="14" width="64.42578125" bestFit="1" customWidth="1"/>
  </cols>
  <sheetData>
    <row r="1" spans="2:14" ht="14.45" customHeight="1">
      <c r="B1" s="577" t="s">
        <v>5</v>
      </c>
      <c r="C1" s="577" t="s">
        <v>366</v>
      </c>
      <c r="D1" s="579" t="s">
        <v>10764</v>
      </c>
      <c r="E1" s="579" t="s">
        <v>16</v>
      </c>
      <c r="F1" s="575" t="s">
        <v>10765</v>
      </c>
      <c r="G1" s="576" t="s">
        <v>369</v>
      </c>
      <c r="H1" s="578" t="s">
        <v>368</v>
      </c>
      <c r="I1" s="578"/>
      <c r="J1" s="575" t="s">
        <v>10766</v>
      </c>
      <c r="K1" s="576" t="s">
        <v>10767</v>
      </c>
      <c r="L1" s="574" t="s">
        <v>10768</v>
      </c>
      <c r="M1" s="574" t="s">
        <v>10769</v>
      </c>
      <c r="N1" s="573" t="s">
        <v>16</v>
      </c>
    </row>
    <row r="2" spans="2:14" ht="14.45" customHeight="1">
      <c r="B2" s="577"/>
      <c r="C2" s="577"/>
      <c r="D2" s="580"/>
      <c r="E2" s="580"/>
      <c r="F2" s="575"/>
      <c r="G2" s="576"/>
      <c r="H2" s="466" t="s">
        <v>10770</v>
      </c>
      <c r="I2" s="466" t="s">
        <v>10771</v>
      </c>
      <c r="J2" s="576"/>
      <c r="K2" s="576"/>
      <c r="L2" s="574"/>
      <c r="M2" s="574"/>
      <c r="N2" s="573"/>
    </row>
    <row r="3" spans="2:14">
      <c r="B3" s="135" t="s">
        <v>20</v>
      </c>
      <c r="C3" s="467" t="s">
        <v>17</v>
      </c>
      <c r="D3" s="447" t="s">
        <v>10772</v>
      </c>
      <c r="E3" s="135" t="s">
        <v>10773</v>
      </c>
      <c r="F3" s="470">
        <v>527</v>
      </c>
      <c r="G3" s="470">
        <v>9</v>
      </c>
      <c r="H3" s="470">
        <v>490</v>
      </c>
      <c r="I3" s="470">
        <v>1</v>
      </c>
      <c r="J3" s="470">
        <v>490</v>
      </c>
      <c r="K3" s="470"/>
      <c r="L3" s="102">
        <v>101</v>
      </c>
      <c r="M3" s="102">
        <v>101</v>
      </c>
    </row>
    <row r="4" spans="2:14">
      <c r="B4" s="135" t="s">
        <v>20</v>
      </c>
      <c r="C4" s="467" t="s">
        <v>36</v>
      </c>
      <c r="D4" s="447" t="s">
        <v>10772</v>
      </c>
      <c r="E4" s="135"/>
      <c r="F4" s="470">
        <v>152</v>
      </c>
      <c r="G4" s="470">
        <v>25</v>
      </c>
      <c r="H4" s="470">
        <v>114</v>
      </c>
      <c r="I4" s="470">
        <v>13</v>
      </c>
      <c r="J4" s="470">
        <v>114</v>
      </c>
      <c r="K4" s="470">
        <v>101</v>
      </c>
      <c r="L4" s="102"/>
      <c r="M4" s="102"/>
    </row>
    <row r="5" spans="2:14">
      <c r="B5" s="135" t="s">
        <v>20</v>
      </c>
      <c r="C5" s="467" t="s">
        <v>57</v>
      </c>
      <c r="D5" s="447" t="s">
        <v>855</v>
      </c>
      <c r="E5" s="135"/>
      <c r="F5" s="470">
        <v>46</v>
      </c>
      <c r="G5" s="470">
        <v>2</v>
      </c>
      <c r="H5" s="470">
        <v>39</v>
      </c>
      <c r="I5" s="470">
        <v>5</v>
      </c>
      <c r="J5" s="470"/>
      <c r="K5" s="470"/>
      <c r="L5" s="102"/>
      <c r="M5" s="102"/>
    </row>
    <row r="6" spans="2:14">
      <c r="B6" s="135" t="s">
        <v>20</v>
      </c>
      <c r="C6" s="467" t="s">
        <v>90</v>
      </c>
      <c r="D6" s="447" t="s">
        <v>855</v>
      </c>
      <c r="E6" s="453" t="s">
        <v>10774</v>
      </c>
      <c r="F6" s="470">
        <v>24</v>
      </c>
      <c r="G6" s="470">
        <v>0</v>
      </c>
      <c r="H6" s="470">
        <v>22</v>
      </c>
      <c r="I6" s="470">
        <v>2</v>
      </c>
      <c r="J6" s="470"/>
      <c r="K6" s="470"/>
      <c r="L6" s="102"/>
      <c r="M6" s="102"/>
    </row>
    <row r="7" spans="2:14">
      <c r="B7" s="135" t="s">
        <v>27</v>
      </c>
      <c r="C7" s="467" t="s">
        <v>26</v>
      </c>
      <c r="D7" s="447" t="s">
        <v>10772</v>
      </c>
      <c r="E7" s="135" t="s">
        <v>10775</v>
      </c>
      <c r="F7" s="470">
        <v>62</v>
      </c>
      <c r="G7" s="470">
        <v>22</v>
      </c>
      <c r="H7" s="470">
        <v>11</v>
      </c>
      <c r="I7" s="470">
        <v>29</v>
      </c>
      <c r="J7" s="470"/>
      <c r="K7" s="470"/>
      <c r="L7" s="102"/>
      <c r="M7" s="102"/>
    </row>
    <row r="8" spans="2:14">
      <c r="B8" s="135" t="s">
        <v>27</v>
      </c>
      <c r="C8" s="467" t="s">
        <v>954</v>
      </c>
      <c r="D8" s="447" t="s">
        <v>855</v>
      </c>
      <c r="E8" s="8" t="s">
        <v>10776</v>
      </c>
      <c r="F8" s="470">
        <v>20</v>
      </c>
      <c r="G8" s="470">
        <v>0</v>
      </c>
      <c r="H8" s="470">
        <v>20</v>
      </c>
      <c r="I8" s="470">
        <v>0</v>
      </c>
      <c r="J8" s="470">
        <v>0</v>
      </c>
      <c r="K8" s="470">
        <v>0</v>
      </c>
      <c r="L8" s="102"/>
      <c r="M8" s="102"/>
    </row>
    <row r="9" spans="2:14">
      <c r="B9" s="135" t="s">
        <v>224</v>
      </c>
      <c r="C9" s="467" t="s">
        <v>39</v>
      </c>
      <c r="D9" s="472" t="s">
        <v>855</v>
      </c>
      <c r="E9" s="5"/>
      <c r="F9" s="470">
        <v>167</v>
      </c>
      <c r="G9" s="470">
        <v>21</v>
      </c>
      <c r="H9" s="470">
        <v>146</v>
      </c>
      <c r="I9" s="470">
        <v>0</v>
      </c>
      <c r="J9" s="470"/>
      <c r="K9" s="470"/>
      <c r="L9" s="102"/>
      <c r="M9" s="102"/>
    </row>
    <row r="10" spans="2:14">
      <c r="B10" s="153" t="s">
        <v>224</v>
      </c>
      <c r="C10" s="467" t="s">
        <v>540</v>
      </c>
      <c r="D10" s="472" t="s">
        <v>855</v>
      </c>
      <c r="E10" s="5" t="s">
        <v>10777</v>
      </c>
      <c r="F10" s="470">
        <v>19</v>
      </c>
      <c r="G10" s="470">
        <v>0</v>
      </c>
      <c r="H10" s="470">
        <v>13</v>
      </c>
      <c r="I10" s="470">
        <v>6</v>
      </c>
      <c r="J10" s="470"/>
      <c r="K10" s="470"/>
      <c r="L10" s="102"/>
      <c r="M10" s="102"/>
    </row>
    <row r="11" spans="2:14">
      <c r="B11" s="135" t="s">
        <v>44</v>
      </c>
      <c r="C11" s="469" t="s">
        <v>43</v>
      </c>
      <c r="D11" s="447" t="s">
        <v>855</v>
      </c>
      <c r="E11" s="135" t="s">
        <v>10778</v>
      </c>
      <c r="F11" s="470">
        <v>0</v>
      </c>
      <c r="G11" s="470">
        <v>0</v>
      </c>
      <c r="H11" s="470">
        <v>0</v>
      </c>
      <c r="I11" s="470">
        <v>0</v>
      </c>
      <c r="J11" s="470">
        <v>0</v>
      </c>
      <c r="K11" s="470" t="s">
        <v>49</v>
      </c>
      <c r="L11" s="102"/>
      <c r="M11" s="102"/>
    </row>
    <row r="12" spans="2:14">
      <c r="B12" s="135" t="s">
        <v>247</v>
      </c>
      <c r="C12" s="469" t="s">
        <v>51</v>
      </c>
      <c r="D12" s="447" t="s">
        <v>855</v>
      </c>
      <c r="E12" s="135" t="s">
        <v>10778</v>
      </c>
      <c r="F12" s="470">
        <v>0</v>
      </c>
      <c r="G12" s="470">
        <v>0</v>
      </c>
      <c r="H12" s="470">
        <v>0</v>
      </c>
      <c r="I12" s="470">
        <v>0</v>
      </c>
      <c r="J12" s="470">
        <v>0</v>
      </c>
      <c r="K12" s="470" t="s">
        <v>49</v>
      </c>
      <c r="L12" s="102"/>
      <c r="M12" s="102"/>
    </row>
    <row r="13" spans="2:14">
      <c r="B13" s="135" t="s">
        <v>247</v>
      </c>
      <c r="C13" s="467" t="s">
        <v>112</v>
      </c>
      <c r="D13" s="447" t="s">
        <v>855</v>
      </c>
      <c r="E13" t="s">
        <v>10779</v>
      </c>
      <c r="F13" s="470">
        <v>16</v>
      </c>
      <c r="G13" s="470">
        <v>0</v>
      </c>
      <c r="H13" s="470">
        <v>0</v>
      </c>
      <c r="I13" s="470">
        <v>16</v>
      </c>
      <c r="J13" s="470">
        <v>0</v>
      </c>
      <c r="K13" s="470" t="s">
        <v>49</v>
      </c>
      <c r="L13" s="102"/>
      <c r="M13" s="102"/>
      <c r="N13" t="s">
        <v>10779</v>
      </c>
    </row>
    <row r="14" spans="2:14">
      <c r="B14" s="135" t="s">
        <v>63</v>
      </c>
      <c r="C14" s="481" t="s">
        <v>393</v>
      </c>
      <c r="D14" s="448" t="s">
        <v>855</v>
      </c>
      <c r="E14" s="135" t="s">
        <v>10780</v>
      </c>
      <c r="F14" s="470">
        <v>0</v>
      </c>
      <c r="G14" s="470" t="s">
        <v>49</v>
      </c>
      <c r="H14" s="470" t="s">
        <v>49</v>
      </c>
      <c r="I14" s="470" t="s">
        <v>49</v>
      </c>
      <c r="J14" s="470" t="s">
        <v>49</v>
      </c>
      <c r="K14" s="470" t="s">
        <v>49</v>
      </c>
      <c r="L14" s="102"/>
      <c r="M14" s="102"/>
      <c r="N14" t="s">
        <v>10781</v>
      </c>
    </row>
    <row r="15" spans="2:14">
      <c r="B15" s="135" t="s">
        <v>67</v>
      </c>
      <c r="C15" s="469" t="s">
        <v>66</v>
      </c>
      <c r="D15" s="447" t="s">
        <v>10772</v>
      </c>
      <c r="E15" s="135" t="s">
        <v>10778</v>
      </c>
      <c r="F15" s="470">
        <v>0</v>
      </c>
      <c r="G15" s="470" t="s">
        <v>49</v>
      </c>
      <c r="H15" s="470" t="s">
        <v>49</v>
      </c>
      <c r="I15" s="470" t="s">
        <v>49</v>
      </c>
      <c r="J15" s="470" t="s">
        <v>49</v>
      </c>
      <c r="K15" s="470" t="s">
        <v>49</v>
      </c>
      <c r="L15" s="102"/>
      <c r="M15" s="102"/>
      <c r="N15" t="s">
        <v>10782</v>
      </c>
    </row>
    <row r="16" spans="2:14">
      <c r="B16" s="135" t="s">
        <v>48</v>
      </c>
      <c r="C16" s="467" t="s">
        <v>71</v>
      </c>
      <c r="D16" s="447" t="s">
        <v>855</v>
      </c>
      <c r="E16" s="135" t="s">
        <v>10783</v>
      </c>
      <c r="F16" s="470">
        <v>16</v>
      </c>
      <c r="G16" s="470">
        <v>0</v>
      </c>
      <c r="H16" s="470">
        <v>16</v>
      </c>
      <c r="I16" s="470">
        <v>0</v>
      </c>
      <c r="J16" s="470"/>
      <c r="K16" s="470"/>
      <c r="L16" s="102"/>
      <c r="M16" s="102"/>
    </row>
    <row r="17" spans="2:14">
      <c r="B17" s="135" t="s">
        <v>110</v>
      </c>
      <c r="C17" s="473" t="s">
        <v>110</v>
      </c>
      <c r="D17" s="447" t="s">
        <v>855</v>
      </c>
      <c r="E17" s="135" t="s">
        <v>49</v>
      </c>
      <c r="F17" s="470">
        <v>11</v>
      </c>
      <c r="G17" s="470" t="s">
        <v>49</v>
      </c>
      <c r="H17" s="470" t="s">
        <v>49</v>
      </c>
      <c r="I17" s="470" t="s">
        <v>49</v>
      </c>
      <c r="J17" s="470" t="s">
        <v>49</v>
      </c>
      <c r="K17" s="470" t="s">
        <v>49</v>
      </c>
      <c r="L17" s="102" t="s">
        <v>49</v>
      </c>
      <c r="M17" s="102"/>
      <c r="N17" t="s">
        <v>10784</v>
      </c>
    </row>
    <row r="18" spans="2:14">
      <c r="B18" s="135" t="s">
        <v>48</v>
      </c>
      <c r="C18" s="469" t="s">
        <v>10785</v>
      </c>
      <c r="D18" s="447" t="s">
        <v>261</v>
      </c>
      <c r="E18" s="135" t="s">
        <v>10778</v>
      </c>
      <c r="F18" s="470"/>
      <c r="G18" s="470" t="s">
        <v>49</v>
      </c>
      <c r="H18" s="470" t="s">
        <v>49</v>
      </c>
      <c r="I18" s="470" t="s">
        <v>49</v>
      </c>
      <c r="J18" s="470" t="s">
        <v>49</v>
      </c>
      <c r="K18" s="470" t="s">
        <v>49</v>
      </c>
      <c r="L18" s="102"/>
      <c r="M18" s="102"/>
    </row>
    <row r="19" spans="2:14">
      <c r="B19" s="135" t="s">
        <v>290</v>
      </c>
      <c r="C19" s="468" t="s">
        <v>93</v>
      </c>
      <c r="D19" s="447" t="s">
        <v>855</v>
      </c>
      <c r="E19" s="135" t="s">
        <v>10778</v>
      </c>
      <c r="F19" s="470">
        <v>0</v>
      </c>
      <c r="G19" s="470" t="s">
        <v>49</v>
      </c>
      <c r="H19" s="470" t="s">
        <v>49</v>
      </c>
      <c r="I19" s="470" t="s">
        <v>49</v>
      </c>
      <c r="J19" s="470" t="s">
        <v>49</v>
      </c>
      <c r="K19" s="470" t="s">
        <v>49</v>
      </c>
      <c r="L19" s="102"/>
      <c r="M19" s="102"/>
      <c r="N19" t="s">
        <v>10781</v>
      </c>
    </row>
    <row r="20" spans="2:14">
      <c r="B20" s="135" t="s">
        <v>290</v>
      </c>
      <c r="C20" s="468" t="s">
        <v>117</v>
      </c>
      <c r="D20" s="447" t="s">
        <v>855</v>
      </c>
      <c r="E20" s="135" t="s">
        <v>10778</v>
      </c>
      <c r="F20" s="470">
        <v>0</v>
      </c>
      <c r="G20" s="470" t="s">
        <v>49</v>
      </c>
      <c r="H20" s="470" t="s">
        <v>49</v>
      </c>
      <c r="I20" s="470" t="s">
        <v>49</v>
      </c>
      <c r="J20" s="470" t="s">
        <v>49</v>
      </c>
      <c r="K20" s="470" t="s">
        <v>49</v>
      </c>
      <c r="L20" s="102" t="s">
        <v>10786</v>
      </c>
      <c r="M20" s="102"/>
      <c r="N20" s="8" t="s">
        <v>10786</v>
      </c>
    </row>
    <row r="21" spans="2:14">
      <c r="B21" s="135" t="s">
        <v>290</v>
      </c>
      <c r="C21" s="468" t="s">
        <v>10787</v>
      </c>
      <c r="D21" s="447" t="s">
        <v>855</v>
      </c>
      <c r="E21" s="135" t="s">
        <v>10778</v>
      </c>
      <c r="F21" s="470">
        <v>0</v>
      </c>
      <c r="G21" s="470" t="s">
        <v>49</v>
      </c>
      <c r="H21" s="470" t="s">
        <v>49</v>
      </c>
      <c r="I21" s="470" t="s">
        <v>49</v>
      </c>
      <c r="J21" s="470" t="s">
        <v>49</v>
      </c>
      <c r="K21" s="470" t="s">
        <v>49</v>
      </c>
      <c r="L21" s="102"/>
      <c r="M21" s="102"/>
    </row>
    <row r="22" spans="2:14">
      <c r="B22" s="135" t="s">
        <v>48</v>
      </c>
      <c r="C22" s="469" t="s">
        <v>47</v>
      </c>
      <c r="D22" s="447" t="s">
        <v>10772</v>
      </c>
      <c r="E22" s="135" t="s">
        <v>10788</v>
      </c>
      <c r="G22" s="470" t="s">
        <v>49</v>
      </c>
      <c r="H22" s="470" t="s">
        <v>49</v>
      </c>
      <c r="I22" s="470" t="s">
        <v>49</v>
      </c>
      <c r="J22" s="470" t="s">
        <v>49</v>
      </c>
      <c r="K22" s="470" t="s">
        <v>49</v>
      </c>
      <c r="L22" s="102"/>
      <c r="M22" s="102"/>
    </row>
    <row r="23" spans="2:14">
      <c r="B23" s="135" t="s">
        <v>48</v>
      </c>
      <c r="C23" s="469" t="s">
        <v>113</v>
      </c>
      <c r="D23" s="447" t="s">
        <v>10772</v>
      </c>
      <c r="E23" s="135" t="s">
        <v>10788</v>
      </c>
      <c r="F23" s="470"/>
      <c r="G23" s="470" t="s">
        <v>49</v>
      </c>
      <c r="H23" s="470" t="s">
        <v>49</v>
      </c>
      <c r="I23" s="470" t="s">
        <v>49</v>
      </c>
      <c r="J23" s="470" t="s">
        <v>49</v>
      </c>
      <c r="K23" s="470" t="s">
        <v>49</v>
      </c>
      <c r="L23" s="102"/>
      <c r="M23" s="102"/>
    </row>
    <row r="24" spans="2:14">
      <c r="B24" s="135" t="s">
        <v>73</v>
      </c>
      <c r="C24" s="469" t="s">
        <v>72</v>
      </c>
      <c r="D24" s="447" t="s">
        <v>261</v>
      </c>
      <c r="E24" s="135" t="s">
        <v>10788</v>
      </c>
      <c r="F24" s="470"/>
      <c r="G24" s="470" t="s">
        <v>49</v>
      </c>
      <c r="H24" s="470" t="s">
        <v>49</v>
      </c>
      <c r="I24" s="470" t="s">
        <v>49</v>
      </c>
      <c r="J24" s="470" t="s">
        <v>49</v>
      </c>
      <c r="K24" s="470" t="s">
        <v>49</v>
      </c>
      <c r="L24" s="102"/>
      <c r="M24" s="102"/>
    </row>
    <row r="25" spans="2:14">
      <c r="B25" s="135" t="s">
        <v>48</v>
      </c>
      <c r="C25" s="469" t="s">
        <v>10789</v>
      </c>
      <c r="D25" s="447" t="s">
        <v>261</v>
      </c>
      <c r="E25" s="135" t="s">
        <v>10790</v>
      </c>
      <c r="F25" s="470"/>
      <c r="G25" s="470" t="s">
        <v>49</v>
      </c>
      <c r="H25" s="470" t="s">
        <v>49</v>
      </c>
      <c r="I25" s="470" t="s">
        <v>49</v>
      </c>
      <c r="J25" s="470" t="s">
        <v>49</v>
      </c>
      <c r="K25" s="470" t="s">
        <v>49</v>
      </c>
      <c r="L25" s="102"/>
      <c r="M25" s="102"/>
    </row>
    <row r="26" spans="2:14">
      <c r="B26" s="135" t="s">
        <v>247</v>
      </c>
      <c r="C26" s="469" t="s">
        <v>10791</v>
      </c>
      <c r="D26" s="447" t="s">
        <v>261</v>
      </c>
      <c r="E26" s="135" t="s">
        <v>10790</v>
      </c>
      <c r="F26" s="470"/>
      <c r="G26" s="470" t="s">
        <v>49</v>
      </c>
      <c r="H26" s="470" t="s">
        <v>49</v>
      </c>
      <c r="I26" s="470" t="s">
        <v>49</v>
      </c>
      <c r="J26" s="470" t="s">
        <v>49</v>
      </c>
      <c r="K26" s="470" t="s">
        <v>49</v>
      </c>
      <c r="L26" s="102"/>
      <c r="M26" s="102"/>
    </row>
    <row r="27" spans="2:14">
      <c r="B27" s="135" t="s">
        <v>48</v>
      </c>
      <c r="C27" s="469" t="s">
        <v>80</v>
      </c>
      <c r="D27" s="447" t="s">
        <v>261</v>
      </c>
      <c r="E27" s="135" t="s">
        <v>10790</v>
      </c>
      <c r="F27" s="470"/>
      <c r="G27" s="470" t="s">
        <v>49</v>
      </c>
      <c r="H27" s="470" t="s">
        <v>49</v>
      </c>
      <c r="I27" s="470" t="s">
        <v>49</v>
      </c>
      <c r="J27" s="470" t="s">
        <v>49</v>
      </c>
      <c r="K27" s="470" t="s">
        <v>49</v>
      </c>
      <c r="L27" s="102"/>
      <c r="M27" s="102"/>
    </row>
    <row r="28" spans="2:14">
      <c r="B28" s="135" t="s">
        <v>48</v>
      </c>
      <c r="C28" s="469" t="s">
        <v>116</v>
      </c>
      <c r="D28" s="447" t="s">
        <v>261</v>
      </c>
      <c r="E28" s="135" t="s">
        <v>10790</v>
      </c>
      <c r="F28" s="470"/>
      <c r="G28" s="470" t="s">
        <v>49</v>
      </c>
      <c r="H28" s="470" t="s">
        <v>49</v>
      </c>
      <c r="I28" s="470" t="s">
        <v>49</v>
      </c>
      <c r="J28" s="470" t="s">
        <v>49</v>
      </c>
      <c r="K28" s="470" t="s">
        <v>49</v>
      </c>
      <c r="L28" s="102"/>
      <c r="M28" s="102"/>
    </row>
    <row r="29" spans="2:14">
      <c r="B29" s="135" t="s">
        <v>48</v>
      </c>
      <c r="C29" s="469" t="s">
        <v>119</v>
      </c>
      <c r="D29" s="447" t="s">
        <v>261</v>
      </c>
      <c r="E29" s="135" t="s">
        <v>10790</v>
      </c>
      <c r="F29" s="470"/>
      <c r="G29" s="470" t="s">
        <v>49</v>
      </c>
      <c r="H29" s="470" t="s">
        <v>49</v>
      </c>
      <c r="I29" s="470" t="s">
        <v>49</v>
      </c>
      <c r="J29" s="470" t="s">
        <v>49</v>
      </c>
      <c r="K29" s="470" t="s">
        <v>49</v>
      </c>
      <c r="L29" s="102"/>
      <c r="M29" s="102"/>
    </row>
    <row r="30" spans="2:14">
      <c r="B30" s="135" t="s">
        <v>107</v>
      </c>
      <c r="C30" s="469" t="s">
        <v>105</v>
      </c>
      <c r="D30" s="447" t="s">
        <v>261</v>
      </c>
      <c r="E30" s="135" t="s">
        <v>10790</v>
      </c>
      <c r="F30" s="470">
        <v>13</v>
      </c>
      <c r="G30" s="470" t="s">
        <v>49</v>
      </c>
      <c r="H30" s="470" t="s">
        <v>49</v>
      </c>
      <c r="I30" s="470" t="s">
        <v>49</v>
      </c>
      <c r="J30" s="470" t="s">
        <v>49</v>
      </c>
      <c r="K30" s="470" t="s">
        <v>49</v>
      </c>
      <c r="L30" s="102"/>
      <c r="M30" s="102"/>
    </row>
    <row r="31" spans="2:14">
      <c r="B31" s="20" t="s">
        <v>284</v>
      </c>
      <c r="C31" s="469" t="s">
        <v>81</v>
      </c>
      <c r="D31" s="447" t="s">
        <v>261</v>
      </c>
      <c r="E31" s="135" t="s">
        <v>10790</v>
      </c>
      <c r="F31" s="470"/>
      <c r="G31" s="470" t="s">
        <v>49</v>
      </c>
      <c r="H31" s="470" t="s">
        <v>49</v>
      </c>
      <c r="I31" s="470" t="s">
        <v>49</v>
      </c>
      <c r="J31" s="470" t="s">
        <v>49</v>
      </c>
      <c r="K31" s="470" t="s">
        <v>49</v>
      </c>
      <c r="L31" s="102"/>
      <c r="M31" s="102"/>
    </row>
    <row r="32" spans="2:14">
      <c r="B32" s="135" t="s">
        <v>96</v>
      </c>
      <c r="C32" s="469" t="s">
        <v>95</v>
      </c>
      <c r="D32" s="447" t="s">
        <v>261</v>
      </c>
      <c r="E32" s="135" t="s">
        <v>10790</v>
      </c>
      <c r="F32" s="470"/>
      <c r="G32" s="470" t="s">
        <v>49</v>
      </c>
      <c r="H32" s="470" t="s">
        <v>49</v>
      </c>
      <c r="I32" s="470" t="s">
        <v>49</v>
      </c>
      <c r="J32" s="470" t="s">
        <v>49</v>
      </c>
      <c r="K32" s="470" t="s">
        <v>49</v>
      </c>
      <c r="L32" s="102"/>
      <c r="M32" s="102"/>
    </row>
    <row r="33" spans="2:13">
      <c r="B33" s="135" t="s">
        <v>48</v>
      </c>
      <c r="C33" s="469" t="s">
        <v>56</v>
      </c>
      <c r="D33" s="447" t="s">
        <v>261</v>
      </c>
      <c r="E33" s="135" t="s">
        <v>10790</v>
      </c>
      <c r="F33" s="470"/>
      <c r="G33" s="470" t="s">
        <v>49</v>
      </c>
      <c r="H33" s="470" t="s">
        <v>49</v>
      </c>
      <c r="I33" s="470" t="s">
        <v>49</v>
      </c>
      <c r="J33" s="470" t="s">
        <v>49</v>
      </c>
      <c r="K33" s="470" t="s">
        <v>49</v>
      </c>
      <c r="L33" s="102"/>
      <c r="M33" s="102"/>
    </row>
    <row r="34" spans="2:13">
      <c r="B34" s="135" t="s">
        <v>48</v>
      </c>
      <c r="C34" s="469" t="s">
        <v>10124</v>
      </c>
      <c r="D34" s="447" t="s">
        <v>261</v>
      </c>
      <c r="E34" s="135" t="s">
        <v>10790</v>
      </c>
      <c r="F34" s="470"/>
      <c r="G34" s="470" t="s">
        <v>49</v>
      </c>
      <c r="H34" s="470" t="s">
        <v>49</v>
      </c>
      <c r="I34" s="470" t="s">
        <v>49</v>
      </c>
      <c r="J34" s="470" t="s">
        <v>49</v>
      </c>
      <c r="K34" s="470" t="s">
        <v>49</v>
      </c>
      <c r="L34" s="102"/>
      <c r="M34" s="102"/>
    </row>
    <row r="35" spans="2:13">
      <c r="B35" s="135" t="s">
        <v>318</v>
      </c>
      <c r="C35" s="469" t="s">
        <v>319</v>
      </c>
      <c r="D35" s="447" t="s">
        <v>261</v>
      </c>
      <c r="E35" s="135" t="s">
        <v>10790</v>
      </c>
      <c r="F35" s="470">
        <v>2</v>
      </c>
      <c r="G35" s="470" t="s">
        <v>49</v>
      </c>
      <c r="H35" s="470" t="s">
        <v>49</v>
      </c>
      <c r="I35" s="470" t="s">
        <v>49</v>
      </c>
      <c r="J35" s="470" t="s">
        <v>49</v>
      </c>
      <c r="K35" s="470" t="s">
        <v>49</v>
      </c>
      <c r="L35" s="102"/>
      <c r="M35" s="102"/>
    </row>
    <row r="36" spans="2:13">
      <c r="B36" s="135" t="s">
        <v>318</v>
      </c>
      <c r="C36" s="469" t="s">
        <v>322</v>
      </c>
      <c r="D36" s="447" t="s">
        <v>261</v>
      </c>
      <c r="E36" s="135" t="s">
        <v>10790</v>
      </c>
      <c r="F36" s="470"/>
      <c r="G36" s="470" t="s">
        <v>49</v>
      </c>
      <c r="H36" s="470" t="s">
        <v>49</v>
      </c>
      <c r="I36" s="470" t="s">
        <v>49</v>
      </c>
      <c r="J36" s="470" t="s">
        <v>49</v>
      </c>
      <c r="K36" s="470" t="s">
        <v>49</v>
      </c>
      <c r="L36" s="102"/>
      <c r="M36" s="102"/>
    </row>
    <row r="37" spans="2:13">
      <c r="B37" s="135" t="s">
        <v>20</v>
      </c>
      <c r="C37" s="469" t="s">
        <v>120</v>
      </c>
      <c r="D37" s="447" t="s">
        <v>261</v>
      </c>
      <c r="E37" s="135" t="s">
        <v>10790</v>
      </c>
      <c r="F37" s="470"/>
      <c r="G37" s="470" t="s">
        <v>49</v>
      </c>
      <c r="H37" s="470" t="s">
        <v>49</v>
      </c>
      <c r="I37" s="470" t="s">
        <v>49</v>
      </c>
      <c r="J37" s="470" t="s">
        <v>49</v>
      </c>
      <c r="K37" s="470" t="s">
        <v>49</v>
      </c>
      <c r="L37" s="102"/>
      <c r="M37" s="102"/>
    </row>
  </sheetData>
  <autoFilter ref="B1:N37" xr:uid="{1E4CE5BD-61DD-46CC-AED7-FF6065039D68}">
    <filterColumn colId="6" showButton="0"/>
  </autoFilter>
  <mergeCells count="12">
    <mergeCell ref="B1:B2"/>
    <mergeCell ref="C1:C2"/>
    <mergeCell ref="H1:I1"/>
    <mergeCell ref="F1:F2"/>
    <mergeCell ref="G1:G2"/>
    <mergeCell ref="E1:E2"/>
    <mergeCell ref="D1:D2"/>
    <mergeCell ref="N1:N2"/>
    <mergeCell ref="L1:L2"/>
    <mergeCell ref="M1:M2"/>
    <mergeCell ref="J1:J2"/>
    <mergeCell ref="K1:K2"/>
  </mergeCells>
  <pageMargins left="0.7" right="0.7" top="0.75" bottom="0.75" header="0.3" footer="0.3"/>
  <legacy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C7082-F384-4CAE-AD0C-5981AAF0CC5F}">
  <sheetPr>
    <tabColor rgb="FFFF0000"/>
  </sheetPr>
  <dimension ref="A1:AA310"/>
  <sheetViews>
    <sheetView workbookViewId="0">
      <pane ySplit="1" topLeftCell="A2" activePane="bottomLeft" state="frozen"/>
      <selection pane="bottomLeft" activeCell="C1" sqref="C1"/>
    </sheetView>
  </sheetViews>
  <sheetFormatPr defaultRowHeight="15" customHeight="1"/>
  <cols>
    <col min="1" max="1" width="20.7109375" customWidth="1"/>
    <col min="2" max="2" width="14.5703125" style="8" bestFit="1" customWidth="1"/>
    <col min="3" max="3" width="41.42578125" style="8" customWidth="1"/>
    <col min="4" max="4" width="33.140625" style="8" customWidth="1"/>
    <col min="5" max="5" width="12.5703125" style="8" bestFit="1" customWidth="1"/>
    <col min="6" max="6" width="118.42578125" style="8" customWidth="1"/>
    <col min="7" max="7" width="12" style="8" hidden="1" customWidth="1"/>
    <col min="8" max="8" width="38.5703125" style="8" bestFit="1" customWidth="1"/>
    <col min="9" max="9" width="11.5703125" style="8" bestFit="1" customWidth="1"/>
    <col min="10" max="10" width="15.42578125" style="8" bestFit="1" customWidth="1"/>
    <col min="11" max="11" width="65" style="8" bestFit="1" customWidth="1"/>
    <col min="12" max="12" width="44.42578125" style="8" bestFit="1" customWidth="1"/>
    <col min="13" max="13" width="88.42578125" style="8" customWidth="1"/>
    <col min="14" max="14" width="50.5703125" style="8" customWidth="1"/>
    <col min="15" max="15" width="100.5703125" style="8" customWidth="1"/>
    <col min="16" max="16" width="66" style="8" bestFit="1" customWidth="1"/>
    <col min="17" max="17" width="27.5703125" style="8" bestFit="1" customWidth="1"/>
    <col min="18" max="18" width="47.140625" style="8" bestFit="1" customWidth="1"/>
    <col min="19" max="19" width="17.42578125" style="8" bestFit="1" customWidth="1"/>
    <col min="20" max="20" width="33.42578125" style="8" bestFit="1" customWidth="1"/>
    <col min="21" max="21" width="17.5703125" style="8" bestFit="1" customWidth="1"/>
    <col min="22" max="22" width="17.42578125" style="8" bestFit="1" customWidth="1"/>
    <col min="23" max="23" width="11.42578125" style="8" customWidth="1"/>
    <col min="24" max="24" width="21.5703125" style="8" customWidth="1"/>
    <col min="25" max="25" width="43" style="8" customWidth="1"/>
    <col min="26" max="26" width="72.42578125" style="8" customWidth="1"/>
    <col min="27" max="27" width="59.42578125" style="8" customWidth="1"/>
  </cols>
  <sheetData>
    <row r="1" spans="1:27" ht="18.75">
      <c r="B1" s="357" t="s">
        <v>2157</v>
      </c>
      <c r="C1" s="357" t="s">
        <v>336</v>
      </c>
      <c r="D1" s="357" t="s">
        <v>337</v>
      </c>
      <c r="E1" s="357" t="s">
        <v>338</v>
      </c>
      <c r="F1" s="357" t="s">
        <v>339</v>
      </c>
      <c r="G1" s="402" t="s">
        <v>2158</v>
      </c>
      <c r="H1" s="406" t="s">
        <v>2159</v>
      </c>
      <c r="I1" s="406" t="s">
        <v>6855</v>
      </c>
      <c r="J1" s="406" t="s">
        <v>425</v>
      </c>
      <c r="K1" s="406" t="s">
        <v>426</v>
      </c>
      <c r="L1" s="406" t="s">
        <v>427</v>
      </c>
      <c r="M1" s="406" t="s">
        <v>2161</v>
      </c>
      <c r="N1" s="406" t="s">
        <v>2162</v>
      </c>
      <c r="O1" s="406" t="s">
        <v>428</v>
      </c>
      <c r="P1" s="407" t="s">
        <v>6856</v>
      </c>
      <c r="Q1" s="408" t="s">
        <v>416</v>
      </c>
      <c r="R1" s="402" t="s">
        <v>417</v>
      </c>
      <c r="S1" s="402" t="s">
        <v>418</v>
      </c>
      <c r="T1" s="402" t="s">
        <v>419</v>
      </c>
      <c r="U1" s="402" t="s">
        <v>420</v>
      </c>
      <c r="V1" s="402" t="s">
        <v>421</v>
      </c>
      <c r="W1" s="402" t="s">
        <v>422</v>
      </c>
      <c r="X1" s="402" t="s">
        <v>423</v>
      </c>
      <c r="Y1" s="402" t="s">
        <v>424</v>
      </c>
      <c r="Z1" s="402" t="s">
        <v>16</v>
      </c>
      <c r="AA1" s="402" t="s">
        <v>6857</v>
      </c>
    </row>
    <row r="2" spans="1:27">
      <c r="B2" s="356" t="s">
        <v>6858</v>
      </c>
      <c r="C2" s="356" t="s">
        <v>6859</v>
      </c>
      <c r="D2" s="356" t="s">
        <v>341</v>
      </c>
      <c r="E2" s="356" t="s">
        <v>26</v>
      </c>
      <c r="F2" s="356" t="s">
        <v>6860</v>
      </c>
      <c r="G2" s="151" t="s">
        <v>2196</v>
      </c>
      <c r="H2" s="356" t="s">
        <v>2173</v>
      </c>
      <c r="I2" s="356" t="s">
        <v>6865</v>
      </c>
      <c r="J2" s="356" t="s">
        <v>1194</v>
      </c>
      <c r="K2" s="356" t="s">
        <v>620</v>
      </c>
      <c r="L2" s="356" t="s">
        <v>6866</v>
      </c>
      <c r="M2" s="356" t="s">
        <v>6867</v>
      </c>
      <c r="N2" s="356" t="s">
        <v>6868</v>
      </c>
      <c r="O2" s="356"/>
      <c r="P2" s="151" t="s">
        <v>6869</v>
      </c>
      <c r="Q2" s="151" t="s">
        <v>6870</v>
      </c>
      <c r="R2" s="151" t="s">
        <v>3608</v>
      </c>
      <c r="S2" s="151" t="s">
        <v>6871</v>
      </c>
      <c r="T2" s="151">
        <v>4</v>
      </c>
      <c r="U2" s="151" t="s">
        <v>6872</v>
      </c>
      <c r="V2" s="151" t="s">
        <v>6873</v>
      </c>
      <c r="W2" s="151" t="s">
        <v>6871</v>
      </c>
      <c r="X2" s="151" t="s">
        <v>6871</v>
      </c>
      <c r="Y2" s="151" t="s">
        <v>6874</v>
      </c>
      <c r="Z2" s="151" t="s">
        <v>6875</v>
      </c>
      <c r="AA2" s="151" t="s">
        <v>6876</v>
      </c>
    </row>
    <row r="3" spans="1:27">
      <c r="B3" s="151" t="s">
        <v>6858</v>
      </c>
      <c r="C3" s="151" t="s">
        <v>6877</v>
      </c>
      <c r="D3" s="151" t="s">
        <v>4497</v>
      </c>
      <c r="E3" s="151" t="s">
        <v>26</v>
      </c>
      <c r="F3" s="151" t="s">
        <v>6878</v>
      </c>
      <c r="G3" s="151" t="s">
        <v>544</v>
      </c>
      <c r="H3" s="151" t="s">
        <v>2173</v>
      </c>
      <c r="I3" s="151" t="s">
        <v>6865</v>
      </c>
      <c r="J3" s="151" t="s">
        <v>1194</v>
      </c>
      <c r="K3" s="151" t="s">
        <v>643</v>
      </c>
      <c r="L3" s="151" t="s">
        <v>6880</v>
      </c>
      <c r="M3" s="151" t="s">
        <v>6881</v>
      </c>
      <c r="N3" s="151" t="s">
        <v>6868</v>
      </c>
      <c r="O3" s="151" t="s">
        <v>6882</v>
      </c>
      <c r="P3" s="151" t="s">
        <v>2177</v>
      </c>
      <c r="Q3" s="151" t="s">
        <v>6883</v>
      </c>
      <c r="R3" s="151" t="s">
        <v>4271</v>
      </c>
      <c r="S3" s="151" t="s">
        <v>6871</v>
      </c>
      <c r="T3" s="151" t="s">
        <v>6884</v>
      </c>
      <c r="U3" s="151" t="s">
        <v>6885</v>
      </c>
      <c r="V3" s="151"/>
      <c r="W3" s="151" t="s">
        <v>6871</v>
      </c>
      <c r="X3" s="151"/>
      <c r="Y3" s="151" t="s">
        <v>6886</v>
      </c>
      <c r="Z3" s="151"/>
      <c r="AA3" s="151"/>
    </row>
    <row r="4" spans="1:27">
      <c r="B4" s="151" t="s">
        <v>6858</v>
      </c>
      <c r="C4" s="151" t="s">
        <v>6887</v>
      </c>
      <c r="D4" s="151" t="s">
        <v>4497</v>
      </c>
      <c r="E4" s="151" t="s">
        <v>26</v>
      </c>
      <c r="F4" s="151" t="s">
        <v>6888</v>
      </c>
      <c r="G4" s="151" t="s">
        <v>544</v>
      </c>
      <c r="H4" s="151" t="s">
        <v>2173</v>
      </c>
      <c r="I4" s="151" t="s">
        <v>6865</v>
      </c>
      <c r="J4" s="151" t="s">
        <v>1194</v>
      </c>
      <c r="K4" s="151" t="s">
        <v>643</v>
      </c>
      <c r="L4" s="151" t="s">
        <v>6889</v>
      </c>
      <c r="M4" s="151" t="s">
        <v>6881</v>
      </c>
      <c r="N4" s="151" t="s">
        <v>6868</v>
      </c>
      <c r="O4" s="151" t="s">
        <v>6890</v>
      </c>
      <c r="P4" s="151" t="s">
        <v>2177</v>
      </c>
      <c r="Q4" s="151" t="s">
        <v>6883</v>
      </c>
      <c r="R4" s="151" t="s">
        <v>4271</v>
      </c>
      <c r="S4" s="151" t="s">
        <v>6871</v>
      </c>
      <c r="T4" s="151" t="s">
        <v>6884</v>
      </c>
      <c r="U4" s="151" t="s">
        <v>6885</v>
      </c>
      <c r="V4" s="151"/>
      <c r="W4" s="151" t="s">
        <v>6871</v>
      </c>
      <c r="X4" s="151"/>
      <c r="Y4" s="151" t="s">
        <v>6891</v>
      </c>
      <c r="Z4" s="151"/>
      <c r="AA4" s="151"/>
    </row>
    <row r="5" spans="1:27">
      <c r="B5" s="151" t="s">
        <v>6858</v>
      </c>
      <c r="C5" s="151" t="s">
        <v>6892</v>
      </c>
      <c r="D5" s="151" t="s">
        <v>341</v>
      </c>
      <c r="E5" s="151" t="s">
        <v>26</v>
      </c>
      <c r="F5" s="151" t="s">
        <v>10792</v>
      </c>
      <c r="G5" s="151" t="s">
        <v>544</v>
      </c>
      <c r="H5" s="151" t="s">
        <v>2173</v>
      </c>
      <c r="I5" s="151" t="s">
        <v>6865</v>
      </c>
      <c r="J5" s="151" t="s">
        <v>1194</v>
      </c>
      <c r="K5" s="151" t="s">
        <v>6895</v>
      </c>
      <c r="L5" s="151" t="s">
        <v>6896</v>
      </c>
      <c r="M5" s="151" t="s">
        <v>6897</v>
      </c>
      <c r="N5" s="151" t="s">
        <v>6868</v>
      </c>
      <c r="O5" s="151" t="s">
        <v>6898</v>
      </c>
      <c r="P5" s="151" t="s">
        <v>6900</v>
      </c>
      <c r="Q5" s="151" t="s">
        <v>6883</v>
      </c>
      <c r="R5" s="151"/>
      <c r="S5" s="151" t="s">
        <v>6871</v>
      </c>
      <c r="T5" s="151"/>
      <c r="U5" s="151" t="s">
        <v>6872</v>
      </c>
      <c r="V5" s="151"/>
      <c r="W5" s="151" t="s">
        <v>6871</v>
      </c>
      <c r="X5" s="151"/>
      <c r="Y5" s="151"/>
      <c r="Z5" s="151" t="s">
        <v>6901</v>
      </c>
      <c r="AA5" s="151" t="s">
        <v>6902</v>
      </c>
    </row>
    <row r="6" spans="1:27">
      <c r="A6" t="s">
        <v>10793</v>
      </c>
      <c r="B6" s="151" t="s">
        <v>6858</v>
      </c>
      <c r="C6" s="151" t="s">
        <v>6903</v>
      </c>
      <c r="D6" s="151" t="s">
        <v>4497</v>
      </c>
      <c r="E6" s="151" t="s">
        <v>26</v>
      </c>
      <c r="F6" s="151" t="s">
        <v>6904</v>
      </c>
      <c r="G6" s="151" t="s">
        <v>544</v>
      </c>
      <c r="H6" s="151" t="s">
        <v>2173</v>
      </c>
      <c r="I6" s="151" t="s">
        <v>6865</v>
      </c>
      <c r="J6" s="151"/>
      <c r="K6" s="151" t="s">
        <v>6895</v>
      </c>
      <c r="L6" s="151" t="s">
        <v>1348</v>
      </c>
      <c r="M6" s="151" t="s">
        <v>6897</v>
      </c>
      <c r="N6" s="151" t="s">
        <v>6868</v>
      </c>
      <c r="O6" s="151"/>
      <c r="P6" s="151" t="s">
        <v>6905</v>
      </c>
      <c r="Q6" s="151" t="s">
        <v>6883</v>
      </c>
      <c r="R6" s="151" t="s">
        <v>2207</v>
      </c>
      <c r="S6" s="151" t="s">
        <v>6871</v>
      </c>
      <c r="T6" s="151"/>
      <c r="U6" s="151" t="s">
        <v>6906</v>
      </c>
      <c r="V6" s="151"/>
      <c r="W6" s="151" t="s">
        <v>6871</v>
      </c>
      <c r="X6" s="151"/>
      <c r="Y6" s="151" t="s">
        <v>6907</v>
      </c>
      <c r="Z6" s="151" t="s">
        <v>6905</v>
      </c>
      <c r="AA6" s="151"/>
    </row>
    <row r="7" spans="1:27">
      <c r="A7" t="s">
        <v>10794</v>
      </c>
      <c r="B7" s="151" t="s">
        <v>6858</v>
      </c>
      <c r="C7" s="151" t="s">
        <v>1218</v>
      </c>
      <c r="D7" s="151" t="s">
        <v>3919</v>
      </c>
      <c r="E7" s="151" t="s">
        <v>26</v>
      </c>
      <c r="F7" s="151" t="s">
        <v>6908</v>
      </c>
      <c r="G7" s="151" t="s">
        <v>544</v>
      </c>
      <c r="H7" s="151" t="s">
        <v>2173</v>
      </c>
      <c r="I7" s="151" t="s">
        <v>6865</v>
      </c>
      <c r="J7" s="151" t="s">
        <v>1194</v>
      </c>
      <c r="K7" s="151" t="s">
        <v>6909</v>
      </c>
      <c r="L7" s="151" t="s">
        <v>2226</v>
      </c>
      <c r="M7" s="151" t="s">
        <v>6910</v>
      </c>
      <c r="N7" s="151" t="s">
        <v>6868</v>
      </c>
      <c r="O7" s="151"/>
      <c r="P7" s="151" t="s">
        <v>6905</v>
      </c>
      <c r="Q7" s="151" t="s">
        <v>6870</v>
      </c>
      <c r="R7" s="151" t="s">
        <v>2179</v>
      </c>
      <c r="S7" s="151"/>
      <c r="T7" s="151">
        <v>100</v>
      </c>
      <c r="U7" s="151" t="s">
        <v>6872</v>
      </c>
      <c r="V7" s="151"/>
      <c r="W7" s="151" t="s">
        <v>6871</v>
      </c>
      <c r="X7" s="151"/>
      <c r="Y7" s="151" t="s">
        <v>6874</v>
      </c>
      <c r="Z7" s="151" t="s">
        <v>6905</v>
      </c>
      <c r="AA7" s="151"/>
    </row>
    <row r="8" spans="1:27">
      <c r="A8" t="s">
        <v>10794</v>
      </c>
      <c r="B8" s="151" t="s">
        <v>6858</v>
      </c>
      <c r="C8" s="151" t="s">
        <v>6911</v>
      </c>
      <c r="D8" s="151" t="s">
        <v>3919</v>
      </c>
      <c r="E8" s="151" t="s">
        <v>26</v>
      </c>
      <c r="F8" s="151" t="s">
        <v>6912</v>
      </c>
      <c r="G8" s="151" t="s">
        <v>544</v>
      </c>
      <c r="H8" s="151" t="s">
        <v>2173</v>
      </c>
      <c r="I8" s="151" t="s">
        <v>6865</v>
      </c>
      <c r="J8" s="151" t="s">
        <v>1194</v>
      </c>
      <c r="K8" s="151" t="s">
        <v>6909</v>
      </c>
      <c r="L8" s="151" t="s">
        <v>6913</v>
      </c>
      <c r="M8" s="151" t="s">
        <v>6910</v>
      </c>
      <c r="N8" s="151" t="s">
        <v>6868</v>
      </c>
      <c r="O8" s="151"/>
      <c r="P8" s="151" t="s">
        <v>6905</v>
      </c>
      <c r="Q8" s="151" t="s">
        <v>6870</v>
      </c>
      <c r="R8" s="151" t="s">
        <v>2179</v>
      </c>
      <c r="S8" s="151"/>
      <c r="T8" s="151">
        <v>40</v>
      </c>
      <c r="U8" s="151" t="s">
        <v>6872</v>
      </c>
      <c r="V8" s="151"/>
      <c r="W8" s="151" t="s">
        <v>6871</v>
      </c>
      <c r="X8" s="151"/>
      <c r="Y8" s="151" t="s">
        <v>6874</v>
      </c>
      <c r="Z8" s="151" t="s">
        <v>6905</v>
      </c>
      <c r="AA8" s="151"/>
    </row>
    <row r="9" spans="1:27">
      <c r="A9" t="s">
        <v>10794</v>
      </c>
      <c r="B9" s="151" t="s">
        <v>6858</v>
      </c>
      <c r="C9" s="151" t="s">
        <v>6914</v>
      </c>
      <c r="D9" s="151" t="s">
        <v>3919</v>
      </c>
      <c r="E9" s="151" t="s">
        <v>26</v>
      </c>
      <c r="F9" s="151" t="s">
        <v>6915</v>
      </c>
      <c r="G9" s="151" t="s">
        <v>544</v>
      </c>
      <c r="H9" s="151" t="s">
        <v>2173</v>
      </c>
      <c r="I9" s="151" t="s">
        <v>6865</v>
      </c>
      <c r="J9" s="151" t="s">
        <v>1194</v>
      </c>
      <c r="K9" s="151" t="s">
        <v>6909</v>
      </c>
      <c r="L9" s="151" t="s">
        <v>6916</v>
      </c>
      <c r="M9" s="151" t="s">
        <v>6910</v>
      </c>
      <c r="N9" s="151" t="s">
        <v>6868</v>
      </c>
      <c r="O9" s="151"/>
      <c r="P9" s="151" t="s">
        <v>6905</v>
      </c>
      <c r="Q9" s="151" t="s">
        <v>6870</v>
      </c>
      <c r="R9" s="151" t="s">
        <v>2179</v>
      </c>
      <c r="S9" s="151"/>
      <c r="T9" s="151">
        <v>40</v>
      </c>
      <c r="U9" s="151" t="s">
        <v>6872</v>
      </c>
      <c r="V9" s="151"/>
      <c r="W9" s="151" t="s">
        <v>6871</v>
      </c>
      <c r="X9" s="151"/>
      <c r="Y9" s="151" t="s">
        <v>6874</v>
      </c>
      <c r="Z9" s="151" t="s">
        <v>6905</v>
      </c>
      <c r="AA9" s="151"/>
    </row>
    <row r="10" spans="1:27">
      <c r="A10" t="s">
        <v>10795</v>
      </c>
      <c r="B10" s="151" t="s">
        <v>6858</v>
      </c>
      <c r="C10" s="151" t="s">
        <v>6917</v>
      </c>
      <c r="D10" s="151" t="s">
        <v>4497</v>
      </c>
      <c r="E10" s="151" t="s">
        <v>26</v>
      </c>
      <c r="F10" s="151" t="s">
        <v>6918</v>
      </c>
      <c r="G10" s="151" t="s">
        <v>2527</v>
      </c>
      <c r="H10" s="151" t="s">
        <v>2173</v>
      </c>
      <c r="I10" s="151" t="s">
        <v>6865</v>
      </c>
      <c r="J10" s="151" t="s">
        <v>2101</v>
      </c>
      <c r="K10" s="151" t="s">
        <v>653</v>
      </c>
      <c r="L10" s="151" t="s">
        <v>6919</v>
      </c>
      <c r="M10" s="151" t="s">
        <v>6920</v>
      </c>
      <c r="N10" s="151" t="s">
        <v>6868</v>
      </c>
      <c r="O10" s="151" t="s">
        <v>6921</v>
      </c>
      <c r="P10" s="151" t="s">
        <v>2177</v>
      </c>
      <c r="Q10" s="151" t="s">
        <v>6883</v>
      </c>
      <c r="R10" s="151" t="s">
        <v>4271</v>
      </c>
      <c r="S10" s="151" t="s">
        <v>6871</v>
      </c>
      <c r="T10" s="151" t="s">
        <v>6884</v>
      </c>
      <c r="U10" s="151" t="s">
        <v>6885</v>
      </c>
      <c r="V10" s="151"/>
      <c r="W10" s="151"/>
      <c r="X10" s="151"/>
      <c r="Y10" s="151" t="s">
        <v>855</v>
      </c>
      <c r="Z10" s="151"/>
      <c r="AA10" s="151" t="s">
        <v>6922</v>
      </c>
    </row>
    <row r="11" spans="1:27">
      <c r="A11" t="s">
        <v>10795</v>
      </c>
      <c r="B11" s="151" t="s">
        <v>6858</v>
      </c>
      <c r="C11" s="151" t="s">
        <v>6917</v>
      </c>
      <c r="D11" s="151" t="s">
        <v>6923</v>
      </c>
      <c r="E11" s="151" t="s">
        <v>26</v>
      </c>
      <c r="F11" s="151" t="s">
        <v>6918</v>
      </c>
      <c r="G11" s="151" t="s">
        <v>2527</v>
      </c>
      <c r="H11" s="151" t="s">
        <v>2173</v>
      </c>
      <c r="I11" s="151" t="s">
        <v>6865</v>
      </c>
      <c r="J11" s="151" t="s">
        <v>2101</v>
      </c>
      <c r="K11" s="151" t="s">
        <v>653</v>
      </c>
      <c r="L11" s="151" t="s">
        <v>6919</v>
      </c>
      <c r="M11" s="151" t="s">
        <v>6920</v>
      </c>
      <c r="N11" s="151" t="s">
        <v>6868</v>
      </c>
      <c r="O11" s="151" t="s">
        <v>6921</v>
      </c>
      <c r="P11" s="151" t="s">
        <v>2177</v>
      </c>
      <c r="Q11" s="151" t="s">
        <v>6883</v>
      </c>
      <c r="R11" s="151" t="s">
        <v>4271</v>
      </c>
      <c r="S11" s="151"/>
      <c r="T11" s="151" t="s">
        <v>6884</v>
      </c>
      <c r="U11" s="151"/>
      <c r="V11" s="151"/>
      <c r="W11" s="151"/>
      <c r="X11" s="151"/>
      <c r="Y11" s="151" t="s">
        <v>855</v>
      </c>
      <c r="Z11" s="151"/>
      <c r="AA11" s="151" t="s">
        <v>6922</v>
      </c>
    </row>
    <row r="12" spans="1:27">
      <c r="B12" s="151" t="s">
        <v>6858</v>
      </c>
      <c r="C12" s="151" t="s">
        <v>6924</v>
      </c>
      <c r="D12" s="151" t="s">
        <v>3919</v>
      </c>
      <c r="E12" s="151" t="s">
        <v>26</v>
      </c>
      <c r="F12" s="151" t="s">
        <v>6925</v>
      </c>
      <c r="G12" s="151" t="s">
        <v>544</v>
      </c>
      <c r="H12" s="151" t="s">
        <v>2173</v>
      </c>
      <c r="I12" s="151" t="s">
        <v>6926</v>
      </c>
      <c r="J12" s="151" t="s">
        <v>1194</v>
      </c>
      <c r="K12" s="151" t="s">
        <v>6927</v>
      </c>
      <c r="L12" s="151" t="s">
        <v>1196</v>
      </c>
      <c r="M12" s="151" t="s">
        <v>6928</v>
      </c>
      <c r="N12" s="151" t="s">
        <v>6868</v>
      </c>
      <c r="O12" s="151"/>
      <c r="P12" s="151" t="s">
        <v>6869</v>
      </c>
      <c r="Q12" s="151" t="s">
        <v>6929</v>
      </c>
      <c r="R12" s="151" t="s">
        <v>2207</v>
      </c>
      <c r="S12" s="151" t="s">
        <v>6871</v>
      </c>
      <c r="T12" s="151"/>
      <c r="U12" s="151"/>
      <c r="V12" s="151"/>
      <c r="W12" s="151" t="s">
        <v>6930</v>
      </c>
      <c r="X12" s="151" t="s">
        <v>6871</v>
      </c>
      <c r="Y12" s="151" t="s">
        <v>6931</v>
      </c>
      <c r="Z12" s="151" t="s">
        <v>6875</v>
      </c>
      <c r="AA12" s="151" t="s">
        <v>6876</v>
      </c>
    </row>
    <row r="13" spans="1:27">
      <c r="B13" s="151" t="s">
        <v>6858</v>
      </c>
      <c r="C13" s="151" t="s">
        <v>2400</v>
      </c>
      <c r="D13" s="151" t="s">
        <v>6932</v>
      </c>
      <c r="E13" s="151" t="s">
        <v>26</v>
      </c>
      <c r="F13" s="151" t="s">
        <v>6933</v>
      </c>
      <c r="G13" s="151" t="s">
        <v>2527</v>
      </c>
      <c r="H13" s="151" t="s">
        <v>2173</v>
      </c>
      <c r="I13" s="151" t="s">
        <v>6865</v>
      </c>
      <c r="J13" s="151" t="s">
        <v>2101</v>
      </c>
      <c r="K13" s="151" t="s">
        <v>6927</v>
      </c>
      <c r="L13" s="151" t="s">
        <v>1716</v>
      </c>
      <c r="M13" s="151" t="s">
        <v>6928</v>
      </c>
      <c r="N13" s="151" t="s">
        <v>6868</v>
      </c>
      <c r="O13" s="151"/>
      <c r="P13" s="151" t="s">
        <v>6905</v>
      </c>
      <c r="Q13" s="151" t="s">
        <v>6935</v>
      </c>
      <c r="R13" s="151" t="s">
        <v>6936</v>
      </c>
      <c r="S13" s="151"/>
      <c r="T13" s="151">
        <v>3</v>
      </c>
      <c r="U13" s="151"/>
      <c r="V13" s="151"/>
      <c r="W13" s="151"/>
      <c r="X13" s="151"/>
      <c r="Y13" s="151" t="s">
        <v>855</v>
      </c>
      <c r="Z13" s="151" t="s">
        <v>6905</v>
      </c>
      <c r="AA13" s="151"/>
    </row>
    <row r="14" spans="1:27">
      <c r="B14" s="151" t="s">
        <v>6858</v>
      </c>
      <c r="C14" s="151" t="s">
        <v>375</v>
      </c>
      <c r="D14" s="151" t="s">
        <v>6932</v>
      </c>
      <c r="E14" s="151" t="s">
        <v>26</v>
      </c>
      <c r="F14" s="151" t="s">
        <v>6937</v>
      </c>
      <c r="G14" s="151" t="s">
        <v>2527</v>
      </c>
      <c r="H14" s="151" t="s">
        <v>2173</v>
      </c>
      <c r="I14" s="151" t="s">
        <v>6865</v>
      </c>
      <c r="J14" s="151" t="s">
        <v>2101</v>
      </c>
      <c r="K14" s="151" t="s">
        <v>6927</v>
      </c>
      <c r="L14" s="151" t="s">
        <v>6938</v>
      </c>
      <c r="M14" s="151" t="s">
        <v>6928</v>
      </c>
      <c r="N14" s="151" t="s">
        <v>6868</v>
      </c>
      <c r="O14" s="151"/>
      <c r="P14" s="151" t="s">
        <v>6905</v>
      </c>
      <c r="Q14" s="151" t="s">
        <v>6935</v>
      </c>
      <c r="R14" s="151" t="s">
        <v>3608</v>
      </c>
      <c r="S14" s="151"/>
      <c r="T14" s="151">
        <v>11</v>
      </c>
      <c r="U14" s="151"/>
      <c r="V14" s="151"/>
      <c r="W14" s="151"/>
      <c r="X14" s="151"/>
      <c r="Y14" s="151" t="s">
        <v>855</v>
      </c>
      <c r="Z14" s="151" t="s">
        <v>6905</v>
      </c>
      <c r="AA14" s="151" t="s">
        <v>6939</v>
      </c>
    </row>
    <row r="15" spans="1:27">
      <c r="B15" s="151" t="s">
        <v>6858</v>
      </c>
      <c r="C15" s="151" t="s">
        <v>6940</v>
      </c>
      <c r="D15" s="151" t="s">
        <v>6932</v>
      </c>
      <c r="E15" s="151" t="s">
        <v>26</v>
      </c>
      <c r="F15" s="151" t="s">
        <v>6941</v>
      </c>
      <c r="G15" s="151" t="s">
        <v>2527</v>
      </c>
      <c r="H15" s="151" t="s">
        <v>2173</v>
      </c>
      <c r="I15" s="151" t="s">
        <v>6865</v>
      </c>
      <c r="J15" s="151" t="s">
        <v>2101</v>
      </c>
      <c r="K15" s="151" t="s">
        <v>6927</v>
      </c>
      <c r="L15" s="151" t="s">
        <v>6942</v>
      </c>
      <c r="M15" s="151" t="s">
        <v>6928</v>
      </c>
      <c r="N15" s="151" t="s">
        <v>6868</v>
      </c>
      <c r="O15" s="151"/>
      <c r="P15" s="151" t="s">
        <v>6905</v>
      </c>
      <c r="Q15" s="151" t="s">
        <v>6935</v>
      </c>
      <c r="R15" s="151" t="s">
        <v>3608</v>
      </c>
      <c r="S15" s="151"/>
      <c r="T15" s="151">
        <v>4</v>
      </c>
      <c r="U15" s="151"/>
      <c r="V15" s="151"/>
      <c r="W15" s="151"/>
      <c r="X15" s="151"/>
      <c r="Y15" s="151" t="s">
        <v>855</v>
      </c>
      <c r="Z15" s="151" t="s">
        <v>6905</v>
      </c>
      <c r="AA15" s="151" t="s">
        <v>6943</v>
      </c>
    </row>
    <row r="16" spans="1:27">
      <c r="B16" s="151" t="s">
        <v>6858</v>
      </c>
      <c r="C16" s="151" t="s">
        <v>6944</v>
      </c>
      <c r="D16" s="151" t="s">
        <v>6932</v>
      </c>
      <c r="E16" s="151" t="s">
        <v>26</v>
      </c>
      <c r="F16" s="151" t="s">
        <v>6945</v>
      </c>
      <c r="G16" s="151" t="s">
        <v>2527</v>
      </c>
      <c r="H16" s="151" t="s">
        <v>2173</v>
      </c>
      <c r="I16" s="151" t="s">
        <v>6865</v>
      </c>
      <c r="J16" s="151" t="s">
        <v>2101</v>
      </c>
      <c r="K16" s="151" t="s">
        <v>6927</v>
      </c>
      <c r="L16" s="151" t="s">
        <v>6946</v>
      </c>
      <c r="M16" s="151" t="s">
        <v>6928</v>
      </c>
      <c r="N16" s="151" t="s">
        <v>6868</v>
      </c>
      <c r="O16" s="151"/>
      <c r="P16" s="151" t="s">
        <v>6905</v>
      </c>
      <c r="Q16" s="151" t="s">
        <v>6935</v>
      </c>
      <c r="R16" s="151" t="s">
        <v>3582</v>
      </c>
      <c r="S16" s="151"/>
      <c r="T16" s="151">
        <v>100</v>
      </c>
      <c r="U16" s="151"/>
      <c r="V16" s="151" t="s">
        <v>3608</v>
      </c>
      <c r="W16" s="151"/>
      <c r="X16" s="151"/>
      <c r="Y16" s="151" t="s">
        <v>855</v>
      </c>
      <c r="Z16" s="151" t="s">
        <v>6905</v>
      </c>
      <c r="AA16" s="151"/>
    </row>
    <row r="17" spans="1:27">
      <c r="B17" s="151" t="s">
        <v>6858</v>
      </c>
      <c r="C17" s="151" t="s">
        <v>6947</v>
      </c>
      <c r="D17" s="151" t="s">
        <v>6932</v>
      </c>
      <c r="E17" s="151" t="s">
        <v>26</v>
      </c>
      <c r="F17" s="151" t="s">
        <v>6948</v>
      </c>
      <c r="G17" s="151" t="s">
        <v>2527</v>
      </c>
      <c r="H17" s="151" t="s">
        <v>2173</v>
      </c>
      <c r="I17" s="151" t="s">
        <v>6865</v>
      </c>
      <c r="J17" s="151" t="s">
        <v>2101</v>
      </c>
      <c r="K17" s="151" t="s">
        <v>6927</v>
      </c>
      <c r="L17" s="151" t="s">
        <v>6949</v>
      </c>
      <c r="M17" s="151" t="s">
        <v>6928</v>
      </c>
      <c r="N17" s="151" t="s">
        <v>6868</v>
      </c>
      <c r="O17" s="151"/>
      <c r="P17" s="151" t="s">
        <v>6905</v>
      </c>
      <c r="Q17" s="151" t="s">
        <v>6935</v>
      </c>
      <c r="R17" s="151" t="s">
        <v>3582</v>
      </c>
      <c r="S17" s="151"/>
      <c r="T17" s="151">
        <v>100</v>
      </c>
      <c r="U17" s="151"/>
      <c r="V17" s="151" t="s">
        <v>3608</v>
      </c>
      <c r="W17" s="151"/>
      <c r="X17" s="151"/>
      <c r="Y17" s="151" t="s">
        <v>855</v>
      </c>
      <c r="Z17" s="151" t="s">
        <v>6905</v>
      </c>
      <c r="AA17" s="151"/>
    </row>
    <row r="18" spans="1:27">
      <c r="B18" s="151" t="s">
        <v>6858</v>
      </c>
      <c r="C18" s="151" t="s">
        <v>6950</v>
      </c>
      <c r="D18" s="151" t="s">
        <v>6932</v>
      </c>
      <c r="E18" s="151" t="s">
        <v>26</v>
      </c>
      <c r="F18" s="151" t="s">
        <v>6951</v>
      </c>
      <c r="G18" s="151" t="s">
        <v>2527</v>
      </c>
      <c r="H18" s="151" t="s">
        <v>2173</v>
      </c>
      <c r="I18" s="151" t="s">
        <v>6865</v>
      </c>
      <c r="J18" s="151" t="s">
        <v>2101</v>
      </c>
      <c r="K18" s="151" t="s">
        <v>6927</v>
      </c>
      <c r="L18" s="151" t="s">
        <v>6952</v>
      </c>
      <c r="M18" s="151" t="s">
        <v>6928</v>
      </c>
      <c r="N18" s="151" t="s">
        <v>6868</v>
      </c>
      <c r="O18" s="151"/>
      <c r="P18" s="151" t="s">
        <v>6905</v>
      </c>
      <c r="Q18" s="151" t="s">
        <v>6935</v>
      </c>
      <c r="R18" s="151" t="s">
        <v>3608</v>
      </c>
      <c r="S18" s="151"/>
      <c r="T18" s="151">
        <v>250</v>
      </c>
      <c r="U18" s="151"/>
      <c r="V18" s="151"/>
      <c r="W18" s="151"/>
      <c r="X18" s="151"/>
      <c r="Y18" s="151" t="s">
        <v>855</v>
      </c>
      <c r="Z18" s="151" t="s">
        <v>6905</v>
      </c>
      <c r="AA18" s="151"/>
    </row>
    <row r="19" spans="1:27">
      <c r="B19" s="151" t="s">
        <v>6858</v>
      </c>
      <c r="C19" s="151" t="s">
        <v>6953</v>
      </c>
      <c r="D19" s="151" t="s">
        <v>341</v>
      </c>
      <c r="E19" s="151" t="s">
        <v>26</v>
      </c>
      <c r="F19" s="151" t="s">
        <v>6954</v>
      </c>
      <c r="G19" s="151" t="s">
        <v>2527</v>
      </c>
      <c r="H19" s="151" t="s">
        <v>2173</v>
      </c>
      <c r="I19" s="151" t="s">
        <v>6865</v>
      </c>
      <c r="J19" s="151" t="s">
        <v>1194</v>
      </c>
      <c r="K19" s="151" t="s">
        <v>6955</v>
      </c>
      <c r="L19" s="151" t="s">
        <v>6956</v>
      </c>
      <c r="M19" s="151" t="s">
        <v>6957</v>
      </c>
      <c r="N19" s="151" t="s">
        <v>6868</v>
      </c>
      <c r="O19" s="151" t="s">
        <v>6958</v>
      </c>
      <c r="P19" s="151" t="s">
        <v>2177</v>
      </c>
      <c r="Q19" s="151" t="s">
        <v>6870</v>
      </c>
      <c r="R19" s="151" t="s">
        <v>6959</v>
      </c>
      <c r="S19" s="151"/>
      <c r="T19" s="151" t="s">
        <v>6960</v>
      </c>
      <c r="U19" s="151" t="s">
        <v>6872</v>
      </c>
      <c r="V19" s="151" t="s">
        <v>3608</v>
      </c>
      <c r="W19" s="151"/>
      <c r="X19" s="151"/>
      <c r="Y19" s="151" t="s">
        <v>6961</v>
      </c>
      <c r="Z19" s="151"/>
      <c r="AA19" s="151"/>
    </row>
    <row r="20" spans="1:27">
      <c r="B20" s="151" t="s">
        <v>6858</v>
      </c>
      <c r="C20" s="151" t="s">
        <v>6962</v>
      </c>
      <c r="D20" s="151" t="s">
        <v>341</v>
      </c>
      <c r="E20" s="151" t="s">
        <v>26</v>
      </c>
      <c r="F20" s="151" t="s">
        <v>6963</v>
      </c>
      <c r="G20" s="151" t="s">
        <v>2527</v>
      </c>
      <c r="H20" s="151" t="s">
        <v>2173</v>
      </c>
      <c r="I20" s="151" t="s">
        <v>6865</v>
      </c>
      <c r="J20" s="151" t="s">
        <v>1194</v>
      </c>
      <c r="K20" s="151" t="s">
        <v>574</v>
      </c>
      <c r="L20" s="151" t="s">
        <v>6965</v>
      </c>
      <c r="M20" s="151" t="s">
        <v>6957</v>
      </c>
      <c r="N20" s="151" t="s">
        <v>6868</v>
      </c>
      <c r="O20" s="151" t="s">
        <v>6966</v>
      </c>
      <c r="P20" s="151" t="s">
        <v>2177</v>
      </c>
      <c r="Q20" s="151" t="s">
        <v>6883</v>
      </c>
      <c r="R20" s="151" t="s">
        <v>3608</v>
      </c>
      <c r="S20" s="151" t="s">
        <v>6871</v>
      </c>
      <c r="T20" s="151">
        <v>25</v>
      </c>
      <c r="U20" s="151" t="s">
        <v>6872</v>
      </c>
      <c r="V20" s="151"/>
      <c r="W20" s="151"/>
      <c r="X20" s="151"/>
      <c r="Y20" s="151" t="s">
        <v>6961</v>
      </c>
      <c r="Z20" s="151"/>
      <c r="AA20" s="151" t="s">
        <v>6967</v>
      </c>
    </row>
    <row r="21" spans="1:27">
      <c r="A21" t="s">
        <v>10795</v>
      </c>
      <c r="B21" s="151" t="s">
        <v>6968</v>
      </c>
      <c r="C21" s="151" t="s">
        <v>6969</v>
      </c>
      <c r="D21" s="151" t="s">
        <v>341</v>
      </c>
      <c r="E21" s="151" t="s">
        <v>26</v>
      </c>
      <c r="F21" s="151" t="s">
        <v>6970</v>
      </c>
      <c r="G21" s="151" t="s">
        <v>551</v>
      </c>
      <c r="H21" s="151" t="s">
        <v>2173</v>
      </c>
      <c r="I21" s="151" t="s">
        <v>6865</v>
      </c>
      <c r="J21" s="151" t="s">
        <v>1194</v>
      </c>
      <c r="K21" s="151" t="s">
        <v>6971</v>
      </c>
      <c r="L21" s="151" t="s">
        <v>6972</v>
      </c>
      <c r="M21" s="151" t="s">
        <v>6973</v>
      </c>
      <c r="N21" s="151" t="s">
        <v>6868</v>
      </c>
      <c r="O21" s="151" t="s">
        <v>6974</v>
      </c>
      <c r="P21" s="151" t="s">
        <v>2177</v>
      </c>
      <c r="Q21" s="151" t="s">
        <v>6870</v>
      </c>
      <c r="R21" s="151"/>
      <c r="S21" s="151" t="s">
        <v>6871</v>
      </c>
      <c r="T21" s="151"/>
      <c r="U21" s="151" t="s">
        <v>6872</v>
      </c>
      <c r="V21" s="151"/>
      <c r="W21" s="151" t="s">
        <v>6871</v>
      </c>
      <c r="X21" s="151"/>
      <c r="Y21" s="151" t="s">
        <v>6874</v>
      </c>
      <c r="Z21" s="151"/>
      <c r="AA21" s="151"/>
    </row>
    <row r="22" spans="1:27">
      <c r="A22" t="s">
        <v>10796</v>
      </c>
      <c r="B22" s="151" t="s">
        <v>6858</v>
      </c>
      <c r="C22" s="151" t="s">
        <v>6975</v>
      </c>
      <c r="D22" s="151" t="s">
        <v>341</v>
      </c>
      <c r="E22" s="151" t="s">
        <v>26</v>
      </c>
      <c r="F22" s="151" t="s">
        <v>6976</v>
      </c>
      <c r="G22" s="151" t="s">
        <v>2196</v>
      </c>
      <c r="H22" s="151" t="s">
        <v>2173</v>
      </c>
      <c r="I22" s="151" t="s">
        <v>6865</v>
      </c>
      <c r="J22" s="151" t="s">
        <v>1194</v>
      </c>
      <c r="K22" s="151" t="s">
        <v>605</v>
      </c>
      <c r="L22" s="151" t="s">
        <v>6977</v>
      </c>
      <c r="M22" s="151" t="s">
        <v>6978</v>
      </c>
      <c r="N22" s="151" t="s">
        <v>6868</v>
      </c>
      <c r="O22" s="151"/>
      <c r="P22" s="151" t="s">
        <v>6905</v>
      </c>
      <c r="Q22" s="151" t="s">
        <v>6883</v>
      </c>
      <c r="R22" s="151" t="s">
        <v>3608</v>
      </c>
      <c r="S22" s="151" t="s">
        <v>6871</v>
      </c>
      <c r="T22" s="151">
        <v>30</v>
      </c>
      <c r="U22" s="151" t="s">
        <v>6872</v>
      </c>
      <c r="V22" s="151" t="s">
        <v>3608</v>
      </c>
      <c r="W22" s="151" t="s">
        <v>6871</v>
      </c>
      <c r="X22" s="151"/>
      <c r="Y22" s="151" t="s">
        <v>6961</v>
      </c>
      <c r="Z22" s="151" t="s">
        <v>6905</v>
      </c>
      <c r="AA22" s="151"/>
    </row>
    <row r="23" spans="1:27">
      <c r="B23" s="151" t="s">
        <v>6858</v>
      </c>
      <c r="C23" s="151" t="s">
        <v>6979</v>
      </c>
      <c r="D23" s="151" t="s">
        <v>3919</v>
      </c>
      <c r="E23" s="151" t="s">
        <v>26</v>
      </c>
      <c r="F23" s="151" t="s">
        <v>6980</v>
      </c>
      <c r="G23" s="151" t="s">
        <v>544</v>
      </c>
      <c r="H23" s="151" t="s">
        <v>2173</v>
      </c>
      <c r="I23" s="151" t="s">
        <v>6865</v>
      </c>
      <c r="J23" s="151" t="s">
        <v>1194</v>
      </c>
      <c r="K23" s="151" t="s">
        <v>6971</v>
      </c>
      <c r="L23" s="151" t="s">
        <v>6972</v>
      </c>
      <c r="M23" s="151" t="s">
        <v>6973</v>
      </c>
      <c r="N23" s="151" t="s">
        <v>6868</v>
      </c>
      <c r="O23" s="151" t="s">
        <v>6981</v>
      </c>
      <c r="P23" s="151" t="s">
        <v>2177</v>
      </c>
      <c r="Q23" s="151" t="s">
        <v>6982</v>
      </c>
      <c r="R23" s="151"/>
      <c r="S23" s="151">
        <v>255</v>
      </c>
      <c r="T23" s="151"/>
      <c r="U23" s="151" t="s">
        <v>6872</v>
      </c>
      <c r="V23" s="151"/>
      <c r="W23" s="151" t="s">
        <v>6871</v>
      </c>
      <c r="X23" s="151"/>
      <c r="Y23" s="151" t="s">
        <v>6874</v>
      </c>
      <c r="Z23" s="151"/>
      <c r="AA23" s="151"/>
    </row>
    <row r="24" spans="1:27">
      <c r="A24" t="s">
        <v>10797</v>
      </c>
      <c r="B24" s="151" t="s">
        <v>6858</v>
      </c>
      <c r="C24" s="151" t="s">
        <v>6983</v>
      </c>
      <c r="D24" s="151" t="s">
        <v>3919</v>
      </c>
      <c r="E24" s="151" t="s">
        <v>26</v>
      </c>
      <c r="F24" s="151" t="s">
        <v>6984</v>
      </c>
      <c r="G24" s="151" t="s">
        <v>544</v>
      </c>
      <c r="H24" s="151" t="s">
        <v>2173</v>
      </c>
      <c r="I24" s="151" t="s">
        <v>6865</v>
      </c>
      <c r="J24" s="151" t="s">
        <v>1194</v>
      </c>
      <c r="K24" s="151" t="s">
        <v>6971</v>
      </c>
      <c r="L24" s="151" t="s">
        <v>6972</v>
      </c>
      <c r="M24" s="151" t="s">
        <v>6973</v>
      </c>
      <c r="N24" s="151" t="s">
        <v>6868</v>
      </c>
      <c r="O24" s="151" t="s">
        <v>6985</v>
      </c>
      <c r="P24" s="151" t="s">
        <v>2177</v>
      </c>
      <c r="Q24" s="151" t="s">
        <v>6986</v>
      </c>
      <c r="R24" s="151"/>
      <c r="S24" s="151" t="s">
        <v>6871</v>
      </c>
      <c r="T24" s="151"/>
      <c r="U24" s="151" t="s">
        <v>6872</v>
      </c>
      <c r="V24" s="151"/>
      <c r="W24" s="151"/>
      <c r="X24" s="151"/>
      <c r="Y24" s="151" t="s">
        <v>6874</v>
      </c>
      <c r="Z24" s="151"/>
      <c r="AA24" s="151"/>
    </row>
    <row r="25" spans="1:27">
      <c r="A25" t="s">
        <v>10797</v>
      </c>
      <c r="B25" s="151" t="s">
        <v>6858</v>
      </c>
      <c r="C25" s="151" t="s">
        <v>6987</v>
      </c>
      <c r="D25" s="151" t="s">
        <v>3919</v>
      </c>
      <c r="E25" s="151" t="s">
        <v>26</v>
      </c>
      <c r="F25" s="151" t="s">
        <v>6988</v>
      </c>
      <c r="G25" s="151" t="s">
        <v>544</v>
      </c>
      <c r="H25" s="151" t="s">
        <v>2173</v>
      </c>
      <c r="I25" s="151" t="s">
        <v>6865</v>
      </c>
      <c r="J25" s="151" t="s">
        <v>1194</v>
      </c>
      <c r="K25" s="151" t="s">
        <v>6971</v>
      </c>
      <c r="L25" s="151" t="s">
        <v>6972</v>
      </c>
      <c r="M25" s="151" t="s">
        <v>6973</v>
      </c>
      <c r="N25" s="151" t="s">
        <v>6868</v>
      </c>
      <c r="O25" s="151" t="s">
        <v>6989</v>
      </c>
      <c r="P25" s="151" t="s">
        <v>2177</v>
      </c>
      <c r="Q25" s="151" t="s">
        <v>6986</v>
      </c>
      <c r="R25" s="151"/>
      <c r="S25" s="151" t="s">
        <v>6871</v>
      </c>
      <c r="T25" s="151"/>
      <c r="U25" s="151" t="s">
        <v>6872</v>
      </c>
      <c r="V25" s="151"/>
      <c r="W25" s="151"/>
      <c r="X25" s="151"/>
      <c r="Y25" s="151" t="s">
        <v>6874</v>
      </c>
      <c r="Z25" s="151"/>
      <c r="AA25" s="151"/>
    </row>
    <row r="26" spans="1:27">
      <c r="A26" t="s">
        <v>10797</v>
      </c>
      <c r="B26" s="151" t="s">
        <v>6858</v>
      </c>
      <c r="C26" s="151" t="s">
        <v>6990</v>
      </c>
      <c r="D26" s="151" t="s">
        <v>3919</v>
      </c>
      <c r="E26" s="151" t="s">
        <v>26</v>
      </c>
      <c r="F26" s="151" t="s">
        <v>6991</v>
      </c>
      <c r="G26" s="151" t="s">
        <v>544</v>
      </c>
      <c r="H26" s="151" t="s">
        <v>2173</v>
      </c>
      <c r="I26" s="151" t="s">
        <v>6865</v>
      </c>
      <c r="J26" s="151" t="s">
        <v>1194</v>
      </c>
      <c r="K26" s="151" t="s">
        <v>6971</v>
      </c>
      <c r="L26" s="151" t="s">
        <v>6972</v>
      </c>
      <c r="M26" s="151" t="s">
        <v>6973</v>
      </c>
      <c r="N26" s="151" t="s">
        <v>6868</v>
      </c>
      <c r="O26" s="151" t="s">
        <v>6992</v>
      </c>
      <c r="P26" s="151" t="s">
        <v>2177</v>
      </c>
      <c r="Q26" s="151" t="s">
        <v>6986</v>
      </c>
      <c r="R26" s="151"/>
      <c r="S26" s="151" t="s">
        <v>6871</v>
      </c>
      <c r="T26" s="151"/>
      <c r="U26" s="151" t="s">
        <v>6872</v>
      </c>
      <c r="V26" s="151"/>
      <c r="W26" s="151"/>
      <c r="X26" s="151"/>
      <c r="Y26" s="151" t="s">
        <v>6874</v>
      </c>
      <c r="Z26" s="151"/>
      <c r="AA26" s="151"/>
    </row>
    <row r="27" spans="1:27">
      <c r="A27" t="s">
        <v>10797</v>
      </c>
      <c r="B27" s="151" t="s">
        <v>6858</v>
      </c>
      <c r="C27" s="151" t="s">
        <v>6993</v>
      </c>
      <c r="D27" s="151" t="s">
        <v>3919</v>
      </c>
      <c r="E27" s="151" t="s">
        <v>26</v>
      </c>
      <c r="F27" s="151" t="s">
        <v>6994</v>
      </c>
      <c r="G27" s="151" t="s">
        <v>544</v>
      </c>
      <c r="H27" s="151" t="s">
        <v>2173</v>
      </c>
      <c r="I27" s="151" t="s">
        <v>6865</v>
      </c>
      <c r="J27" s="151" t="s">
        <v>1194</v>
      </c>
      <c r="K27" s="151" t="s">
        <v>6971</v>
      </c>
      <c r="L27" s="151" t="s">
        <v>6972</v>
      </c>
      <c r="M27" s="151" t="s">
        <v>6973</v>
      </c>
      <c r="N27" s="151" t="s">
        <v>6868</v>
      </c>
      <c r="O27" s="151" t="s">
        <v>6995</v>
      </c>
      <c r="P27" s="151" t="s">
        <v>2177</v>
      </c>
      <c r="Q27" s="151" t="s">
        <v>6986</v>
      </c>
      <c r="R27" s="151"/>
      <c r="S27" s="151" t="s">
        <v>6871</v>
      </c>
      <c r="T27" s="151"/>
      <c r="U27" s="151" t="s">
        <v>6872</v>
      </c>
      <c r="V27" s="151"/>
      <c r="W27" s="151"/>
      <c r="X27" s="151"/>
      <c r="Y27" s="151" t="s">
        <v>6874</v>
      </c>
      <c r="Z27" s="151"/>
      <c r="AA27" s="151"/>
    </row>
    <row r="28" spans="1:27">
      <c r="B28" s="151" t="s">
        <v>6858</v>
      </c>
      <c r="C28" s="151" t="s">
        <v>6996</v>
      </c>
      <c r="D28" s="151" t="s">
        <v>341</v>
      </c>
      <c r="E28" s="151" t="s">
        <v>26</v>
      </c>
      <c r="F28" s="151" t="s">
        <v>6997</v>
      </c>
      <c r="G28" s="151" t="s">
        <v>544</v>
      </c>
      <c r="H28" s="151" t="s">
        <v>2173</v>
      </c>
      <c r="I28" s="151" t="s">
        <v>6865</v>
      </c>
      <c r="J28" s="151" t="s">
        <v>1194</v>
      </c>
      <c r="K28" s="151" t="s">
        <v>6971</v>
      </c>
      <c r="L28" s="151" t="s">
        <v>6972</v>
      </c>
      <c r="M28" s="151" t="s">
        <v>6973</v>
      </c>
      <c r="N28" s="151" t="s">
        <v>6868</v>
      </c>
      <c r="O28" s="151" t="s">
        <v>6998</v>
      </c>
      <c r="P28" s="151" t="s">
        <v>2177</v>
      </c>
      <c r="Q28" s="151" t="s">
        <v>6982</v>
      </c>
      <c r="R28" s="151" t="s">
        <v>3582</v>
      </c>
      <c r="S28" s="151">
        <v>255</v>
      </c>
      <c r="T28" s="151">
        <v>255</v>
      </c>
      <c r="U28" s="151" t="s">
        <v>6872</v>
      </c>
      <c r="V28" s="151" t="s">
        <v>3608</v>
      </c>
      <c r="W28" s="151"/>
      <c r="X28" s="151"/>
      <c r="Y28" s="151" t="s">
        <v>6874</v>
      </c>
      <c r="Z28" s="151"/>
      <c r="AA28" s="151"/>
    </row>
    <row r="29" spans="1:27">
      <c r="B29" s="151" t="s">
        <v>6858</v>
      </c>
      <c r="C29" s="151" t="s">
        <v>6999</v>
      </c>
      <c r="D29" s="151" t="s">
        <v>3919</v>
      </c>
      <c r="E29" s="151" t="s">
        <v>26</v>
      </c>
      <c r="F29" s="151" t="s">
        <v>7000</v>
      </c>
      <c r="G29" s="151" t="s">
        <v>544</v>
      </c>
      <c r="H29" s="151" t="s">
        <v>2173</v>
      </c>
      <c r="I29" s="151" t="s">
        <v>6865</v>
      </c>
      <c r="J29" s="151" t="s">
        <v>1194</v>
      </c>
      <c r="K29" s="151" t="s">
        <v>6971</v>
      </c>
      <c r="L29" s="151" t="s">
        <v>6972</v>
      </c>
      <c r="M29" s="151" t="s">
        <v>6973</v>
      </c>
      <c r="N29" s="151" t="s">
        <v>6868</v>
      </c>
      <c r="O29" s="151" t="s">
        <v>7001</v>
      </c>
      <c r="P29" s="151" t="s">
        <v>2177</v>
      </c>
      <c r="Q29" s="151" t="s">
        <v>6982</v>
      </c>
      <c r="R29" s="151" t="s">
        <v>3582</v>
      </c>
      <c r="S29" s="151">
        <v>255</v>
      </c>
      <c r="T29" s="151">
        <v>255</v>
      </c>
      <c r="U29" s="151" t="s">
        <v>6872</v>
      </c>
      <c r="V29" s="151" t="s">
        <v>3608</v>
      </c>
      <c r="W29" s="151"/>
      <c r="X29" s="151"/>
      <c r="Y29" s="151" t="s">
        <v>6874</v>
      </c>
      <c r="Z29" s="151"/>
      <c r="AA29" s="151"/>
    </row>
    <row r="30" spans="1:27">
      <c r="B30" s="151" t="s">
        <v>6858</v>
      </c>
      <c r="C30" s="151" t="s">
        <v>7002</v>
      </c>
      <c r="D30" s="151" t="s">
        <v>341</v>
      </c>
      <c r="E30" s="151" t="s">
        <v>26</v>
      </c>
      <c r="F30" s="151" t="s">
        <v>7003</v>
      </c>
      <c r="G30" s="151" t="s">
        <v>544</v>
      </c>
      <c r="H30" s="151" t="s">
        <v>2173</v>
      </c>
      <c r="I30" s="151" t="s">
        <v>6865</v>
      </c>
      <c r="J30" s="151" t="s">
        <v>1194</v>
      </c>
      <c r="K30" s="151" t="s">
        <v>6971</v>
      </c>
      <c r="L30" s="151" t="s">
        <v>6972</v>
      </c>
      <c r="M30" s="151" t="s">
        <v>6973</v>
      </c>
      <c r="N30" s="151" t="s">
        <v>6868</v>
      </c>
      <c r="O30" s="151" t="s">
        <v>7004</v>
      </c>
      <c r="P30" s="151" t="s">
        <v>2177</v>
      </c>
      <c r="Q30" s="151" t="s">
        <v>6982</v>
      </c>
      <c r="R30" s="151" t="s">
        <v>3582</v>
      </c>
      <c r="S30" s="151">
        <v>255</v>
      </c>
      <c r="T30" s="151">
        <v>255</v>
      </c>
      <c r="U30" s="151" t="s">
        <v>6872</v>
      </c>
      <c r="V30" s="151" t="s">
        <v>3608</v>
      </c>
      <c r="W30" s="151"/>
      <c r="X30" s="151"/>
      <c r="Y30" s="151" t="s">
        <v>6874</v>
      </c>
      <c r="Z30" s="151"/>
      <c r="AA30" s="151"/>
    </row>
    <row r="31" spans="1:27">
      <c r="A31" t="s">
        <v>17</v>
      </c>
      <c r="B31" s="151" t="s">
        <v>6858</v>
      </c>
      <c r="C31" s="151" t="s">
        <v>7005</v>
      </c>
      <c r="D31" s="151" t="s">
        <v>3919</v>
      </c>
      <c r="E31" s="151" t="s">
        <v>26</v>
      </c>
      <c r="F31" s="151" t="s">
        <v>7006</v>
      </c>
      <c r="G31" s="151" t="s">
        <v>544</v>
      </c>
      <c r="H31" s="151" t="s">
        <v>2173</v>
      </c>
      <c r="I31" s="151" t="s">
        <v>6865</v>
      </c>
      <c r="J31" s="151" t="s">
        <v>1194</v>
      </c>
      <c r="K31" s="151" t="s">
        <v>6971</v>
      </c>
      <c r="L31" s="151" t="s">
        <v>6972</v>
      </c>
      <c r="M31" s="151" t="s">
        <v>6973</v>
      </c>
      <c r="N31" s="151" t="s">
        <v>6868</v>
      </c>
      <c r="O31" s="151" t="s">
        <v>7007</v>
      </c>
      <c r="P31" s="151" t="s">
        <v>2177</v>
      </c>
      <c r="Q31" s="151" t="s">
        <v>6982</v>
      </c>
      <c r="R31" s="151" t="s">
        <v>3582</v>
      </c>
      <c r="S31" s="151">
        <v>255</v>
      </c>
      <c r="T31" s="151">
        <v>255</v>
      </c>
      <c r="U31" s="151" t="s">
        <v>6872</v>
      </c>
      <c r="V31" s="151" t="s">
        <v>3608</v>
      </c>
      <c r="W31" s="151"/>
      <c r="X31" s="151"/>
      <c r="Y31" s="151" t="s">
        <v>6874</v>
      </c>
      <c r="Z31" s="151"/>
      <c r="AA31" s="151"/>
    </row>
    <row r="32" spans="1:27">
      <c r="A32" t="s">
        <v>17</v>
      </c>
      <c r="B32" s="151" t="s">
        <v>6858</v>
      </c>
      <c r="C32" s="151" t="s">
        <v>7008</v>
      </c>
      <c r="D32" s="151" t="s">
        <v>3919</v>
      </c>
      <c r="E32" s="151" t="s">
        <v>26</v>
      </c>
      <c r="F32" s="151" t="s">
        <v>7009</v>
      </c>
      <c r="G32" s="151" t="s">
        <v>544</v>
      </c>
      <c r="H32" s="151" t="s">
        <v>2173</v>
      </c>
      <c r="I32" s="151" t="s">
        <v>6865</v>
      </c>
      <c r="J32" s="151" t="s">
        <v>1194</v>
      </c>
      <c r="K32" s="151" t="s">
        <v>6971</v>
      </c>
      <c r="L32" s="151" t="s">
        <v>6972</v>
      </c>
      <c r="M32" s="151" t="s">
        <v>6973</v>
      </c>
      <c r="N32" s="151" t="s">
        <v>6868</v>
      </c>
      <c r="O32" s="151" t="s">
        <v>7010</v>
      </c>
      <c r="P32" s="151" t="s">
        <v>2177</v>
      </c>
      <c r="Q32" s="151" t="s">
        <v>6982</v>
      </c>
      <c r="R32" s="151" t="s">
        <v>3582</v>
      </c>
      <c r="S32" s="151">
        <v>255</v>
      </c>
      <c r="T32" s="151">
        <v>255</v>
      </c>
      <c r="U32" s="151" t="s">
        <v>6872</v>
      </c>
      <c r="V32" s="151" t="s">
        <v>3608</v>
      </c>
      <c r="W32" s="151"/>
      <c r="X32" s="151"/>
      <c r="Y32" s="151" t="s">
        <v>6874</v>
      </c>
      <c r="Z32" s="151"/>
      <c r="AA32" s="151" t="s">
        <v>7011</v>
      </c>
    </row>
    <row r="33" spans="2:27">
      <c r="B33" s="151" t="s">
        <v>6858</v>
      </c>
      <c r="C33" s="151" t="s">
        <v>7012</v>
      </c>
      <c r="D33" s="151" t="s">
        <v>3919</v>
      </c>
      <c r="E33" s="151" t="s">
        <v>26</v>
      </c>
      <c r="F33" s="151" t="s">
        <v>7013</v>
      </c>
      <c r="G33" s="151" t="s">
        <v>544</v>
      </c>
      <c r="H33" s="151" t="s">
        <v>2173</v>
      </c>
      <c r="I33" s="151" t="s">
        <v>6865</v>
      </c>
      <c r="J33" s="151" t="s">
        <v>1194</v>
      </c>
      <c r="K33" s="151" t="s">
        <v>6971</v>
      </c>
      <c r="L33" s="151" t="s">
        <v>6972</v>
      </c>
      <c r="M33" s="151" t="s">
        <v>6973</v>
      </c>
      <c r="N33" s="151" t="s">
        <v>6868</v>
      </c>
      <c r="O33" s="151" t="s">
        <v>7014</v>
      </c>
      <c r="P33" s="151" t="s">
        <v>2177</v>
      </c>
      <c r="Q33" s="151" t="s">
        <v>6986</v>
      </c>
      <c r="R33" s="151" t="s">
        <v>3582</v>
      </c>
      <c r="S33" s="151" t="s">
        <v>6871</v>
      </c>
      <c r="T33" s="151">
        <v>255</v>
      </c>
      <c r="U33" s="151" t="s">
        <v>6872</v>
      </c>
      <c r="V33" s="151" t="s">
        <v>3608</v>
      </c>
      <c r="W33" s="151"/>
      <c r="X33" s="151"/>
      <c r="Y33" s="151" t="s">
        <v>6874</v>
      </c>
      <c r="Z33" s="151"/>
      <c r="AA33" s="151"/>
    </row>
    <row r="34" spans="2:27">
      <c r="B34" s="151" t="s">
        <v>6858</v>
      </c>
      <c r="C34" s="151" t="s">
        <v>7015</v>
      </c>
      <c r="D34" s="151" t="s">
        <v>3919</v>
      </c>
      <c r="E34" s="151" t="s">
        <v>26</v>
      </c>
      <c r="F34" s="151" t="s">
        <v>7016</v>
      </c>
      <c r="G34" s="151" t="s">
        <v>544</v>
      </c>
      <c r="H34" s="151" t="s">
        <v>2173</v>
      </c>
      <c r="I34" s="151" t="s">
        <v>6865</v>
      </c>
      <c r="J34" s="151" t="s">
        <v>1194</v>
      </c>
      <c r="K34" s="151" t="s">
        <v>6971</v>
      </c>
      <c r="L34" s="151" t="s">
        <v>6972</v>
      </c>
      <c r="M34" s="151" t="s">
        <v>6973</v>
      </c>
      <c r="N34" s="151" t="s">
        <v>6868</v>
      </c>
      <c r="O34" s="151" t="s">
        <v>7017</v>
      </c>
      <c r="P34" s="151" t="s">
        <v>2177</v>
      </c>
      <c r="Q34" s="151" t="s">
        <v>6982</v>
      </c>
      <c r="R34" s="151" t="s">
        <v>3582</v>
      </c>
      <c r="S34" s="151">
        <v>255</v>
      </c>
      <c r="T34" s="151">
        <v>255</v>
      </c>
      <c r="U34" s="151" t="s">
        <v>6872</v>
      </c>
      <c r="V34" s="151" t="s">
        <v>3608</v>
      </c>
      <c r="W34" s="151"/>
      <c r="X34" s="151"/>
      <c r="Y34" s="151" t="s">
        <v>6874</v>
      </c>
      <c r="Z34" s="151"/>
      <c r="AA34" s="151"/>
    </row>
    <row r="35" spans="2:27">
      <c r="B35" s="151" t="s">
        <v>6858</v>
      </c>
      <c r="C35" s="151" t="s">
        <v>7018</v>
      </c>
      <c r="D35" s="151" t="s">
        <v>3919</v>
      </c>
      <c r="E35" s="151" t="s">
        <v>26</v>
      </c>
      <c r="F35" s="151" t="s">
        <v>7019</v>
      </c>
      <c r="G35" s="151" t="s">
        <v>544</v>
      </c>
      <c r="H35" s="151" t="s">
        <v>2173</v>
      </c>
      <c r="I35" s="151" t="s">
        <v>6865</v>
      </c>
      <c r="J35" s="151" t="s">
        <v>1194</v>
      </c>
      <c r="K35" s="151" t="s">
        <v>6971</v>
      </c>
      <c r="L35" s="151" t="s">
        <v>6972</v>
      </c>
      <c r="M35" s="151" t="s">
        <v>6973</v>
      </c>
      <c r="N35" s="151" t="s">
        <v>6868</v>
      </c>
      <c r="O35" s="151" t="s">
        <v>7020</v>
      </c>
      <c r="P35" s="151" t="s">
        <v>2177</v>
      </c>
      <c r="Q35" s="151" t="s">
        <v>6982</v>
      </c>
      <c r="R35" s="151" t="s">
        <v>3582</v>
      </c>
      <c r="S35" s="151">
        <v>255</v>
      </c>
      <c r="T35" s="151">
        <v>255</v>
      </c>
      <c r="U35" s="151" t="s">
        <v>6872</v>
      </c>
      <c r="V35" s="151" t="s">
        <v>3608</v>
      </c>
      <c r="W35" s="151"/>
      <c r="X35" s="151"/>
      <c r="Y35" s="151" t="s">
        <v>6874</v>
      </c>
      <c r="Z35" s="151"/>
      <c r="AA35" s="151"/>
    </row>
    <row r="36" spans="2:27">
      <c r="B36" s="151" t="s">
        <v>6858</v>
      </c>
      <c r="C36" s="151" t="s">
        <v>7021</v>
      </c>
      <c r="D36" s="151" t="s">
        <v>3919</v>
      </c>
      <c r="E36" s="151" t="s">
        <v>26</v>
      </c>
      <c r="F36" s="151" t="s">
        <v>7022</v>
      </c>
      <c r="G36" s="151" t="s">
        <v>544</v>
      </c>
      <c r="H36" s="151" t="s">
        <v>2173</v>
      </c>
      <c r="I36" s="151" t="s">
        <v>6865</v>
      </c>
      <c r="J36" s="151" t="s">
        <v>1194</v>
      </c>
      <c r="K36" s="151" t="s">
        <v>6971</v>
      </c>
      <c r="L36" s="151" t="s">
        <v>6972</v>
      </c>
      <c r="M36" s="151" t="s">
        <v>6973</v>
      </c>
      <c r="N36" s="151" t="s">
        <v>6868</v>
      </c>
      <c r="O36" s="151" t="s">
        <v>7023</v>
      </c>
      <c r="P36" s="151" t="s">
        <v>2177</v>
      </c>
      <c r="Q36" s="151" t="s">
        <v>6982</v>
      </c>
      <c r="R36" s="151" t="s">
        <v>3582</v>
      </c>
      <c r="S36" s="151">
        <v>255</v>
      </c>
      <c r="T36" s="151">
        <v>255</v>
      </c>
      <c r="U36" s="151" t="s">
        <v>6872</v>
      </c>
      <c r="V36" s="151" t="s">
        <v>3608</v>
      </c>
      <c r="W36" s="151"/>
      <c r="X36" s="151"/>
      <c r="Y36" s="151" t="s">
        <v>6874</v>
      </c>
      <c r="Z36" s="151"/>
      <c r="AA36" s="151"/>
    </row>
    <row r="37" spans="2:27">
      <c r="B37" s="151" t="s">
        <v>6858</v>
      </c>
      <c r="C37" s="151" t="s">
        <v>7024</v>
      </c>
      <c r="D37" s="151" t="s">
        <v>3919</v>
      </c>
      <c r="E37" s="151" t="s">
        <v>26</v>
      </c>
      <c r="F37" s="151" t="s">
        <v>7025</v>
      </c>
      <c r="G37" s="151" t="s">
        <v>544</v>
      </c>
      <c r="H37" s="151" t="s">
        <v>7986</v>
      </c>
      <c r="I37" s="151" t="s">
        <v>6865</v>
      </c>
      <c r="J37" s="151" t="s">
        <v>1194</v>
      </c>
      <c r="K37" s="151" t="s">
        <v>6971</v>
      </c>
      <c r="L37" s="151" t="s">
        <v>6972</v>
      </c>
      <c r="M37" s="151" t="s">
        <v>6973</v>
      </c>
      <c r="N37" s="151" t="s">
        <v>6868</v>
      </c>
      <c r="O37" s="151" t="s">
        <v>7026</v>
      </c>
      <c r="P37" s="151" t="s">
        <v>6869</v>
      </c>
      <c r="Q37" s="151"/>
      <c r="R37" s="151" t="s">
        <v>3582</v>
      </c>
      <c r="S37" s="151"/>
      <c r="T37" s="151">
        <v>255</v>
      </c>
      <c r="U37" s="151" t="s">
        <v>6872</v>
      </c>
      <c r="V37" s="151" t="s">
        <v>3608</v>
      </c>
      <c r="W37" s="151"/>
      <c r="X37" s="151"/>
      <c r="Y37" s="151"/>
      <c r="Z37" s="151" t="s">
        <v>7027</v>
      </c>
      <c r="AA37" s="151" t="s">
        <v>7028</v>
      </c>
    </row>
    <row r="38" spans="2:27">
      <c r="B38" s="151" t="s">
        <v>6858</v>
      </c>
      <c r="C38" s="151" t="s">
        <v>7029</v>
      </c>
      <c r="D38" s="151" t="s">
        <v>3919</v>
      </c>
      <c r="E38" s="151" t="s">
        <v>26</v>
      </c>
      <c r="F38" s="151" t="s">
        <v>7030</v>
      </c>
      <c r="G38" s="151" t="s">
        <v>240</v>
      </c>
      <c r="H38" s="151" t="s">
        <v>2173</v>
      </c>
      <c r="I38" s="151" t="s">
        <v>6865</v>
      </c>
      <c r="J38" s="151" t="s">
        <v>1194</v>
      </c>
      <c r="K38" s="151" t="s">
        <v>574</v>
      </c>
      <c r="L38" s="151" t="s">
        <v>7032</v>
      </c>
      <c r="M38" s="151" t="s">
        <v>6957</v>
      </c>
      <c r="N38" s="151" t="s">
        <v>6868</v>
      </c>
      <c r="O38" s="151"/>
      <c r="P38" s="151" t="s">
        <v>6905</v>
      </c>
      <c r="Q38" s="151" t="s">
        <v>6870</v>
      </c>
      <c r="R38" s="151" t="s">
        <v>2207</v>
      </c>
      <c r="S38" s="151"/>
      <c r="T38" s="151"/>
      <c r="U38" s="151" t="s">
        <v>6906</v>
      </c>
      <c r="V38" s="151"/>
      <c r="W38" s="151"/>
      <c r="X38" s="151"/>
      <c r="Y38" s="151" t="s">
        <v>6874</v>
      </c>
      <c r="Z38" s="151" t="s">
        <v>6905</v>
      </c>
      <c r="AA38" s="151"/>
    </row>
    <row r="39" spans="2:27">
      <c r="B39" s="151" t="s">
        <v>6858</v>
      </c>
      <c r="C39" s="151" t="s">
        <v>7033</v>
      </c>
      <c r="D39" s="151" t="s">
        <v>341</v>
      </c>
      <c r="E39" s="151" t="s">
        <v>26</v>
      </c>
      <c r="F39" s="151" t="s">
        <v>7034</v>
      </c>
      <c r="G39" s="151" t="s">
        <v>2527</v>
      </c>
      <c r="H39" s="151" t="s">
        <v>2173</v>
      </c>
      <c r="I39" s="151" t="s">
        <v>6865</v>
      </c>
      <c r="J39" s="151" t="s">
        <v>1194</v>
      </c>
      <c r="K39" s="151" t="s">
        <v>6955</v>
      </c>
      <c r="L39" s="151" t="s">
        <v>7035</v>
      </c>
      <c r="M39" s="151" t="s">
        <v>6957</v>
      </c>
      <c r="N39" s="151" t="s">
        <v>6868</v>
      </c>
      <c r="O39" s="151" t="s">
        <v>7036</v>
      </c>
      <c r="P39" s="151" t="s">
        <v>2177</v>
      </c>
      <c r="Q39" s="151" t="s">
        <v>6870</v>
      </c>
      <c r="R39" s="151" t="s">
        <v>6959</v>
      </c>
      <c r="S39" s="151"/>
      <c r="T39" s="151" t="s">
        <v>7037</v>
      </c>
      <c r="U39" s="151" t="s">
        <v>6872</v>
      </c>
      <c r="V39" s="151" t="s">
        <v>3608</v>
      </c>
      <c r="W39" s="151"/>
      <c r="X39" s="151"/>
      <c r="Y39" s="151" t="s">
        <v>6874</v>
      </c>
      <c r="Z39" s="151"/>
      <c r="AA39" s="151"/>
    </row>
    <row r="40" spans="2:27">
      <c r="B40" s="151" t="s">
        <v>6858</v>
      </c>
      <c r="C40" s="151" t="s">
        <v>7038</v>
      </c>
      <c r="D40" s="151" t="s">
        <v>341</v>
      </c>
      <c r="E40" s="151" t="s">
        <v>26</v>
      </c>
      <c r="F40" s="151" t="s">
        <v>7039</v>
      </c>
      <c r="G40" s="151" t="s">
        <v>2527</v>
      </c>
      <c r="H40" s="151" t="s">
        <v>2173</v>
      </c>
      <c r="I40" s="151" t="s">
        <v>6865</v>
      </c>
      <c r="J40" s="151" t="s">
        <v>1194</v>
      </c>
      <c r="K40" s="151" t="s">
        <v>6955</v>
      </c>
      <c r="L40" s="151" t="s">
        <v>7040</v>
      </c>
      <c r="M40" s="151" t="s">
        <v>6957</v>
      </c>
      <c r="N40" s="151" t="s">
        <v>6868</v>
      </c>
      <c r="O40" s="151" t="s">
        <v>7041</v>
      </c>
      <c r="P40" s="151" t="s">
        <v>2177</v>
      </c>
      <c r="Q40" s="151" t="s">
        <v>6982</v>
      </c>
      <c r="R40" s="151" t="s">
        <v>6959</v>
      </c>
      <c r="S40" s="151"/>
      <c r="T40" s="151" t="s">
        <v>7037</v>
      </c>
      <c r="U40" s="151"/>
      <c r="V40" s="151" t="s">
        <v>3608</v>
      </c>
      <c r="W40" s="151"/>
      <c r="X40" s="151"/>
      <c r="Y40" s="151" t="s">
        <v>855</v>
      </c>
      <c r="Z40" s="151"/>
      <c r="AA40" s="151"/>
    </row>
    <row r="41" spans="2:27">
      <c r="B41" s="151" t="s">
        <v>6858</v>
      </c>
      <c r="C41" s="151" t="s">
        <v>6969</v>
      </c>
      <c r="D41" s="151" t="s">
        <v>341</v>
      </c>
      <c r="E41" s="151" t="s">
        <v>26</v>
      </c>
      <c r="F41" s="151" t="s">
        <v>7042</v>
      </c>
      <c r="G41" s="151" t="s">
        <v>544</v>
      </c>
      <c r="H41" s="151" t="s">
        <v>2173</v>
      </c>
      <c r="I41" s="151" t="s">
        <v>6865</v>
      </c>
      <c r="J41" s="151" t="s">
        <v>1194</v>
      </c>
      <c r="K41" s="151" t="s">
        <v>6971</v>
      </c>
      <c r="L41" s="151" t="s">
        <v>6972</v>
      </c>
      <c r="M41" s="151" t="s">
        <v>6973</v>
      </c>
      <c r="N41" s="151" t="s">
        <v>6868</v>
      </c>
      <c r="O41" s="151" t="s">
        <v>6974</v>
      </c>
      <c r="P41" s="151" t="s">
        <v>2177</v>
      </c>
      <c r="Q41" s="151" t="s">
        <v>6883</v>
      </c>
      <c r="R41" s="151" t="s">
        <v>3582</v>
      </c>
      <c r="S41" s="151" t="s">
        <v>6871</v>
      </c>
      <c r="T41" s="151">
        <v>255</v>
      </c>
      <c r="U41" s="151" t="s">
        <v>6872</v>
      </c>
      <c r="V41" s="151" t="s">
        <v>3608</v>
      </c>
      <c r="W41" s="151" t="s">
        <v>6871</v>
      </c>
      <c r="X41" s="151"/>
      <c r="Y41" s="151" t="s">
        <v>7043</v>
      </c>
      <c r="Z41" s="151"/>
      <c r="AA41" s="151"/>
    </row>
    <row r="42" spans="2:27">
      <c r="B42" s="151" t="s">
        <v>6858</v>
      </c>
      <c r="C42" s="151" t="s">
        <v>7044</v>
      </c>
      <c r="D42" s="151" t="s">
        <v>341</v>
      </c>
      <c r="E42" s="151" t="s">
        <v>26</v>
      </c>
      <c r="F42" s="151" t="s">
        <v>7045</v>
      </c>
      <c r="G42" s="151" t="s">
        <v>2527</v>
      </c>
      <c r="H42" s="151" t="s">
        <v>2173</v>
      </c>
      <c r="I42" s="151" t="s">
        <v>6865</v>
      </c>
      <c r="J42" s="151" t="s">
        <v>1194</v>
      </c>
      <c r="K42" s="151" t="s">
        <v>574</v>
      </c>
      <c r="L42" s="151" t="s">
        <v>7046</v>
      </c>
      <c r="M42" s="151" t="s">
        <v>6957</v>
      </c>
      <c r="N42" s="151" t="s">
        <v>6868</v>
      </c>
      <c r="O42" s="151"/>
      <c r="P42" s="151" t="s">
        <v>6905</v>
      </c>
      <c r="Q42" s="151" t="s">
        <v>6883</v>
      </c>
      <c r="R42" s="151" t="s">
        <v>3608</v>
      </c>
      <c r="S42" s="151" t="s">
        <v>6871</v>
      </c>
      <c r="T42" s="151">
        <v>1</v>
      </c>
      <c r="U42" s="151" t="s">
        <v>6872</v>
      </c>
      <c r="V42" s="151"/>
      <c r="W42" s="151"/>
      <c r="X42" s="151" t="s">
        <v>7047</v>
      </c>
      <c r="Y42" s="151" t="s">
        <v>6874</v>
      </c>
      <c r="Z42" s="151" t="s">
        <v>6905</v>
      </c>
      <c r="AA42" s="151"/>
    </row>
    <row r="43" spans="2:27">
      <c r="B43" s="151" t="s">
        <v>6858</v>
      </c>
      <c r="C43" s="151" t="s">
        <v>7048</v>
      </c>
      <c r="D43" s="151" t="s">
        <v>3919</v>
      </c>
      <c r="E43" s="151" t="s">
        <v>26</v>
      </c>
      <c r="F43" s="151" t="s">
        <v>7049</v>
      </c>
      <c r="G43" s="151" t="s">
        <v>544</v>
      </c>
      <c r="H43" s="151" t="s">
        <v>2173</v>
      </c>
      <c r="I43" s="151" t="s">
        <v>6865</v>
      </c>
      <c r="J43" s="151" t="s">
        <v>1194</v>
      </c>
      <c r="K43" s="151" t="s">
        <v>605</v>
      </c>
      <c r="L43" s="151" t="s">
        <v>7050</v>
      </c>
      <c r="M43" s="151" t="s">
        <v>6978</v>
      </c>
      <c r="N43" s="151" t="s">
        <v>6868</v>
      </c>
      <c r="O43" s="151"/>
      <c r="P43" s="151" t="s">
        <v>6905</v>
      </c>
      <c r="Q43" s="151" t="s">
        <v>6883</v>
      </c>
      <c r="R43" s="151" t="s">
        <v>2207</v>
      </c>
      <c r="S43" s="151"/>
      <c r="T43" s="151"/>
      <c r="U43" s="151" t="s">
        <v>6872</v>
      </c>
      <c r="V43" s="151"/>
      <c r="W43" s="151"/>
      <c r="X43" s="151"/>
      <c r="Y43" s="151" t="s">
        <v>6961</v>
      </c>
      <c r="Z43" s="151" t="s">
        <v>6905</v>
      </c>
      <c r="AA43" s="151"/>
    </row>
    <row r="44" spans="2:27">
      <c r="B44" s="151" t="s">
        <v>6858</v>
      </c>
      <c r="C44" s="151" t="s">
        <v>7051</v>
      </c>
      <c r="D44" s="151" t="s">
        <v>3919</v>
      </c>
      <c r="E44" s="151" t="s">
        <v>26</v>
      </c>
      <c r="F44" s="151" t="s">
        <v>7052</v>
      </c>
      <c r="G44" s="151" t="s">
        <v>544</v>
      </c>
      <c r="H44" s="151" t="s">
        <v>2173</v>
      </c>
      <c r="I44" s="151" t="s">
        <v>6865</v>
      </c>
      <c r="J44" s="151" t="s">
        <v>1194</v>
      </c>
      <c r="K44" s="151" t="s">
        <v>605</v>
      </c>
      <c r="L44" s="151" t="s">
        <v>7053</v>
      </c>
      <c r="M44" s="151" t="s">
        <v>6978</v>
      </c>
      <c r="N44" s="151" t="s">
        <v>6868</v>
      </c>
      <c r="O44" s="151"/>
      <c r="P44" s="151" t="s">
        <v>6905</v>
      </c>
      <c r="Q44" s="151" t="s">
        <v>6883</v>
      </c>
      <c r="R44" s="151" t="s">
        <v>2207</v>
      </c>
      <c r="S44" s="151"/>
      <c r="T44" s="151"/>
      <c r="U44" s="151" t="s">
        <v>6872</v>
      </c>
      <c r="V44" s="151"/>
      <c r="W44" s="151"/>
      <c r="X44" s="151"/>
      <c r="Y44" s="151" t="s">
        <v>6961</v>
      </c>
      <c r="Z44" s="151" t="s">
        <v>6905</v>
      </c>
      <c r="AA44" s="151"/>
    </row>
    <row r="45" spans="2:27">
      <c r="B45" s="151" t="s">
        <v>6858</v>
      </c>
      <c r="C45" s="151" t="s">
        <v>7054</v>
      </c>
      <c r="D45" s="151" t="s">
        <v>341</v>
      </c>
      <c r="E45" s="151" t="s">
        <v>26</v>
      </c>
      <c r="F45" s="151" t="s">
        <v>7055</v>
      </c>
      <c r="G45" s="151" t="s">
        <v>544</v>
      </c>
      <c r="H45" s="151" t="s">
        <v>2173</v>
      </c>
      <c r="I45" s="151" t="s">
        <v>6865</v>
      </c>
      <c r="J45" s="151" t="s">
        <v>1194</v>
      </c>
      <c r="K45" s="151" t="s">
        <v>574</v>
      </c>
      <c r="L45" s="151" t="s">
        <v>2352</v>
      </c>
      <c r="M45" s="151" t="s">
        <v>6957</v>
      </c>
      <c r="N45" s="151" t="s">
        <v>6868</v>
      </c>
      <c r="O45" s="151"/>
      <c r="P45" s="151" t="s">
        <v>6905</v>
      </c>
      <c r="Q45" s="151" t="s">
        <v>6883</v>
      </c>
      <c r="R45" s="151" t="s">
        <v>2207</v>
      </c>
      <c r="S45" s="151" t="s">
        <v>6871</v>
      </c>
      <c r="T45" s="151"/>
      <c r="U45" s="151" t="s">
        <v>6872</v>
      </c>
      <c r="V45" s="151"/>
      <c r="W45" s="151"/>
      <c r="X45" s="151"/>
      <c r="Y45" s="151" t="s">
        <v>855</v>
      </c>
      <c r="Z45" s="151" t="s">
        <v>6905</v>
      </c>
      <c r="AA45" s="151"/>
    </row>
    <row r="46" spans="2:27">
      <c r="B46" s="151" t="s">
        <v>6858</v>
      </c>
      <c r="C46" s="151" t="s">
        <v>7056</v>
      </c>
      <c r="D46" s="151" t="s">
        <v>3919</v>
      </c>
      <c r="E46" s="151" t="s">
        <v>26</v>
      </c>
      <c r="F46" s="151" t="s">
        <v>7057</v>
      </c>
      <c r="G46" s="151" t="s">
        <v>544</v>
      </c>
      <c r="H46" s="151" t="s">
        <v>2173</v>
      </c>
      <c r="I46" s="151" t="s">
        <v>6865</v>
      </c>
      <c r="J46" s="151" t="s">
        <v>1194</v>
      </c>
      <c r="K46" s="151" t="s">
        <v>574</v>
      </c>
      <c r="L46" s="151" t="s">
        <v>6965</v>
      </c>
      <c r="M46" s="151" t="s">
        <v>6957</v>
      </c>
      <c r="N46" s="151" t="s">
        <v>6868</v>
      </c>
      <c r="O46" s="151" t="s">
        <v>7058</v>
      </c>
      <c r="P46" s="151" t="s">
        <v>2177</v>
      </c>
      <c r="Q46" s="151" t="s">
        <v>6883</v>
      </c>
      <c r="R46" s="151" t="s">
        <v>3608</v>
      </c>
      <c r="S46" s="151" t="s">
        <v>6871</v>
      </c>
      <c r="T46" s="151">
        <v>25</v>
      </c>
      <c r="U46" s="151" t="s">
        <v>6872</v>
      </c>
      <c r="V46" s="151"/>
      <c r="W46" s="151"/>
      <c r="X46" s="151"/>
      <c r="Y46" s="151" t="s">
        <v>855</v>
      </c>
      <c r="Z46" s="151"/>
      <c r="AA46" s="151"/>
    </row>
    <row r="47" spans="2:27">
      <c r="B47" s="151" t="s">
        <v>6858</v>
      </c>
      <c r="C47" s="151" t="s">
        <v>7059</v>
      </c>
      <c r="D47" s="151" t="s">
        <v>3919</v>
      </c>
      <c r="E47" s="151" t="s">
        <v>26</v>
      </c>
      <c r="F47" s="151" t="s">
        <v>7060</v>
      </c>
      <c r="G47" s="151" t="s">
        <v>544</v>
      </c>
      <c r="H47" s="151" t="s">
        <v>2173</v>
      </c>
      <c r="I47" s="151" t="s">
        <v>6865</v>
      </c>
      <c r="J47" s="151" t="s">
        <v>1194</v>
      </c>
      <c r="K47" s="151" t="s">
        <v>574</v>
      </c>
      <c r="L47" s="151" t="s">
        <v>6965</v>
      </c>
      <c r="M47" s="151" t="s">
        <v>6957</v>
      </c>
      <c r="N47" s="151" t="s">
        <v>6868</v>
      </c>
      <c r="O47" s="151" t="s">
        <v>7061</v>
      </c>
      <c r="P47" s="151" t="s">
        <v>2177</v>
      </c>
      <c r="Q47" s="151" t="s">
        <v>6883</v>
      </c>
      <c r="R47" s="151" t="s">
        <v>3608</v>
      </c>
      <c r="S47" s="151" t="s">
        <v>6871</v>
      </c>
      <c r="T47" s="151">
        <v>25</v>
      </c>
      <c r="U47" s="151" t="s">
        <v>6872</v>
      </c>
      <c r="V47" s="151"/>
      <c r="W47" s="151"/>
      <c r="X47" s="151"/>
      <c r="Y47" s="151" t="s">
        <v>6874</v>
      </c>
      <c r="Z47" s="151"/>
      <c r="AA47" s="151" t="s">
        <v>7062</v>
      </c>
    </row>
    <row r="48" spans="2:27">
      <c r="B48" s="151" t="s">
        <v>6858</v>
      </c>
      <c r="C48" s="151" t="s">
        <v>6617</v>
      </c>
      <c r="D48" s="151" t="s">
        <v>341</v>
      </c>
      <c r="E48" s="151" t="s">
        <v>26</v>
      </c>
      <c r="F48" s="151" t="s">
        <v>7063</v>
      </c>
      <c r="G48" s="151" t="s">
        <v>2527</v>
      </c>
      <c r="H48" s="151" t="s">
        <v>2173</v>
      </c>
      <c r="I48" s="151" t="s">
        <v>6865</v>
      </c>
      <c r="J48" s="151" t="s">
        <v>1194</v>
      </c>
      <c r="K48" s="151" t="s">
        <v>634</v>
      </c>
      <c r="L48" s="151" t="s">
        <v>2183</v>
      </c>
      <c r="M48" s="151" t="s">
        <v>7064</v>
      </c>
      <c r="N48" s="151" t="s">
        <v>6868</v>
      </c>
      <c r="O48" s="151"/>
      <c r="P48" s="151" t="s">
        <v>6905</v>
      </c>
      <c r="Q48" s="151" t="s">
        <v>6883</v>
      </c>
      <c r="R48" s="151" t="s">
        <v>3582</v>
      </c>
      <c r="S48" s="151" t="s">
        <v>6871</v>
      </c>
      <c r="T48" s="151">
        <v>30</v>
      </c>
      <c r="U48" s="151" t="s">
        <v>6872</v>
      </c>
      <c r="V48" s="151" t="s">
        <v>3608</v>
      </c>
      <c r="W48" s="151"/>
      <c r="X48" s="151"/>
      <c r="Y48" s="151" t="s">
        <v>855</v>
      </c>
      <c r="Z48" s="151" t="s">
        <v>6905</v>
      </c>
      <c r="AA48" s="151"/>
    </row>
    <row r="49" spans="2:27">
      <c r="B49" s="151" t="s">
        <v>6858</v>
      </c>
      <c r="C49" s="151" t="s">
        <v>7065</v>
      </c>
      <c r="D49" s="151" t="s">
        <v>3919</v>
      </c>
      <c r="E49" s="151" t="s">
        <v>26</v>
      </c>
      <c r="F49" s="151" t="s">
        <v>7065</v>
      </c>
      <c r="G49" s="151" t="s">
        <v>544</v>
      </c>
      <c r="H49" s="151" t="s">
        <v>7986</v>
      </c>
      <c r="I49" s="151"/>
      <c r="J49" s="151"/>
      <c r="K49" s="151" t="s">
        <v>7066</v>
      </c>
      <c r="L49" s="151" t="s">
        <v>7067</v>
      </c>
      <c r="M49" s="151" t="s">
        <v>7068</v>
      </c>
      <c r="N49" s="151" t="s">
        <v>7069</v>
      </c>
      <c r="O49" s="151"/>
      <c r="P49" s="151" t="s">
        <v>6869</v>
      </c>
      <c r="Q49" s="151"/>
      <c r="R49" s="151"/>
      <c r="S49" s="151"/>
      <c r="T49" s="151"/>
      <c r="U49" s="151"/>
      <c r="V49" s="151"/>
      <c r="W49" s="151"/>
      <c r="X49" s="151"/>
      <c r="Y49" s="151"/>
      <c r="Z49" s="151" t="s">
        <v>6875</v>
      </c>
      <c r="AA49" s="151" t="s">
        <v>7070</v>
      </c>
    </row>
    <row r="50" spans="2:27">
      <c r="B50" s="151" t="s">
        <v>6858</v>
      </c>
      <c r="C50" s="151" t="s">
        <v>7054</v>
      </c>
      <c r="D50" s="151" t="s">
        <v>7071</v>
      </c>
      <c r="E50" s="151" t="s">
        <v>26</v>
      </c>
      <c r="F50" s="151" t="s">
        <v>7072</v>
      </c>
      <c r="G50" s="151" t="s">
        <v>240</v>
      </c>
      <c r="H50" s="151" t="s">
        <v>2173</v>
      </c>
      <c r="I50" s="151" t="s">
        <v>6865</v>
      </c>
      <c r="J50" s="151" t="s">
        <v>2101</v>
      </c>
      <c r="K50" s="151" t="s">
        <v>653</v>
      </c>
      <c r="L50" s="151" t="s">
        <v>7073</v>
      </c>
      <c r="M50" s="151" t="s">
        <v>6957</v>
      </c>
      <c r="N50" s="151" t="s">
        <v>6868</v>
      </c>
      <c r="O50" s="151"/>
      <c r="P50" s="151" t="s">
        <v>6905</v>
      </c>
      <c r="Q50" s="151" t="s">
        <v>7074</v>
      </c>
      <c r="R50" s="151" t="s">
        <v>3608</v>
      </c>
      <c r="S50" s="151"/>
      <c r="T50" s="151">
        <v>4</v>
      </c>
      <c r="U50" s="151"/>
      <c r="V50" s="151"/>
      <c r="W50" s="151"/>
      <c r="X50" s="151"/>
      <c r="Y50" s="151" t="s">
        <v>855</v>
      </c>
      <c r="Z50" s="151" t="s">
        <v>6905</v>
      </c>
      <c r="AA50" s="151"/>
    </row>
    <row r="51" spans="2:27">
      <c r="B51" s="151" t="s">
        <v>6968</v>
      </c>
      <c r="C51" s="151" t="s">
        <v>7075</v>
      </c>
      <c r="D51" s="151" t="s">
        <v>341</v>
      </c>
      <c r="E51" s="151" t="s">
        <v>26</v>
      </c>
      <c r="F51" s="151" t="s">
        <v>7076</v>
      </c>
      <c r="G51" s="151" t="s">
        <v>10798</v>
      </c>
      <c r="H51" s="151" t="s">
        <v>2173</v>
      </c>
      <c r="I51" s="151" t="s">
        <v>6865</v>
      </c>
      <c r="J51" s="151" t="s">
        <v>1194</v>
      </c>
      <c r="K51" s="151" t="s">
        <v>574</v>
      </c>
      <c r="L51" s="151" t="s">
        <v>6965</v>
      </c>
      <c r="M51" s="151" t="s">
        <v>6957</v>
      </c>
      <c r="N51" s="151" t="s">
        <v>6868</v>
      </c>
      <c r="O51" s="151" t="s">
        <v>7078</v>
      </c>
      <c r="P51" s="151" t="s">
        <v>7079</v>
      </c>
      <c r="Q51" s="151" t="s">
        <v>6870</v>
      </c>
      <c r="R51" s="151" t="s">
        <v>3608</v>
      </c>
      <c r="S51" s="151" t="s">
        <v>6871</v>
      </c>
      <c r="T51" s="151">
        <v>25</v>
      </c>
      <c r="U51" s="151" t="s">
        <v>6872</v>
      </c>
      <c r="V51" s="151"/>
      <c r="W51" s="151" t="s">
        <v>6871</v>
      </c>
      <c r="X51" s="151"/>
      <c r="Y51" s="151" t="s">
        <v>6961</v>
      </c>
      <c r="Z51" s="151"/>
      <c r="AA51" s="151"/>
    </row>
    <row r="52" spans="2:27">
      <c r="B52" s="151" t="s">
        <v>6858</v>
      </c>
      <c r="C52" s="151" t="s">
        <v>7075</v>
      </c>
      <c r="D52" s="151" t="s">
        <v>341</v>
      </c>
      <c r="E52" s="151" t="s">
        <v>26</v>
      </c>
      <c r="F52" s="151" t="s">
        <v>7076</v>
      </c>
      <c r="G52" s="151" t="s">
        <v>2172</v>
      </c>
      <c r="H52" s="151" t="s">
        <v>2173</v>
      </c>
      <c r="I52" s="151" t="s">
        <v>6865</v>
      </c>
      <c r="J52" s="151" t="s">
        <v>1194</v>
      </c>
      <c r="K52" s="151" t="s">
        <v>574</v>
      </c>
      <c r="L52" s="151" t="s">
        <v>6965</v>
      </c>
      <c r="M52" s="151" t="s">
        <v>6957</v>
      </c>
      <c r="N52" s="151" t="s">
        <v>6868</v>
      </c>
      <c r="O52" s="151" t="s">
        <v>7078</v>
      </c>
      <c r="P52" s="151" t="s">
        <v>7079</v>
      </c>
      <c r="Q52" s="151" t="s">
        <v>6870</v>
      </c>
      <c r="R52" s="151" t="s">
        <v>3608</v>
      </c>
      <c r="S52" s="151"/>
      <c r="T52" s="151">
        <v>25</v>
      </c>
      <c r="U52" s="151" t="s">
        <v>6872</v>
      </c>
      <c r="V52" s="151"/>
      <c r="W52" s="151"/>
      <c r="X52" s="151"/>
      <c r="Y52" s="151" t="s">
        <v>6961</v>
      </c>
      <c r="Z52" s="151"/>
      <c r="AA52" s="151"/>
    </row>
    <row r="53" spans="2:27">
      <c r="B53" s="151" t="s">
        <v>6858</v>
      </c>
      <c r="C53" s="151" t="s">
        <v>7081</v>
      </c>
      <c r="D53" s="151" t="s">
        <v>7071</v>
      </c>
      <c r="E53" s="151" t="s">
        <v>26</v>
      </c>
      <c r="F53" s="151" t="s">
        <v>7082</v>
      </c>
      <c r="G53" s="151" t="s">
        <v>2527</v>
      </c>
      <c r="H53" s="151" t="s">
        <v>2173</v>
      </c>
      <c r="I53" s="151" t="s">
        <v>6865</v>
      </c>
      <c r="J53" s="151" t="s">
        <v>2101</v>
      </c>
      <c r="K53" s="151" t="s">
        <v>653</v>
      </c>
      <c r="L53" s="151" t="s">
        <v>7083</v>
      </c>
      <c r="M53" s="151" t="s">
        <v>6920</v>
      </c>
      <c r="N53" s="151" t="s">
        <v>6868</v>
      </c>
      <c r="O53" s="151"/>
      <c r="P53" s="151" t="s">
        <v>6905</v>
      </c>
      <c r="Q53" s="151" t="s">
        <v>7084</v>
      </c>
      <c r="R53" s="151" t="s">
        <v>3608</v>
      </c>
      <c r="S53" s="151" t="s">
        <v>6871</v>
      </c>
      <c r="T53" s="151">
        <v>6</v>
      </c>
      <c r="U53" s="151" t="s">
        <v>6872</v>
      </c>
      <c r="V53" s="151"/>
      <c r="W53" s="151"/>
      <c r="X53" s="151"/>
      <c r="Y53" s="151" t="s">
        <v>7085</v>
      </c>
      <c r="Z53" s="151" t="s">
        <v>6905</v>
      </c>
      <c r="AA53" s="151"/>
    </row>
    <row r="54" spans="2:27">
      <c r="B54" s="151" t="s">
        <v>6858</v>
      </c>
      <c r="C54" s="151" t="s">
        <v>2821</v>
      </c>
      <c r="D54" s="151" t="s">
        <v>7071</v>
      </c>
      <c r="E54" s="151" t="s">
        <v>26</v>
      </c>
      <c r="F54" s="151" t="s">
        <v>7086</v>
      </c>
      <c r="G54" s="151" t="s">
        <v>2527</v>
      </c>
      <c r="H54" s="151" t="s">
        <v>2173</v>
      </c>
      <c r="I54" s="151" t="s">
        <v>6865</v>
      </c>
      <c r="J54" s="151" t="s">
        <v>2101</v>
      </c>
      <c r="K54" s="151" t="s">
        <v>653</v>
      </c>
      <c r="L54" s="151" t="s">
        <v>7087</v>
      </c>
      <c r="M54" s="151" t="s">
        <v>6920</v>
      </c>
      <c r="N54" s="151" t="s">
        <v>6868</v>
      </c>
      <c r="O54" s="151"/>
      <c r="P54" s="151" t="s">
        <v>6905</v>
      </c>
      <c r="Q54" s="151" t="s">
        <v>7084</v>
      </c>
      <c r="R54" s="151" t="s">
        <v>3608</v>
      </c>
      <c r="S54" s="151"/>
      <c r="T54" s="151">
        <v>3</v>
      </c>
      <c r="U54" s="151" t="s">
        <v>6872</v>
      </c>
      <c r="V54" s="151"/>
      <c r="W54" s="151"/>
      <c r="X54" s="151"/>
      <c r="Y54" s="151" t="s">
        <v>7085</v>
      </c>
      <c r="Z54" s="151" t="s">
        <v>6905</v>
      </c>
      <c r="AA54" s="151" t="s">
        <v>7088</v>
      </c>
    </row>
    <row r="55" spans="2:27">
      <c r="B55" s="151" t="s">
        <v>6858</v>
      </c>
      <c r="C55" s="151" t="s">
        <v>7089</v>
      </c>
      <c r="D55" s="151" t="s">
        <v>7071</v>
      </c>
      <c r="E55" s="151" t="s">
        <v>26</v>
      </c>
      <c r="F55" s="151" t="s">
        <v>7090</v>
      </c>
      <c r="G55" s="151" t="s">
        <v>2527</v>
      </c>
      <c r="H55" s="151" t="s">
        <v>2173</v>
      </c>
      <c r="I55" s="151" t="s">
        <v>6865</v>
      </c>
      <c r="J55" s="151" t="s">
        <v>2101</v>
      </c>
      <c r="K55" s="151" t="s">
        <v>653</v>
      </c>
      <c r="L55" s="151" t="s">
        <v>7091</v>
      </c>
      <c r="M55" s="151" t="s">
        <v>6920</v>
      </c>
      <c r="N55" s="151" t="s">
        <v>6868</v>
      </c>
      <c r="O55" s="151"/>
      <c r="P55" s="151" t="s">
        <v>6905</v>
      </c>
      <c r="Q55" s="151" t="s">
        <v>7092</v>
      </c>
      <c r="R55" s="151" t="s">
        <v>3608</v>
      </c>
      <c r="S55" s="151" t="s">
        <v>6871</v>
      </c>
      <c r="T55" s="151">
        <v>4</v>
      </c>
      <c r="U55" s="151" t="s">
        <v>6872</v>
      </c>
      <c r="V55" s="151"/>
      <c r="W55" s="151"/>
      <c r="X55" s="151"/>
      <c r="Y55" s="151" t="s">
        <v>855</v>
      </c>
      <c r="Z55" s="151" t="s">
        <v>6905</v>
      </c>
      <c r="AA55" s="151"/>
    </row>
    <row r="56" spans="2:27">
      <c r="B56" s="151" t="s">
        <v>6858</v>
      </c>
      <c r="C56" s="151" t="s">
        <v>6953</v>
      </c>
      <c r="D56" s="151" t="s">
        <v>7105</v>
      </c>
      <c r="E56" s="151" t="s">
        <v>26</v>
      </c>
      <c r="F56" s="151" t="s">
        <v>7106</v>
      </c>
      <c r="G56" s="151" t="s">
        <v>544</v>
      </c>
      <c r="H56" s="151" t="s">
        <v>2173</v>
      </c>
      <c r="I56" s="151" t="s">
        <v>6865</v>
      </c>
      <c r="J56" s="151" t="s">
        <v>2101</v>
      </c>
      <c r="K56" s="151" t="s">
        <v>7107</v>
      </c>
      <c r="L56" s="151" t="s">
        <v>7108</v>
      </c>
      <c r="M56" s="151" t="s">
        <v>7109</v>
      </c>
      <c r="N56" s="151" t="s">
        <v>6868</v>
      </c>
      <c r="O56" s="151"/>
      <c r="P56" s="151" t="s">
        <v>2177</v>
      </c>
      <c r="Q56" s="151" t="s">
        <v>6883</v>
      </c>
      <c r="R56" s="151" t="s">
        <v>7110</v>
      </c>
      <c r="S56" s="151"/>
      <c r="T56" s="151" t="s">
        <v>7111</v>
      </c>
      <c r="U56" s="151" t="s">
        <v>6872</v>
      </c>
      <c r="V56" s="151"/>
      <c r="W56" s="151"/>
      <c r="X56" s="151"/>
      <c r="Y56" s="151" t="s">
        <v>855</v>
      </c>
      <c r="Z56" s="151"/>
      <c r="AA56" s="151"/>
    </row>
    <row r="57" spans="2:27">
      <c r="B57" s="151" t="s">
        <v>6858</v>
      </c>
      <c r="C57" s="151" t="s">
        <v>7112</v>
      </c>
      <c r="D57" s="151" t="s">
        <v>7105</v>
      </c>
      <c r="E57" s="151" t="s">
        <v>26</v>
      </c>
      <c r="F57" s="151" t="s">
        <v>7113</v>
      </c>
      <c r="G57" s="151" t="s">
        <v>544</v>
      </c>
      <c r="H57" s="151" t="s">
        <v>2173</v>
      </c>
      <c r="I57" s="151" t="s">
        <v>6865</v>
      </c>
      <c r="J57" s="151" t="s">
        <v>2101</v>
      </c>
      <c r="K57" s="151" t="s">
        <v>7114</v>
      </c>
      <c r="L57" s="151" t="s">
        <v>7115</v>
      </c>
      <c r="M57" s="326" t="s">
        <v>7116</v>
      </c>
      <c r="N57" s="151" t="s">
        <v>6868</v>
      </c>
      <c r="O57" s="151"/>
      <c r="P57" s="151" t="s">
        <v>6905</v>
      </c>
      <c r="Q57" s="151" t="s">
        <v>6883</v>
      </c>
      <c r="R57" s="151" t="s">
        <v>4271</v>
      </c>
      <c r="S57" s="151"/>
      <c r="T57" s="151">
        <v>4</v>
      </c>
      <c r="U57" s="151" t="s">
        <v>6872</v>
      </c>
      <c r="V57" s="151"/>
      <c r="W57" s="151"/>
      <c r="X57" s="151"/>
      <c r="Y57" s="151" t="s">
        <v>7117</v>
      </c>
      <c r="Z57" s="151" t="s">
        <v>6905</v>
      </c>
      <c r="AA57" s="151"/>
    </row>
    <row r="58" spans="2:27">
      <c r="B58" s="151" t="s">
        <v>6858</v>
      </c>
      <c r="C58" s="151" t="s">
        <v>7118</v>
      </c>
      <c r="D58" s="151" t="s">
        <v>7105</v>
      </c>
      <c r="E58" s="151" t="s">
        <v>26</v>
      </c>
      <c r="F58" s="151" t="s">
        <v>7119</v>
      </c>
      <c r="G58" s="151" t="s">
        <v>544</v>
      </c>
      <c r="H58" s="151" t="s">
        <v>2173</v>
      </c>
      <c r="I58" s="151" t="s">
        <v>6865</v>
      </c>
      <c r="J58" s="151" t="s">
        <v>2101</v>
      </c>
      <c r="K58" s="151" t="s">
        <v>7120</v>
      </c>
      <c r="L58" s="151" t="s">
        <v>6972</v>
      </c>
      <c r="M58" s="151" t="s">
        <v>7121</v>
      </c>
      <c r="N58" s="151" t="s">
        <v>6868</v>
      </c>
      <c r="O58" s="151" t="s">
        <v>7122</v>
      </c>
      <c r="P58" s="151" t="s">
        <v>2177</v>
      </c>
      <c r="Q58" s="151" t="s">
        <v>6883</v>
      </c>
      <c r="R58" s="151" t="s">
        <v>2179</v>
      </c>
      <c r="S58" s="151"/>
      <c r="T58" s="151">
        <v>2000</v>
      </c>
      <c r="U58" s="151" t="s">
        <v>6872</v>
      </c>
      <c r="V58" s="151" t="s">
        <v>7123</v>
      </c>
      <c r="W58" s="151"/>
      <c r="X58" s="151"/>
      <c r="Y58" s="151" t="s">
        <v>855</v>
      </c>
      <c r="Z58" s="151"/>
      <c r="AA58" s="151"/>
    </row>
    <row r="59" spans="2:27">
      <c r="B59" s="151" t="s">
        <v>6858</v>
      </c>
      <c r="C59" s="151" t="s">
        <v>7124</v>
      </c>
      <c r="D59" s="151" t="s">
        <v>7105</v>
      </c>
      <c r="E59" s="151" t="s">
        <v>26</v>
      </c>
      <c r="F59" s="151" t="s">
        <v>7125</v>
      </c>
      <c r="G59" s="151" t="s">
        <v>544</v>
      </c>
      <c r="H59" s="151" t="s">
        <v>2173</v>
      </c>
      <c r="I59" s="151" t="s">
        <v>6865</v>
      </c>
      <c r="J59" s="151" t="s">
        <v>2101</v>
      </c>
      <c r="K59" s="151" t="s">
        <v>7114</v>
      </c>
      <c r="L59" s="151" t="s">
        <v>7126</v>
      </c>
      <c r="M59" s="326" t="s">
        <v>7116</v>
      </c>
      <c r="N59" s="151" t="s">
        <v>6868</v>
      </c>
      <c r="O59" s="151"/>
      <c r="P59" s="151" t="s">
        <v>6905</v>
      </c>
      <c r="Q59" s="151" t="s">
        <v>6883</v>
      </c>
      <c r="R59" s="151" t="s">
        <v>6936</v>
      </c>
      <c r="S59" s="151"/>
      <c r="T59" s="151">
        <v>2</v>
      </c>
      <c r="U59" s="151" t="s">
        <v>6872</v>
      </c>
      <c r="V59" s="151"/>
      <c r="W59" s="151"/>
      <c r="X59" s="151"/>
      <c r="Y59" s="151" t="s">
        <v>855</v>
      </c>
      <c r="Z59" s="151" t="s">
        <v>6905</v>
      </c>
      <c r="AA59" s="151"/>
    </row>
    <row r="60" spans="2:27">
      <c r="B60" s="151" t="s">
        <v>6858</v>
      </c>
      <c r="C60" s="151" t="s">
        <v>7127</v>
      </c>
      <c r="D60" s="151" t="s">
        <v>7105</v>
      </c>
      <c r="E60" s="151" t="s">
        <v>26</v>
      </c>
      <c r="F60" s="151" t="s">
        <v>7128</v>
      </c>
      <c r="G60" s="151" t="s">
        <v>544</v>
      </c>
      <c r="H60" s="151" t="s">
        <v>2173</v>
      </c>
      <c r="I60" s="151" t="s">
        <v>6865</v>
      </c>
      <c r="J60" s="151" t="s">
        <v>1194</v>
      </c>
      <c r="K60" s="151" t="s">
        <v>7129</v>
      </c>
      <c r="L60" s="151" t="s">
        <v>7130</v>
      </c>
      <c r="M60" s="151" t="s">
        <v>7131</v>
      </c>
      <c r="N60" s="151" t="s">
        <v>6868</v>
      </c>
      <c r="O60" s="151" t="s">
        <v>7132</v>
      </c>
      <c r="P60" s="151" t="s">
        <v>2177</v>
      </c>
      <c r="Q60" s="151" t="s">
        <v>7133</v>
      </c>
      <c r="R60" s="151" t="s">
        <v>7134</v>
      </c>
      <c r="S60" s="151"/>
      <c r="T60" s="151" t="s">
        <v>7135</v>
      </c>
      <c r="U60" s="151" t="s">
        <v>6872</v>
      </c>
      <c r="V60" s="151"/>
      <c r="W60" s="151"/>
      <c r="X60" s="151"/>
      <c r="Y60" s="151" t="s">
        <v>855</v>
      </c>
      <c r="Z60" s="151"/>
      <c r="AA60" s="151"/>
    </row>
    <row r="61" spans="2:27">
      <c r="B61" s="151" t="s">
        <v>6858</v>
      </c>
      <c r="C61" s="151" t="s">
        <v>7136</v>
      </c>
      <c r="D61" s="151" t="s">
        <v>7105</v>
      </c>
      <c r="E61" s="151" t="s">
        <v>26</v>
      </c>
      <c r="F61" s="151" t="s">
        <v>7137</v>
      </c>
      <c r="G61" s="151" t="s">
        <v>544</v>
      </c>
      <c r="H61" s="151" t="s">
        <v>2173</v>
      </c>
      <c r="I61" s="151" t="s">
        <v>6865</v>
      </c>
      <c r="J61" s="151" t="s">
        <v>1194</v>
      </c>
      <c r="K61" s="151" t="s">
        <v>7138</v>
      </c>
      <c r="L61" s="151" t="s">
        <v>7139</v>
      </c>
      <c r="M61" s="151" t="s">
        <v>7140</v>
      </c>
      <c r="N61" s="151" t="s">
        <v>6868</v>
      </c>
      <c r="O61" s="151"/>
      <c r="P61" s="151" t="s">
        <v>6905</v>
      </c>
      <c r="Q61" s="151" t="s">
        <v>7133</v>
      </c>
      <c r="R61" s="151" t="s">
        <v>2207</v>
      </c>
      <c r="S61" s="151"/>
      <c r="T61" s="151"/>
      <c r="U61" s="151" t="s">
        <v>6872</v>
      </c>
      <c r="V61" s="151"/>
      <c r="W61" s="151"/>
      <c r="X61" s="151"/>
      <c r="Y61" s="151" t="s">
        <v>855</v>
      </c>
      <c r="Z61" s="151" t="s">
        <v>6905</v>
      </c>
      <c r="AA61" s="151"/>
    </row>
    <row r="62" spans="2:27">
      <c r="B62" s="151" t="s">
        <v>6858</v>
      </c>
      <c r="C62" s="151" t="s">
        <v>7141</v>
      </c>
      <c r="D62" s="151" t="s">
        <v>7105</v>
      </c>
      <c r="E62" s="151" t="s">
        <v>26</v>
      </c>
      <c r="F62" s="151" t="s">
        <v>7142</v>
      </c>
      <c r="G62" s="151" t="s">
        <v>544</v>
      </c>
      <c r="H62" s="151" t="s">
        <v>2173</v>
      </c>
      <c r="I62" s="151" t="s">
        <v>6865</v>
      </c>
      <c r="J62" s="151" t="s">
        <v>1194</v>
      </c>
      <c r="K62" s="151" t="s">
        <v>7138</v>
      </c>
      <c r="L62" s="151" t="s">
        <v>7143</v>
      </c>
      <c r="M62" s="151" t="s">
        <v>7140</v>
      </c>
      <c r="N62" s="151" t="s">
        <v>6868</v>
      </c>
      <c r="O62" s="151"/>
      <c r="P62" s="151" t="s">
        <v>6905</v>
      </c>
      <c r="Q62" s="151" t="s">
        <v>7133</v>
      </c>
      <c r="R62" s="151" t="s">
        <v>2207</v>
      </c>
      <c r="S62" s="151"/>
      <c r="T62" s="151"/>
      <c r="U62" s="151" t="s">
        <v>6872</v>
      </c>
      <c r="V62" s="151"/>
      <c r="W62" s="151"/>
      <c r="X62" s="151"/>
      <c r="Y62" s="151" t="s">
        <v>855</v>
      </c>
      <c r="Z62" s="151" t="s">
        <v>6905</v>
      </c>
      <c r="AA62" s="151"/>
    </row>
    <row r="63" spans="2:27">
      <c r="B63" s="151" t="s">
        <v>6858</v>
      </c>
      <c r="C63" s="151" t="s">
        <v>7144</v>
      </c>
      <c r="D63" s="151" t="s">
        <v>341</v>
      </c>
      <c r="E63" s="151" t="s">
        <v>26</v>
      </c>
      <c r="F63" s="151" t="s">
        <v>7145</v>
      </c>
      <c r="G63" s="151" t="s">
        <v>2527</v>
      </c>
      <c r="H63" s="151" t="s">
        <v>2173</v>
      </c>
      <c r="I63" s="151" t="s">
        <v>6865</v>
      </c>
      <c r="J63" s="151" t="s">
        <v>1194</v>
      </c>
      <c r="K63" s="151" t="s">
        <v>605</v>
      </c>
      <c r="L63" s="151" t="s">
        <v>7146</v>
      </c>
      <c r="M63" s="151" t="s">
        <v>6978</v>
      </c>
      <c r="N63" s="151" t="s">
        <v>6868</v>
      </c>
      <c r="O63" s="151"/>
      <c r="P63" s="151" t="s">
        <v>6905</v>
      </c>
      <c r="Q63" s="151" t="s">
        <v>6883</v>
      </c>
      <c r="R63" s="151" t="s">
        <v>3582</v>
      </c>
      <c r="S63" s="151" t="s">
        <v>6871</v>
      </c>
      <c r="T63" s="151">
        <v>30</v>
      </c>
      <c r="U63" s="151" t="s">
        <v>6872</v>
      </c>
      <c r="V63" s="151" t="s">
        <v>3608</v>
      </c>
      <c r="W63" s="151" t="s">
        <v>6871</v>
      </c>
      <c r="X63" s="151"/>
      <c r="Y63" s="151" t="s">
        <v>6961</v>
      </c>
      <c r="Z63" s="151" t="s">
        <v>6905</v>
      </c>
      <c r="AA63" s="151"/>
    </row>
    <row r="64" spans="2:27">
      <c r="B64" s="151" t="s">
        <v>6858</v>
      </c>
      <c r="C64" s="151" t="s">
        <v>7147</v>
      </c>
      <c r="D64" s="151" t="s">
        <v>4497</v>
      </c>
      <c r="E64" s="151" t="s">
        <v>26</v>
      </c>
      <c r="F64" s="151" t="s">
        <v>7148</v>
      </c>
      <c r="G64" s="151" t="s">
        <v>2527</v>
      </c>
      <c r="H64" s="151" t="s">
        <v>2173</v>
      </c>
      <c r="I64" s="151" t="s">
        <v>6865</v>
      </c>
      <c r="J64" s="151" t="s">
        <v>1194</v>
      </c>
      <c r="K64" s="151" t="s">
        <v>6971</v>
      </c>
      <c r="L64" s="151" t="s">
        <v>6972</v>
      </c>
      <c r="M64" s="151" t="s">
        <v>6973</v>
      </c>
      <c r="N64" s="151" t="s">
        <v>6868</v>
      </c>
      <c r="O64" s="151" t="s">
        <v>7149</v>
      </c>
      <c r="P64" s="151" t="s">
        <v>2177</v>
      </c>
      <c r="Q64" s="151" t="s">
        <v>7150</v>
      </c>
      <c r="R64" s="151" t="s">
        <v>3582</v>
      </c>
      <c r="S64" s="151">
        <v>255</v>
      </c>
      <c r="T64" s="151">
        <v>255</v>
      </c>
      <c r="U64" s="151" t="s">
        <v>6872</v>
      </c>
      <c r="V64" s="151" t="s">
        <v>3608</v>
      </c>
      <c r="W64" s="151"/>
      <c r="X64" s="151"/>
      <c r="Y64" s="151" t="s">
        <v>6961</v>
      </c>
      <c r="Z64" s="151"/>
      <c r="AA64" s="151"/>
    </row>
    <row r="65" spans="2:27">
      <c r="B65" s="151" t="s">
        <v>6858</v>
      </c>
      <c r="C65" s="151" t="s">
        <v>7151</v>
      </c>
      <c r="D65" s="151" t="s">
        <v>341</v>
      </c>
      <c r="E65" s="151" t="s">
        <v>26</v>
      </c>
      <c r="F65" s="151" t="s">
        <v>7152</v>
      </c>
      <c r="G65" s="151" t="s">
        <v>544</v>
      </c>
      <c r="H65" s="151" t="s">
        <v>2173</v>
      </c>
      <c r="I65" s="151" t="s">
        <v>6865</v>
      </c>
      <c r="J65" s="151" t="s">
        <v>1194</v>
      </c>
      <c r="K65" s="151" t="s">
        <v>574</v>
      </c>
      <c r="L65" s="151" t="s">
        <v>7153</v>
      </c>
      <c r="M65" s="151" t="s">
        <v>6957</v>
      </c>
      <c r="N65" s="151" t="s">
        <v>6868</v>
      </c>
      <c r="O65" s="151"/>
      <c r="P65" s="151" t="s">
        <v>6905</v>
      </c>
      <c r="Q65" s="151" t="s">
        <v>7154</v>
      </c>
      <c r="R65" s="151" t="s">
        <v>4271</v>
      </c>
      <c r="S65" s="151" t="s">
        <v>6871</v>
      </c>
      <c r="T65" s="151">
        <v>5</v>
      </c>
      <c r="U65" s="151" t="s">
        <v>7155</v>
      </c>
      <c r="V65" s="151"/>
      <c r="W65" s="151" t="s">
        <v>6871</v>
      </c>
      <c r="X65" s="151" t="s">
        <v>7156</v>
      </c>
      <c r="Y65" s="151" t="s">
        <v>6961</v>
      </c>
      <c r="Z65" s="151" t="s">
        <v>6905</v>
      </c>
      <c r="AA65" s="151"/>
    </row>
    <row r="66" spans="2:27">
      <c r="B66" s="151" t="s">
        <v>6858</v>
      </c>
      <c r="C66" s="151" t="s">
        <v>7157</v>
      </c>
      <c r="D66" s="151" t="s">
        <v>7158</v>
      </c>
      <c r="E66" s="151" t="s">
        <v>26</v>
      </c>
      <c r="F66" s="151" t="s">
        <v>7159</v>
      </c>
      <c r="G66" s="151" t="s">
        <v>544</v>
      </c>
      <c r="H66" s="151" t="s">
        <v>2173</v>
      </c>
      <c r="I66" s="151" t="s">
        <v>6865</v>
      </c>
      <c r="J66" s="151" t="s">
        <v>1194</v>
      </c>
      <c r="K66" s="151" t="s">
        <v>7160</v>
      </c>
      <c r="L66" s="151" t="s">
        <v>1196</v>
      </c>
      <c r="M66" s="151" t="s">
        <v>7161</v>
      </c>
      <c r="N66" s="151" t="s">
        <v>6868</v>
      </c>
      <c r="O66" s="151"/>
      <c r="P66" s="151" t="s">
        <v>6905</v>
      </c>
      <c r="Q66" s="151" t="s">
        <v>6929</v>
      </c>
      <c r="R66" s="151" t="s">
        <v>2207</v>
      </c>
      <c r="S66" s="151"/>
      <c r="T66" s="151"/>
      <c r="U66" s="151"/>
      <c r="V66" s="151"/>
      <c r="W66" s="151"/>
      <c r="X66" s="151"/>
      <c r="Y66" s="151" t="s">
        <v>7162</v>
      </c>
      <c r="Z66" s="151" t="s">
        <v>6905</v>
      </c>
      <c r="AA66" s="151"/>
    </row>
    <row r="67" spans="2:27">
      <c r="B67" s="151" t="s">
        <v>6858</v>
      </c>
      <c r="C67" s="151" t="s">
        <v>7163</v>
      </c>
      <c r="D67" s="151" t="s">
        <v>7158</v>
      </c>
      <c r="E67" s="151" t="s">
        <v>26</v>
      </c>
      <c r="F67" s="151" t="s">
        <v>7164</v>
      </c>
      <c r="G67" s="151" t="s">
        <v>544</v>
      </c>
      <c r="H67" s="151" t="s">
        <v>2173</v>
      </c>
      <c r="I67" s="151" t="s">
        <v>6865</v>
      </c>
      <c r="J67" s="151" t="s">
        <v>1194</v>
      </c>
      <c r="K67" s="151" t="s">
        <v>7160</v>
      </c>
      <c r="L67" s="151" t="s">
        <v>7165</v>
      </c>
      <c r="M67" s="151" t="s">
        <v>7161</v>
      </c>
      <c r="N67" s="151" t="s">
        <v>6868</v>
      </c>
      <c r="O67" s="151"/>
      <c r="P67" s="151" t="s">
        <v>6905</v>
      </c>
      <c r="Q67" s="151" t="s">
        <v>6929</v>
      </c>
      <c r="R67" s="151" t="s">
        <v>3582</v>
      </c>
      <c r="S67" s="151"/>
      <c r="T67" s="151">
        <v>2000</v>
      </c>
      <c r="U67" s="151"/>
      <c r="V67" s="151" t="s">
        <v>3608</v>
      </c>
      <c r="W67" s="151"/>
      <c r="X67" s="151"/>
      <c r="Y67" s="151" t="s">
        <v>7162</v>
      </c>
      <c r="Z67" s="151" t="s">
        <v>6905</v>
      </c>
      <c r="AA67" s="151"/>
    </row>
    <row r="68" spans="2:27">
      <c r="B68" s="151" t="s">
        <v>6858</v>
      </c>
      <c r="C68" s="151" t="s">
        <v>7166</v>
      </c>
      <c r="D68" s="151" t="s">
        <v>7158</v>
      </c>
      <c r="E68" s="151" t="s">
        <v>26</v>
      </c>
      <c r="F68" s="151" t="s">
        <v>7167</v>
      </c>
      <c r="G68" s="151" t="s">
        <v>544</v>
      </c>
      <c r="H68" s="151" t="s">
        <v>2173</v>
      </c>
      <c r="I68" s="151" t="s">
        <v>6865</v>
      </c>
      <c r="J68" s="151" t="s">
        <v>1194</v>
      </c>
      <c r="K68" s="151" t="s">
        <v>7168</v>
      </c>
      <c r="L68" s="151" t="s">
        <v>7169</v>
      </c>
      <c r="M68" s="151" t="s">
        <v>7170</v>
      </c>
      <c r="N68" s="151" t="s">
        <v>6868</v>
      </c>
      <c r="O68" s="151"/>
      <c r="P68" s="151" t="s">
        <v>6905</v>
      </c>
      <c r="Q68" s="151" t="s">
        <v>6929</v>
      </c>
      <c r="R68" s="151" t="s">
        <v>3582</v>
      </c>
      <c r="S68" s="151"/>
      <c r="T68" s="151">
        <v>50</v>
      </c>
      <c r="U68" s="151"/>
      <c r="V68" s="151" t="s">
        <v>3608</v>
      </c>
      <c r="W68" s="151"/>
      <c r="X68" s="151"/>
      <c r="Y68" s="151" t="s">
        <v>7162</v>
      </c>
      <c r="Z68" s="151" t="s">
        <v>6905</v>
      </c>
      <c r="AA68" s="151"/>
    </row>
    <row r="69" spans="2:27">
      <c r="B69" s="151" t="s">
        <v>6858</v>
      </c>
      <c r="C69" s="151" t="s">
        <v>7171</v>
      </c>
      <c r="D69" s="151" t="s">
        <v>7158</v>
      </c>
      <c r="E69" s="151" t="s">
        <v>26</v>
      </c>
      <c r="F69" s="151" t="s">
        <v>7172</v>
      </c>
      <c r="G69" s="151" t="s">
        <v>544</v>
      </c>
      <c r="H69" s="151" t="s">
        <v>2173</v>
      </c>
      <c r="I69" s="151" t="s">
        <v>6865</v>
      </c>
      <c r="J69" s="151" t="s">
        <v>1194</v>
      </c>
      <c r="K69" s="151" t="s">
        <v>7160</v>
      </c>
      <c r="L69" s="151" t="s">
        <v>6952</v>
      </c>
      <c r="M69" s="151" t="s">
        <v>7161</v>
      </c>
      <c r="N69" s="151" t="s">
        <v>6868</v>
      </c>
      <c r="O69" s="151"/>
      <c r="P69" s="151" t="s">
        <v>6905</v>
      </c>
      <c r="Q69" s="151" t="s">
        <v>6929</v>
      </c>
      <c r="R69" s="151" t="s">
        <v>3582</v>
      </c>
      <c r="S69" s="151"/>
      <c r="T69" s="151">
        <v>250</v>
      </c>
      <c r="U69" s="151"/>
      <c r="V69" s="151" t="s">
        <v>3608</v>
      </c>
      <c r="W69" s="151"/>
      <c r="X69" s="151"/>
      <c r="Y69" s="151" t="s">
        <v>855</v>
      </c>
      <c r="Z69" s="151" t="s">
        <v>6905</v>
      </c>
      <c r="AA69" s="151"/>
    </row>
    <row r="70" spans="2:27" ht="60">
      <c r="B70" s="151" t="s">
        <v>6858</v>
      </c>
      <c r="C70" s="151" t="s">
        <v>2669</v>
      </c>
      <c r="D70" s="151" t="s">
        <v>4497</v>
      </c>
      <c r="E70" s="151" t="s">
        <v>26</v>
      </c>
      <c r="F70" s="151" t="s">
        <v>7173</v>
      </c>
      <c r="G70" s="151" t="s">
        <v>2527</v>
      </c>
      <c r="H70" s="151" t="s">
        <v>2173</v>
      </c>
      <c r="I70" s="151" t="s">
        <v>6865</v>
      </c>
      <c r="J70" s="151" t="s">
        <v>2101</v>
      </c>
      <c r="K70" s="151" t="s">
        <v>626</v>
      </c>
      <c r="L70" s="151" t="s">
        <v>7174</v>
      </c>
      <c r="M70" s="341" t="s">
        <v>7175</v>
      </c>
      <c r="N70" s="151" t="s">
        <v>6868</v>
      </c>
      <c r="O70" s="151" t="s">
        <v>7176</v>
      </c>
      <c r="P70" s="151" t="s">
        <v>2177</v>
      </c>
      <c r="Q70" s="151" t="s">
        <v>6929</v>
      </c>
      <c r="R70" s="151" t="s">
        <v>3608</v>
      </c>
      <c r="S70" s="151"/>
      <c r="T70" s="151">
        <v>3</v>
      </c>
      <c r="U70" s="151"/>
      <c r="V70" s="151" t="s">
        <v>3608</v>
      </c>
      <c r="W70" s="151"/>
      <c r="X70" s="151"/>
      <c r="Y70" s="151" t="s">
        <v>855</v>
      </c>
      <c r="Z70" s="151"/>
      <c r="AA70" s="151"/>
    </row>
    <row r="71" spans="2:27">
      <c r="B71" s="151" t="s">
        <v>6858</v>
      </c>
      <c r="C71" s="151" t="s">
        <v>440</v>
      </c>
      <c r="D71" s="151" t="s">
        <v>4497</v>
      </c>
      <c r="E71" s="151" t="s">
        <v>26</v>
      </c>
      <c r="F71" s="151" t="s">
        <v>7177</v>
      </c>
      <c r="G71" s="151" t="s">
        <v>2527</v>
      </c>
      <c r="H71" s="151" t="s">
        <v>2173</v>
      </c>
      <c r="I71" s="151" t="s">
        <v>6865</v>
      </c>
      <c r="J71" s="151" t="s">
        <v>2101</v>
      </c>
      <c r="K71" s="151" t="s">
        <v>7178</v>
      </c>
      <c r="L71" s="151" t="s">
        <v>5826</v>
      </c>
      <c r="M71" s="151" t="s">
        <v>7179</v>
      </c>
      <c r="N71" s="151" t="s">
        <v>6868</v>
      </c>
      <c r="O71" s="151"/>
      <c r="P71" s="151" t="s">
        <v>6905</v>
      </c>
      <c r="Q71" s="151" t="s">
        <v>6929</v>
      </c>
      <c r="R71" s="151" t="s">
        <v>7123</v>
      </c>
      <c r="S71" s="151"/>
      <c r="T71" s="151">
        <v>30</v>
      </c>
      <c r="U71" s="151"/>
      <c r="V71" s="151" t="s">
        <v>7123</v>
      </c>
      <c r="W71" s="151"/>
      <c r="X71" s="151"/>
      <c r="Y71" s="151" t="s">
        <v>855</v>
      </c>
      <c r="Z71" s="151" t="s">
        <v>6905</v>
      </c>
      <c r="AA71" s="151"/>
    </row>
    <row r="72" spans="2:27">
      <c r="B72" s="151" t="s">
        <v>6858</v>
      </c>
      <c r="C72" s="151" t="s">
        <v>3524</v>
      </c>
      <c r="D72" s="151" t="s">
        <v>4497</v>
      </c>
      <c r="E72" s="151" t="s">
        <v>26</v>
      </c>
      <c r="F72" s="151" t="s">
        <v>7180</v>
      </c>
      <c r="G72" s="151" t="s">
        <v>2527</v>
      </c>
      <c r="H72" s="151" t="s">
        <v>2173</v>
      </c>
      <c r="I72" s="151" t="s">
        <v>6865</v>
      </c>
      <c r="J72" s="151" t="s">
        <v>2101</v>
      </c>
      <c r="K72" s="151" t="s">
        <v>7178</v>
      </c>
      <c r="L72" s="151" t="s">
        <v>2183</v>
      </c>
      <c r="M72" s="151" t="s">
        <v>7179</v>
      </c>
      <c r="N72" s="151" t="s">
        <v>6868</v>
      </c>
      <c r="O72" s="151" t="s">
        <v>7181</v>
      </c>
      <c r="P72" s="151" t="s">
        <v>2177</v>
      </c>
      <c r="Q72" s="151" t="s">
        <v>6929</v>
      </c>
      <c r="R72" s="151" t="s">
        <v>3608</v>
      </c>
      <c r="S72" s="151"/>
      <c r="T72" s="151">
        <v>25</v>
      </c>
      <c r="U72" s="151"/>
      <c r="V72" s="151" t="s">
        <v>3608</v>
      </c>
      <c r="W72" s="151"/>
      <c r="X72" s="151"/>
      <c r="Y72" s="151" t="s">
        <v>855</v>
      </c>
      <c r="Z72" s="151"/>
      <c r="AA72" s="151"/>
    </row>
    <row r="73" spans="2:27">
      <c r="B73" s="151" t="s">
        <v>6858</v>
      </c>
      <c r="C73" s="151" t="s">
        <v>7182</v>
      </c>
      <c r="D73" s="151" t="s">
        <v>4497</v>
      </c>
      <c r="E73" s="151" t="s">
        <v>26</v>
      </c>
      <c r="F73" s="151" t="s">
        <v>7183</v>
      </c>
      <c r="G73" s="151" t="s">
        <v>2527</v>
      </c>
      <c r="H73" s="151" t="s">
        <v>2173</v>
      </c>
      <c r="I73" s="151" t="s">
        <v>10799</v>
      </c>
      <c r="J73" s="151" t="s">
        <v>10799</v>
      </c>
      <c r="K73" s="151" t="s">
        <v>10799</v>
      </c>
      <c r="L73" s="151" t="s">
        <v>10799</v>
      </c>
      <c r="M73" s="151" t="s">
        <v>361</v>
      </c>
      <c r="N73" s="151" t="s">
        <v>6868</v>
      </c>
      <c r="O73" s="151"/>
      <c r="P73" s="151" t="s">
        <v>6869</v>
      </c>
      <c r="Q73" s="151" t="s">
        <v>6929</v>
      </c>
      <c r="R73" s="151"/>
      <c r="S73" s="151"/>
      <c r="T73" s="151"/>
      <c r="U73" s="151"/>
      <c r="V73" s="151"/>
      <c r="W73" s="151"/>
      <c r="X73" s="151"/>
      <c r="Y73" s="151"/>
      <c r="Z73" s="151" t="s">
        <v>7186</v>
      </c>
      <c r="AA73" s="151" t="s">
        <v>7187</v>
      </c>
    </row>
    <row r="74" spans="2:27">
      <c r="B74" s="151" t="s">
        <v>6858</v>
      </c>
      <c r="C74" s="151" t="s">
        <v>7188</v>
      </c>
      <c r="D74" s="151" t="s">
        <v>7189</v>
      </c>
      <c r="E74" s="151" t="s">
        <v>26</v>
      </c>
      <c r="F74" s="151" t="s">
        <v>7190</v>
      </c>
      <c r="G74" s="151" t="s">
        <v>2527</v>
      </c>
      <c r="H74" s="151" t="s">
        <v>2546</v>
      </c>
      <c r="I74" s="151" t="s">
        <v>6865</v>
      </c>
      <c r="J74" s="151" t="s">
        <v>1194</v>
      </c>
      <c r="K74" s="151" t="s">
        <v>592</v>
      </c>
      <c r="L74" s="151" t="s">
        <v>7191</v>
      </c>
      <c r="M74" s="151" t="s">
        <v>7192</v>
      </c>
      <c r="N74" s="151" t="s">
        <v>7193</v>
      </c>
      <c r="O74" s="151" t="s">
        <v>7194</v>
      </c>
      <c r="P74" s="151" t="s">
        <v>6869</v>
      </c>
      <c r="Q74" s="151"/>
      <c r="R74" s="151"/>
      <c r="S74" s="151"/>
      <c r="T74" s="151"/>
      <c r="U74" s="151"/>
      <c r="V74" s="151"/>
      <c r="W74" s="151"/>
      <c r="X74" s="151"/>
      <c r="Y74" s="151"/>
      <c r="Z74" s="151" t="s">
        <v>6875</v>
      </c>
      <c r="AA74" s="151" t="s">
        <v>6876</v>
      </c>
    </row>
    <row r="75" spans="2:27">
      <c r="B75" s="151" t="s">
        <v>6968</v>
      </c>
      <c r="C75" s="151" t="s">
        <v>2181</v>
      </c>
      <c r="D75" s="151" t="s">
        <v>341</v>
      </c>
      <c r="E75" s="151" t="s">
        <v>26</v>
      </c>
      <c r="F75" s="151" t="s">
        <v>7195</v>
      </c>
      <c r="G75" s="151" t="s">
        <v>551</v>
      </c>
      <c r="H75" s="151" t="s">
        <v>2173</v>
      </c>
      <c r="I75" s="151" t="s">
        <v>6865</v>
      </c>
      <c r="J75" s="151" t="s">
        <v>1194</v>
      </c>
      <c r="K75" s="151" t="s">
        <v>7196</v>
      </c>
      <c r="L75" s="151" t="s">
        <v>7197</v>
      </c>
      <c r="M75" s="151" t="s">
        <v>7198</v>
      </c>
      <c r="N75" s="151" t="s">
        <v>6868</v>
      </c>
      <c r="O75" s="151"/>
      <c r="P75" s="151" t="s">
        <v>6905</v>
      </c>
      <c r="Q75" s="151" t="s">
        <v>6883</v>
      </c>
      <c r="R75" s="151" t="s">
        <v>3582</v>
      </c>
      <c r="S75" s="151" t="s">
        <v>6871</v>
      </c>
      <c r="T75" s="151">
        <v>70</v>
      </c>
      <c r="U75" s="151" t="s">
        <v>6872</v>
      </c>
      <c r="V75" s="151" t="s">
        <v>3608</v>
      </c>
      <c r="W75" s="151" t="s">
        <v>6871</v>
      </c>
      <c r="X75" s="151" t="s">
        <v>6871</v>
      </c>
      <c r="Y75" s="151" t="s">
        <v>855</v>
      </c>
      <c r="Z75" s="151" t="s">
        <v>6905</v>
      </c>
      <c r="AA75" s="151"/>
    </row>
    <row r="76" spans="2:27">
      <c r="B76" s="151" t="s">
        <v>6858</v>
      </c>
      <c r="C76" s="151" t="s">
        <v>2181</v>
      </c>
      <c r="D76" s="151" t="s">
        <v>341</v>
      </c>
      <c r="E76" s="151" t="s">
        <v>26</v>
      </c>
      <c r="F76" s="151" t="s">
        <v>7195</v>
      </c>
      <c r="G76" s="151" t="s">
        <v>544</v>
      </c>
      <c r="H76" s="151" t="s">
        <v>2173</v>
      </c>
      <c r="I76" s="151" t="s">
        <v>6865</v>
      </c>
      <c r="J76" s="151" t="s">
        <v>1194</v>
      </c>
      <c r="K76" s="151" t="s">
        <v>7196</v>
      </c>
      <c r="L76" s="151" t="s">
        <v>7197</v>
      </c>
      <c r="M76" s="151" t="s">
        <v>7198</v>
      </c>
      <c r="N76" s="151" t="s">
        <v>6868</v>
      </c>
      <c r="O76" s="151"/>
      <c r="P76" s="151" t="s">
        <v>6905</v>
      </c>
      <c r="Q76" s="151" t="s">
        <v>6883</v>
      </c>
      <c r="R76" s="151" t="s">
        <v>3582</v>
      </c>
      <c r="S76" s="151" t="s">
        <v>6871</v>
      </c>
      <c r="T76" s="151">
        <v>70</v>
      </c>
      <c r="U76" s="151" t="s">
        <v>6872</v>
      </c>
      <c r="V76" s="151" t="s">
        <v>3608</v>
      </c>
      <c r="W76" s="151" t="s">
        <v>6871</v>
      </c>
      <c r="X76" s="151"/>
      <c r="Y76" s="151" t="s">
        <v>7199</v>
      </c>
      <c r="Z76" s="151" t="s">
        <v>6905</v>
      </c>
      <c r="AA76" s="151"/>
    </row>
    <row r="77" spans="2:27">
      <c r="B77" s="151" t="s">
        <v>6858</v>
      </c>
      <c r="C77" s="151" t="s">
        <v>375</v>
      </c>
      <c r="D77" s="151" t="s">
        <v>7200</v>
      </c>
      <c r="E77" s="151" t="s">
        <v>26</v>
      </c>
      <c r="F77" s="151" t="s">
        <v>7201</v>
      </c>
      <c r="G77" s="151" t="s">
        <v>2527</v>
      </c>
      <c r="H77" s="151" t="s">
        <v>2173</v>
      </c>
      <c r="I77" s="151" t="s">
        <v>6865</v>
      </c>
      <c r="J77" s="151" t="s">
        <v>1194</v>
      </c>
      <c r="K77" s="151" t="s">
        <v>6927</v>
      </c>
      <c r="L77" s="151" t="s">
        <v>6938</v>
      </c>
      <c r="M77" s="151" t="s">
        <v>6928</v>
      </c>
      <c r="N77" s="151" t="s">
        <v>6868</v>
      </c>
      <c r="O77" s="151" t="s">
        <v>7202</v>
      </c>
      <c r="P77" s="151" t="s">
        <v>6905</v>
      </c>
      <c r="Q77" s="151" t="s">
        <v>6929</v>
      </c>
      <c r="R77" s="151" t="s">
        <v>3608</v>
      </c>
      <c r="S77" s="151"/>
      <c r="T77" s="151">
        <v>11</v>
      </c>
      <c r="U77" s="151" t="s">
        <v>6872</v>
      </c>
      <c r="V77" s="151" t="s">
        <v>3608</v>
      </c>
      <c r="W77" s="151"/>
      <c r="X77" s="151"/>
      <c r="Y77" s="151" t="s">
        <v>855</v>
      </c>
      <c r="Z77" s="151" t="s">
        <v>6905</v>
      </c>
      <c r="AA77" s="151"/>
    </row>
    <row r="78" spans="2:27">
      <c r="B78" s="151" t="s">
        <v>6858</v>
      </c>
      <c r="C78" s="151" t="s">
        <v>7203</v>
      </c>
      <c r="D78" s="151" t="s">
        <v>7200</v>
      </c>
      <c r="E78" s="151" t="s">
        <v>26</v>
      </c>
      <c r="F78" s="151" t="s">
        <v>7204</v>
      </c>
      <c r="G78" s="151" t="s">
        <v>2527</v>
      </c>
      <c r="H78" s="151" t="s">
        <v>2173</v>
      </c>
      <c r="I78" s="151" t="s">
        <v>6865</v>
      </c>
      <c r="J78" s="151" t="s">
        <v>1194</v>
      </c>
      <c r="K78" s="151" t="s">
        <v>6927</v>
      </c>
      <c r="L78" s="151" t="s">
        <v>1196</v>
      </c>
      <c r="M78" s="151" t="s">
        <v>6928</v>
      </c>
      <c r="N78" s="151" t="s">
        <v>6868</v>
      </c>
      <c r="O78" s="151"/>
      <c r="P78" s="151" t="s">
        <v>6905</v>
      </c>
      <c r="Q78" s="151" t="s">
        <v>6929</v>
      </c>
      <c r="R78" s="151" t="s">
        <v>2207</v>
      </c>
      <c r="S78" s="151"/>
      <c r="T78" s="151"/>
      <c r="U78" s="151" t="s">
        <v>6872</v>
      </c>
      <c r="V78" s="151"/>
      <c r="W78" s="151"/>
      <c r="X78" s="151"/>
      <c r="Y78" s="151" t="s">
        <v>855</v>
      </c>
      <c r="Z78" s="151" t="s">
        <v>6905</v>
      </c>
      <c r="AA78" s="151"/>
    </row>
    <row r="79" spans="2:27">
      <c r="B79" s="151" t="s">
        <v>6858</v>
      </c>
      <c r="C79" s="151" t="s">
        <v>336</v>
      </c>
      <c r="D79" s="151" t="s">
        <v>7200</v>
      </c>
      <c r="E79" s="151" t="s">
        <v>26</v>
      </c>
      <c r="F79" s="151" t="s">
        <v>7205</v>
      </c>
      <c r="G79" s="151" t="s">
        <v>2527</v>
      </c>
      <c r="H79" s="151" t="s">
        <v>2173</v>
      </c>
      <c r="I79" s="151" t="s">
        <v>6865</v>
      </c>
      <c r="J79" s="151" t="s">
        <v>1194</v>
      </c>
      <c r="K79" s="151" t="s">
        <v>7206</v>
      </c>
      <c r="L79" s="151" t="s">
        <v>7207</v>
      </c>
      <c r="M79" s="151" t="s">
        <v>7208</v>
      </c>
      <c r="N79" s="151" t="s">
        <v>6868</v>
      </c>
      <c r="O79" s="151"/>
      <c r="P79" s="151" t="s">
        <v>6905</v>
      </c>
      <c r="Q79" s="151" t="s">
        <v>6929</v>
      </c>
      <c r="R79" s="151" t="s">
        <v>3608</v>
      </c>
      <c r="S79" s="151"/>
      <c r="T79" s="151">
        <v>100</v>
      </c>
      <c r="U79" s="151" t="s">
        <v>6872</v>
      </c>
      <c r="V79" s="151" t="s">
        <v>3608</v>
      </c>
      <c r="W79" s="151"/>
      <c r="X79" s="151"/>
      <c r="Y79" s="151" t="s">
        <v>855</v>
      </c>
      <c r="Z79" s="151" t="s">
        <v>6905</v>
      </c>
      <c r="AA79" s="151"/>
    </row>
    <row r="80" spans="2:27">
      <c r="B80" s="151" t="s">
        <v>6858</v>
      </c>
      <c r="C80" s="151" t="s">
        <v>6944</v>
      </c>
      <c r="D80" s="151" t="s">
        <v>7200</v>
      </c>
      <c r="E80" s="151" t="s">
        <v>26</v>
      </c>
      <c r="F80" s="151" t="s">
        <v>7209</v>
      </c>
      <c r="G80" s="151" t="s">
        <v>2527</v>
      </c>
      <c r="H80" s="151" t="s">
        <v>2173</v>
      </c>
      <c r="I80" s="151" t="s">
        <v>6865</v>
      </c>
      <c r="J80" s="151" t="s">
        <v>1194</v>
      </c>
      <c r="K80" s="151" t="s">
        <v>6927</v>
      </c>
      <c r="L80" s="151" t="s">
        <v>6946</v>
      </c>
      <c r="M80" s="151" t="s">
        <v>6928</v>
      </c>
      <c r="N80" s="151" t="s">
        <v>6868</v>
      </c>
      <c r="O80" s="151"/>
      <c r="P80" s="151" t="s">
        <v>6905</v>
      </c>
      <c r="Q80" s="151" t="s">
        <v>6929</v>
      </c>
      <c r="R80" s="151" t="s">
        <v>3582</v>
      </c>
      <c r="S80" s="151"/>
      <c r="T80" s="151">
        <v>255</v>
      </c>
      <c r="U80" s="151" t="s">
        <v>6872</v>
      </c>
      <c r="V80" s="151" t="s">
        <v>3608</v>
      </c>
      <c r="W80" s="151"/>
      <c r="X80" s="151"/>
      <c r="Y80" s="151" t="s">
        <v>855</v>
      </c>
      <c r="Z80" s="151" t="s">
        <v>6905</v>
      </c>
      <c r="AA80" s="151"/>
    </row>
    <row r="81" spans="2:27">
      <c r="B81" s="151" t="s">
        <v>6858</v>
      </c>
      <c r="C81" s="151" t="s">
        <v>6947</v>
      </c>
      <c r="D81" s="151" t="s">
        <v>7200</v>
      </c>
      <c r="E81" s="151" t="s">
        <v>26</v>
      </c>
      <c r="F81" s="151" t="s">
        <v>7210</v>
      </c>
      <c r="G81" s="151" t="s">
        <v>2527</v>
      </c>
      <c r="H81" s="151" t="s">
        <v>2173</v>
      </c>
      <c r="I81" s="151" t="s">
        <v>6865</v>
      </c>
      <c r="J81" s="151" t="s">
        <v>1194</v>
      </c>
      <c r="K81" s="151" t="s">
        <v>6927</v>
      </c>
      <c r="L81" s="151" t="s">
        <v>6949</v>
      </c>
      <c r="M81" s="151" t="s">
        <v>6928</v>
      </c>
      <c r="N81" s="151" t="s">
        <v>6868</v>
      </c>
      <c r="O81" s="151"/>
      <c r="P81" s="151" t="s">
        <v>6905</v>
      </c>
      <c r="Q81" s="151" t="s">
        <v>6929</v>
      </c>
      <c r="R81" s="151" t="s">
        <v>3582</v>
      </c>
      <c r="S81" s="151"/>
      <c r="T81" s="151">
        <v>255</v>
      </c>
      <c r="U81" s="151" t="s">
        <v>6872</v>
      </c>
      <c r="V81" s="151" t="s">
        <v>3608</v>
      </c>
      <c r="W81" s="151"/>
      <c r="X81" s="151"/>
      <c r="Y81" s="151" t="s">
        <v>855</v>
      </c>
      <c r="Z81" s="151" t="s">
        <v>6905</v>
      </c>
      <c r="AA81" s="151"/>
    </row>
    <row r="82" spans="2:27">
      <c r="B82" s="151" t="s">
        <v>6858</v>
      </c>
      <c r="C82" s="151" t="s">
        <v>6950</v>
      </c>
      <c r="D82" s="151" t="s">
        <v>7200</v>
      </c>
      <c r="E82" s="151" t="s">
        <v>26</v>
      </c>
      <c r="F82" s="151" t="s">
        <v>7211</v>
      </c>
      <c r="G82" s="151" t="s">
        <v>2527</v>
      </c>
      <c r="H82" s="151" t="s">
        <v>2173</v>
      </c>
      <c r="I82" s="151" t="s">
        <v>6865</v>
      </c>
      <c r="J82" s="151" t="s">
        <v>1194</v>
      </c>
      <c r="K82" s="151" t="s">
        <v>6927</v>
      </c>
      <c r="L82" s="151" t="s">
        <v>6952</v>
      </c>
      <c r="M82" s="151" t="s">
        <v>6928</v>
      </c>
      <c r="N82" s="151" t="s">
        <v>6868</v>
      </c>
      <c r="O82" s="151"/>
      <c r="P82" s="151" t="s">
        <v>6905</v>
      </c>
      <c r="Q82" s="151" t="s">
        <v>6929</v>
      </c>
      <c r="R82" s="151" t="s">
        <v>3582</v>
      </c>
      <c r="S82" s="151"/>
      <c r="T82" s="151">
        <v>250</v>
      </c>
      <c r="U82" s="151" t="s">
        <v>6872</v>
      </c>
      <c r="V82" s="151" t="s">
        <v>3608</v>
      </c>
      <c r="W82" s="151"/>
      <c r="X82" s="151"/>
      <c r="Y82" s="151" t="s">
        <v>855</v>
      </c>
      <c r="Z82" s="151" t="s">
        <v>6905</v>
      </c>
      <c r="AA82" s="151"/>
    </row>
    <row r="83" spans="2:27">
      <c r="B83" s="151" t="s">
        <v>6858</v>
      </c>
      <c r="C83" s="151" t="s">
        <v>7212</v>
      </c>
      <c r="D83" s="151" t="s">
        <v>3919</v>
      </c>
      <c r="E83" s="151" t="s">
        <v>26</v>
      </c>
      <c r="F83" s="151" t="s">
        <v>7213</v>
      </c>
      <c r="G83" s="151" t="s">
        <v>544</v>
      </c>
      <c r="H83" s="151" t="s">
        <v>2173</v>
      </c>
      <c r="I83" s="151" t="s">
        <v>6865</v>
      </c>
      <c r="J83" s="151" t="s">
        <v>1194</v>
      </c>
      <c r="K83" s="151" t="s">
        <v>6971</v>
      </c>
      <c r="L83" s="151" t="s">
        <v>6972</v>
      </c>
      <c r="M83" s="151" t="s">
        <v>6973</v>
      </c>
      <c r="N83" s="151" t="s">
        <v>6868</v>
      </c>
      <c r="O83" s="151" t="s">
        <v>7214</v>
      </c>
      <c r="P83" s="151" t="s">
        <v>7079</v>
      </c>
      <c r="Q83" s="151" t="s">
        <v>7150</v>
      </c>
      <c r="R83" s="151" t="s">
        <v>3582</v>
      </c>
      <c r="S83" s="151" t="s">
        <v>6871</v>
      </c>
      <c r="T83" s="151">
        <v>255</v>
      </c>
      <c r="U83" s="151" t="s">
        <v>6906</v>
      </c>
      <c r="V83" s="151" t="s">
        <v>3608</v>
      </c>
      <c r="W83" s="151"/>
      <c r="X83" s="151"/>
      <c r="Y83" s="151" t="s">
        <v>7199</v>
      </c>
      <c r="Z83" s="151" t="s">
        <v>7215</v>
      </c>
      <c r="AA83" s="151"/>
    </row>
    <row r="84" spans="2:27">
      <c r="B84" s="151" t="s">
        <v>6858</v>
      </c>
      <c r="C84" s="151" t="s">
        <v>7216</v>
      </c>
      <c r="D84" s="151" t="s">
        <v>3919</v>
      </c>
      <c r="E84" s="151" t="s">
        <v>26</v>
      </c>
      <c r="F84" s="151" t="s">
        <v>7217</v>
      </c>
      <c r="G84" s="151" t="s">
        <v>544</v>
      </c>
      <c r="H84" s="151" t="s">
        <v>2173</v>
      </c>
      <c r="I84" s="151" t="s">
        <v>6865</v>
      </c>
      <c r="J84" s="151" t="s">
        <v>1194</v>
      </c>
      <c r="K84" s="151" t="s">
        <v>6971</v>
      </c>
      <c r="L84" s="151" t="s">
        <v>6972</v>
      </c>
      <c r="M84" s="151" t="s">
        <v>6973</v>
      </c>
      <c r="N84" s="151" t="s">
        <v>6868</v>
      </c>
      <c r="O84" s="151" t="s">
        <v>7001</v>
      </c>
      <c r="P84" s="151" t="s">
        <v>7079</v>
      </c>
      <c r="Q84" s="151" t="s">
        <v>7150</v>
      </c>
      <c r="R84" s="151" t="s">
        <v>3582</v>
      </c>
      <c r="S84" s="151">
        <v>255</v>
      </c>
      <c r="T84" s="151">
        <v>255</v>
      </c>
      <c r="U84" s="151" t="s">
        <v>7218</v>
      </c>
      <c r="V84" s="151" t="s">
        <v>3608</v>
      </c>
      <c r="W84" s="151"/>
      <c r="X84" s="151"/>
      <c r="Y84" s="151" t="s">
        <v>7199</v>
      </c>
      <c r="Z84" s="151" t="s">
        <v>7219</v>
      </c>
      <c r="AA84" s="151"/>
    </row>
    <row r="85" spans="2:27">
      <c r="B85" s="151" t="s">
        <v>6858</v>
      </c>
      <c r="C85" s="151" t="s">
        <v>7220</v>
      </c>
      <c r="D85" s="151" t="s">
        <v>3919</v>
      </c>
      <c r="E85" s="151" t="s">
        <v>26</v>
      </c>
      <c r="F85" s="151" t="s">
        <v>7221</v>
      </c>
      <c r="G85" s="151" t="s">
        <v>544</v>
      </c>
      <c r="H85" s="151" t="s">
        <v>2173</v>
      </c>
      <c r="I85" s="151" t="s">
        <v>6865</v>
      </c>
      <c r="J85" s="151" t="s">
        <v>1194</v>
      </c>
      <c r="K85" s="151" t="s">
        <v>6971</v>
      </c>
      <c r="L85" s="151" t="s">
        <v>6972</v>
      </c>
      <c r="M85" s="151" t="s">
        <v>6973</v>
      </c>
      <c r="N85" s="151" t="s">
        <v>6868</v>
      </c>
      <c r="O85" s="151" t="s">
        <v>7222</v>
      </c>
      <c r="P85" s="151" t="s">
        <v>7079</v>
      </c>
      <c r="Q85" s="151" t="s">
        <v>7150</v>
      </c>
      <c r="R85" s="151" t="s">
        <v>3582</v>
      </c>
      <c r="S85" s="151" t="s">
        <v>6871</v>
      </c>
      <c r="T85" s="151">
        <v>255</v>
      </c>
      <c r="U85" s="151" t="s">
        <v>6906</v>
      </c>
      <c r="V85" s="151" t="s">
        <v>3608</v>
      </c>
      <c r="W85" s="151"/>
      <c r="X85" s="151"/>
      <c r="Y85" s="151" t="s">
        <v>7199</v>
      </c>
      <c r="Z85" s="151" t="s">
        <v>7215</v>
      </c>
      <c r="AA85" s="151"/>
    </row>
    <row r="86" spans="2:27">
      <c r="B86" s="151" t="s">
        <v>6968</v>
      </c>
      <c r="C86" s="151" t="s">
        <v>7081</v>
      </c>
      <c r="D86" s="151" t="s">
        <v>7071</v>
      </c>
      <c r="E86" s="151" t="s">
        <v>26</v>
      </c>
      <c r="F86" s="151" t="s">
        <v>7223</v>
      </c>
      <c r="G86" s="151" t="s">
        <v>2527</v>
      </c>
      <c r="H86" s="151" t="s">
        <v>2173</v>
      </c>
      <c r="I86" s="151" t="s">
        <v>6865</v>
      </c>
      <c r="J86" s="151" t="s">
        <v>2101</v>
      </c>
      <c r="K86" s="151" t="s">
        <v>653</v>
      </c>
      <c r="L86" s="151" t="s">
        <v>7083</v>
      </c>
      <c r="M86" s="151" t="s">
        <v>6920</v>
      </c>
      <c r="N86" s="151" t="s">
        <v>6868</v>
      </c>
      <c r="O86" s="151"/>
      <c r="P86" s="151" t="s">
        <v>6905</v>
      </c>
      <c r="Q86" s="151" t="s">
        <v>7074</v>
      </c>
      <c r="R86" s="151" t="s">
        <v>3608</v>
      </c>
      <c r="S86" s="151" t="s">
        <v>6871</v>
      </c>
      <c r="T86" s="151">
        <v>6</v>
      </c>
      <c r="U86" s="151" t="s">
        <v>6872</v>
      </c>
      <c r="V86" s="151"/>
      <c r="W86" s="151"/>
      <c r="X86" s="151"/>
      <c r="Y86" s="151" t="s">
        <v>855</v>
      </c>
      <c r="Z86" s="151" t="s">
        <v>6905</v>
      </c>
      <c r="AA86" s="151"/>
    </row>
    <row r="87" spans="2:27">
      <c r="B87" s="151" t="s">
        <v>6968</v>
      </c>
      <c r="C87" s="151" t="s">
        <v>7224</v>
      </c>
      <c r="D87" s="151" t="s">
        <v>7071</v>
      </c>
      <c r="E87" s="151" t="s">
        <v>26</v>
      </c>
      <c r="F87" s="151" t="s">
        <v>7225</v>
      </c>
      <c r="G87" s="151" t="s">
        <v>2527</v>
      </c>
      <c r="H87" s="151" t="s">
        <v>2173</v>
      </c>
      <c r="I87" s="151" t="s">
        <v>6865</v>
      </c>
      <c r="J87" s="151" t="s">
        <v>2101</v>
      </c>
      <c r="K87" s="151" t="s">
        <v>653</v>
      </c>
      <c r="L87" s="151" t="s">
        <v>1716</v>
      </c>
      <c r="M87" s="151" t="s">
        <v>6920</v>
      </c>
      <c r="N87" s="151" t="s">
        <v>6868</v>
      </c>
      <c r="O87" s="151"/>
      <c r="P87" s="151" t="s">
        <v>6905</v>
      </c>
      <c r="Q87" s="151" t="s">
        <v>7074</v>
      </c>
      <c r="R87" s="151" t="s">
        <v>6936</v>
      </c>
      <c r="S87" s="151" t="s">
        <v>6871</v>
      </c>
      <c r="T87" s="151">
        <v>2</v>
      </c>
      <c r="U87" s="151" t="s">
        <v>6872</v>
      </c>
      <c r="V87" s="151"/>
      <c r="W87" s="151"/>
      <c r="X87" s="151"/>
      <c r="Y87" s="151" t="s">
        <v>855</v>
      </c>
      <c r="Z87" s="151" t="s">
        <v>6905</v>
      </c>
      <c r="AA87" s="151" t="s">
        <v>7226</v>
      </c>
    </row>
    <row r="88" spans="2:27">
      <c r="B88" s="151" t="s">
        <v>6858</v>
      </c>
      <c r="C88" s="151" t="s">
        <v>7224</v>
      </c>
      <c r="D88" s="151" t="s">
        <v>7071</v>
      </c>
      <c r="E88" s="151" t="s">
        <v>26</v>
      </c>
      <c r="F88" s="151" t="s">
        <v>7225</v>
      </c>
      <c r="G88" s="151" t="s">
        <v>2527</v>
      </c>
      <c r="H88" s="151" t="s">
        <v>2173</v>
      </c>
      <c r="I88" s="151" t="s">
        <v>6865</v>
      </c>
      <c r="J88" s="151" t="s">
        <v>2101</v>
      </c>
      <c r="K88" s="151" t="s">
        <v>653</v>
      </c>
      <c r="L88" s="151" t="s">
        <v>1716</v>
      </c>
      <c r="M88" s="151" t="s">
        <v>6920</v>
      </c>
      <c r="N88" s="151" t="s">
        <v>6868</v>
      </c>
      <c r="O88" s="151"/>
      <c r="P88" s="151" t="s">
        <v>6905</v>
      </c>
      <c r="Q88" s="151" t="s">
        <v>7074</v>
      </c>
      <c r="R88" s="151" t="s">
        <v>6936</v>
      </c>
      <c r="S88" s="151" t="s">
        <v>6871</v>
      </c>
      <c r="T88" s="151">
        <v>2</v>
      </c>
      <c r="U88" s="151" t="s">
        <v>6872</v>
      </c>
      <c r="V88" s="151"/>
      <c r="W88" s="151"/>
      <c r="X88" s="151"/>
      <c r="Y88" s="151" t="s">
        <v>855</v>
      </c>
      <c r="Z88" s="151" t="s">
        <v>6905</v>
      </c>
      <c r="AA88" s="151"/>
    </row>
    <row r="89" spans="2:27">
      <c r="B89" s="151" t="s">
        <v>6968</v>
      </c>
      <c r="C89" s="151" t="s">
        <v>7227</v>
      </c>
      <c r="D89" s="151" t="s">
        <v>7071</v>
      </c>
      <c r="E89" s="151" t="s">
        <v>26</v>
      </c>
      <c r="F89" s="151" t="s">
        <v>7228</v>
      </c>
      <c r="G89" s="151" t="s">
        <v>2527</v>
      </c>
      <c r="H89" s="151" t="s">
        <v>2173</v>
      </c>
      <c r="I89" s="151" t="s">
        <v>6865</v>
      </c>
      <c r="J89" s="151" t="s">
        <v>2101</v>
      </c>
      <c r="K89" s="151" t="s">
        <v>7229</v>
      </c>
      <c r="L89" s="151" t="s">
        <v>5826</v>
      </c>
      <c r="M89" s="151" t="s">
        <v>7230</v>
      </c>
      <c r="N89" s="151" t="s">
        <v>6868</v>
      </c>
      <c r="O89" s="151"/>
      <c r="P89" s="151" t="s">
        <v>6905</v>
      </c>
      <c r="Q89" s="151" t="s">
        <v>7074</v>
      </c>
      <c r="R89" s="151" t="s">
        <v>3608</v>
      </c>
      <c r="S89" s="151" t="s">
        <v>6871</v>
      </c>
      <c r="T89" s="151">
        <v>30</v>
      </c>
      <c r="U89" s="151" t="s">
        <v>6872</v>
      </c>
      <c r="V89" s="151"/>
      <c r="W89" s="151"/>
      <c r="X89" s="151"/>
      <c r="Y89" s="151" t="s">
        <v>855</v>
      </c>
      <c r="Z89" s="151" t="s">
        <v>6905</v>
      </c>
      <c r="AA89" s="151"/>
    </row>
    <row r="90" spans="2:27">
      <c r="B90" s="151" t="s">
        <v>6968</v>
      </c>
      <c r="C90" s="151" t="s">
        <v>10800</v>
      </c>
      <c r="D90" s="151" t="s">
        <v>7071</v>
      </c>
      <c r="E90" s="151" t="s">
        <v>26</v>
      </c>
      <c r="F90" s="151" t="s">
        <v>7232</v>
      </c>
      <c r="G90" s="151" t="s">
        <v>2527</v>
      </c>
      <c r="H90" s="151" t="s">
        <v>7234</v>
      </c>
      <c r="I90" s="151"/>
      <c r="J90" s="151"/>
      <c r="K90" s="151"/>
      <c r="L90" s="151"/>
      <c r="M90" s="151" t="s">
        <v>361</v>
      </c>
      <c r="N90" s="151" t="s">
        <v>6868</v>
      </c>
      <c r="O90" s="151"/>
      <c r="P90" s="151" t="s">
        <v>6869</v>
      </c>
      <c r="Q90" s="151" t="s">
        <v>7237</v>
      </c>
      <c r="R90" s="151"/>
      <c r="S90" s="151" t="s">
        <v>6871</v>
      </c>
      <c r="T90" s="151"/>
      <c r="U90" s="151"/>
      <c r="V90" s="151"/>
      <c r="W90" s="151"/>
      <c r="X90" s="151"/>
      <c r="Y90" s="151"/>
      <c r="Z90" s="151" t="s">
        <v>6875</v>
      </c>
      <c r="AA90" s="151" t="s">
        <v>7238</v>
      </c>
    </row>
    <row r="91" spans="2:27">
      <c r="B91" s="151" t="s">
        <v>6858</v>
      </c>
      <c r="C91" s="151" t="s">
        <v>10800</v>
      </c>
      <c r="D91" s="151" t="s">
        <v>7071</v>
      </c>
      <c r="E91" s="151" t="s">
        <v>26</v>
      </c>
      <c r="F91" s="151" t="s">
        <v>7232</v>
      </c>
      <c r="G91" s="151" t="s">
        <v>2527</v>
      </c>
      <c r="H91" s="151" t="s">
        <v>7234</v>
      </c>
      <c r="I91" s="151"/>
      <c r="J91" s="151"/>
      <c r="K91" s="151"/>
      <c r="L91" s="151"/>
      <c r="M91" s="151" t="s">
        <v>361</v>
      </c>
      <c r="N91" s="151" t="s">
        <v>6868</v>
      </c>
      <c r="O91" s="151"/>
      <c r="P91" s="151" t="s">
        <v>6869</v>
      </c>
      <c r="Q91" s="151"/>
      <c r="R91" s="151"/>
      <c r="S91" s="151"/>
      <c r="T91" s="151"/>
      <c r="U91" s="151"/>
      <c r="V91" s="151"/>
      <c r="W91" s="151"/>
      <c r="X91" s="151"/>
      <c r="Y91" s="151"/>
      <c r="Z91" s="151" t="s">
        <v>6875</v>
      </c>
      <c r="AA91" s="151" t="s">
        <v>7238</v>
      </c>
    </row>
    <row r="92" spans="2:27">
      <c r="B92" s="151" t="s">
        <v>6968</v>
      </c>
      <c r="C92" s="151" t="s">
        <v>7241</v>
      </c>
      <c r="D92" s="151" t="s">
        <v>7071</v>
      </c>
      <c r="E92" s="151" t="s">
        <v>26</v>
      </c>
      <c r="F92" s="151" t="s">
        <v>7242</v>
      </c>
      <c r="G92" s="151" t="s">
        <v>2527</v>
      </c>
      <c r="H92" s="151" t="s">
        <v>2173</v>
      </c>
      <c r="I92" s="151" t="s">
        <v>6865</v>
      </c>
      <c r="J92" s="151" t="s">
        <v>2101</v>
      </c>
      <c r="K92" s="151" t="s">
        <v>653</v>
      </c>
      <c r="L92" s="151" t="s">
        <v>7243</v>
      </c>
      <c r="M92" s="151" t="s">
        <v>6920</v>
      </c>
      <c r="N92" s="151" t="s">
        <v>6868</v>
      </c>
      <c r="O92" s="151"/>
      <c r="P92" s="151" t="s">
        <v>6905</v>
      </c>
      <c r="Q92" s="151" t="s">
        <v>7074</v>
      </c>
      <c r="R92" s="151" t="s">
        <v>3608</v>
      </c>
      <c r="S92" s="151" t="s">
        <v>6871</v>
      </c>
      <c r="T92" s="151">
        <v>15</v>
      </c>
      <c r="U92" s="151" t="s">
        <v>6872</v>
      </c>
      <c r="V92" s="151"/>
      <c r="W92" s="151"/>
      <c r="X92" s="151"/>
      <c r="Y92" s="151" t="s">
        <v>7085</v>
      </c>
      <c r="Z92" s="151" t="s">
        <v>6905</v>
      </c>
      <c r="AA92" s="151"/>
    </row>
    <row r="93" spans="2:27">
      <c r="B93" s="151" t="s">
        <v>6858</v>
      </c>
      <c r="C93" s="151" t="s">
        <v>7241</v>
      </c>
      <c r="D93" s="151" t="s">
        <v>7071</v>
      </c>
      <c r="E93" s="151" t="s">
        <v>26</v>
      </c>
      <c r="F93" s="151" t="s">
        <v>7242</v>
      </c>
      <c r="G93" s="151" t="s">
        <v>2527</v>
      </c>
      <c r="H93" s="151" t="s">
        <v>2173</v>
      </c>
      <c r="I93" s="151" t="s">
        <v>6865</v>
      </c>
      <c r="J93" s="151" t="s">
        <v>2101</v>
      </c>
      <c r="K93" s="151" t="s">
        <v>653</v>
      </c>
      <c r="L93" s="151" t="s">
        <v>7243</v>
      </c>
      <c r="M93" s="151" t="s">
        <v>6920</v>
      </c>
      <c r="N93" s="151" t="s">
        <v>6868</v>
      </c>
      <c r="O93" s="151"/>
      <c r="P93" s="151" t="s">
        <v>6905</v>
      </c>
      <c r="Q93" s="151" t="s">
        <v>7074</v>
      </c>
      <c r="R93" s="151" t="s">
        <v>3608</v>
      </c>
      <c r="S93" s="151" t="s">
        <v>6871</v>
      </c>
      <c r="T93" s="151">
        <v>15</v>
      </c>
      <c r="U93" s="151" t="s">
        <v>6872</v>
      </c>
      <c r="V93" s="151"/>
      <c r="W93" s="151"/>
      <c r="X93" s="151"/>
      <c r="Y93" s="151" t="s">
        <v>7085</v>
      </c>
      <c r="Z93" s="151" t="s">
        <v>6905</v>
      </c>
      <c r="AA93" s="151"/>
    </row>
    <row r="94" spans="2:27">
      <c r="B94" s="151" t="s">
        <v>6968</v>
      </c>
      <c r="C94" s="151" t="s">
        <v>7089</v>
      </c>
      <c r="D94" s="151" t="s">
        <v>7071</v>
      </c>
      <c r="E94" s="151" t="s">
        <v>26</v>
      </c>
      <c r="F94" s="151" t="s">
        <v>7244</v>
      </c>
      <c r="G94" s="151" t="s">
        <v>2527</v>
      </c>
      <c r="H94" s="151" t="s">
        <v>2173</v>
      </c>
      <c r="I94" s="151" t="s">
        <v>6865</v>
      </c>
      <c r="J94" s="151" t="s">
        <v>2101</v>
      </c>
      <c r="K94" s="151" t="s">
        <v>653</v>
      </c>
      <c r="L94" s="151" t="s">
        <v>7091</v>
      </c>
      <c r="M94" s="151" t="s">
        <v>6920</v>
      </c>
      <c r="N94" s="151" t="s">
        <v>6868</v>
      </c>
      <c r="O94" s="151"/>
      <c r="P94" s="151" t="s">
        <v>6905</v>
      </c>
      <c r="Q94" s="151" t="s">
        <v>7074</v>
      </c>
      <c r="R94" s="151" t="s">
        <v>3608</v>
      </c>
      <c r="S94" s="151" t="s">
        <v>6871</v>
      </c>
      <c r="T94" s="151">
        <v>4</v>
      </c>
      <c r="U94" s="151" t="s">
        <v>6872</v>
      </c>
      <c r="V94" s="151"/>
      <c r="W94" s="151"/>
      <c r="X94" s="151"/>
      <c r="Y94" s="151" t="s">
        <v>855</v>
      </c>
      <c r="Z94" s="151" t="s">
        <v>6905</v>
      </c>
      <c r="AA94" s="151"/>
    </row>
    <row r="95" spans="2:27">
      <c r="B95" s="151" t="s">
        <v>6968</v>
      </c>
      <c r="C95" s="151" t="s">
        <v>4266</v>
      </c>
      <c r="D95" s="151" t="s">
        <v>7071</v>
      </c>
      <c r="E95" s="151" t="s">
        <v>26</v>
      </c>
      <c r="F95" s="151" t="s">
        <v>7245</v>
      </c>
      <c r="G95" s="151" t="s">
        <v>2527</v>
      </c>
      <c r="H95" s="151" t="s">
        <v>2173</v>
      </c>
      <c r="I95" s="151" t="s">
        <v>6865</v>
      </c>
      <c r="J95" s="151" t="s">
        <v>2101</v>
      </c>
      <c r="K95" s="151" t="s">
        <v>653</v>
      </c>
      <c r="L95" s="151" t="s">
        <v>7246</v>
      </c>
      <c r="M95" s="151" t="s">
        <v>6920</v>
      </c>
      <c r="N95" s="151" t="s">
        <v>6868</v>
      </c>
      <c r="O95" s="151"/>
      <c r="P95" s="151" t="s">
        <v>6905</v>
      </c>
      <c r="Q95" s="151" t="s">
        <v>7074</v>
      </c>
      <c r="R95" s="151" t="s">
        <v>4271</v>
      </c>
      <c r="S95" s="151" t="s">
        <v>6871</v>
      </c>
      <c r="T95" s="151" t="s">
        <v>6884</v>
      </c>
      <c r="U95" s="151" t="s">
        <v>6872</v>
      </c>
      <c r="V95" s="151"/>
      <c r="W95" s="151"/>
      <c r="X95" s="151"/>
      <c r="Y95" s="151" t="s">
        <v>7085</v>
      </c>
      <c r="Z95" s="151" t="s">
        <v>6905</v>
      </c>
      <c r="AA95" s="151"/>
    </row>
    <row r="96" spans="2:27">
      <c r="B96" s="151" t="s">
        <v>6858</v>
      </c>
      <c r="C96" s="151" t="s">
        <v>4266</v>
      </c>
      <c r="D96" s="151" t="s">
        <v>7071</v>
      </c>
      <c r="E96" s="151" t="s">
        <v>26</v>
      </c>
      <c r="F96" s="151" t="s">
        <v>7245</v>
      </c>
      <c r="G96" s="151" t="s">
        <v>2527</v>
      </c>
      <c r="H96" s="151" t="s">
        <v>2173</v>
      </c>
      <c r="I96" s="151" t="s">
        <v>6865</v>
      </c>
      <c r="J96" s="151" t="s">
        <v>2101</v>
      </c>
      <c r="K96" s="151" t="s">
        <v>653</v>
      </c>
      <c r="L96" s="151" t="s">
        <v>7246</v>
      </c>
      <c r="M96" s="151" t="s">
        <v>6920</v>
      </c>
      <c r="N96" s="151" t="s">
        <v>6868</v>
      </c>
      <c r="O96" s="151"/>
      <c r="P96" s="151" t="s">
        <v>6905</v>
      </c>
      <c r="Q96" s="151" t="s">
        <v>7074</v>
      </c>
      <c r="R96" s="151" t="s">
        <v>4271</v>
      </c>
      <c r="S96" s="151" t="s">
        <v>6871</v>
      </c>
      <c r="T96" s="151" t="s">
        <v>6884</v>
      </c>
      <c r="U96" s="151" t="s">
        <v>6872</v>
      </c>
      <c r="V96" s="151"/>
      <c r="W96" s="151"/>
      <c r="X96" s="151"/>
      <c r="Y96" s="151" t="s">
        <v>7085</v>
      </c>
      <c r="Z96" s="151" t="s">
        <v>6905</v>
      </c>
      <c r="AA96" s="151"/>
    </row>
    <row r="97" spans="2:27">
      <c r="B97" s="151" t="s">
        <v>6968</v>
      </c>
      <c r="C97" s="151" t="s">
        <v>7247</v>
      </c>
      <c r="D97" s="151" t="s">
        <v>7071</v>
      </c>
      <c r="E97" s="151" t="s">
        <v>26</v>
      </c>
      <c r="F97" s="151" t="s">
        <v>7248</v>
      </c>
      <c r="G97" s="151" t="s">
        <v>2527</v>
      </c>
      <c r="H97" s="151" t="s">
        <v>2173</v>
      </c>
      <c r="I97" s="151" t="s">
        <v>6865</v>
      </c>
      <c r="J97" s="151" t="s">
        <v>2101</v>
      </c>
      <c r="K97" s="151" t="s">
        <v>653</v>
      </c>
      <c r="L97" s="151" t="s">
        <v>7249</v>
      </c>
      <c r="M97" s="151" t="s">
        <v>6920</v>
      </c>
      <c r="N97" s="151" t="s">
        <v>6868</v>
      </c>
      <c r="O97" s="151"/>
      <c r="P97" s="151" t="s">
        <v>6905</v>
      </c>
      <c r="Q97" s="151" t="s">
        <v>7074</v>
      </c>
      <c r="R97" s="151" t="s">
        <v>4271</v>
      </c>
      <c r="S97" s="151" t="s">
        <v>6871</v>
      </c>
      <c r="T97" s="151" t="s">
        <v>6884</v>
      </c>
      <c r="U97" s="151" t="s">
        <v>6872</v>
      </c>
      <c r="V97" s="151"/>
      <c r="W97" s="151"/>
      <c r="X97" s="151"/>
      <c r="Y97" s="151" t="s">
        <v>7085</v>
      </c>
      <c r="Z97" s="151" t="s">
        <v>6905</v>
      </c>
      <c r="AA97" s="151"/>
    </row>
    <row r="98" spans="2:27">
      <c r="B98" s="151" t="s">
        <v>6858</v>
      </c>
      <c r="C98" s="151" t="s">
        <v>7247</v>
      </c>
      <c r="D98" s="151" t="s">
        <v>7071</v>
      </c>
      <c r="E98" s="151" t="s">
        <v>26</v>
      </c>
      <c r="F98" s="151" t="s">
        <v>7248</v>
      </c>
      <c r="G98" s="151" t="s">
        <v>2527</v>
      </c>
      <c r="H98" s="151" t="s">
        <v>2173</v>
      </c>
      <c r="I98" s="151" t="s">
        <v>6865</v>
      </c>
      <c r="J98" s="151" t="s">
        <v>2101</v>
      </c>
      <c r="K98" s="151" t="s">
        <v>653</v>
      </c>
      <c r="L98" s="151" t="s">
        <v>7249</v>
      </c>
      <c r="M98" s="151" t="s">
        <v>6920</v>
      </c>
      <c r="N98" s="151" t="s">
        <v>6868</v>
      </c>
      <c r="O98" s="151"/>
      <c r="P98" s="151" t="s">
        <v>6905</v>
      </c>
      <c r="Q98" s="151" t="s">
        <v>7074</v>
      </c>
      <c r="R98" s="151" t="s">
        <v>4271</v>
      </c>
      <c r="S98" s="151" t="s">
        <v>6871</v>
      </c>
      <c r="T98" s="151" t="s">
        <v>6884</v>
      </c>
      <c r="U98" s="151" t="s">
        <v>6872</v>
      </c>
      <c r="V98" s="151"/>
      <c r="W98" s="151"/>
      <c r="X98" s="151"/>
      <c r="Y98" s="151" t="s">
        <v>7085</v>
      </c>
      <c r="Z98" s="151" t="s">
        <v>6905</v>
      </c>
      <c r="AA98" s="151"/>
    </row>
    <row r="99" spans="2:27">
      <c r="B99" s="151" t="s">
        <v>6968</v>
      </c>
      <c r="C99" s="151" t="s">
        <v>7250</v>
      </c>
      <c r="D99" s="151" t="s">
        <v>7071</v>
      </c>
      <c r="E99" s="151" t="s">
        <v>26</v>
      </c>
      <c r="F99" s="151" t="s">
        <v>7251</v>
      </c>
      <c r="G99" s="151" t="s">
        <v>2527</v>
      </c>
      <c r="H99" s="151" t="s">
        <v>2173</v>
      </c>
      <c r="I99" s="151" t="s">
        <v>6865</v>
      </c>
      <c r="J99" s="151" t="s">
        <v>2101</v>
      </c>
      <c r="K99" s="151" t="s">
        <v>653</v>
      </c>
      <c r="L99" s="151" t="s">
        <v>7252</v>
      </c>
      <c r="M99" s="151" t="s">
        <v>6920</v>
      </c>
      <c r="N99" s="151" t="s">
        <v>6868</v>
      </c>
      <c r="O99" s="151"/>
      <c r="P99" s="151" t="s">
        <v>6905</v>
      </c>
      <c r="Q99" s="151" t="s">
        <v>7074</v>
      </c>
      <c r="R99" s="151" t="s">
        <v>3608</v>
      </c>
      <c r="S99" s="151" t="s">
        <v>6871</v>
      </c>
      <c r="T99" s="151">
        <v>3</v>
      </c>
      <c r="U99" s="151" t="s">
        <v>6872</v>
      </c>
      <c r="V99" s="151"/>
      <c r="W99" s="151"/>
      <c r="X99" s="151"/>
      <c r="Y99" s="151" t="s">
        <v>7085</v>
      </c>
      <c r="Z99" s="151" t="s">
        <v>6905</v>
      </c>
      <c r="AA99" s="151"/>
    </row>
    <row r="100" spans="2:27">
      <c r="B100" s="151" t="s">
        <v>6858</v>
      </c>
      <c r="C100" s="151" t="s">
        <v>7250</v>
      </c>
      <c r="D100" s="151" t="s">
        <v>7071</v>
      </c>
      <c r="E100" s="151" t="s">
        <v>26</v>
      </c>
      <c r="F100" s="151" t="s">
        <v>7251</v>
      </c>
      <c r="G100" s="151" t="s">
        <v>2527</v>
      </c>
      <c r="H100" s="151" t="s">
        <v>2173</v>
      </c>
      <c r="I100" s="151" t="s">
        <v>6865</v>
      </c>
      <c r="J100" s="151" t="s">
        <v>2101</v>
      </c>
      <c r="K100" s="151" t="s">
        <v>653</v>
      </c>
      <c r="L100" s="151" t="s">
        <v>7252</v>
      </c>
      <c r="M100" s="151" t="s">
        <v>6920</v>
      </c>
      <c r="N100" s="151" t="s">
        <v>6868</v>
      </c>
      <c r="O100" s="151"/>
      <c r="P100" s="151" t="s">
        <v>6905</v>
      </c>
      <c r="Q100" s="151" t="s">
        <v>7074</v>
      </c>
      <c r="R100" s="151" t="s">
        <v>3608</v>
      </c>
      <c r="S100" s="151" t="s">
        <v>6871</v>
      </c>
      <c r="T100" s="151">
        <v>3</v>
      </c>
      <c r="U100" s="151" t="s">
        <v>6872</v>
      </c>
      <c r="V100" s="151"/>
      <c r="W100" s="151"/>
      <c r="X100" s="151"/>
      <c r="Y100" s="151" t="s">
        <v>7085</v>
      </c>
      <c r="Z100" s="151" t="s">
        <v>6905</v>
      </c>
      <c r="AA100" s="151"/>
    </row>
    <row r="101" spans="2:27">
      <c r="B101" s="151" t="s">
        <v>6858</v>
      </c>
      <c r="C101" s="151" t="s">
        <v>7253</v>
      </c>
      <c r="D101" s="151" t="s">
        <v>7071</v>
      </c>
      <c r="E101" s="151" t="s">
        <v>26</v>
      </c>
      <c r="F101" s="151" t="s">
        <v>7254</v>
      </c>
      <c r="G101" s="151" t="s">
        <v>2527</v>
      </c>
      <c r="H101" s="151" t="s">
        <v>2173</v>
      </c>
      <c r="I101" s="151" t="s">
        <v>6865</v>
      </c>
      <c r="J101" s="151" t="s">
        <v>2101</v>
      </c>
      <c r="K101" s="151" t="s">
        <v>653</v>
      </c>
      <c r="L101" s="151" t="s">
        <v>7087</v>
      </c>
      <c r="M101" s="151" t="s">
        <v>6920</v>
      </c>
      <c r="N101" s="151" t="s">
        <v>6868</v>
      </c>
      <c r="O101" s="151"/>
      <c r="P101" s="151" t="s">
        <v>6905</v>
      </c>
      <c r="Q101" s="151"/>
      <c r="R101" s="151" t="s">
        <v>3608</v>
      </c>
      <c r="S101" s="151"/>
      <c r="T101" s="151">
        <v>3</v>
      </c>
      <c r="U101" s="151"/>
      <c r="V101" s="151"/>
      <c r="W101" s="151"/>
      <c r="X101" s="151"/>
      <c r="Y101" s="151" t="s">
        <v>7085</v>
      </c>
      <c r="Z101" s="151" t="s">
        <v>6905</v>
      </c>
      <c r="AA101" s="151"/>
    </row>
    <row r="102" spans="2:27">
      <c r="B102" s="151" t="s">
        <v>6968</v>
      </c>
      <c r="C102" s="151" t="s">
        <v>7255</v>
      </c>
      <c r="D102" s="151" t="s">
        <v>7071</v>
      </c>
      <c r="E102" s="151" t="s">
        <v>26</v>
      </c>
      <c r="F102" s="151" t="s">
        <v>7256</v>
      </c>
      <c r="G102" s="151" t="s">
        <v>2527</v>
      </c>
      <c r="H102" s="151" t="s">
        <v>2173</v>
      </c>
      <c r="I102" s="151" t="s">
        <v>6865</v>
      </c>
      <c r="J102" s="151" t="s">
        <v>2101</v>
      </c>
      <c r="K102" s="151" t="s">
        <v>653</v>
      </c>
      <c r="L102" s="151" t="s">
        <v>7257</v>
      </c>
      <c r="M102" s="151" t="s">
        <v>6920</v>
      </c>
      <c r="N102" s="151" t="s">
        <v>6868</v>
      </c>
      <c r="O102" s="151"/>
      <c r="P102" s="151" t="s">
        <v>6905</v>
      </c>
      <c r="Q102" s="151" t="s">
        <v>7074</v>
      </c>
      <c r="R102" s="151" t="s">
        <v>3608</v>
      </c>
      <c r="S102" s="151" t="s">
        <v>6871</v>
      </c>
      <c r="T102" s="151">
        <v>11</v>
      </c>
      <c r="U102" s="151" t="s">
        <v>6872</v>
      </c>
      <c r="V102" s="151"/>
      <c r="W102" s="151"/>
      <c r="X102" s="151"/>
      <c r="Y102" s="151" t="s">
        <v>7085</v>
      </c>
      <c r="Z102" s="151" t="s">
        <v>6905</v>
      </c>
      <c r="AA102" s="151"/>
    </row>
    <row r="103" spans="2:27">
      <c r="B103" s="151" t="s">
        <v>6858</v>
      </c>
      <c r="C103" s="151" t="s">
        <v>7255</v>
      </c>
      <c r="D103" s="151" t="s">
        <v>7071</v>
      </c>
      <c r="E103" s="151" t="s">
        <v>26</v>
      </c>
      <c r="F103" s="151" t="s">
        <v>7256</v>
      </c>
      <c r="G103" s="151" t="s">
        <v>2527</v>
      </c>
      <c r="H103" s="151" t="s">
        <v>2173</v>
      </c>
      <c r="I103" s="151" t="s">
        <v>6865</v>
      </c>
      <c r="J103" s="151" t="s">
        <v>2101</v>
      </c>
      <c r="K103" s="151" t="s">
        <v>653</v>
      </c>
      <c r="L103" s="151" t="s">
        <v>7257</v>
      </c>
      <c r="M103" s="151" t="s">
        <v>6920</v>
      </c>
      <c r="N103" s="151" t="s">
        <v>6868</v>
      </c>
      <c r="O103" s="151"/>
      <c r="P103" s="151" t="s">
        <v>6905</v>
      </c>
      <c r="Q103" s="151" t="s">
        <v>7074</v>
      </c>
      <c r="R103" s="151" t="s">
        <v>3608</v>
      </c>
      <c r="S103" s="151" t="s">
        <v>6871</v>
      </c>
      <c r="T103" s="151">
        <v>11</v>
      </c>
      <c r="U103" s="151" t="s">
        <v>6872</v>
      </c>
      <c r="V103" s="151"/>
      <c r="W103" s="151"/>
      <c r="X103" s="151"/>
      <c r="Y103" s="151" t="s">
        <v>7085</v>
      </c>
      <c r="Z103" s="151" t="s">
        <v>6905</v>
      </c>
      <c r="AA103" s="151"/>
    </row>
    <row r="104" spans="2:27">
      <c r="B104" s="151" t="s">
        <v>6968</v>
      </c>
      <c r="C104" s="151" t="s">
        <v>7258</v>
      </c>
      <c r="D104" s="151" t="s">
        <v>7071</v>
      </c>
      <c r="E104" s="151" t="s">
        <v>26</v>
      </c>
      <c r="F104" s="151" t="s">
        <v>7259</v>
      </c>
      <c r="G104" s="151" t="s">
        <v>2527</v>
      </c>
      <c r="H104" s="151" t="s">
        <v>2173</v>
      </c>
      <c r="I104" s="151" t="s">
        <v>6865</v>
      </c>
      <c r="J104" s="151" t="s">
        <v>2101</v>
      </c>
      <c r="K104" s="151" t="s">
        <v>653</v>
      </c>
      <c r="L104" s="151" t="s">
        <v>7260</v>
      </c>
      <c r="M104" s="151" t="s">
        <v>6920</v>
      </c>
      <c r="N104" s="151" t="s">
        <v>6868</v>
      </c>
      <c r="O104" s="151"/>
      <c r="P104" s="151" t="s">
        <v>6905</v>
      </c>
      <c r="Q104" s="151" t="s">
        <v>7074</v>
      </c>
      <c r="R104" s="151" t="s">
        <v>3608</v>
      </c>
      <c r="S104" s="151" t="s">
        <v>6871</v>
      </c>
      <c r="T104" s="151">
        <v>8</v>
      </c>
      <c r="U104" s="151" t="s">
        <v>6872</v>
      </c>
      <c r="V104" s="151"/>
      <c r="W104" s="151"/>
      <c r="X104" s="151"/>
      <c r="Y104" s="151" t="s">
        <v>7085</v>
      </c>
      <c r="Z104" s="151" t="s">
        <v>6905</v>
      </c>
      <c r="AA104" s="151"/>
    </row>
    <row r="105" spans="2:27">
      <c r="B105" s="151" t="s">
        <v>6858</v>
      </c>
      <c r="C105" s="151" t="s">
        <v>7258</v>
      </c>
      <c r="D105" s="151" t="s">
        <v>7071</v>
      </c>
      <c r="E105" s="151" t="s">
        <v>26</v>
      </c>
      <c r="F105" s="151" t="s">
        <v>7259</v>
      </c>
      <c r="G105" s="151" t="s">
        <v>2527</v>
      </c>
      <c r="H105" s="151" t="s">
        <v>2173</v>
      </c>
      <c r="I105" s="151" t="s">
        <v>6865</v>
      </c>
      <c r="J105" s="151" t="s">
        <v>2101</v>
      </c>
      <c r="K105" s="151" t="s">
        <v>653</v>
      </c>
      <c r="L105" s="151" t="s">
        <v>7260</v>
      </c>
      <c r="M105" s="151" t="s">
        <v>6920</v>
      </c>
      <c r="N105" s="151" t="s">
        <v>6868</v>
      </c>
      <c r="O105" s="151"/>
      <c r="P105" s="151" t="s">
        <v>6905</v>
      </c>
      <c r="Q105" s="151" t="s">
        <v>7074</v>
      </c>
      <c r="R105" s="151" t="s">
        <v>3608</v>
      </c>
      <c r="S105" s="151" t="s">
        <v>6871</v>
      </c>
      <c r="T105" s="151">
        <v>8</v>
      </c>
      <c r="U105" s="151" t="s">
        <v>6872</v>
      </c>
      <c r="V105" s="151"/>
      <c r="W105" s="151"/>
      <c r="X105" s="151"/>
      <c r="Y105" s="151" t="s">
        <v>7085</v>
      </c>
      <c r="Z105" s="151" t="s">
        <v>6905</v>
      </c>
      <c r="AA105" s="151"/>
    </row>
    <row r="106" spans="2:27">
      <c r="B106" s="151" t="s">
        <v>6968</v>
      </c>
      <c r="C106" s="151" t="s">
        <v>7261</v>
      </c>
      <c r="D106" s="151" t="s">
        <v>7071</v>
      </c>
      <c r="E106" s="151" t="s">
        <v>26</v>
      </c>
      <c r="F106" s="151" t="s">
        <v>7262</v>
      </c>
      <c r="G106" s="151" t="s">
        <v>2527</v>
      </c>
      <c r="H106" s="151" t="s">
        <v>2173</v>
      </c>
      <c r="I106" s="151" t="s">
        <v>6865</v>
      </c>
      <c r="J106" s="151" t="s">
        <v>2101</v>
      </c>
      <c r="K106" s="151" t="s">
        <v>653</v>
      </c>
      <c r="L106" s="151" t="s">
        <v>7263</v>
      </c>
      <c r="M106" s="151" t="s">
        <v>6920</v>
      </c>
      <c r="N106" s="151" t="s">
        <v>6868</v>
      </c>
      <c r="O106" s="151"/>
      <c r="P106" s="151" t="s">
        <v>6905</v>
      </c>
      <c r="Q106" s="151" t="s">
        <v>7074</v>
      </c>
      <c r="R106" s="151" t="s">
        <v>3608</v>
      </c>
      <c r="S106" s="151" t="s">
        <v>6871</v>
      </c>
      <c r="T106" s="151">
        <v>13</v>
      </c>
      <c r="U106" s="151" t="s">
        <v>6872</v>
      </c>
      <c r="V106" s="151"/>
      <c r="W106" s="151"/>
      <c r="X106" s="151"/>
      <c r="Y106" s="151" t="s">
        <v>7085</v>
      </c>
      <c r="Z106" s="151" t="s">
        <v>6905</v>
      </c>
      <c r="AA106" s="151"/>
    </row>
    <row r="107" spans="2:27">
      <c r="B107" s="151" t="s">
        <v>6858</v>
      </c>
      <c r="C107" s="151" t="s">
        <v>7261</v>
      </c>
      <c r="D107" s="151" t="s">
        <v>7071</v>
      </c>
      <c r="E107" s="151" t="s">
        <v>26</v>
      </c>
      <c r="F107" s="151" t="s">
        <v>7262</v>
      </c>
      <c r="G107" s="151" t="s">
        <v>2527</v>
      </c>
      <c r="H107" s="151" t="s">
        <v>2173</v>
      </c>
      <c r="I107" s="151" t="s">
        <v>6865</v>
      </c>
      <c r="J107" s="151" t="s">
        <v>2101</v>
      </c>
      <c r="K107" s="151" t="s">
        <v>653</v>
      </c>
      <c r="L107" s="151" t="s">
        <v>7263</v>
      </c>
      <c r="M107" s="151" t="s">
        <v>6920</v>
      </c>
      <c r="N107" s="151" t="s">
        <v>6868</v>
      </c>
      <c r="O107" s="151"/>
      <c r="P107" s="151" t="s">
        <v>6905</v>
      </c>
      <c r="Q107" s="151" t="s">
        <v>7074</v>
      </c>
      <c r="R107" s="151" t="s">
        <v>3608</v>
      </c>
      <c r="S107" s="151" t="s">
        <v>6871</v>
      </c>
      <c r="T107" s="151">
        <v>13</v>
      </c>
      <c r="U107" s="151" t="s">
        <v>6872</v>
      </c>
      <c r="V107" s="151"/>
      <c r="W107" s="151"/>
      <c r="X107" s="151"/>
      <c r="Y107" s="151" t="s">
        <v>7085</v>
      </c>
      <c r="Z107" s="151" t="s">
        <v>6905</v>
      </c>
      <c r="AA107" s="151"/>
    </row>
    <row r="108" spans="2:27">
      <c r="B108" s="151" t="s">
        <v>6968</v>
      </c>
      <c r="C108" s="151" t="s">
        <v>2821</v>
      </c>
      <c r="D108" s="151" t="s">
        <v>7071</v>
      </c>
      <c r="E108" s="151" t="s">
        <v>26</v>
      </c>
      <c r="F108" s="151" t="s">
        <v>7264</v>
      </c>
      <c r="G108" s="151" t="s">
        <v>2527</v>
      </c>
      <c r="H108" s="151" t="s">
        <v>2173</v>
      </c>
      <c r="I108" s="151" t="s">
        <v>6865</v>
      </c>
      <c r="J108" s="151" t="s">
        <v>2101</v>
      </c>
      <c r="K108" s="151" t="s">
        <v>653</v>
      </c>
      <c r="L108" s="151" t="s">
        <v>7265</v>
      </c>
      <c r="M108" s="151" t="s">
        <v>6920</v>
      </c>
      <c r="N108" s="151" t="s">
        <v>6868</v>
      </c>
      <c r="O108" s="151"/>
      <c r="P108" s="151" t="s">
        <v>6905</v>
      </c>
      <c r="Q108" s="151" t="s">
        <v>7074</v>
      </c>
      <c r="R108" s="151" t="s">
        <v>3608</v>
      </c>
      <c r="S108" s="151" t="s">
        <v>6871</v>
      </c>
      <c r="T108" s="151">
        <v>3</v>
      </c>
      <c r="U108" s="151" t="s">
        <v>6872</v>
      </c>
      <c r="V108" s="151"/>
      <c r="W108" s="151"/>
      <c r="X108" s="151"/>
      <c r="Y108" s="151" t="s">
        <v>7085</v>
      </c>
      <c r="Z108" s="151" t="s">
        <v>6905</v>
      </c>
      <c r="AA108" s="151"/>
    </row>
    <row r="109" spans="2:27">
      <c r="B109" s="151" t="s">
        <v>6968</v>
      </c>
      <c r="C109" s="151" t="s">
        <v>7054</v>
      </c>
      <c r="D109" s="151" t="s">
        <v>341</v>
      </c>
      <c r="E109" s="151" t="s">
        <v>26</v>
      </c>
      <c r="F109" s="151" t="s">
        <v>7460</v>
      </c>
      <c r="G109" s="151" t="s">
        <v>2527</v>
      </c>
      <c r="H109" s="151" t="s">
        <v>2173</v>
      </c>
      <c r="I109" s="151" t="s">
        <v>6865</v>
      </c>
      <c r="J109" s="151" t="s">
        <v>1194</v>
      </c>
      <c r="K109" s="151" t="s">
        <v>574</v>
      </c>
      <c r="L109" s="151" t="s">
        <v>2352</v>
      </c>
      <c r="M109" s="151" t="s">
        <v>6957</v>
      </c>
      <c r="N109" s="151" t="s">
        <v>6868</v>
      </c>
      <c r="O109" s="151"/>
      <c r="P109" s="151" t="s">
        <v>7079</v>
      </c>
      <c r="Q109" s="151" t="s">
        <v>6870</v>
      </c>
      <c r="R109" s="151" t="s">
        <v>2207</v>
      </c>
      <c r="S109" s="151"/>
      <c r="T109" s="151"/>
      <c r="U109" s="151"/>
      <c r="V109" s="151"/>
      <c r="W109" s="151"/>
      <c r="X109" s="151"/>
      <c r="Y109" s="151" t="s">
        <v>6961</v>
      </c>
      <c r="Z109" s="151" t="s">
        <v>7266</v>
      </c>
      <c r="AA109" s="151" t="s">
        <v>7267</v>
      </c>
    </row>
    <row r="110" spans="2:27">
      <c r="B110" s="151" t="s">
        <v>6858</v>
      </c>
      <c r="C110" s="151" t="s">
        <v>7268</v>
      </c>
      <c r="D110" s="151" t="s">
        <v>7071</v>
      </c>
      <c r="E110" s="151" t="s">
        <v>26</v>
      </c>
      <c r="F110" s="151" t="s">
        <v>7269</v>
      </c>
      <c r="G110" s="151" t="s">
        <v>2527</v>
      </c>
      <c r="H110" s="151" t="s">
        <v>2173</v>
      </c>
      <c r="I110" s="151" t="s">
        <v>6865</v>
      </c>
      <c r="J110" s="151" t="s">
        <v>2101</v>
      </c>
      <c r="K110" s="151" t="s">
        <v>653</v>
      </c>
      <c r="L110" s="151" t="s">
        <v>7270</v>
      </c>
      <c r="M110" s="151" t="s">
        <v>6920</v>
      </c>
      <c r="N110" s="151" t="s">
        <v>6868</v>
      </c>
      <c r="O110" s="151"/>
      <c r="P110" s="151" t="s">
        <v>6905</v>
      </c>
      <c r="Q110" s="151" t="s">
        <v>7074</v>
      </c>
      <c r="R110" s="151" t="s">
        <v>6936</v>
      </c>
      <c r="S110" s="151"/>
      <c r="T110" s="151">
        <v>2</v>
      </c>
      <c r="U110" s="151"/>
      <c r="V110" s="151"/>
      <c r="W110" s="151"/>
      <c r="X110" s="151"/>
      <c r="Y110" s="151" t="s">
        <v>7085</v>
      </c>
      <c r="Z110" s="151" t="s">
        <v>6905</v>
      </c>
      <c r="AA110" s="151"/>
    </row>
    <row r="111" spans="2:27">
      <c r="B111" s="151" t="s">
        <v>6858</v>
      </c>
      <c r="C111" s="151" t="s">
        <v>2343</v>
      </c>
      <c r="D111" s="151" t="s">
        <v>7071</v>
      </c>
      <c r="E111" s="151" t="s">
        <v>26</v>
      </c>
      <c r="F111" s="151" t="s">
        <v>7271</v>
      </c>
      <c r="G111" s="151" t="s">
        <v>2527</v>
      </c>
      <c r="H111" s="151" t="s">
        <v>2173</v>
      </c>
      <c r="I111" s="151" t="s">
        <v>6865</v>
      </c>
      <c r="J111" s="151" t="s">
        <v>2101</v>
      </c>
      <c r="K111" s="151" t="s">
        <v>653</v>
      </c>
      <c r="L111" s="151" t="s">
        <v>2346</v>
      </c>
      <c r="M111" s="151" t="s">
        <v>6920</v>
      </c>
      <c r="N111" s="151" t="s">
        <v>6868</v>
      </c>
      <c r="O111" s="151"/>
      <c r="P111" s="151" t="s">
        <v>6905</v>
      </c>
      <c r="Q111" s="151" t="s">
        <v>7074</v>
      </c>
      <c r="R111" s="151" t="s">
        <v>4271</v>
      </c>
      <c r="S111" s="151"/>
      <c r="T111" s="151">
        <v>5</v>
      </c>
      <c r="U111" s="151"/>
      <c r="V111" s="151"/>
      <c r="W111" s="151"/>
      <c r="X111" s="151"/>
      <c r="Y111" s="151" t="s">
        <v>7085</v>
      </c>
      <c r="Z111" s="151" t="s">
        <v>6905</v>
      </c>
      <c r="AA111" s="151"/>
    </row>
    <row r="112" spans="2:27">
      <c r="B112" s="151" t="s">
        <v>6858</v>
      </c>
      <c r="C112" s="151" t="s">
        <v>7272</v>
      </c>
      <c r="D112" s="151" t="s">
        <v>7071</v>
      </c>
      <c r="E112" s="151" t="s">
        <v>26</v>
      </c>
      <c r="F112" s="151" t="s">
        <v>7273</v>
      </c>
      <c r="G112" s="151" t="s">
        <v>2527</v>
      </c>
      <c r="H112" s="151" t="s">
        <v>3656</v>
      </c>
      <c r="I112" s="151"/>
      <c r="J112" s="151"/>
      <c r="K112" s="151"/>
      <c r="L112" s="151"/>
      <c r="M112" s="151" t="s">
        <v>361</v>
      </c>
      <c r="N112" s="151" t="s">
        <v>6868</v>
      </c>
      <c r="O112" s="151"/>
      <c r="P112" s="151" t="s">
        <v>7276</v>
      </c>
      <c r="Q112" s="151" t="s">
        <v>7074</v>
      </c>
      <c r="R112" s="151"/>
      <c r="S112" s="151"/>
      <c r="T112" s="151"/>
      <c r="U112" s="151"/>
      <c r="V112" s="151"/>
      <c r="W112" s="151"/>
      <c r="X112" s="151"/>
      <c r="Y112" s="151" t="s">
        <v>7085</v>
      </c>
      <c r="Z112" s="151" t="s">
        <v>7277</v>
      </c>
      <c r="AA112" s="151" t="s">
        <v>7278</v>
      </c>
    </row>
    <row r="113" spans="2:27">
      <c r="B113" s="151" t="s">
        <v>6858</v>
      </c>
      <c r="C113" s="151" t="s">
        <v>7279</v>
      </c>
      <c r="D113" s="151" t="s">
        <v>7071</v>
      </c>
      <c r="E113" s="151" t="s">
        <v>26</v>
      </c>
      <c r="F113" s="151" t="s">
        <v>7280</v>
      </c>
      <c r="G113" s="151" t="s">
        <v>2527</v>
      </c>
      <c r="H113" s="151" t="s">
        <v>2173</v>
      </c>
      <c r="I113" s="151" t="s">
        <v>6865</v>
      </c>
      <c r="J113" s="151" t="s">
        <v>2101</v>
      </c>
      <c r="K113" s="151" t="s">
        <v>7281</v>
      </c>
      <c r="L113" s="151" t="s">
        <v>7130</v>
      </c>
      <c r="M113" s="163" t="s">
        <v>7282</v>
      </c>
      <c r="N113" s="151" t="s">
        <v>7283</v>
      </c>
      <c r="O113" s="151" t="s">
        <v>7284</v>
      </c>
      <c r="P113" s="151" t="s">
        <v>2177</v>
      </c>
      <c r="Q113" s="151" t="s">
        <v>7074</v>
      </c>
      <c r="R113" s="151" t="s">
        <v>7134</v>
      </c>
      <c r="S113" s="151"/>
      <c r="T113" s="151" t="s">
        <v>7285</v>
      </c>
      <c r="U113" s="151"/>
      <c r="V113" s="151"/>
      <c r="W113" s="151"/>
      <c r="X113" s="151"/>
      <c r="Y113" s="151" t="s">
        <v>7085</v>
      </c>
      <c r="Z113" s="151"/>
      <c r="AA113" s="151"/>
    </row>
    <row r="114" spans="2:27">
      <c r="B114" s="151" t="s">
        <v>6968</v>
      </c>
      <c r="C114" s="151" t="s">
        <v>7286</v>
      </c>
      <c r="D114" s="151" t="s">
        <v>7071</v>
      </c>
      <c r="E114" s="151" t="s">
        <v>26</v>
      </c>
      <c r="F114" s="151" t="s">
        <v>7287</v>
      </c>
      <c r="G114" s="151" t="s">
        <v>2527</v>
      </c>
      <c r="H114" s="151" t="s">
        <v>2173</v>
      </c>
      <c r="I114" s="151" t="s">
        <v>6865</v>
      </c>
      <c r="J114" s="151" t="s">
        <v>2101</v>
      </c>
      <c r="K114" s="151" t="s">
        <v>653</v>
      </c>
      <c r="L114" s="151" t="s">
        <v>7288</v>
      </c>
      <c r="M114" s="151" t="s">
        <v>6920</v>
      </c>
      <c r="N114" s="151" t="s">
        <v>6868</v>
      </c>
      <c r="O114" s="151"/>
      <c r="P114" s="151" t="s">
        <v>6905</v>
      </c>
      <c r="Q114" s="151" t="s">
        <v>7074</v>
      </c>
      <c r="R114" s="151" t="s">
        <v>3608</v>
      </c>
      <c r="S114" s="151" t="s">
        <v>6871</v>
      </c>
      <c r="T114" s="151">
        <v>25</v>
      </c>
      <c r="U114" s="151" t="s">
        <v>6872</v>
      </c>
      <c r="V114" s="151"/>
      <c r="W114" s="151"/>
      <c r="X114" s="151"/>
      <c r="Y114" s="151" t="s">
        <v>7085</v>
      </c>
      <c r="Z114" s="151" t="s">
        <v>6905</v>
      </c>
      <c r="AA114" s="151"/>
    </row>
    <row r="115" spans="2:27">
      <c r="B115" s="151" t="s">
        <v>6858</v>
      </c>
      <c r="C115" s="151" t="s">
        <v>7286</v>
      </c>
      <c r="D115" s="151" t="s">
        <v>7071</v>
      </c>
      <c r="E115" s="151" t="s">
        <v>26</v>
      </c>
      <c r="F115" s="151" t="s">
        <v>7287</v>
      </c>
      <c r="G115" s="151" t="s">
        <v>2527</v>
      </c>
      <c r="H115" s="151" t="s">
        <v>2173</v>
      </c>
      <c r="I115" s="151" t="s">
        <v>6865</v>
      </c>
      <c r="J115" s="151" t="s">
        <v>2101</v>
      </c>
      <c r="K115" s="151" t="s">
        <v>653</v>
      </c>
      <c r="L115" s="151" t="s">
        <v>7288</v>
      </c>
      <c r="M115" s="151" t="s">
        <v>6920</v>
      </c>
      <c r="N115" s="151" t="s">
        <v>6868</v>
      </c>
      <c r="O115" s="151"/>
      <c r="P115" s="151" t="s">
        <v>6905</v>
      </c>
      <c r="Q115" s="151" t="s">
        <v>7074</v>
      </c>
      <c r="R115" s="151" t="s">
        <v>3608</v>
      </c>
      <c r="S115" s="151" t="s">
        <v>6871</v>
      </c>
      <c r="T115" s="151">
        <v>25</v>
      </c>
      <c r="U115" s="151" t="s">
        <v>6872</v>
      </c>
      <c r="V115" s="151"/>
      <c r="W115" s="151"/>
      <c r="X115" s="151"/>
      <c r="Y115" s="151" t="s">
        <v>7085</v>
      </c>
      <c r="Z115" s="151" t="s">
        <v>6905</v>
      </c>
      <c r="AA115" s="151"/>
    </row>
    <row r="116" spans="2:27">
      <c r="B116" s="151" t="s">
        <v>6968</v>
      </c>
      <c r="C116" s="151" t="s">
        <v>7289</v>
      </c>
      <c r="D116" s="151" t="s">
        <v>7071</v>
      </c>
      <c r="E116" s="151" t="s">
        <v>26</v>
      </c>
      <c r="F116" s="151" t="s">
        <v>7290</v>
      </c>
      <c r="G116" s="151" t="s">
        <v>2527</v>
      </c>
      <c r="H116" s="151" t="s">
        <v>2173</v>
      </c>
      <c r="I116" s="151" t="s">
        <v>6865</v>
      </c>
      <c r="J116" s="151" t="s">
        <v>2101</v>
      </c>
      <c r="K116" s="151" t="s">
        <v>653</v>
      </c>
      <c r="L116" s="151" t="s">
        <v>7291</v>
      </c>
      <c r="M116" s="151" t="s">
        <v>6920</v>
      </c>
      <c r="N116" s="151" t="s">
        <v>6868</v>
      </c>
      <c r="O116" s="151"/>
      <c r="P116" s="151" t="s">
        <v>6905</v>
      </c>
      <c r="Q116" s="151" t="s">
        <v>7074</v>
      </c>
      <c r="R116" s="151" t="s">
        <v>3608</v>
      </c>
      <c r="S116" s="151"/>
      <c r="T116" s="151">
        <v>12</v>
      </c>
      <c r="U116" s="151" t="s">
        <v>6872</v>
      </c>
      <c r="V116" s="151"/>
      <c r="W116" s="151"/>
      <c r="X116" s="151"/>
      <c r="Y116" s="151" t="s">
        <v>7085</v>
      </c>
      <c r="Z116" s="151" t="s">
        <v>6905</v>
      </c>
      <c r="AA116" s="151"/>
    </row>
    <row r="117" spans="2:27">
      <c r="B117" s="151" t="s">
        <v>6858</v>
      </c>
      <c r="C117" s="151" t="s">
        <v>7289</v>
      </c>
      <c r="D117" s="151" t="s">
        <v>7071</v>
      </c>
      <c r="E117" s="151" t="s">
        <v>26</v>
      </c>
      <c r="F117" s="151" t="s">
        <v>7290</v>
      </c>
      <c r="G117" s="151" t="s">
        <v>2527</v>
      </c>
      <c r="H117" s="151" t="s">
        <v>2173</v>
      </c>
      <c r="I117" s="151" t="s">
        <v>6865</v>
      </c>
      <c r="J117" s="151" t="s">
        <v>2101</v>
      </c>
      <c r="K117" s="151" t="s">
        <v>653</v>
      </c>
      <c r="L117" s="151" t="s">
        <v>7291</v>
      </c>
      <c r="M117" s="151" t="s">
        <v>6920</v>
      </c>
      <c r="N117" s="151" t="s">
        <v>6868</v>
      </c>
      <c r="O117" s="151"/>
      <c r="P117" s="151" t="s">
        <v>6905</v>
      </c>
      <c r="Q117" s="151" t="s">
        <v>7074</v>
      </c>
      <c r="R117" s="151" t="s">
        <v>3608</v>
      </c>
      <c r="S117" s="151"/>
      <c r="T117" s="151">
        <v>12</v>
      </c>
      <c r="U117" s="151" t="s">
        <v>6872</v>
      </c>
      <c r="V117" s="151"/>
      <c r="W117" s="151"/>
      <c r="X117" s="151"/>
      <c r="Y117" s="151" t="s">
        <v>7085</v>
      </c>
      <c r="Z117" s="151" t="s">
        <v>6905</v>
      </c>
      <c r="AA117" s="151"/>
    </row>
    <row r="118" spans="2:27">
      <c r="B118" s="151" t="s">
        <v>6968</v>
      </c>
      <c r="C118" s="151" t="s">
        <v>7292</v>
      </c>
      <c r="D118" s="151" t="s">
        <v>7071</v>
      </c>
      <c r="E118" s="151" t="s">
        <v>26</v>
      </c>
      <c r="F118" s="151" t="s">
        <v>7293</v>
      </c>
      <c r="G118" s="151" t="s">
        <v>2527</v>
      </c>
      <c r="H118" s="151" t="s">
        <v>2173</v>
      </c>
      <c r="I118" s="151" t="s">
        <v>6865</v>
      </c>
      <c r="J118" s="151" t="s">
        <v>2101</v>
      </c>
      <c r="K118" s="151" t="s">
        <v>653</v>
      </c>
      <c r="L118" s="151" t="s">
        <v>7294</v>
      </c>
      <c r="M118" s="151" t="s">
        <v>6920</v>
      </c>
      <c r="N118" s="151" t="s">
        <v>6868</v>
      </c>
      <c r="O118" s="151"/>
      <c r="P118" s="151" t="s">
        <v>6905</v>
      </c>
      <c r="Q118" s="151" t="s">
        <v>7074</v>
      </c>
      <c r="R118" s="151" t="s">
        <v>3608</v>
      </c>
      <c r="S118" s="151" t="s">
        <v>6871</v>
      </c>
      <c r="T118" s="151">
        <v>3</v>
      </c>
      <c r="U118" s="151" t="s">
        <v>6872</v>
      </c>
      <c r="V118" s="151"/>
      <c r="W118" s="151"/>
      <c r="X118" s="151"/>
      <c r="Y118" s="151" t="s">
        <v>7085</v>
      </c>
      <c r="Z118" s="151" t="s">
        <v>6905</v>
      </c>
      <c r="AA118" s="151"/>
    </row>
    <row r="119" spans="2:27">
      <c r="B119" s="151" t="s">
        <v>6858</v>
      </c>
      <c r="C119" s="151" t="s">
        <v>7292</v>
      </c>
      <c r="D119" s="151" t="s">
        <v>7071</v>
      </c>
      <c r="E119" s="151" t="s">
        <v>26</v>
      </c>
      <c r="F119" s="151" t="s">
        <v>7293</v>
      </c>
      <c r="G119" s="151" t="s">
        <v>2527</v>
      </c>
      <c r="H119" s="151" t="s">
        <v>2173</v>
      </c>
      <c r="I119" s="151" t="s">
        <v>6865</v>
      </c>
      <c r="J119" s="151" t="s">
        <v>2101</v>
      </c>
      <c r="K119" s="151" t="s">
        <v>653</v>
      </c>
      <c r="L119" s="151" t="s">
        <v>7294</v>
      </c>
      <c r="M119" s="151" t="s">
        <v>6920</v>
      </c>
      <c r="N119" s="151" t="s">
        <v>6868</v>
      </c>
      <c r="O119" s="151"/>
      <c r="P119" s="151" t="s">
        <v>6905</v>
      </c>
      <c r="Q119" s="151" t="s">
        <v>7074</v>
      </c>
      <c r="R119" s="151" t="s">
        <v>3608</v>
      </c>
      <c r="S119" s="151" t="s">
        <v>6871</v>
      </c>
      <c r="T119" s="151">
        <v>3</v>
      </c>
      <c r="U119" s="151" t="s">
        <v>6872</v>
      </c>
      <c r="V119" s="151"/>
      <c r="W119" s="151"/>
      <c r="X119" s="151"/>
      <c r="Y119" s="151" t="s">
        <v>7085</v>
      </c>
      <c r="Z119" s="151" t="s">
        <v>6905</v>
      </c>
      <c r="AA119" s="151"/>
    </row>
    <row r="120" spans="2:27">
      <c r="B120" s="151" t="s">
        <v>6968</v>
      </c>
      <c r="C120" s="151" t="s">
        <v>159</v>
      </c>
      <c r="D120" s="151" t="s">
        <v>7071</v>
      </c>
      <c r="E120" s="151" t="s">
        <v>26</v>
      </c>
      <c r="F120" s="151" t="s">
        <v>7295</v>
      </c>
      <c r="G120" s="151" t="s">
        <v>2527</v>
      </c>
      <c r="H120" s="151" t="s">
        <v>3656</v>
      </c>
      <c r="I120" s="151" t="s">
        <v>6865</v>
      </c>
      <c r="J120" s="151"/>
      <c r="K120" s="151"/>
      <c r="L120" s="151"/>
      <c r="M120" s="151" t="s">
        <v>361</v>
      </c>
      <c r="N120" s="151" t="s">
        <v>6868</v>
      </c>
      <c r="O120" s="151" t="s">
        <v>7296</v>
      </c>
      <c r="P120" s="151" t="s">
        <v>7276</v>
      </c>
      <c r="Q120" s="151" t="s">
        <v>7074</v>
      </c>
      <c r="R120" s="151"/>
      <c r="S120" s="151" t="s">
        <v>6871</v>
      </c>
      <c r="T120" s="151"/>
      <c r="U120" s="151" t="s">
        <v>6872</v>
      </c>
      <c r="V120" s="151"/>
      <c r="W120" s="151"/>
      <c r="X120" s="151"/>
      <c r="Y120" s="151" t="s">
        <v>7085</v>
      </c>
      <c r="Z120" s="151" t="s">
        <v>7297</v>
      </c>
      <c r="AA120" s="151" t="s">
        <v>7298</v>
      </c>
    </row>
    <row r="121" spans="2:27">
      <c r="B121" s="151" t="s">
        <v>6858</v>
      </c>
      <c r="C121" s="151" t="s">
        <v>159</v>
      </c>
      <c r="D121" s="151" t="s">
        <v>7071</v>
      </c>
      <c r="E121" s="151" t="s">
        <v>26</v>
      </c>
      <c r="F121" s="151" t="s">
        <v>7295</v>
      </c>
      <c r="G121" s="151" t="s">
        <v>2527</v>
      </c>
      <c r="H121" s="151" t="s">
        <v>3656</v>
      </c>
      <c r="I121" s="151" t="s">
        <v>6865</v>
      </c>
      <c r="J121" s="151"/>
      <c r="K121" s="151"/>
      <c r="L121" s="151"/>
      <c r="M121" s="151" t="s">
        <v>361</v>
      </c>
      <c r="N121" s="151" t="s">
        <v>6868</v>
      </c>
      <c r="O121" s="151" t="s">
        <v>7296</v>
      </c>
      <c r="P121" s="151" t="s">
        <v>7276</v>
      </c>
      <c r="Q121" s="151" t="s">
        <v>7074</v>
      </c>
      <c r="R121" s="151"/>
      <c r="S121" s="151" t="s">
        <v>6871</v>
      </c>
      <c r="T121" s="151"/>
      <c r="U121" s="151" t="s">
        <v>6872</v>
      </c>
      <c r="V121" s="151"/>
      <c r="W121" s="151"/>
      <c r="X121" s="151"/>
      <c r="Y121" s="151" t="s">
        <v>7085</v>
      </c>
      <c r="Z121" s="151" t="s">
        <v>7297</v>
      </c>
      <c r="AA121" s="151" t="s">
        <v>7298</v>
      </c>
    </row>
    <row r="122" spans="2:27">
      <c r="B122" s="151" t="s">
        <v>6858</v>
      </c>
      <c r="C122" s="151" t="s">
        <v>7299</v>
      </c>
      <c r="D122" s="151" t="s">
        <v>7071</v>
      </c>
      <c r="E122" s="151" t="s">
        <v>26</v>
      </c>
      <c r="F122" s="151" t="s">
        <v>7300</v>
      </c>
      <c r="G122" s="151" t="s">
        <v>2527</v>
      </c>
      <c r="H122" s="151" t="s">
        <v>2173</v>
      </c>
      <c r="I122" s="151" t="s">
        <v>6865</v>
      </c>
      <c r="J122" s="151" t="s">
        <v>2101</v>
      </c>
      <c r="K122" s="151" t="s">
        <v>7301</v>
      </c>
      <c r="L122" s="151" t="s">
        <v>7302</v>
      </c>
      <c r="M122" s="151" t="s">
        <v>7303</v>
      </c>
      <c r="N122" s="151" t="s">
        <v>6868</v>
      </c>
      <c r="O122" s="151"/>
      <c r="P122" s="151" t="s">
        <v>6905</v>
      </c>
      <c r="Q122" s="151" t="s">
        <v>7074</v>
      </c>
      <c r="R122" s="151" t="s">
        <v>3582</v>
      </c>
      <c r="S122" s="151" t="s">
        <v>6871</v>
      </c>
      <c r="T122" s="151">
        <v>25</v>
      </c>
      <c r="U122" s="151" t="s">
        <v>6872</v>
      </c>
      <c r="V122" s="151"/>
      <c r="W122" s="151"/>
      <c r="X122" s="151"/>
      <c r="Y122" s="151" t="s">
        <v>7085</v>
      </c>
      <c r="Z122" s="151" t="s">
        <v>6905</v>
      </c>
      <c r="AA122" s="151"/>
    </row>
    <row r="123" spans="2:27">
      <c r="B123" s="151" t="s">
        <v>6968</v>
      </c>
      <c r="C123" s="151" t="s">
        <v>4263</v>
      </c>
      <c r="D123" s="151" t="s">
        <v>7071</v>
      </c>
      <c r="E123" s="151" t="s">
        <v>26</v>
      </c>
      <c r="F123" s="151" t="s">
        <v>7304</v>
      </c>
      <c r="G123" s="151" t="s">
        <v>2527</v>
      </c>
      <c r="H123" s="151" t="s">
        <v>2173</v>
      </c>
      <c r="I123" s="151" t="s">
        <v>6865</v>
      </c>
      <c r="J123" s="151" t="s">
        <v>2101</v>
      </c>
      <c r="K123" s="151" t="s">
        <v>653</v>
      </c>
      <c r="L123" s="151" t="s">
        <v>7305</v>
      </c>
      <c r="M123" s="151" t="s">
        <v>6920</v>
      </c>
      <c r="N123" s="151" t="s">
        <v>6868</v>
      </c>
      <c r="O123" s="151"/>
      <c r="P123" s="151" t="s">
        <v>6905</v>
      </c>
      <c r="Q123" s="151" t="s">
        <v>7074</v>
      </c>
      <c r="R123" s="151" t="s">
        <v>3608</v>
      </c>
      <c r="S123" s="151" t="s">
        <v>6871</v>
      </c>
      <c r="T123" s="151">
        <v>3</v>
      </c>
      <c r="U123" s="151" t="s">
        <v>6872</v>
      </c>
      <c r="V123" s="151"/>
      <c r="W123" s="151"/>
      <c r="X123" s="151"/>
      <c r="Y123" s="151" t="s">
        <v>7085</v>
      </c>
      <c r="Z123" s="151" t="s">
        <v>6905</v>
      </c>
      <c r="AA123" s="151"/>
    </row>
    <row r="124" spans="2:27">
      <c r="B124" s="151" t="s">
        <v>6858</v>
      </c>
      <c r="C124" s="151" t="s">
        <v>4263</v>
      </c>
      <c r="D124" s="151" t="s">
        <v>7071</v>
      </c>
      <c r="E124" s="151" t="s">
        <v>26</v>
      </c>
      <c r="F124" s="151" t="s">
        <v>7304</v>
      </c>
      <c r="G124" s="151" t="s">
        <v>2527</v>
      </c>
      <c r="H124" s="151" t="s">
        <v>2173</v>
      </c>
      <c r="I124" s="151" t="s">
        <v>6865</v>
      </c>
      <c r="J124" s="151" t="s">
        <v>2101</v>
      </c>
      <c r="K124" s="151" t="s">
        <v>653</v>
      </c>
      <c r="L124" s="151" t="s">
        <v>7305</v>
      </c>
      <c r="M124" s="151" t="s">
        <v>6920</v>
      </c>
      <c r="N124" s="151" t="s">
        <v>6868</v>
      </c>
      <c r="O124" s="151"/>
      <c r="P124" s="151" t="s">
        <v>6905</v>
      </c>
      <c r="Q124" s="151" t="s">
        <v>7074</v>
      </c>
      <c r="R124" s="151" t="s">
        <v>3608</v>
      </c>
      <c r="S124" s="151" t="s">
        <v>6871</v>
      </c>
      <c r="T124" s="151">
        <v>3</v>
      </c>
      <c r="U124" s="151" t="s">
        <v>6872</v>
      </c>
      <c r="V124" s="151"/>
      <c r="W124" s="151"/>
      <c r="X124" s="151"/>
      <c r="Y124" s="151" t="s">
        <v>7085</v>
      </c>
      <c r="Z124" s="151" t="s">
        <v>6905</v>
      </c>
      <c r="AA124" s="151"/>
    </row>
    <row r="125" spans="2:27">
      <c r="B125" s="151" t="s">
        <v>6968</v>
      </c>
      <c r="C125" s="151" t="s">
        <v>7279</v>
      </c>
      <c r="D125" s="151" t="s">
        <v>7071</v>
      </c>
      <c r="E125" s="151" t="s">
        <v>26</v>
      </c>
      <c r="F125" s="151" t="s">
        <v>7306</v>
      </c>
      <c r="G125" s="151" t="s">
        <v>2527</v>
      </c>
      <c r="H125" s="151" t="s">
        <v>2173</v>
      </c>
      <c r="I125" s="151" t="s">
        <v>6865</v>
      </c>
      <c r="J125" s="151" t="s">
        <v>2101</v>
      </c>
      <c r="K125" s="151" t="s">
        <v>7281</v>
      </c>
      <c r="L125" s="151" t="s">
        <v>7130</v>
      </c>
      <c r="M125" s="163" t="s">
        <v>7282</v>
      </c>
      <c r="N125" s="151" t="s">
        <v>7283</v>
      </c>
      <c r="O125" s="151" t="s">
        <v>7307</v>
      </c>
      <c r="P125" s="151" t="s">
        <v>2177</v>
      </c>
      <c r="Q125" s="151" t="s">
        <v>7074</v>
      </c>
      <c r="R125" s="151" t="s">
        <v>3582</v>
      </c>
      <c r="S125" s="151" t="s">
        <v>6871</v>
      </c>
      <c r="T125" s="151">
        <v>20</v>
      </c>
      <c r="U125" s="151" t="s">
        <v>6872</v>
      </c>
      <c r="V125" s="151" t="s">
        <v>3608</v>
      </c>
      <c r="W125" s="151"/>
      <c r="X125" s="151"/>
      <c r="Y125" s="151" t="s">
        <v>855</v>
      </c>
      <c r="Z125" s="151"/>
      <c r="AA125" s="151"/>
    </row>
    <row r="126" spans="2:27">
      <c r="B126" s="151" t="s">
        <v>6968</v>
      </c>
      <c r="C126" s="151" t="s">
        <v>4298</v>
      </c>
      <c r="D126" s="151" t="s">
        <v>7071</v>
      </c>
      <c r="E126" s="151" t="s">
        <v>26</v>
      </c>
      <c r="F126" s="151" t="s">
        <v>7308</v>
      </c>
      <c r="G126" s="151" t="s">
        <v>2527</v>
      </c>
      <c r="H126" s="151" t="s">
        <v>2173</v>
      </c>
      <c r="I126" s="151" t="s">
        <v>6865</v>
      </c>
      <c r="J126" s="151" t="s">
        <v>2101</v>
      </c>
      <c r="K126" s="151" t="s">
        <v>7309</v>
      </c>
      <c r="L126" s="151" t="s">
        <v>7310</v>
      </c>
      <c r="M126" s="163" t="s">
        <v>7282</v>
      </c>
      <c r="N126" s="151" t="s">
        <v>6868</v>
      </c>
      <c r="O126" s="151" t="s">
        <v>7311</v>
      </c>
      <c r="P126" s="151" t="s">
        <v>2177</v>
      </c>
      <c r="Q126" s="151" t="s">
        <v>7074</v>
      </c>
      <c r="R126" s="151" t="s">
        <v>7312</v>
      </c>
      <c r="S126" s="151" t="s">
        <v>6871</v>
      </c>
      <c r="T126" s="151" t="s">
        <v>7313</v>
      </c>
      <c r="U126" s="151" t="s">
        <v>6872</v>
      </c>
      <c r="V126" s="151" t="s">
        <v>7314</v>
      </c>
      <c r="W126" s="151"/>
      <c r="X126" s="151"/>
      <c r="Y126" s="151" t="s">
        <v>7085</v>
      </c>
      <c r="Z126" s="151"/>
      <c r="AA126" s="151"/>
    </row>
    <row r="127" spans="2:27">
      <c r="B127" s="151" t="s">
        <v>6858</v>
      </c>
      <c r="C127" s="151" t="s">
        <v>4298</v>
      </c>
      <c r="D127" s="151" t="s">
        <v>7071</v>
      </c>
      <c r="E127" s="151" t="s">
        <v>26</v>
      </c>
      <c r="F127" s="151" t="s">
        <v>7308</v>
      </c>
      <c r="G127" s="151" t="s">
        <v>2527</v>
      </c>
      <c r="H127" s="151" t="s">
        <v>2173</v>
      </c>
      <c r="I127" s="151" t="s">
        <v>6865</v>
      </c>
      <c r="J127" s="151" t="s">
        <v>2101</v>
      </c>
      <c r="K127" s="151" t="s">
        <v>7309</v>
      </c>
      <c r="L127" s="151" t="s">
        <v>7310</v>
      </c>
      <c r="M127" s="163" t="s">
        <v>7282</v>
      </c>
      <c r="N127" s="151" t="s">
        <v>6868</v>
      </c>
      <c r="O127" s="151" t="s">
        <v>7311</v>
      </c>
      <c r="P127" s="151" t="s">
        <v>2177</v>
      </c>
      <c r="Q127" s="151" t="s">
        <v>7074</v>
      </c>
      <c r="R127" s="151" t="s">
        <v>7312</v>
      </c>
      <c r="S127" s="151" t="s">
        <v>6871</v>
      </c>
      <c r="T127" s="151" t="s">
        <v>7313</v>
      </c>
      <c r="U127" s="151" t="s">
        <v>6872</v>
      </c>
      <c r="V127" s="151" t="s">
        <v>7314</v>
      </c>
      <c r="W127" s="151"/>
      <c r="X127" s="151"/>
      <c r="Y127" s="151" t="s">
        <v>7085</v>
      </c>
      <c r="Z127" s="151"/>
      <c r="AA127" s="151"/>
    </row>
    <row r="128" spans="2:27">
      <c r="B128" s="151" t="s">
        <v>6968</v>
      </c>
      <c r="C128" s="151" t="s">
        <v>7315</v>
      </c>
      <c r="D128" s="151" t="s">
        <v>341</v>
      </c>
      <c r="E128" s="151" t="s">
        <v>26</v>
      </c>
      <c r="F128" s="151" t="s">
        <v>7316</v>
      </c>
      <c r="G128" s="151" t="s">
        <v>551</v>
      </c>
      <c r="H128" s="151" t="s">
        <v>2173</v>
      </c>
      <c r="I128" s="151" t="s">
        <v>6865</v>
      </c>
      <c r="J128" s="151" t="s">
        <v>2101</v>
      </c>
      <c r="K128" s="151" t="s">
        <v>7178</v>
      </c>
      <c r="L128" s="151" t="s">
        <v>7317</v>
      </c>
      <c r="M128" s="151" t="s">
        <v>7179</v>
      </c>
      <c r="N128" s="151" t="s">
        <v>6868</v>
      </c>
      <c r="O128" s="151"/>
      <c r="P128" s="151" t="s">
        <v>6905</v>
      </c>
      <c r="Q128" s="151" t="s">
        <v>7318</v>
      </c>
      <c r="R128" s="151" t="s">
        <v>4271</v>
      </c>
      <c r="S128" s="151" t="s">
        <v>6871</v>
      </c>
      <c r="T128" s="151" t="s">
        <v>6884</v>
      </c>
      <c r="U128" s="151" t="s">
        <v>6872</v>
      </c>
      <c r="V128" s="151"/>
      <c r="W128" s="151" t="s">
        <v>6871</v>
      </c>
      <c r="X128" s="151"/>
      <c r="Y128" s="151" t="s">
        <v>7319</v>
      </c>
      <c r="Z128" s="151" t="s">
        <v>6905</v>
      </c>
      <c r="AA128" s="151"/>
    </row>
    <row r="129" spans="2:27">
      <c r="B129" s="151" t="s">
        <v>6968</v>
      </c>
      <c r="C129" s="151" t="s">
        <v>7320</v>
      </c>
      <c r="D129" s="151" t="s">
        <v>341</v>
      </c>
      <c r="E129" s="151" t="s">
        <v>26</v>
      </c>
      <c r="F129" s="151" t="s">
        <v>7321</v>
      </c>
      <c r="G129" s="151" t="s">
        <v>551</v>
      </c>
      <c r="H129" s="151" t="s">
        <v>2173</v>
      </c>
      <c r="I129" s="151" t="s">
        <v>6865</v>
      </c>
      <c r="J129" s="151" t="s">
        <v>2101</v>
      </c>
      <c r="K129" s="151" t="s">
        <v>7178</v>
      </c>
      <c r="L129" s="151" t="s">
        <v>7322</v>
      </c>
      <c r="M129" s="151" t="s">
        <v>7179</v>
      </c>
      <c r="N129" s="151" t="s">
        <v>6868</v>
      </c>
      <c r="O129" s="151"/>
      <c r="P129" s="151" t="s">
        <v>6905</v>
      </c>
      <c r="Q129" s="151" t="s">
        <v>7318</v>
      </c>
      <c r="R129" s="151" t="s">
        <v>4271</v>
      </c>
      <c r="S129" s="151" t="s">
        <v>6871</v>
      </c>
      <c r="T129" s="151">
        <v>4</v>
      </c>
      <c r="U129" s="151" t="s">
        <v>7323</v>
      </c>
      <c r="V129" s="151"/>
      <c r="W129" s="151" t="s">
        <v>6871</v>
      </c>
      <c r="X129" s="151"/>
      <c r="Y129" s="151" t="s">
        <v>7319</v>
      </c>
      <c r="Z129" s="151" t="s">
        <v>6905</v>
      </c>
      <c r="AA129" s="151"/>
    </row>
    <row r="130" spans="2:27">
      <c r="B130" s="151" t="s">
        <v>6968</v>
      </c>
      <c r="C130" s="151" t="s">
        <v>7324</v>
      </c>
      <c r="D130" s="151" t="s">
        <v>341</v>
      </c>
      <c r="E130" s="151" t="s">
        <v>26</v>
      </c>
      <c r="F130" s="151" t="s">
        <v>7325</v>
      </c>
      <c r="G130" s="151" t="s">
        <v>551</v>
      </c>
      <c r="H130" s="151" t="s">
        <v>2173</v>
      </c>
      <c r="I130" s="151" t="s">
        <v>6865</v>
      </c>
      <c r="J130" s="151" t="s">
        <v>2101</v>
      </c>
      <c r="K130" s="151" t="s">
        <v>7178</v>
      </c>
      <c r="L130" s="151" t="s">
        <v>7326</v>
      </c>
      <c r="M130" s="151" t="s">
        <v>7179</v>
      </c>
      <c r="N130" s="151" t="s">
        <v>6868</v>
      </c>
      <c r="O130" s="151"/>
      <c r="P130" s="151" t="s">
        <v>6905</v>
      </c>
      <c r="Q130" s="151" t="s">
        <v>7318</v>
      </c>
      <c r="R130" s="151" t="s">
        <v>4271</v>
      </c>
      <c r="S130" s="151" t="s">
        <v>6871</v>
      </c>
      <c r="T130" s="151" t="s">
        <v>6884</v>
      </c>
      <c r="U130" s="151" t="s">
        <v>6872</v>
      </c>
      <c r="V130" s="151"/>
      <c r="W130" s="151" t="s">
        <v>6871</v>
      </c>
      <c r="X130" s="151"/>
      <c r="Y130" s="151" t="s">
        <v>7319</v>
      </c>
      <c r="Z130" s="151" t="s">
        <v>6905</v>
      </c>
      <c r="AA130" s="151"/>
    </row>
    <row r="131" spans="2:27">
      <c r="B131" s="151" t="s">
        <v>6968</v>
      </c>
      <c r="C131" s="151" t="s">
        <v>7327</v>
      </c>
      <c r="D131" s="151" t="s">
        <v>341</v>
      </c>
      <c r="E131" s="151" t="s">
        <v>26</v>
      </c>
      <c r="F131" s="151" t="s">
        <v>7328</v>
      </c>
      <c r="G131" s="151" t="s">
        <v>551</v>
      </c>
      <c r="H131" s="151" t="s">
        <v>2173</v>
      </c>
      <c r="I131" s="151" t="s">
        <v>6865</v>
      </c>
      <c r="J131" s="151" t="s">
        <v>2101</v>
      </c>
      <c r="K131" s="151" t="s">
        <v>7178</v>
      </c>
      <c r="L131" s="151" t="s">
        <v>7329</v>
      </c>
      <c r="M131" s="151" t="s">
        <v>7179</v>
      </c>
      <c r="N131" s="151" t="s">
        <v>6868</v>
      </c>
      <c r="O131" s="151"/>
      <c r="P131" s="151" t="s">
        <v>6905</v>
      </c>
      <c r="Q131" s="151" t="s">
        <v>7318</v>
      </c>
      <c r="R131" s="151" t="s">
        <v>4271</v>
      </c>
      <c r="S131" s="151" t="s">
        <v>6871</v>
      </c>
      <c r="T131" s="151">
        <v>4</v>
      </c>
      <c r="U131" s="151" t="s">
        <v>6872</v>
      </c>
      <c r="V131" s="151"/>
      <c r="W131" s="151" t="s">
        <v>6871</v>
      </c>
      <c r="X131" s="151"/>
      <c r="Y131" s="151" t="s">
        <v>7319</v>
      </c>
      <c r="Z131" s="151" t="s">
        <v>6905</v>
      </c>
      <c r="AA131" s="151"/>
    </row>
    <row r="132" spans="2:27">
      <c r="B132" s="151" t="s">
        <v>6858</v>
      </c>
      <c r="C132" s="151" t="s">
        <v>7330</v>
      </c>
      <c r="D132" s="151" t="s">
        <v>7331</v>
      </c>
      <c r="E132" s="151" t="s">
        <v>26</v>
      </c>
      <c r="F132" s="151" t="s">
        <v>7332</v>
      </c>
      <c r="G132" s="151" t="s">
        <v>2527</v>
      </c>
      <c r="H132" s="151" t="s">
        <v>3656</v>
      </c>
      <c r="I132" s="151"/>
      <c r="J132" s="151"/>
      <c r="K132" s="151"/>
      <c r="L132" s="151"/>
      <c r="M132" s="151" t="s">
        <v>361</v>
      </c>
      <c r="N132" s="151" t="s">
        <v>6868</v>
      </c>
      <c r="O132" s="151"/>
      <c r="P132" s="151" t="s">
        <v>7276</v>
      </c>
      <c r="Q132" s="151"/>
      <c r="R132" s="151"/>
      <c r="S132" s="151"/>
      <c r="T132" s="151"/>
      <c r="U132" s="151"/>
      <c r="V132" s="151"/>
      <c r="W132" s="151"/>
      <c r="X132" s="151"/>
      <c r="Y132" s="151" t="s">
        <v>7335</v>
      </c>
      <c r="Z132" s="151" t="s">
        <v>7277</v>
      </c>
      <c r="AA132" s="151" t="s">
        <v>7336</v>
      </c>
    </row>
    <row r="133" spans="2:27">
      <c r="B133" s="151" t="s">
        <v>6858</v>
      </c>
      <c r="C133" s="151" t="s">
        <v>7337</v>
      </c>
      <c r="D133" s="151" t="s">
        <v>7331</v>
      </c>
      <c r="E133" s="151" t="s">
        <v>26</v>
      </c>
      <c r="F133" s="151" t="s">
        <v>7338</v>
      </c>
      <c r="G133" s="151" t="s">
        <v>2527</v>
      </c>
      <c r="H133" s="151" t="s">
        <v>3656</v>
      </c>
      <c r="I133" s="151"/>
      <c r="J133" s="151"/>
      <c r="K133" s="151"/>
      <c r="L133" s="151"/>
      <c r="M133" s="151" t="s">
        <v>361</v>
      </c>
      <c r="N133" s="151" t="s">
        <v>6868</v>
      </c>
      <c r="O133" s="151"/>
      <c r="P133" s="151" t="s">
        <v>7276</v>
      </c>
      <c r="Q133" s="151"/>
      <c r="R133" s="151"/>
      <c r="S133" s="151"/>
      <c r="T133" s="151"/>
      <c r="U133" s="151"/>
      <c r="V133" s="151"/>
      <c r="W133" s="151"/>
      <c r="X133" s="151"/>
      <c r="Y133" s="151" t="s">
        <v>7335</v>
      </c>
      <c r="Z133" s="151" t="s">
        <v>7277</v>
      </c>
      <c r="AA133" s="151" t="s">
        <v>7336</v>
      </c>
    </row>
    <row r="134" spans="2:27">
      <c r="B134" s="151" t="s">
        <v>6858</v>
      </c>
      <c r="C134" s="151" t="s">
        <v>7339</v>
      </c>
      <c r="D134" s="151" t="s">
        <v>7331</v>
      </c>
      <c r="E134" s="151" t="s">
        <v>26</v>
      </c>
      <c r="F134" s="151" t="s">
        <v>7340</v>
      </c>
      <c r="G134" s="151" t="s">
        <v>2527</v>
      </c>
      <c r="H134" s="151" t="s">
        <v>3656</v>
      </c>
      <c r="I134" s="151"/>
      <c r="J134" s="151"/>
      <c r="K134" s="151"/>
      <c r="L134" s="151"/>
      <c r="M134" s="151" t="s">
        <v>361</v>
      </c>
      <c r="N134" s="151" t="s">
        <v>6868</v>
      </c>
      <c r="O134" s="151"/>
      <c r="P134" s="151" t="s">
        <v>7276</v>
      </c>
      <c r="Q134" s="151"/>
      <c r="R134" s="151"/>
      <c r="S134" s="151"/>
      <c r="T134" s="151"/>
      <c r="U134" s="151"/>
      <c r="V134" s="151"/>
      <c r="W134" s="151"/>
      <c r="X134" s="151"/>
      <c r="Y134" s="151" t="s">
        <v>7335</v>
      </c>
      <c r="Z134" s="151" t="s">
        <v>7277</v>
      </c>
      <c r="AA134" s="151" t="s">
        <v>7336</v>
      </c>
    </row>
    <row r="135" spans="2:27">
      <c r="B135" s="151" t="s">
        <v>6858</v>
      </c>
      <c r="C135" s="151" t="s">
        <v>7341</v>
      </c>
      <c r="D135" s="151" t="s">
        <v>7331</v>
      </c>
      <c r="E135" s="151" t="s">
        <v>26</v>
      </c>
      <c r="F135" s="151" t="s">
        <v>7342</v>
      </c>
      <c r="G135" s="151" t="s">
        <v>2527</v>
      </c>
      <c r="H135" s="151" t="s">
        <v>3656</v>
      </c>
      <c r="I135" s="151"/>
      <c r="J135" s="151"/>
      <c r="K135" s="151"/>
      <c r="L135" s="151"/>
      <c r="M135" s="151" t="s">
        <v>361</v>
      </c>
      <c r="N135" s="151" t="s">
        <v>6868</v>
      </c>
      <c r="O135" s="151"/>
      <c r="P135" s="151" t="s">
        <v>7276</v>
      </c>
      <c r="Q135" s="151"/>
      <c r="R135" s="151"/>
      <c r="S135" s="151"/>
      <c r="T135" s="151"/>
      <c r="U135" s="151"/>
      <c r="V135" s="151"/>
      <c r="W135" s="151"/>
      <c r="X135" s="151"/>
      <c r="Y135" s="151" t="s">
        <v>7335</v>
      </c>
      <c r="Z135" s="151" t="s">
        <v>7277</v>
      </c>
      <c r="AA135" s="151" t="s">
        <v>7336</v>
      </c>
    </row>
    <row r="136" spans="2:27">
      <c r="B136" s="151" t="s">
        <v>6858</v>
      </c>
      <c r="C136" s="151" t="s">
        <v>7343</v>
      </c>
      <c r="D136" s="151" t="s">
        <v>7331</v>
      </c>
      <c r="E136" s="151" t="s">
        <v>26</v>
      </c>
      <c r="F136" s="151" t="s">
        <v>7344</v>
      </c>
      <c r="G136" s="151" t="s">
        <v>2527</v>
      </c>
      <c r="H136" s="151" t="s">
        <v>3656</v>
      </c>
      <c r="I136" s="151"/>
      <c r="J136" s="151"/>
      <c r="K136" s="151"/>
      <c r="L136" s="151"/>
      <c r="M136" s="151" t="s">
        <v>361</v>
      </c>
      <c r="N136" s="151" t="s">
        <v>6868</v>
      </c>
      <c r="O136" s="151"/>
      <c r="P136" s="151" t="s">
        <v>7276</v>
      </c>
      <c r="Q136" s="151"/>
      <c r="R136" s="151"/>
      <c r="S136" s="151"/>
      <c r="T136" s="151"/>
      <c r="U136" s="151"/>
      <c r="V136" s="151"/>
      <c r="W136" s="151"/>
      <c r="X136" s="151"/>
      <c r="Y136" s="151" t="s">
        <v>7335</v>
      </c>
      <c r="Z136" s="151" t="s">
        <v>7277</v>
      </c>
      <c r="AA136" s="151" t="s">
        <v>7336</v>
      </c>
    </row>
    <row r="137" spans="2:27">
      <c r="B137" s="151" t="s">
        <v>6858</v>
      </c>
      <c r="C137" s="151" t="s">
        <v>7345</v>
      </c>
      <c r="D137" s="151" t="s">
        <v>7331</v>
      </c>
      <c r="E137" s="151" t="s">
        <v>26</v>
      </c>
      <c r="F137" s="151" t="s">
        <v>7346</v>
      </c>
      <c r="G137" s="151" t="s">
        <v>2527</v>
      </c>
      <c r="H137" s="151" t="s">
        <v>3656</v>
      </c>
      <c r="I137" s="151"/>
      <c r="J137" s="151"/>
      <c r="K137" s="151"/>
      <c r="L137" s="151"/>
      <c r="M137" s="151" t="s">
        <v>361</v>
      </c>
      <c r="N137" s="151" t="s">
        <v>6868</v>
      </c>
      <c r="O137" s="151"/>
      <c r="P137" s="151" t="s">
        <v>7276</v>
      </c>
      <c r="Q137" s="151"/>
      <c r="R137" s="151"/>
      <c r="S137" s="151"/>
      <c r="T137" s="151"/>
      <c r="U137" s="151"/>
      <c r="V137" s="151"/>
      <c r="W137" s="151"/>
      <c r="X137" s="151"/>
      <c r="Y137" s="151" t="s">
        <v>7335</v>
      </c>
      <c r="Z137" s="151" t="s">
        <v>7277</v>
      </c>
      <c r="AA137" s="151" t="s">
        <v>7336</v>
      </c>
    </row>
    <row r="138" spans="2:27">
      <c r="B138" s="151" t="s">
        <v>6858</v>
      </c>
      <c r="C138" s="151" t="s">
        <v>7347</v>
      </c>
      <c r="D138" s="151" t="s">
        <v>7331</v>
      </c>
      <c r="E138" s="151" t="s">
        <v>26</v>
      </c>
      <c r="F138" s="151" t="s">
        <v>7348</v>
      </c>
      <c r="G138" s="151" t="s">
        <v>2527</v>
      </c>
      <c r="H138" s="151" t="s">
        <v>3656</v>
      </c>
      <c r="I138" s="151"/>
      <c r="J138" s="151"/>
      <c r="K138" s="151"/>
      <c r="L138" s="151"/>
      <c r="M138" s="151" t="s">
        <v>361</v>
      </c>
      <c r="N138" s="151" t="s">
        <v>6868</v>
      </c>
      <c r="O138" s="151"/>
      <c r="P138" s="151" t="s">
        <v>7276</v>
      </c>
      <c r="Q138" s="151"/>
      <c r="R138" s="151"/>
      <c r="S138" s="151"/>
      <c r="T138" s="151"/>
      <c r="U138" s="151"/>
      <c r="V138" s="151"/>
      <c r="W138" s="151"/>
      <c r="X138" s="151"/>
      <c r="Y138" s="151" t="s">
        <v>7335</v>
      </c>
      <c r="Z138" s="151" t="s">
        <v>7277</v>
      </c>
      <c r="AA138" s="151" t="s">
        <v>7336</v>
      </c>
    </row>
    <row r="139" spans="2:27">
      <c r="B139" s="151" t="s">
        <v>6858</v>
      </c>
      <c r="C139" s="151" t="s">
        <v>7349</v>
      </c>
      <c r="D139" s="151" t="s">
        <v>7331</v>
      </c>
      <c r="E139" s="151" t="s">
        <v>26</v>
      </c>
      <c r="F139" s="151" t="s">
        <v>7350</v>
      </c>
      <c r="G139" s="151" t="s">
        <v>2527</v>
      </c>
      <c r="H139" s="151" t="s">
        <v>3656</v>
      </c>
      <c r="I139" s="151"/>
      <c r="J139" s="151"/>
      <c r="K139" s="151"/>
      <c r="L139" s="151"/>
      <c r="M139" s="151" t="s">
        <v>361</v>
      </c>
      <c r="N139" s="151" t="s">
        <v>6868</v>
      </c>
      <c r="O139" s="151"/>
      <c r="P139" s="151" t="s">
        <v>7276</v>
      </c>
      <c r="Q139" s="151"/>
      <c r="R139" s="151"/>
      <c r="S139" s="151"/>
      <c r="T139" s="151"/>
      <c r="U139" s="151"/>
      <c r="V139" s="151"/>
      <c r="W139" s="151"/>
      <c r="X139" s="151"/>
      <c r="Y139" s="151" t="s">
        <v>7335</v>
      </c>
      <c r="Z139" s="151" t="s">
        <v>7277</v>
      </c>
      <c r="AA139" s="151" t="s">
        <v>7336</v>
      </c>
    </row>
    <row r="140" spans="2:27">
      <c r="B140" s="151" t="s">
        <v>6858</v>
      </c>
      <c r="C140" s="151" t="s">
        <v>7351</v>
      </c>
      <c r="D140" s="151" t="s">
        <v>7331</v>
      </c>
      <c r="E140" s="151" t="s">
        <v>26</v>
      </c>
      <c r="F140" s="151" t="s">
        <v>7352</v>
      </c>
      <c r="G140" s="151" t="s">
        <v>2527</v>
      </c>
      <c r="H140" s="151" t="s">
        <v>3656</v>
      </c>
      <c r="I140" s="151"/>
      <c r="J140" s="151"/>
      <c r="K140" s="151"/>
      <c r="L140" s="151"/>
      <c r="M140" s="151" t="s">
        <v>361</v>
      </c>
      <c r="N140" s="151" t="s">
        <v>6868</v>
      </c>
      <c r="O140" s="151"/>
      <c r="P140" s="151" t="s">
        <v>7276</v>
      </c>
      <c r="Q140" s="151"/>
      <c r="R140" s="151"/>
      <c r="S140" s="151"/>
      <c r="T140" s="151"/>
      <c r="U140" s="151"/>
      <c r="V140" s="151"/>
      <c r="W140" s="151"/>
      <c r="X140" s="151"/>
      <c r="Y140" s="151" t="s">
        <v>7335</v>
      </c>
      <c r="Z140" s="151" t="s">
        <v>7277</v>
      </c>
      <c r="AA140" s="151" t="s">
        <v>7336</v>
      </c>
    </row>
    <row r="141" spans="2:27">
      <c r="B141" s="151" t="s">
        <v>6858</v>
      </c>
      <c r="C141" s="151" t="s">
        <v>7353</v>
      </c>
      <c r="D141" s="151" t="s">
        <v>7331</v>
      </c>
      <c r="E141" s="151" t="s">
        <v>26</v>
      </c>
      <c r="F141" s="151" t="s">
        <v>7354</v>
      </c>
      <c r="G141" s="151" t="s">
        <v>2527</v>
      </c>
      <c r="H141" s="151" t="s">
        <v>3656</v>
      </c>
      <c r="I141" s="151"/>
      <c r="J141" s="151"/>
      <c r="K141" s="151"/>
      <c r="L141" s="151"/>
      <c r="M141" s="151" t="s">
        <v>361</v>
      </c>
      <c r="N141" s="151" t="s">
        <v>6868</v>
      </c>
      <c r="O141" s="151"/>
      <c r="P141" s="151" t="s">
        <v>7276</v>
      </c>
      <c r="Q141" s="151"/>
      <c r="R141" s="151"/>
      <c r="S141" s="151"/>
      <c r="T141" s="151"/>
      <c r="U141" s="151"/>
      <c r="V141" s="151"/>
      <c r="W141" s="151"/>
      <c r="X141" s="151"/>
      <c r="Y141" s="151" t="s">
        <v>7335</v>
      </c>
      <c r="Z141" s="151" t="s">
        <v>7277</v>
      </c>
      <c r="AA141" s="151" t="s">
        <v>7336</v>
      </c>
    </row>
    <row r="142" spans="2:27">
      <c r="B142" s="151" t="s">
        <v>6858</v>
      </c>
      <c r="C142" s="151" t="s">
        <v>7355</v>
      </c>
      <c r="D142" s="151" t="s">
        <v>4497</v>
      </c>
      <c r="E142" s="151" t="s">
        <v>26</v>
      </c>
      <c r="F142" s="151" t="s">
        <v>7356</v>
      </c>
      <c r="G142" s="151" t="s">
        <v>544</v>
      </c>
      <c r="H142" s="151" t="s">
        <v>2173</v>
      </c>
      <c r="I142" s="151" t="s">
        <v>6865</v>
      </c>
      <c r="J142" s="151" t="s">
        <v>7357</v>
      </c>
      <c r="K142" s="151" t="s">
        <v>7358</v>
      </c>
      <c r="L142" s="151" t="s">
        <v>7359</v>
      </c>
      <c r="M142" s="151" t="s">
        <v>6867</v>
      </c>
      <c r="N142" s="151" t="s">
        <v>6868</v>
      </c>
      <c r="O142" s="151" t="s">
        <v>7360</v>
      </c>
      <c r="P142" s="151" t="s">
        <v>2177</v>
      </c>
      <c r="Q142" s="151"/>
      <c r="R142" s="151" t="s">
        <v>7361</v>
      </c>
      <c r="S142" s="151"/>
      <c r="T142" s="151" t="s">
        <v>7362</v>
      </c>
      <c r="U142" s="151" t="s">
        <v>7363</v>
      </c>
      <c r="V142" s="151"/>
      <c r="W142" s="151"/>
      <c r="X142" s="151"/>
      <c r="Y142" s="151" t="s">
        <v>7364</v>
      </c>
      <c r="Z142" s="151"/>
      <c r="AA142" s="151" t="s">
        <v>6876</v>
      </c>
    </row>
    <row r="143" spans="2:27">
      <c r="B143" s="151" t="s">
        <v>6858</v>
      </c>
      <c r="C143" s="151" t="s">
        <v>5416</v>
      </c>
      <c r="D143" s="151" t="s">
        <v>7365</v>
      </c>
      <c r="E143" s="151" t="s">
        <v>26</v>
      </c>
      <c r="F143" s="151" t="s">
        <v>7366</v>
      </c>
      <c r="G143" s="151" t="s">
        <v>2527</v>
      </c>
      <c r="H143" s="151" t="s">
        <v>10801</v>
      </c>
      <c r="I143" s="151" t="s">
        <v>6865</v>
      </c>
      <c r="J143" s="151" t="s">
        <v>1194</v>
      </c>
      <c r="K143" s="151" t="s">
        <v>656</v>
      </c>
      <c r="L143" s="151" t="s">
        <v>7368</v>
      </c>
      <c r="M143" s="151" t="s">
        <v>361</v>
      </c>
      <c r="N143" s="151" t="s">
        <v>6868</v>
      </c>
      <c r="O143" s="151" t="s">
        <v>7369</v>
      </c>
      <c r="P143" s="151" t="s">
        <v>7079</v>
      </c>
      <c r="Q143" s="151" t="s">
        <v>7074</v>
      </c>
      <c r="R143" s="151"/>
      <c r="S143" s="151" t="s">
        <v>6871</v>
      </c>
      <c r="T143" s="151"/>
      <c r="U143" s="151" t="s">
        <v>7363</v>
      </c>
      <c r="V143" s="151"/>
      <c r="W143" s="151"/>
      <c r="X143" s="151"/>
      <c r="Y143" s="151" t="s">
        <v>7370</v>
      </c>
      <c r="Z143" s="151" t="s">
        <v>7371</v>
      </c>
      <c r="AA143" s="151"/>
    </row>
    <row r="144" spans="2:27">
      <c r="B144" s="151" t="s">
        <v>6858</v>
      </c>
      <c r="C144" s="151" t="s">
        <v>5789</v>
      </c>
      <c r="D144" s="151" t="s">
        <v>7365</v>
      </c>
      <c r="E144" s="151" t="s">
        <v>26</v>
      </c>
      <c r="F144" s="151" t="s">
        <v>7372</v>
      </c>
      <c r="G144" s="151" t="s">
        <v>2527</v>
      </c>
      <c r="H144" s="151" t="s">
        <v>10801</v>
      </c>
      <c r="I144" s="151" t="s">
        <v>6865</v>
      </c>
      <c r="J144" s="151" t="s">
        <v>1194</v>
      </c>
      <c r="K144" s="151" t="s">
        <v>656</v>
      </c>
      <c r="L144" s="151" t="s">
        <v>7373</v>
      </c>
      <c r="M144" s="151" t="s">
        <v>361</v>
      </c>
      <c r="N144" s="151" t="s">
        <v>6868</v>
      </c>
      <c r="O144" s="151" t="s">
        <v>7369</v>
      </c>
      <c r="P144" s="151" t="s">
        <v>7079</v>
      </c>
      <c r="Q144" s="151" t="s">
        <v>7074</v>
      </c>
      <c r="R144" s="151"/>
      <c r="S144" s="151" t="s">
        <v>6871</v>
      </c>
      <c r="T144" s="151"/>
      <c r="U144" s="151" t="s">
        <v>431</v>
      </c>
      <c r="V144" s="151"/>
      <c r="W144" s="151"/>
      <c r="X144" s="151"/>
      <c r="Y144" s="151" t="s">
        <v>7370</v>
      </c>
      <c r="Z144" s="151" t="s">
        <v>7371</v>
      </c>
      <c r="AA144" s="151"/>
    </row>
    <row r="145" spans="2:27">
      <c r="B145" s="151" t="s">
        <v>6858</v>
      </c>
      <c r="C145" s="151" t="s">
        <v>7374</v>
      </c>
      <c r="D145" s="151" t="s">
        <v>7365</v>
      </c>
      <c r="E145" s="151" t="s">
        <v>26</v>
      </c>
      <c r="F145" s="151" t="s">
        <v>7375</v>
      </c>
      <c r="G145" s="151" t="s">
        <v>2527</v>
      </c>
      <c r="H145" s="151" t="s">
        <v>10801</v>
      </c>
      <c r="I145" s="151" t="s">
        <v>6865</v>
      </c>
      <c r="J145" s="151" t="s">
        <v>1194</v>
      </c>
      <c r="K145" s="151" t="s">
        <v>656</v>
      </c>
      <c r="L145" s="151" t="s">
        <v>7376</v>
      </c>
      <c r="M145" s="151" t="s">
        <v>361</v>
      </c>
      <c r="N145" s="151" t="s">
        <v>6868</v>
      </c>
      <c r="O145" s="151" t="s">
        <v>7369</v>
      </c>
      <c r="P145" s="151" t="s">
        <v>7079</v>
      </c>
      <c r="Q145" s="151" t="s">
        <v>7074</v>
      </c>
      <c r="R145" s="151"/>
      <c r="S145" s="151" t="s">
        <v>6871</v>
      </c>
      <c r="T145" s="151"/>
      <c r="U145" s="151" t="s">
        <v>431</v>
      </c>
      <c r="V145" s="151"/>
      <c r="W145" s="151"/>
      <c r="X145" s="151"/>
      <c r="Y145" s="151" t="s">
        <v>7370</v>
      </c>
      <c r="Z145" s="151" t="s">
        <v>7371</v>
      </c>
      <c r="AA145" s="151"/>
    </row>
    <row r="146" spans="2:27">
      <c r="B146" s="151" t="s">
        <v>6858</v>
      </c>
      <c r="C146" s="151" t="s">
        <v>7377</v>
      </c>
      <c r="D146" s="151" t="s">
        <v>7365</v>
      </c>
      <c r="E146" s="151" t="s">
        <v>26</v>
      </c>
      <c r="F146" s="151" t="s">
        <v>7378</v>
      </c>
      <c r="G146" s="151" t="s">
        <v>2527</v>
      </c>
      <c r="H146" s="151" t="s">
        <v>10801</v>
      </c>
      <c r="I146" s="151" t="s">
        <v>6865</v>
      </c>
      <c r="J146" s="151" t="s">
        <v>1194</v>
      </c>
      <c r="K146" s="151" t="s">
        <v>656</v>
      </c>
      <c r="L146" s="151" t="s">
        <v>7379</v>
      </c>
      <c r="M146" s="151" t="s">
        <v>361</v>
      </c>
      <c r="N146" s="151" t="s">
        <v>6868</v>
      </c>
      <c r="O146" s="151" t="s">
        <v>7369</v>
      </c>
      <c r="P146" s="151" t="s">
        <v>7079</v>
      </c>
      <c r="Q146" s="151" t="s">
        <v>7074</v>
      </c>
      <c r="R146" s="151"/>
      <c r="S146" s="151" t="s">
        <v>6871</v>
      </c>
      <c r="T146" s="151"/>
      <c r="U146" s="151" t="s">
        <v>7363</v>
      </c>
      <c r="V146" s="151"/>
      <c r="W146" s="151"/>
      <c r="X146" s="151"/>
      <c r="Y146" s="151" t="s">
        <v>7370</v>
      </c>
      <c r="Z146" s="151" t="s">
        <v>7371</v>
      </c>
      <c r="AA146" s="151"/>
    </row>
    <row r="147" spans="2:27">
      <c r="B147" s="151" t="s">
        <v>6858</v>
      </c>
      <c r="C147" s="151" t="s">
        <v>4298</v>
      </c>
      <c r="D147" s="151" t="s">
        <v>7365</v>
      </c>
      <c r="E147" s="151" t="s">
        <v>26</v>
      </c>
      <c r="F147" s="151" t="s">
        <v>7380</v>
      </c>
      <c r="G147" s="151" t="s">
        <v>2527</v>
      </c>
      <c r="H147" s="151" t="s">
        <v>2173</v>
      </c>
      <c r="I147" s="151" t="s">
        <v>6865</v>
      </c>
      <c r="J147" s="151" t="s">
        <v>1194</v>
      </c>
      <c r="K147" s="151" t="s">
        <v>7381</v>
      </c>
      <c r="L147" s="151" t="s">
        <v>7382</v>
      </c>
      <c r="M147" s="151" t="s">
        <v>7383</v>
      </c>
      <c r="N147" s="151" t="s">
        <v>7384</v>
      </c>
      <c r="O147" s="151" t="s">
        <v>7369</v>
      </c>
      <c r="P147" s="151" t="s">
        <v>7079</v>
      </c>
      <c r="Q147" s="151" t="s">
        <v>7074</v>
      </c>
      <c r="R147" s="151" t="s">
        <v>3608</v>
      </c>
      <c r="S147" s="151" t="s">
        <v>6871</v>
      </c>
      <c r="T147" s="151">
        <v>40</v>
      </c>
      <c r="U147" s="151" t="s">
        <v>431</v>
      </c>
      <c r="V147" s="151" t="s">
        <v>3608</v>
      </c>
      <c r="W147" s="151"/>
      <c r="X147" s="151"/>
      <c r="Y147" s="151" t="s">
        <v>7370</v>
      </c>
      <c r="Z147" s="151" t="s">
        <v>7371</v>
      </c>
      <c r="AA147" s="151"/>
    </row>
    <row r="148" spans="2:27">
      <c r="B148" s="151" t="s">
        <v>6858</v>
      </c>
      <c r="C148" s="151" t="s">
        <v>4242</v>
      </c>
      <c r="D148" s="151" t="s">
        <v>7365</v>
      </c>
      <c r="E148" s="151" t="s">
        <v>26</v>
      </c>
      <c r="F148" s="151" t="s">
        <v>7385</v>
      </c>
      <c r="G148" s="151" t="s">
        <v>2527</v>
      </c>
      <c r="H148" s="151" t="s">
        <v>10801</v>
      </c>
      <c r="I148" s="151" t="s">
        <v>6865</v>
      </c>
      <c r="J148" s="151" t="s">
        <v>1194</v>
      </c>
      <c r="K148" s="151" t="s">
        <v>656</v>
      </c>
      <c r="L148" s="151" t="s">
        <v>7386</v>
      </c>
      <c r="M148" s="151" t="s">
        <v>361</v>
      </c>
      <c r="N148" s="151" t="s">
        <v>6868</v>
      </c>
      <c r="O148" s="151" t="s">
        <v>7369</v>
      </c>
      <c r="P148" s="151" t="s">
        <v>7079</v>
      </c>
      <c r="Q148" s="151" t="s">
        <v>7074</v>
      </c>
      <c r="R148" s="151"/>
      <c r="S148" s="151" t="s">
        <v>6871</v>
      </c>
      <c r="T148" s="151"/>
      <c r="U148" s="151" t="s">
        <v>431</v>
      </c>
      <c r="V148" s="151"/>
      <c r="W148" s="151"/>
      <c r="X148" s="151"/>
      <c r="Y148" s="151" t="s">
        <v>7370</v>
      </c>
      <c r="Z148" s="151" t="s">
        <v>7371</v>
      </c>
      <c r="AA148" s="151"/>
    </row>
    <row r="149" spans="2:27">
      <c r="B149" s="151" t="s">
        <v>6858</v>
      </c>
      <c r="C149" s="151" t="s">
        <v>7387</v>
      </c>
      <c r="D149" s="151" t="s">
        <v>341</v>
      </c>
      <c r="E149" s="151" t="s">
        <v>26</v>
      </c>
      <c r="F149" s="151" t="s">
        <v>7388</v>
      </c>
      <c r="G149" s="151" t="s">
        <v>240</v>
      </c>
      <c r="H149" s="151" t="s">
        <v>2173</v>
      </c>
      <c r="I149" s="151" t="s">
        <v>6865</v>
      </c>
      <c r="J149" s="151" t="s">
        <v>1194</v>
      </c>
      <c r="K149" s="151" t="s">
        <v>620</v>
      </c>
      <c r="L149" s="151" t="s">
        <v>7389</v>
      </c>
      <c r="M149" s="151" t="s">
        <v>6867</v>
      </c>
      <c r="N149" s="151" t="s">
        <v>6868</v>
      </c>
      <c r="O149" s="151" t="s">
        <v>7390</v>
      </c>
      <c r="P149" s="151" t="s">
        <v>2177</v>
      </c>
      <c r="Q149" s="151" t="s">
        <v>6883</v>
      </c>
      <c r="R149" s="151" t="s">
        <v>4271</v>
      </c>
      <c r="S149" s="151" t="s">
        <v>6871</v>
      </c>
      <c r="T149" s="151" t="s">
        <v>6884</v>
      </c>
      <c r="U149" s="151" t="s">
        <v>6885</v>
      </c>
      <c r="V149" s="151"/>
      <c r="W149" s="151" t="s">
        <v>6871</v>
      </c>
      <c r="X149" s="151"/>
      <c r="Y149" s="151" t="s">
        <v>6961</v>
      </c>
      <c r="Z149" s="151"/>
      <c r="AA149" s="151"/>
    </row>
    <row r="150" spans="2:27">
      <c r="B150" s="151" t="s">
        <v>6858</v>
      </c>
      <c r="C150" s="151" t="s">
        <v>7391</v>
      </c>
      <c r="D150" s="151" t="s">
        <v>4497</v>
      </c>
      <c r="E150" s="151" t="s">
        <v>26</v>
      </c>
      <c r="F150" s="151" t="s">
        <v>7388</v>
      </c>
      <c r="G150" s="151" t="s">
        <v>2527</v>
      </c>
      <c r="H150" s="151" t="s">
        <v>2173</v>
      </c>
      <c r="I150" s="151" t="s">
        <v>6865</v>
      </c>
      <c r="J150" s="151" t="s">
        <v>1194</v>
      </c>
      <c r="K150" s="151" t="s">
        <v>620</v>
      </c>
      <c r="L150" s="151" t="s">
        <v>7389</v>
      </c>
      <c r="M150" s="151" t="s">
        <v>6867</v>
      </c>
      <c r="N150" s="151" t="s">
        <v>6868</v>
      </c>
      <c r="O150" s="151"/>
      <c r="P150" s="151" t="s">
        <v>6905</v>
      </c>
      <c r="Q150" s="151" t="s">
        <v>6883</v>
      </c>
      <c r="R150" s="151" t="s">
        <v>4271</v>
      </c>
      <c r="S150" s="151" t="s">
        <v>6871</v>
      </c>
      <c r="T150" s="151" t="s">
        <v>6884</v>
      </c>
      <c r="U150" s="151" t="s">
        <v>6872</v>
      </c>
      <c r="V150" s="151"/>
      <c r="W150" s="151"/>
      <c r="X150" s="151"/>
      <c r="Y150" s="151" t="s">
        <v>6961</v>
      </c>
      <c r="Z150" s="151" t="s">
        <v>6905</v>
      </c>
      <c r="AA150" s="151"/>
    </row>
    <row r="151" spans="2:27">
      <c r="B151" s="151" t="s">
        <v>6858</v>
      </c>
      <c r="C151" s="151" t="s">
        <v>10802</v>
      </c>
      <c r="D151" s="151" t="s">
        <v>3919</v>
      </c>
      <c r="E151" s="151" t="s">
        <v>26</v>
      </c>
      <c r="F151" s="151" t="s">
        <v>7393</v>
      </c>
      <c r="G151" s="151" t="s">
        <v>544</v>
      </c>
      <c r="H151" s="151" t="s">
        <v>2173</v>
      </c>
      <c r="I151" s="151" t="s">
        <v>6865</v>
      </c>
      <c r="J151" s="151" t="s">
        <v>1194</v>
      </c>
      <c r="K151" s="151" t="s">
        <v>6971</v>
      </c>
      <c r="L151" s="151" t="s">
        <v>6972</v>
      </c>
      <c r="M151" s="151" t="s">
        <v>6973</v>
      </c>
      <c r="N151" s="151" t="s">
        <v>6868</v>
      </c>
      <c r="O151" s="151" t="s">
        <v>7394</v>
      </c>
      <c r="P151" s="151" t="s">
        <v>2177</v>
      </c>
      <c r="Q151" s="151" t="s">
        <v>6982</v>
      </c>
      <c r="R151" s="151" t="s">
        <v>3582</v>
      </c>
      <c r="S151" s="151"/>
      <c r="T151" s="151">
        <v>255</v>
      </c>
      <c r="U151" s="151"/>
      <c r="V151" s="151" t="s">
        <v>3608</v>
      </c>
      <c r="W151" s="151"/>
      <c r="X151" s="151"/>
      <c r="Y151" s="151" t="s">
        <v>7395</v>
      </c>
      <c r="Z151" s="151"/>
      <c r="AA151" s="151"/>
    </row>
    <row r="152" spans="2:27">
      <c r="B152" s="151" t="s">
        <v>6858</v>
      </c>
      <c r="C152" s="151" t="s">
        <v>7396</v>
      </c>
      <c r="D152" s="151" t="s">
        <v>3919</v>
      </c>
      <c r="E152" s="151" t="s">
        <v>26</v>
      </c>
      <c r="F152" s="151" t="s">
        <v>7397</v>
      </c>
      <c r="G152" s="151" t="s">
        <v>544</v>
      </c>
      <c r="H152" s="151" t="s">
        <v>2173</v>
      </c>
      <c r="I152" s="151" t="s">
        <v>6865</v>
      </c>
      <c r="J152" s="151" t="s">
        <v>1194</v>
      </c>
      <c r="K152" s="151" t="s">
        <v>6971</v>
      </c>
      <c r="L152" s="151" t="s">
        <v>6972</v>
      </c>
      <c r="M152" s="151" t="s">
        <v>6973</v>
      </c>
      <c r="N152" s="151" t="s">
        <v>6868</v>
      </c>
      <c r="O152" s="151" t="s">
        <v>7398</v>
      </c>
      <c r="P152" s="151" t="s">
        <v>2177</v>
      </c>
      <c r="Q152" s="151" t="s">
        <v>6982</v>
      </c>
      <c r="R152" s="151" t="s">
        <v>3582</v>
      </c>
      <c r="S152" s="151">
        <v>255</v>
      </c>
      <c r="T152" s="151">
        <v>255</v>
      </c>
      <c r="U152" s="151"/>
      <c r="V152" s="151" t="s">
        <v>3608</v>
      </c>
      <c r="W152" s="151"/>
      <c r="X152" s="151"/>
      <c r="Y152" s="151" t="s">
        <v>7395</v>
      </c>
      <c r="Z152" s="151"/>
      <c r="AA152" s="151"/>
    </row>
    <row r="153" spans="2:27">
      <c r="B153" s="151" t="s">
        <v>6858</v>
      </c>
      <c r="C153" s="151" t="s">
        <v>7399</v>
      </c>
      <c r="D153" s="151" t="s">
        <v>3919</v>
      </c>
      <c r="E153" s="151" t="s">
        <v>26</v>
      </c>
      <c r="F153" s="151" t="s">
        <v>7400</v>
      </c>
      <c r="G153" s="151" t="s">
        <v>544</v>
      </c>
      <c r="H153" s="151" t="s">
        <v>2173</v>
      </c>
      <c r="I153" s="151" t="s">
        <v>6865</v>
      </c>
      <c r="J153" s="151" t="s">
        <v>1194</v>
      </c>
      <c r="K153" s="151" t="s">
        <v>6971</v>
      </c>
      <c r="L153" s="151" t="s">
        <v>6972</v>
      </c>
      <c r="M153" s="151" t="s">
        <v>6973</v>
      </c>
      <c r="N153" s="151" t="s">
        <v>6868</v>
      </c>
      <c r="O153" s="151" t="s">
        <v>7401</v>
      </c>
      <c r="P153" s="151" t="s">
        <v>2177</v>
      </c>
      <c r="Q153" s="151" t="s">
        <v>6982</v>
      </c>
      <c r="R153" s="151" t="s">
        <v>3582</v>
      </c>
      <c r="S153" s="151">
        <v>255</v>
      </c>
      <c r="T153" s="151">
        <v>255</v>
      </c>
      <c r="U153" s="151"/>
      <c r="V153" s="151" t="s">
        <v>3608</v>
      </c>
      <c r="W153" s="151"/>
      <c r="X153" s="151"/>
      <c r="Y153" s="151" t="s">
        <v>7395</v>
      </c>
      <c r="Z153" s="151"/>
      <c r="AA153" s="151"/>
    </row>
    <row r="154" spans="2:27">
      <c r="B154" s="151" t="s">
        <v>6858</v>
      </c>
      <c r="C154" s="151" t="s">
        <v>7402</v>
      </c>
      <c r="D154" s="151" t="s">
        <v>3919</v>
      </c>
      <c r="E154" s="151" t="s">
        <v>26</v>
      </c>
      <c r="F154" s="151" t="s">
        <v>7403</v>
      </c>
      <c r="G154" s="151" t="s">
        <v>544</v>
      </c>
      <c r="H154" s="151" t="s">
        <v>2173</v>
      </c>
      <c r="I154" s="151" t="s">
        <v>6865</v>
      </c>
      <c r="J154" s="151" t="s">
        <v>1194</v>
      </c>
      <c r="K154" s="151" t="s">
        <v>6971</v>
      </c>
      <c r="L154" s="151" t="s">
        <v>6972</v>
      </c>
      <c r="M154" s="151" t="s">
        <v>6973</v>
      </c>
      <c r="N154" s="151" t="s">
        <v>6868</v>
      </c>
      <c r="O154" s="151" t="s">
        <v>7404</v>
      </c>
      <c r="P154" s="151" t="s">
        <v>2177</v>
      </c>
      <c r="Q154" s="151" t="s">
        <v>6982</v>
      </c>
      <c r="R154" s="151" t="s">
        <v>3582</v>
      </c>
      <c r="S154" s="151">
        <v>255</v>
      </c>
      <c r="T154" s="151">
        <v>255</v>
      </c>
      <c r="U154" s="151"/>
      <c r="V154" s="151" t="s">
        <v>3608</v>
      </c>
      <c r="W154" s="151"/>
      <c r="X154" s="151"/>
      <c r="Y154" s="151" t="s">
        <v>7395</v>
      </c>
      <c r="Z154" s="151"/>
      <c r="AA154" s="151"/>
    </row>
    <row r="155" spans="2:27">
      <c r="B155" s="151" t="s">
        <v>6858</v>
      </c>
      <c r="C155" s="151" t="s">
        <v>7405</v>
      </c>
      <c r="D155" s="151" t="s">
        <v>3919</v>
      </c>
      <c r="E155" s="151" t="s">
        <v>26</v>
      </c>
      <c r="F155" s="151" t="s">
        <v>7406</v>
      </c>
      <c r="G155" s="151" t="s">
        <v>544</v>
      </c>
      <c r="H155" s="151" t="s">
        <v>2173</v>
      </c>
      <c r="I155" s="151" t="s">
        <v>6865</v>
      </c>
      <c r="J155" s="151" t="s">
        <v>1194</v>
      </c>
      <c r="K155" s="151" t="s">
        <v>6971</v>
      </c>
      <c r="L155" s="151" t="s">
        <v>6972</v>
      </c>
      <c r="M155" s="151" t="s">
        <v>6973</v>
      </c>
      <c r="N155" s="151" t="s">
        <v>6868</v>
      </c>
      <c r="O155" s="151" t="s">
        <v>7407</v>
      </c>
      <c r="P155" s="151" t="s">
        <v>2177</v>
      </c>
      <c r="Q155" s="151" t="s">
        <v>6982</v>
      </c>
      <c r="R155" s="151" t="s">
        <v>3582</v>
      </c>
      <c r="S155" s="151">
        <v>255</v>
      </c>
      <c r="T155" s="151">
        <v>255</v>
      </c>
      <c r="U155" s="151"/>
      <c r="V155" s="151" t="s">
        <v>3608</v>
      </c>
      <c r="W155" s="151"/>
      <c r="X155" s="151"/>
      <c r="Y155" s="151" t="s">
        <v>7395</v>
      </c>
      <c r="Z155" s="151"/>
      <c r="AA155" s="151"/>
    </row>
    <row r="156" spans="2:27">
      <c r="B156" s="151" t="s">
        <v>6858</v>
      </c>
      <c r="C156" s="151" t="s">
        <v>7408</v>
      </c>
      <c r="D156" s="151" t="s">
        <v>3919</v>
      </c>
      <c r="E156" s="151" t="s">
        <v>26</v>
      </c>
      <c r="F156" s="151" t="s">
        <v>7409</v>
      </c>
      <c r="G156" s="151" t="s">
        <v>544</v>
      </c>
      <c r="H156" s="151" t="s">
        <v>2173</v>
      </c>
      <c r="I156" s="151" t="s">
        <v>6865</v>
      </c>
      <c r="J156" s="151" t="s">
        <v>1194</v>
      </c>
      <c r="K156" s="151" t="s">
        <v>6971</v>
      </c>
      <c r="L156" s="151" t="s">
        <v>6972</v>
      </c>
      <c r="M156" s="151" t="s">
        <v>6973</v>
      </c>
      <c r="N156" s="151" t="s">
        <v>6868</v>
      </c>
      <c r="O156" s="151" t="s">
        <v>7410</v>
      </c>
      <c r="P156" s="151" t="s">
        <v>2177</v>
      </c>
      <c r="Q156" s="151" t="s">
        <v>6982</v>
      </c>
      <c r="R156" s="151" t="s">
        <v>3582</v>
      </c>
      <c r="S156" s="151">
        <v>255</v>
      </c>
      <c r="T156" s="151">
        <v>255</v>
      </c>
      <c r="U156" s="151"/>
      <c r="V156" s="151" t="s">
        <v>3608</v>
      </c>
      <c r="W156" s="151"/>
      <c r="X156" s="151"/>
      <c r="Y156" s="151" t="s">
        <v>7395</v>
      </c>
      <c r="Z156" s="151"/>
      <c r="AA156" s="151"/>
    </row>
    <row r="157" spans="2:27">
      <c r="B157" s="151" t="s">
        <v>6858</v>
      </c>
      <c r="C157" s="151" t="s">
        <v>7411</v>
      </c>
      <c r="D157" s="151" t="s">
        <v>3919</v>
      </c>
      <c r="E157" s="151" t="s">
        <v>26</v>
      </c>
      <c r="F157" s="151" t="s">
        <v>7412</v>
      </c>
      <c r="G157" s="151" t="s">
        <v>544</v>
      </c>
      <c r="H157" s="151" t="s">
        <v>2173</v>
      </c>
      <c r="I157" s="151" t="s">
        <v>6865</v>
      </c>
      <c r="J157" s="151" t="s">
        <v>1194</v>
      </c>
      <c r="K157" s="151" t="s">
        <v>6971</v>
      </c>
      <c r="L157" s="151" t="s">
        <v>6972</v>
      </c>
      <c r="M157" s="151" t="s">
        <v>6973</v>
      </c>
      <c r="N157" s="151" t="s">
        <v>6868</v>
      </c>
      <c r="O157" s="151" t="s">
        <v>7413</v>
      </c>
      <c r="P157" s="151" t="s">
        <v>2177</v>
      </c>
      <c r="Q157" s="151"/>
      <c r="R157" s="151" t="s">
        <v>3582</v>
      </c>
      <c r="S157" s="151"/>
      <c r="T157" s="151">
        <v>255</v>
      </c>
      <c r="U157" s="151"/>
      <c r="V157" s="151" t="s">
        <v>3608</v>
      </c>
      <c r="W157" s="151"/>
      <c r="X157" s="151"/>
      <c r="Y157" s="151" t="s">
        <v>7395</v>
      </c>
      <c r="Z157" s="151"/>
      <c r="AA157" s="151" t="s">
        <v>7414</v>
      </c>
    </row>
    <row r="158" spans="2:27">
      <c r="B158" s="151" t="s">
        <v>6858</v>
      </c>
      <c r="C158" s="151" t="s">
        <v>7415</v>
      </c>
      <c r="D158" s="151" t="s">
        <v>3919</v>
      </c>
      <c r="E158" s="151" t="s">
        <v>26</v>
      </c>
      <c r="F158" s="151" t="s">
        <v>7416</v>
      </c>
      <c r="G158" s="151" t="s">
        <v>544</v>
      </c>
      <c r="H158" s="151" t="s">
        <v>2173</v>
      </c>
      <c r="I158" s="151" t="s">
        <v>6865</v>
      </c>
      <c r="J158" s="151" t="s">
        <v>1194</v>
      </c>
      <c r="K158" s="151" t="s">
        <v>6971</v>
      </c>
      <c r="L158" s="151" t="s">
        <v>6972</v>
      </c>
      <c r="M158" s="151" t="s">
        <v>6973</v>
      </c>
      <c r="N158" s="151" t="s">
        <v>6868</v>
      </c>
      <c r="O158" s="151" t="s">
        <v>7417</v>
      </c>
      <c r="P158" s="151" t="s">
        <v>2177</v>
      </c>
      <c r="Q158" s="151"/>
      <c r="R158" s="151" t="s">
        <v>3582</v>
      </c>
      <c r="S158" s="151"/>
      <c r="T158" s="151">
        <v>255</v>
      </c>
      <c r="U158" s="151"/>
      <c r="V158" s="151" t="s">
        <v>3608</v>
      </c>
      <c r="W158" s="151"/>
      <c r="X158" s="151"/>
      <c r="Y158" s="151" t="s">
        <v>7395</v>
      </c>
      <c r="Z158" s="151"/>
      <c r="AA158" s="151" t="s">
        <v>7414</v>
      </c>
    </row>
    <row r="159" spans="2:27">
      <c r="B159" s="151" t="s">
        <v>6858</v>
      </c>
      <c r="C159" s="151" t="s">
        <v>7418</v>
      </c>
      <c r="D159" s="151" t="s">
        <v>3919</v>
      </c>
      <c r="E159" s="151" t="s">
        <v>26</v>
      </c>
      <c r="F159" s="151" t="s">
        <v>7419</v>
      </c>
      <c r="G159" s="151" t="s">
        <v>544</v>
      </c>
      <c r="H159" s="151" t="s">
        <v>2173</v>
      </c>
      <c r="I159" s="151" t="s">
        <v>6865</v>
      </c>
      <c r="J159" s="151" t="s">
        <v>1194</v>
      </c>
      <c r="K159" s="151" t="s">
        <v>6971</v>
      </c>
      <c r="L159" s="151" t="s">
        <v>6972</v>
      </c>
      <c r="M159" s="151" t="s">
        <v>6973</v>
      </c>
      <c r="N159" s="151" t="s">
        <v>6868</v>
      </c>
      <c r="O159" s="151" t="s">
        <v>7420</v>
      </c>
      <c r="P159" s="151" t="s">
        <v>2177</v>
      </c>
      <c r="Q159" s="151"/>
      <c r="R159" s="151" t="s">
        <v>3582</v>
      </c>
      <c r="S159" s="151"/>
      <c r="T159" s="151">
        <v>255</v>
      </c>
      <c r="U159" s="151"/>
      <c r="V159" s="151" t="s">
        <v>3608</v>
      </c>
      <c r="W159" s="151"/>
      <c r="X159" s="151"/>
      <c r="Y159" s="151" t="s">
        <v>7395</v>
      </c>
      <c r="Z159" s="151"/>
      <c r="AA159" s="151" t="s">
        <v>7414</v>
      </c>
    </row>
    <row r="160" spans="2:27">
      <c r="B160" s="151" t="s">
        <v>6858</v>
      </c>
      <c r="C160" s="151" t="s">
        <v>7421</v>
      </c>
      <c r="D160" s="151" t="s">
        <v>3919</v>
      </c>
      <c r="E160" s="151" t="s">
        <v>26</v>
      </c>
      <c r="F160" s="151" t="s">
        <v>7422</v>
      </c>
      <c r="G160" s="151" t="s">
        <v>544</v>
      </c>
      <c r="H160" s="151" t="s">
        <v>2173</v>
      </c>
      <c r="I160" s="151" t="s">
        <v>6865</v>
      </c>
      <c r="J160" s="151" t="s">
        <v>1194</v>
      </c>
      <c r="K160" s="151" t="s">
        <v>6971</v>
      </c>
      <c r="L160" s="151" t="s">
        <v>6972</v>
      </c>
      <c r="M160" s="151" t="s">
        <v>6973</v>
      </c>
      <c r="N160" s="151" t="s">
        <v>6868</v>
      </c>
      <c r="O160" s="151" t="s">
        <v>7423</v>
      </c>
      <c r="P160" s="151" t="s">
        <v>2177</v>
      </c>
      <c r="Q160" s="151"/>
      <c r="R160" s="151" t="s">
        <v>3582</v>
      </c>
      <c r="S160" s="151"/>
      <c r="T160" s="151">
        <v>255</v>
      </c>
      <c r="U160" s="151"/>
      <c r="V160" s="151" t="s">
        <v>3608</v>
      </c>
      <c r="W160" s="151"/>
      <c r="X160" s="151"/>
      <c r="Y160" s="151" t="s">
        <v>7395</v>
      </c>
      <c r="Z160" s="151"/>
      <c r="AA160" s="151" t="s">
        <v>7414</v>
      </c>
    </row>
    <row r="161" spans="2:27">
      <c r="B161" s="151" t="s">
        <v>6858</v>
      </c>
      <c r="C161" s="151" t="s">
        <v>7424</v>
      </c>
      <c r="D161" s="151" t="s">
        <v>3919</v>
      </c>
      <c r="E161" s="151" t="s">
        <v>26</v>
      </c>
      <c r="F161" s="151" t="s">
        <v>7425</v>
      </c>
      <c r="G161" s="151" t="s">
        <v>544</v>
      </c>
      <c r="H161" s="151" t="s">
        <v>2173</v>
      </c>
      <c r="I161" s="151" t="s">
        <v>6865</v>
      </c>
      <c r="J161" s="151" t="s">
        <v>1194</v>
      </c>
      <c r="K161" s="151" t="s">
        <v>6971</v>
      </c>
      <c r="L161" s="151" t="s">
        <v>6972</v>
      </c>
      <c r="M161" s="151" t="s">
        <v>6973</v>
      </c>
      <c r="N161" s="151" t="s">
        <v>6868</v>
      </c>
      <c r="O161" s="151" t="s">
        <v>7404</v>
      </c>
      <c r="P161" s="151" t="s">
        <v>7079</v>
      </c>
      <c r="Q161" s="151"/>
      <c r="R161" s="151" t="s">
        <v>3582</v>
      </c>
      <c r="S161" s="151"/>
      <c r="T161" s="151">
        <v>255</v>
      </c>
      <c r="U161" s="151"/>
      <c r="V161" s="151" t="s">
        <v>3608</v>
      </c>
      <c r="W161" s="151"/>
      <c r="X161" s="151"/>
      <c r="Y161" s="151" t="s">
        <v>7395</v>
      </c>
      <c r="Z161" s="151" t="s">
        <v>7426</v>
      </c>
      <c r="AA161" s="151" t="s">
        <v>6876</v>
      </c>
    </row>
    <row r="162" spans="2:27">
      <c r="B162" s="151" t="s">
        <v>6858</v>
      </c>
      <c r="C162" s="151" t="s">
        <v>7427</v>
      </c>
      <c r="D162" s="151" t="s">
        <v>3919</v>
      </c>
      <c r="E162" s="151" t="s">
        <v>26</v>
      </c>
      <c r="F162" s="151" t="s">
        <v>7428</v>
      </c>
      <c r="G162" s="151" t="s">
        <v>544</v>
      </c>
      <c r="H162" s="151" t="s">
        <v>2173</v>
      </c>
      <c r="I162" s="151" t="s">
        <v>6865</v>
      </c>
      <c r="J162" s="151" t="s">
        <v>1194</v>
      </c>
      <c r="K162" s="151" t="s">
        <v>6971</v>
      </c>
      <c r="L162" s="151" t="s">
        <v>6972</v>
      </c>
      <c r="M162" s="151" t="s">
        <v>6973</v>
      </c>
      <c r="N162" s="151" t="s">
        <v>6868</v>
      </c>
      <c r="O162" s="151" t="s">
        <v>7429</v>
      </c>
      <c r="P162" s="151" t="s">
        <v>7079</v>
      </c>
      <c r="Q162" s="151"/>
      <c r="R162" s="151" t="s">
        <v>3582</v>
      </c>
      <c r="S162" s="151"/>
      <c r="T162" s="151">
        <v>255</v>
      </c>
      <c r="U162" s="151"/>
      <c r="V162" s="151" t="s">
        <v>3608</v>
      </c>
      <c r="W162" s="151"/>
      <c r="X162" s="151"/>
      <c r="Y162" s="151" t="s">
        <v>7395</v>
      </c>
      <c r="Z162" s="151" t="s">
        <v>7426</v>
      </c>
      <c r="AA162" s="151" t="s">
        <v>6876</v>
      </c>
    </row>
    <row r="163" spans="2:27">
      <c r="B163" s="151" t="s">
        <v>6858</v>
      </c>
      <c r="C163" s="151" t="s">
        <v>7430</v>
      </c>
      <c r="D163" s="151" t="s">
        <v>3919</v>
      </c>
      <c r="E163" s="151" t="s">
        <v>26</v>
      </c>
      <c r="F163" s="151" t="s">
        <v>7431</v>
      </c>
      <c r="G163" s="151" t="s">
        <v>544</v>
      </c>
      <c r="H163" s="151" t="s">
        <v>2173</v>
      </c>
      <c r="I163" s="151" t="s">
        <v>6865</v>
      </c>
      <c r="J163" s="151" t="s">
        <v>1194</v>
      </c>
      <c r="K163" s="151" t="s">
        <v>6971</v>
      </c>
      <c r="L163" s="151" t="s">
        <v>6972</v>
      </c>
      <c r="M163" s="151" t="s">
        <v>6973</v>
      </c>
      <c r="N163" s="151" t="s">
        <v>6868</v>
      </c>
      <c r="O163" s="151" t="s">
        <v>7432</v>
      </c>
      <c r="P163" s="151" t="s">
        <v>7079</v>
      </c>
      <c r="Q163" s="151"/>
      <c r="R163" s="151" t="s">
        <v>3582</v>
      </c>
      <c r="S163" s="151"/>
      <c r="T163" s="151">
        <v>255</v>
      </c>
      <c r="U163" s="151"/>
      <c r="V163" s="151" t="s">
        <v>3608</v>
      </c>
      <c r="W163" s="151"/>
      <c r="X163" s="151"/>
      <c r="Y163" s="151" t="s">
        <v>7395</v>
      </c>
      <c r="Z163" s="151" t="s">
        <v>7426</v>
      </c>
      <c r="AA163" s="151" t="s">
        <v>6876</v>
      </c>
    </row>
    <row r="164" spans="2:27">
      <c r="B164" s="151" t="s">
        <v>6858</v>
      </c>
      <c r="C164" s="151" t="s">
        <v>7904</v>
      </c>
      <c r="D164" s="151" t="s">
        <v>6923</v>
      </c>
      <c r="E164" s="151" t="s">
        <v>26</v>
      </c>
      <c r="F164" s="151" t="s">
        <v>7905</v>
      </c>
      <c r="G164" s="151" t="s">
        <v>2527</v>
      </c>
      <c r="H164" s="151" t="s">
        <v>2173</v>
      </c>
      <c r="I164" s="151" t="s">
        <v>6865</v>
      </c>
      <c r="J164" s="151" t="s">
        <v>1194</v>
      </c>
      <c r="K164" s="151" t="s">
        <v>6971</v>
      </c>
      <c r="L164" s="151" t="s">
        <v>6972</v>
      </c>
      <c r="M164" s="151" t="s">
        <v>6973</v>
      </c>
      <c r="N164" s="151" t="s">
        <v>6868</v>
      </c>
      <c r="O164" s="151" t="s">
        <v>7906</v>
      </c>
      <c r="P164" s="151" t="s">
        <v>2177</v>
      </c>
      <c r="Q164" s="151" t="s">
        <v>7907</v>
      </c>
      <c r="R164" s="151" t="s">
        <v>3582</v>
      </c>
      <c r="S164" s="151"/>
      <c r="T164" s="151"/>
      <c r="U164" s="151"/>
      <c r="V164" s="151" t="s">
        <v>3608</v>
      </c>
      <c r="W164" s="151" t="s">
        <v>7908</v>
      </c>
      <c r="X164" s="151"/>
      <c r="Y164" s="151" t="s">
        <v>7395</v>
      </c>
      <c r="Z164" s="151"/>
      <c r="AA164" s="151"/>
    </row>
    <row r="165" spans="2:27">
      <c r="B165" s="151" t="s">
        <v>6858</v>
      </c>
      <c r="C165" s="151" t="s">
        <v>7437</v>
      </c>
      <c r="D165" s="151" t="s">
        <v>4497</v>
      </c>
      <c r="E165" s="151" t="s">
        <v>26</v>
      </c>
      <c r="F165" s="151" t="s">
        <v>7438</v>
      </c>
      <c r="G165" s="151" t="s">
        <v>240</v>
      </c>
      <c r="H165" s="151" t="s">
        <v>2173</v>
      </c>
      <c r="I165" s="151" t="s">
        <v>6865</v>
      </c>
      <c r="J165" s="151" t="s">
        <v>1194</v>
      </c>
      <c r="K165" s="151" t="s">
        <v>620</v>
      </c>
      <c r="L165" s="151" t="s">
        <v>7439</v>
      </c>
      <c r="M165" s="151" t="s">
        <v>6867</v>
      </c>
      <c r="N165" s="151" t="s">
        <v>6868</v>
      </c>
      <c r="O165" s="151"/>
      <c r="P165" s="151" t="s">
        <v>6905</v>
      </c>
      <c r="Q165" s="151" t="s">
        <v>6883</v>
      </c>
      <c r="R165" s="151" t="s">
        <v>4271</v>
      </c>
      <c r="S165" s="151"/>
      <c r="T165" s="151" t="s">
        <v>6884</v>
      </c>
      <c r="U165" s="151" t="s">
        <v>6872</v>
      </c>
      <c r="V165" s="151"/>
      <c r="W165" s="151"/>
      <c r="X165" s="151"/>
      <c r="Y165" s="151" t="s">
        <v>6961</v>
      </c>
      <c r="Z165" s="151" t="s">
        <v>6905</v>
      </c>
      <c r="AA165" s="151"/>
    </row>
    <row r="166" spans="2:27">
      <c r="B166" s="151" t="s">
        <v>6858</v>
      </c>
      <c r="C166" s="151" t="s">
        <v>7440</v>
      </c>
      <c r="D166" s="151" t="s">
        <v>4497</v>
      </c>
      <c r="E166" s="151" t="s">
        <v>26</v>
      </c>
      <c r="F166" s="151" t="s">
        <v>7441</v>
      </c>
      <c r="G166" s="151" t="s">
        <v>544</v>
      </c>
      <c r="H166" s="151" t="s">
        <v>2173</v>
      </c>
      <c r="I166" s="151" t="s">
        <v>6865</v>
      </c>
      <c r="J166" s="151" t="s">
        <v>1194</v>
      </c>
      <c r="K166" s="151" t="s">
        <v>620</v>
      </c>
      <c r="L166" s="151" t="s">
        <v>7442</v>
      </c>
      <c r="M166" s="151" t="s">
        <v>6867</v>
      </c>
      <c r="N166" s="151" t="s">
        <v>6868</v>
      </c>
      <c r="O166" s="151"/>
      <c r="P166" s="151" t="s">
        <v>6905</v>
      </c>
      <c r="Q166" s="151" t="s">
        <v>6883</v>
      </c>
      <c r="R166" s="151" t="s">
        <v>4271</v>
      </c>
      <c r="S166" s="151"/>
      <c r="T166" s="151" t="s">
        <v>6884</v>
      </c>
      <c r="U166" s="151" t="s">
        <v>6872</v>
      </c>
      <c r="V166" s="151"/>
      <c r="W166" s="151"/>
      <c r="X166" s="151"/>
      <c r="Y166" s="151" t="s">
        <v>6961</v>
      </c>
      <c r="Z166" s="151" t="s">
        <v>6905</v>
      </c>
      <c r="AA166" s="151"/>
    </row>
    <row r="167" spans="2:27">
      <c r="B167" s="151" t="s">
        <v>6858</v>
      </c>
      <c r="C167" s="151" t="s">
        <v>7443</v>
      </c>
      <c r="D167" s="151" t="s">
        <v>4497</v>
      </c>
      <c r="E167" s="151" t="s">
        <v>26</v>
      </c>
      <c r="F167" s="151" t="s">
        <v>7444</v>
      </c>
      <c r="G167" s="151" t="s">
        <v>240</v>
      </c>
      <c r="H167" s="151" t="s">
        <v>2173</v>
      </c>
      <c r="I167" s="151" t="s">
        <v>6865</v>
      </c>
      <c r="J167" s="151" t="s">
        <v>1194</v>
      </c>
      <c r="K167" s="151" t="s">
        <v>620</v>
      </c>
      <c r="L167" s="151" t="s">
        <v>7445</v>
      </c>
      <c r="M167" s="151" t="s">
        <v>6867</v>
      </c>
      <c r="N167" s="151" t="s">
        <v>6868</v>
      </c>
      <c r="O167" s="151"/>
      <c r="P167" s="151" t="s">
        <v>6905</v>
      </c>
      <c r="Q167" s="151" t="s">
        <v>6883</v>
      </c>
      <c r="R167" s="151" t="s">
        <v>4271</v>
      </c>
      <c r="S167" s="151"/>
      <c r="T167" s="151" t="s">
        <v>6884</v>
      </c>
      <c r="U167" s="151" t="s">
        <v>6885</v>
      </c>
      <c r="V167" s="151"/>
      <c r="W167" s="151"/>
      <c r="X167" s="151"/>
      <c r="Y167" s="151" t="s">
        <v>6961</v>
      </c>
      <c r="Z167" s="151" t="s">
        <v>6905</v>
      </c>
      <c r="AA167" s="151" t="s">
        <v>7446</v>
      </c>
    </row>
    <row r="168" spans="2:27">
      <c r="B168" s="151" t="s">
        <v>6858</v>
      </c>
      <c r="C168" s="151" t="s">
        <v>7377</v>
      </c>
      <c r="D168" s="151" t="s">
        <v>6923</v>
      </c>
      <c r="E168" s="151" t="s">
        <v>26</v>
      </c>
      <c r="F168" s="151" t="s">
        <v>7444</v>
      </c>
      <c r="G168" s="151" t="s">
        <v>2527</v>
      </c>
      <c r="H168" s="151" t="s">
        <v>2173</v>
      </c>
      <c r="I168" s="151" t="s">
        <v>6865</v>
      </c>
      <c r="J168" s="151" t="s">
        <v>1194</v>
      </c>
      <c r="K168" s="151" t="s">
        <v>620</v>
      </c>
      <c r="L168" s="151" t="s">
        <v>7778</v>
      </c>
      <c r="M168" s="151" t="s">
        <v>6867</v>
      </c>
      <c r="N168" s="151" t="s">
        <v>6868</v>
      </c>
      <c r="O168" s="151"/>
      <c r="P168" s="151" t="s">
        <v>6905</v>
      </c>
      <c r="Q168" s="151" t="s">
        <v>7903</v>
      </c>
      <c r="R168" s="151" t="s">
        <v>4271</v>
      </c>
      <c r="S168" s="151"/>
      <c r="T168" s="151" t="s">
        <v>6884</v>
      </c>
      <c r="U168" s="151"/>
      <c r="V168" s="151"/>
      <c r="W168" s="151"/>
      <c r="X168" s="151"/>
      <c r="Y168" s="151" t="s">
        <v>855</v>
      </c>
      <c r="Z168" s="151" t="s">
        <v>6905</v>
      </c>
      <c r="AA168" s="151" t="s">
        <v>6876</v>
      </c>
    </row>
    <row r="169" spans="2:27" ht="75">
      <c r="B169" s="151" t="s">
        <v>6858</v>
      </c>
      <c r="C169" s="151" t="s">
        <v>7447</v>
      </c>
      <c r="D169" s="151" t="s">
        <v>341</v>
      </c>
      <c r="E169" s="151" t="s">
        <v>26</v>
      </c>
      <c r="F169" s="151" t="s">
        <v>7448</v>
      </c>
      <c r="G169" s="151" t="s">
        <v>240</v>
      </c>
      <c r="H169" s="151" t="s">
        <v>2173</v>
      </c>
      <c r="I169" s="151" t="s">
        <v>6865</v>
      </c>
      <c r="J169" s="151" t="s">
        <v>1194</v>
      </c>
      <c r="K169" s="151" t="s">
        <v>7449</v>
      </c>
      <c r="L169" s="151" t="s">
        <v>7450</v>
      </c>
      <c r="M169" s="341" t="s">
        <v>10803</v>
      </c>
      <c r="N169" s="151" t="s">
        <v>6868</v>
      </c>
      <c r="O169" s="151" t="s">
        <v>7452</v>
      </c>
      <c r="P169" s="151" t="s">
        <v>2177</v>
      </c>
      <c r="Q169" s="151" t="s">
        <v>6883</v>
      </c>
      <c r="R169" s="151" t="s">
        <v>7453</v>
      </c>
      <c r="S169" s="151" t="s">
        <v>6871</v>
      </c>
      <c r="T169" s="151" t="s">
        <v>7454</v>
      </c>
      <c r="U169" s="151" t="s">
        <v>6872</v>
      </c>
      <c r="V169" s="151" t="s">
        <v>3608</v>
      </c>
      <c r="W169" s="151"/>
      <c r="X169" s="151"/>
      <c r="Y169" s="151" t="s">
        <v>6961</v>
      </c>
      <c r="Z169" s="151"/>
      <c r="AA169" s="151"/>
    </row>
    <row r="170" spans="2:27">
      <c r="B170" s="151" t="s">
        <v>6858</v>
      </c>
      <c r="C170" s="151" t="s">
        <v>7433</v>
      </c>
      <c r="D170" s="151" t="s">
        <v>3919</v>
      </c>
      <c r="E170" s="151" t="s">
        <v>26</v>
      </c>
      <c r="F170" s="151" t="s">
        <v>7434</v>
      </c>
      <c r="G170" s="151" t="s">
        <v>544</v>
      </c>
      <c r="H170" s="151" t="s">
        <v>2173</v>
      </c>
      <c r="I170" s="151" t="s">
        <v>6865</v>
      </c>
      <c r="J170" s="151" t="s">
        <v>1194</v>
      </c>
      <c r="K170" s="151" t="s">
        <v>620</v>
      </c>
      <c r="L170" s="151" t="s">
        <v>7435</v>
      </c>
      <c r="M170" s="151" t="s">
        <v>6867</v>
      </c>
      <c r="N170" s="151" t="s">
        <v>6868</v>
      </c>
      <c r="O170" s="151" t="s">
        <v>7436</v>
      </c>
      <c r="P170" s="151" t="s">
        <v>6900</v>
      </c>
      <c r="Q170" s="151" t="s">
        <v>6883</v>
      </c>
      <c r="R170" s="151" t="s">
        <v>3608</v>
      </c>
      <c r="S170" s="151"/>
      <c r="T170" s="151">
        <v>12</v>
      </c>
      <c r="U170" s="151"/>
      <c r="V170" s="151" t="s">
        <v>3608</v>
      </c>
      <c r="W170" s="151"/>
      <c r="X170" s="151"/>
      <c r="Y170" s="151" t="s">
        <v>855</v>
      </c>
      <c r="Z170" s="151" t="s">
        <v>6901</v>
      </c>
      <c r="AA170" s="151"/>
    </row>
    <row r="171" spans="2:27">
      <c r="B171" s="151" t="s">
        <v>6858</v>
      </c>
      <c r="C171" s="151" t="s">
        <v>343</v>
      </c>
      <c r="D171" s="151" t="s">
        <v>341</v>
      </c>
      <c r="E171" s="151" t="s">
        <v>26</v>
      </c>
      <c r="F171" s="151" t="s">
        <v>7455</v>
      </c>
      <c r="G171" s="151" t="s">
        <v>240</v>
      </c>
      <c r="H171" s="151" t="s">
        <v>2173</v>
      </c>
      <c r="I171" s="151" t="s">
        <v>6865</v>
      </c>
      <c r="J171" s="151" t="s">
        <v>1194</v>
      </c>
      <c r="K171" s="151" t="s">
        <v>634</v>
      </c>
      <c r="L171" s="151" t="s">
        <v>7456</v>
      </c>
      <c r="M171" s="151" t="s">
        <v>7457</v>
      </c>
      <c r="N171" s="151" t="s">
        <v>6868</v>
      </c>
      <c r="O171" s="151" t="s">
        <v>7458</v>
      </c>
      <c r="P171" s="151" t="s">
        <v>2177</v>
      </c>
      <c r="Q171" s="151" t="s">
        <v>6883</v>
      </c>
      <c r="R171" s="151" t="s">
        <v>7134</v>
      </c>
      <c r="S171" s="151" t="s">
        <v>6871</v>
      </c>
      <c r="T171" s="151">
        <v>30255</v>
      </c>
      <c r="U171" s="151" t="s">
        <v>6872</v>
      </c>
      <c r="V171" s="151" t="s">
        <v>7110</v>
      </c>
      <c r="W171" s="151"/>
      <c r="X171" s="151"/>
      <c r="Y171" s="151" t="s">
        <v>855</v>
      </c>
      <c r="Z171" s="151"/>
      <c r="AA171" s="151"/>
    </row>
    <row r="172" spans="2:27">
      <c r="B172" s="151" t="s">
        <v>6968</v>
      </c>
      <c r="C172" s="151" t="s">
        <v>7459</v>
      </c>
      <c r="D172" s="151" t="s">
        <v>341</v>
      </c>
      <c r="E172" s="151" t="s">
        <v>26</v>
      </c>
      <c r="F172" s="151" t="s">
        <v>7460</v>
      </c>
      <c r="G172" s="151" t="s">
        <v>2429</v>
      </c>
      <c r="H172" s="151" t="s">
        <v>2173</v>
      </c>
      <c r="I172" s="151" t="s">
        <v>6865</v>
      </c>
      <c r="J172" s="151" t="s">
        <v>1194</v>
      </c>
      <c r="K172" s="151" t="s">
        <v>620</v>
      </c>
      <c r="L172" s="151" t="s">
        <v>6866</v>
      </c>
      <c r="M172" s="151" t="s">
        <v>6867</v>
      </c>
      <c r="N172" s="151" t="s">
        <v>6868</v>
      </c>
      <c r="O172" s="151"/>
      <c r="P172" s="151" t="s">
        <v>6905</v>
      </c>
      <c r="Q172" s="151" t="s">
        <v>6870</v>
      </c>
      <c r="R172" s="151" t="s">
        <v>3608</v>
      </c>
      <c r="S172" s="151"/>
      <c r="T172" s="151">
        <v>4</v>
      </c>
      <c r="U172" s="151"/>
      <c r="V172" s="151"/>
      <c r="W172" s="151"/>
      <c r="X172" s="151"/>
      <c r="Y172" s="151" t="s">
        <v>6961</v>
      </c>
      <c r="Z172" s="151" t="s">
        <v>6905</v>
      </c>
      <c r="AA172" s="151"/>
    </row>
    <row r="173" spans="2:27">
      <c r="B173" s="151" t="s">
        <v>6858</v>
      </c>
      <c r="C173" s="151" t="s">
        <v>2350</v>
      </c>
      <c r="D173" s="151" t="s">
        <v>7799</v>
      </c>
      <c r="E173" s="151" t="s">
        <v>26</v>
      </c>
      <c r="F173" s="151" t="s">
        <v>7805</v>
      </c>
      <c r="G173" s="151" t="s">
        <v>2429</v>
      </c>
      <c r="H173" s="151" t="s">
        <v>10801</v>
      </c>
      <c r="I173" s="151" t="s">
        <v>6865</v>
      </c>
      <c r="J173" s="151" t="s">
        <v>1194</v>
      </c>
      <c r="K173" s="151" t="s">
        <v>656</v>
      </c>
      <c r="L173" s="151" t="s">
        <v>7806</v>
      </c>
      <c r="M173" s="151" t="s">
        <v>6957</v>
      </c>
      <c r="N173" s="151" t="s">
        <v>6868</v>
      </c>
      <c r="O173" s="151" t="s">
        <v>7807</v>
      </c>
      <c r="P173" s="151" t="s">
        <v>2177</v>
      </c>
      <c r="Q173" s="151" t="s">
        <v>7771</v>
      </c>
      <c r="R173" s="151"/>
      <c r="S173" s="151" t="s">
        <v>6871</v>
      </c>
      <c r="T173" s="151"/>
      <c r="U173" s="151" t="s">
        <v>6872</v>
      </c>
      <c r="V173" s="151"/>
      <c r="W173" s="151"/>
      <c r="X173" s="151"/>
      <c r="Y173" s="151"/>
      <c r="Z173" s="151"/>
      <c r="AA173" s="151"/>
    </row>
    <row r="174" spans="2:27">
      <c r="B174" s="151" t="s">
        <v>6858</v>
      </c>
      <c r="C174" s="151" t="s">
        <v>7459</v>
      </c>
      <c r="D174" s="151" t="s">
        <v>341</v>
      </c>
      <c r="E174" s="151" t="s">
        <v>26</v>
      </c>
      <c r="F174" s="151" t="s">
        <v>7460</v>
      </c>
      <c r="G174" s="151" t="s">
        <v>2196</v>
      </c>
      <c r="H174" s="151" t="s">
        <v>2173</v>
      </c>
      <c r="I174" s="151" t="s">
        <v>6865</v>
      </c>
      <c r="J174" s="151" t="s">
        <v>1194</v>
      </c>
      <c r="K174" s="151" t="s">
        <v>6955</v>
      </c>
      <c r="L174" s="151" t="s">
        <v>7463</v>
      </c>
      <c r="M174" s="151" t="s">
        <v>6957</v>
      </c>
      <c r="N174" s="151" t="s">
        <v>6868</v>
      </c>
      <c r="O174" s="151" t="s">
        <v>10804</v>
      </c>
      <c r="P174" s="151" t="s">
        <v>2177</v>
      </c>
      <c r="Q174" s="151" t="s">
        <v>6883</v>
      </c>
      <c r="R174" s="151" t="s">
        <v>7464</v>
      </c>
      <c r="S174" s="151" t="s">
        <v>6871</v>
      </c>
      <c r="T174" s="151" t="s">
        <v>7037</v>
      </c>
      <c r="U174" s="151" t="s">
        <v>6872</v>
      </c>
      <c r="V174" s="151" t="s">
        <v>3608</v>
      </c>
      <c r="W174" s="151"/>
      <c r="X174" s="151"/>
      <c r="Y174" s="151" t="s">
        <v>6961</v>
      </c>
      <c r="Z174" s="151"/>
      <c r="AA174" s="151" t="s">
        <v>7267</v>
      </c>
    </row>
    <row r="175" spans="2:27" ht="165">
      <c r="B175" s="151" t="s">
        <v>6858</v>
      </c>
      <c r="C175" s="151" t="s">
        <v>7465</v>
      </c>
      <c r="D175" s="151" t="s">
        <v>7466</v>
      </c>
      <c r="E175" s="151" t="s">
        <v>26</v>
      </c>
      <c r="F175" s="151" t="s">
        <v>7467</v>
      </c>
      <c r="G175" s="151" t="s">
        <v>544</v>
      </c>
      <c r="H175" s="151" t="s">
        <v>10801</v>
      </c>
      <c r="I175" s="151"/>
      <c r="J175" s="151"/>
      <c r="K175" s="341" t="s">
        <v>7470</v>
      </c>
      <c r="L175" s="151" t="s">
        <v>7470</v>
      </c>
      <c r="M175" s="341" t="s">
        <v>7471</v>
      </c>
      <c r="N175" s="151" t="s">
        <v>6868</v>
      </c>
      <c r="O175" s="341" t="s">
        <v>7472</v>
      </c>
      <c r="P175" s="151" t="s">
        <v>6900</v>
      </c>
      <c r="Q175" s="151" t="s">
        <v>6883</v>
      </c>
      <c r="R175" s="151"/>
      <c r="S175" s="151"/>
      <c r="T175" s="151"/>
      <c r="U175" s="151" t="s">
        <v>6885</v>
      </c>
      <c r="V175" s="151"/>
      <c r="W175" s="151"/>
      <c r="X175" s="151"/>
      <c r="Y175" s="151"/>
      <c r="Z175" s="151" t="s">
        <v>7473</v>
      </c>
      <c r="AA175" s="151"/>
    </row>
    <row r="176" spans="2:27">
      <c r="B176" s="151" t="s">
        <v>6858</v>
      </c>
      <c r="C176" s="151" t="s">
        <v>7474</v>
      </c>
      <c r="D176" s="151" t="s">
        <v>7466</v>
      </c>
      <c r="E176" s="151" t="s">
        <v>26</v>
      </c>
      <c r="F176" s="151" t="s">
        <v>7475</v>
      </c>
      <c r="G176" s="151" t="s">
        <v>544</v>
      </c>
      <c r="H176" s="151" t="s">
        <v>2173</v>
      </c>
      <c r="I176" s="151" t="s">
        <v>6865</v>
      </c>
      <c r="J176" s="151" t="s">
        <v>1194</v>
      </c>
      <c r="K176" s="151" t="s">
        <v>7476</v>
      </c>
      <c r="L176" s="151" t="s">
        <v>7477</v>
      </c>
      <c r="M176" s="151" t="s">
        <v>7478</v>
      </c>
      <c r="N176" s="151" t="s">
        <v>6868</v>
      </c>
      <c r="O176" s="151"/>
      <c r="P176" s="151" t="s">
        <v>6905</v>
      </c>
      <c r="Q176" s="151" t="s">
        <v>6883</v>
      </c>
      <c r="R176" s="151" t="s">
        <v>4271</v>
      </c>
      <c r="S176" s="151"/>
      <c r="T176" s="151" t="s">
        <v>6884</v>
      </c>
      <c r="U176" s="151" t="s">
        <v>6885</v>
      </c>
      <c r="V176" s="151"/>
      <c r="W176" s="151"/>
      <c r="X176" s="151"/>
      <c r="Y176" s="151" t="s">
        <v>7479</v>
      </c>
      <c r="Z176" s="151" t="s">
        <v>6905</v>
      </c>
      <c r="AA176" s="151"/>
    </row>
    <row r="177" spans="2:27">
      <c r="B177" s="151" t="s">
        <v>6858</v>
      </c>
      <c r="C177" s="151" t="s">
        <v>7480</v>
      </c>
      <c r="D177" s="151" t="s">
        <v>7466</v>
      </c>
      <c r="E177" s="151" t="s">
        <v>26</v>
      </c>
      <c r="F177" s="151" t="s">
        <v>7481</v>
      </c>
      <c r="G177" s="151" t="s">
        <v>544</v>
      </c>
      <c r="H177" s="151" t="s">
        <v>2173</v>
      </c>
      <c r="I177" s="151" t="s">
        <v>6865</v>
      </c>
      <c r="J177" s="151" t="s">
        <v>1194</v>
      </c>
      <c r="K177" s="151" t="s">
        <v>7476</v>
      </c>
      <c r="L177" s="151" t="s">
        <v>7482</v>
      </c>
      <c r="M177" s="151" t="s">
        <v>7478</v>
      </c>
      <c r="N177" s="151" t="s">
        <v>6868</v>
      </c>
      <c r="O177" s="151"/>
      <c r="P177" s="151" t="s">
        <v>6905</v>
      </c>
      <c r="Q177" s="151" t="s">
        <v>6883</v>
      </c>
      <c r="R177" s="151" t="s">
        <v>4271</v>
      </c>
      <c r="S177" s="151"/>
      <c r="T177" s="151" t="s">
        <v>6884</v>
      </c>
      <c r="U177" s="151" t="s">
        <v>6885</v>
      </c>
      <c r="V177" s="151"/>
      <c r="W177" s="151"/>
      <c r="X177" s="151"/>
      <c r="Y177" s="151" t="s">
        <v>7479</v>
      </c>
      <c r="Z177" s="151" t="s">
        <v>6905</v>
      </c>
      <c r="AA177" s="151"/>
    </row>
    <row r="178" spans="2:27">
      <c r="B178" s="151" t="s">
        <v>6858</v>
      </c>
      <c r="C178" s="151" t="s">
        <v>7483</v>
      </c>
      <c r="D178" s="151" t="s">
        <v>7484</v>
      </c>
      <c r="E178" s="151" t="s">
        <v>26</v>
      </c>
      <c r="F178" s="151" t="s">
        <v>7485</v>
      </c>
      <c r="G178" s="151" t="s">
        <v>544</v>
      </c>
      <c r="H178" s="151" t="s">
        <v>2173</v>
      </c>
      <c r="I178" s="151" t="s">
        <v>6865</v>
      </c>
      <c r="J178" s="151" t="s">
        <v>1194</v>
      </c>
      <c r="K178" s="151" t="s">
        <v>7486</v>
      </c>
      <c r="L178" s="151" t="s">
        <v>7487</v>
      </c>
      <c r="M178" s="151" t="s">
        <v>7488</v>
      </c>
      <c r="N178" s="151" t="s">
        <v>7489</v>
      </c>
      <c r="O178" s="151"/>
      <c r="P178" s="151" t="s">
        <v>6905</v>
      </c>
      <c r="Q178" s="151" t="s">
        <v>7074</v>
      </c>
      <c r="R178" s="151" t="s">
        <v>2207</v>
      </c>
      <c r="S178" s="151"/>
      <c r="T178" s="151"/>
      <c r="U178" s="151" t="s">
        <v>6906</v>
      </c>
      <c r="V178" s="151"/>
      <c r="W178" s="151"/>
      <c r="X178" s="151"/>
      <c r="Y178" s="151" t="s">
        <v>7490</v>
      </c>
      <c r="Z178" s="151" t="s">
        <v>6905</v>
      </c>
      <c r="AA178" s="151"/>
    </row>
    <row r="179" spans="2:27">
      <c r="B179" s="151" t="s">
        <v>6858</v>
      </c>
      <c r="C179" s="151" t="s">
        <v>5416</v>
      </c>
      <c r="D179" s="151" t="s">
        <v>7484</v>
      </c>
      <c r="E179" s="151" t="s">
        <v>26</v>
      </c>
      <c r="F179" s="151" t="s">
        <v>7491</v>
      </c>
      <c r="G179" s="151" t="s">
        <v>544</v>
      </c>
      <c r="H179" s="151" t="s">
        <v>2173</v>
      </c>
      <c r="I179" s="151" t="s">
        <v>6865</v>
      </c>
      <c r="J179" s="151" t="s">
        <v>1194</v>
      </c>
      <c r="K179" s="151" t="s">
        <v>7486</v>
      </c>
      <c r="L179" s="151" t="s">
        <v>7492</v>
      </c>
      <c r="M179" s="151" t="s">
        <v>7488</v>
      </c>
      <c r="N179" s="151" t="s">
        <v>7489</v>
      </c>
      <c r="O179" s="151"/>
      <c r="P179" s="151" t="s">
        <v>6905</v>
      </c>
      <c r="Q179" s="151" t="s">
        <v>7074</v>
      </c>
      <c r="R179" s="151" t="s">
        <v>4271</v>
      </c>
      <c r="S179" s="151"/>
      <c r="T179" s="151" t="s">
        <v>6884</v>
      </c>
      <c r="U179" s="151" t="s">
        <v>6872</v>
      </c>
      <c r="V179" s="151"/>
      <c r="W179" s="151"/>
      <c r="X179" s="151"/>
      <c r="Y179" s="151" t="s">
        <v>7490</v>
      </c>
      <c r="Z179" s="151" t="s">
        <v>6905</v>
      </c>
      <c r="AA179" s="151"/>
    </row>
    <row r="180" spans="2:27">
      <c r="B180" s="151" t="s">
        <v>6858</v>
      </c>
      <c r="C180" s="151" t="s">
        <v>440</v>
      </c>
      <c r="D180" s="151" t="s">
        <v>7484</v>
      </c>
      <c r="E180" s="151" t="s">
        <v>26</v>
      </c>
      <c r="F180" s="151" t="s">
        <v>7493</v>
      </c>
      <c r="G180" s="151" t="s">
        <v>544</v>
      </c>
      <c r="H180" s="151" t="s">
        <v>2173</v>
      </c>
      <c r="I180" s="151" t="s">
        <v>6865</v>
      </c>
      <c r="J180" s="151" t="s">
        <v>1194</v>
      </c>
      <c r="K180" s="151" t="s">
        <v>7486</v>
      </c>
      <c r="L180" s="151" t="s">
        <v>7494</v>
      </c>
      <c r="M180" s="151" t="s">
        <v>7488</v>
      </c>
      <c r="N180" s="151" t="s">
        <v>7489</v>
      </c>
      <c r="O180" s="151"/>
      <c r="P180" s="151" t="s">
        <v>6905</v>
      </c>
      <c r="Q180" s="151" t="s">
        <v>7074</v>
      </c>
      <c r="R180" s="151" t="s">
        <v>3582</v>
      </c>
      <c r="S180" s="151"/>
      <c r="T180" s="151">
        <v>250</v>
      </c>
      <c r="U180" s="151" t="s">
        <v>6872</v>
      </c>
      <c r="V180" s="151" t="s">
        <v>3608</v>
      </c>
      <c r="W180" s="151"/>
      <c r="X180" s="151"/>
      <c r="Y180" s="151" t="s">
        <v>7490</v>
      </c>
      <c r="Z180" s="151" t="s">
        <v>6905</v>
      </c>
      <c r="AA180" s="151"/>
    </row>
    <row r="181" spans="2:27">
      <c r="B181" s="151" t="s">
        <v>6858</v>
      </c>
      <c r="C181" s="151" t="s">
        <v>7495</v>
      </c>
      <c r="D181" s="151" t="s">
        <v>7484</v>
      </c>
      <c r="E181" s="151" t="s">
        <v>26</v>
      </c>
      <c r="F181" s="151" t="s">
        <v>7496</v>
      </c>
      <c r="G181" s="151" t="s">
        <v>544</v>
      </c>
      <c r="H181" s="151" t="s">
        <v>2173</v>
      </c>
      <c r="I181" s="151" t="s">
        <v>6865</v>
      </c>
      <c r="J181" s="151" t="s">
        <v>1194</v>
      </c>
      <c r="K181" s="151" t="s">
        <v>7486</v>
      </c>
      <c r="L181" s="151" t="s">
        <v>7497</v>
      </c>
      <c r="M181" s="151" t="s">
        <v>7488</v>
      </c>
      <c r="N181" s="151" t="s">
        <v>7489</v>
      </c>
      <c r="O181" s="151"/>
      <c r="P181" s="151" t="s">
        <v>6905</v>
      </c>
      <c r="Q181" s="151" t="s">
        <v>7074</v>
      </c>
      <c r="R181" s="151" t="s">
        <v>2207</v>
      </c>
      <c r="S181" s="151"/>
      <c r="T181" s="151"/>
      <c r="U181" s="151" t="s">
        <v>6906</v>
      </c>
      <c r="V181" s="151"/>
      <c r="W181" s="151"/>
      <c r="X181" s="151"/>
      <c r="Y181" s="151" t="s">
        <v>7490</v>
      </c>
      <c r="Z181" s="151" t="s">
        <v>6905</v>
      </c>
      <c r="AA181" s="151"/>
    </row>
    <row r="182" spans="2:27">
      <c r="B182" s="151" t="s">
        <v>6858</v>
      </c>
      <c r="C182" s="151" t="s">
        <v>7498</v>
      </c>
      <c r="D182" s="151" t="s">
        <v>7484</v>
      </c>
      <c r="E182" s="151" t="s">
        <v>26</v>
      </c>
      <c r="F182" s="151" t="s">
        <v>7499</v>
      </c>
      <c r="G182" s="151" t="s">
        <v>544</v>
      </c>
      <c r="H182" s="151" t="s">
        <v>2173</v>
      </c>
      <c r="I182" s="151" t="s">
        <v>6865</v>
      </c>
      <c r="J182" s="151" t="s">
        <v>1194</v>
      </c>
      <c r="K182" s="151" t="s">
        <v>7486</v>
      </c>
      <c r="L182" s="151" t="s">
        <v>7500</v>
      </c>
      <c r="M182" s="151" t="s">
        <v>7488</v>
      </c>
      <c r="N182" s="151" t="s">
        <v>7489</v>
      </c>
      <c r="O182" s="151"/>
      <c r="P182" s="151" t="s">
        <v>6905</v>
      </c>
      <c r="Q182" s="151" t="s">
        <v>7074</v>
      </c>
      <c r="R182" s="151" t="s">
        <v>3608</v>
      </c>
      <c r="S182" s="151"/>
      <c r="T182" s="151">
        <v>5</v>
      </c>
      <c r="U182" s="151" t="s">
        <v>6872</v>
      </c>
      <c r="V182" s="151"/>
      <c r="W182" s="151"/>
      <c r="X182" s="151"/>
      <c r="Y182" s="151" t="s">
        <v>7490</v>
      </c>
      <c r="Z182" s="151" t="s">
        <v>6905</v>
      </c>
      <c r="AA182" s="151"/>
    </row>
    <row r="183" spans="2:27">
      <c r="B183" s="151" t="s">
        <v>6858</v>
      </c>
      <c r="C183" s="151" t="s">
        <v>2343</v>
      </c>
      <c r="D183" s="151" t="s">
        <v>7484</v>
      </c>
      <c r="E183" s="151" t="s">
        <v>26</v>
      </c>
      <c r="F183" s="151" t="s">
        <v>7501</v>
      </c>
      <c r="G183" s="151" t="s">
        <v>544</v>
      </c>
      <c r="H183" s="151" t="s">
        <v>2173</v>
      </c>
      <c r="I183" s="151" t="s">
        <v>6865</v>
      </c>
      <c r="J183" s="151" t="s">
        <v>1194</v>
      </c>
      <c r="K183" s="151" t="s">
        <v>7486</v>
      </c>
      <c r="L183" s="151" t="s">
        <v>7502</v>
      </c>
      <c r="M183" s="151" t="s">
        <v>7488</v>
      </c>
      <c r="N183" s="151" t="s">
        <v>7489</v>
      </c>
      <c r="O183" s="151"/>
      <c r="P183" s="151" t="s">
        <v>6905</v>
      </c>
      <c r="Q183" s="151" t="s">
        <v>7074</v>
      </c>
      <c r="R183" s="151" t="s">
        <v>3608</v>
      </c>
      <c r="S183" s="151"/>
      <c r="T183" s="151">
        <v>4</v>
      </c>
      <c r="U183" s="151" t="s">
        <v>6872</v>
      </c>
      <c r="V183" s="151"/>
      <c r="W183" s="151"/>
      <c r="X183" s="151"/>
      <c r="Y183" s="151" t="s">
        <v>7490</v>
      </c>
      <c r="Z183" s="151" t="s">
        <v>6905</v>
      </c>
      <c r="AA183" s="151"/>
    </row>
    <row r="184" spans="2:27">
      <c r="B184" s="151" t="s">
        <v>6858</v>
      </c>
      <c r="C184" s="151" t="s">
        <v>159</v>
      </c>
      <c r="D184" s="151" t="s">
        <v>7484</v>
      </c>
      <c r="E184" s="151" t="s">
        <v>26</v>
      </c>
      <c r="F184" s="151" t="s">
        <v>7503</v>
      </c>
      <c r="G184" s="151" t="s">
        <v>544</v>
      </c>
      <c r="H184" s="151" t="s">
        <v>2173</v>
      </c>
      <c r="I184" s="151" t="s">
        <v>6865</v>
      </c>
      <c r="J184" s="151" t="s">
        <v>1194</v>
      </c>
      <c r="K184" s="151" t="s">
        <v>7486</v>
      </c>
      <c r="L184" s="151" t="s">
        <v>7504</v>
      </c>
      <c r="M184" s="151" t="s">
        <v>7488</v>
      </c>
      <c r="N184" s="151" t="s">
        <v>7489</v>
      </c>
      <c r="O184" s="151"/>
      <c r="P184" s="151" t="s">
        <v>6905</v>
      </c>
      <c r="Q184" s="151" t="s">
        <v>7074</v>
      </c>
      <c r="R184" s="151" t="s">
        <v>3608</v>
      </c>
      <c r="S184" s="151"/>
      <c r="T184" s="151">
        <v>4</v>
      </c>
      <c r="U184" s="151" t="s">
        <v>6872</v>
      </c>
      <c r="V184" s="151"/>
      <c r="W184" s="151"/>
      <c r="X184" s="151"/>
      <c r="Y184" s="151" t="s">
        <v>7490</v>
      </c>
      <c r="Z184" s="151" t="s">
        <v>6905</v>
      </c>
      <c r="AA184" s="151"/>
    </row>
    <row r="185" spans="2:27">
      <c r="B185" s="151" t="s">
        <v>6858</v>
      </c>
      <c r="C185" s="151" t="s">
        <v>7505</v>
      </c>
      <c r="D185" s="151" t="s">
        <v>7484</v>
      </c>
      <c r="E185" s="151" t="s">
        <v>26</v>
      </c>
      <c r="F185" s="151" t="s">
        <v>7506</v>
      </c>
      <c r="G185" s="151" t="s">
        <v>544</v>
      </c>
      <c r="H185" s="151" t="s">
        <v>2173</v>
      </c>
      <c r="I185" s="151" t="s">
        <v>6865</v>
      </c>
      <c r="J185" s="151" t="s">
        <v>1194</v>
      </c>
      <c r="K185" s="151" t="s">
        <v>7486</v>
      </c>
      <c r="L185" s="151" t="s">
        <v>7507</v>
      </c>
      <c r="M185" s="151" t="s">
        <v>7488</v>
      </c>
      <c r="N185" s="151" t="s">
        <v>7489</v>
      </c>
      <c r="O185" s="151"/>
      <c r="P185" s="151" t="s">
        <v>6905</v>
      </c>
      <c r="Q185" s="151" t="s">
        <v>7074</v>
      </c>
      <c r="R185" s="151" t="s">
        <v>4271</v>
      </c>
      <c r="S185" s="151"/>
      <c r="T185" s="151">
        <v>3</v>
      </c>
      <c r="U185" s="151" t="s">
        <v>6872</v>
      </c>
      <c r="V185" s="151"/>
      <c r="W185" s="151"/>
      <c r="X185" s="151"/>
      <c r="Y185" s="151" t="s">
        <v>7490</v>
      </c>
      <c r="Z185" s="151" t="s">
        <v>6905</v>
      </c>
      <c r="AA185" s="151"/>
    </row>
    <row r="186" spans="2:27">
      <c r="B186" s="151" t="s">
        <v>6858</v>
      </c>
      <c r="C186" s="151" t="s">
        <v>7508</v>
      </c>
      <c r="D186" s="151" t="s">
        <v>7466</v>
      </c>
      <c r="E186" s="151" t="s">
        <v>26</v>
      </c>
      <c r="F186" s="151" t="s">
        <v>7509</v>
      </c>
      <c r="G186" s="151" t="s">
        <v>544</v>
      </c>
      <c r="H186" s="151" t="s">
        <v>2173</v>
      </c>
      <c r="I186" s="151" t="s">
        <v>6865</v>
      </c>
      <c r="J186" s="151" t="s">
        <v>1194</v>
      </c>
      <c r="K186" s="151" t="s">
        <v>7510</v>
      </c>
      <c r="L186" s="151" t="s">
        <v>7507</v>
      </c>
      <c r="M186" s="151" t="s">
        <v>7488</v>
      </c>
      <c r="N186" s="151" t="s">
        <v>7489</v>
      </c>
      <c r="O186" s="151" t="s">
        <v>7511</v>
      </c>
      <c r="P186" s="151" t="s">
        <v>6900</v>
      </c>
      <c r="Q186" s="151" t="s">
        <v>6883</v>
      </c>
      <c r="R186" s="151" t="s">
        <v>4271</v>
      </c>
      <c r="S186" s="151"/>
      <c r="T186" s="151">
        <v>3</v>
      </c>
      <c r="U186" s="151" t="s">
        <v>6872</v>
      </c>
      <c r="V186" s="151"/>
      <c r="W186" s="151"/>
      <c r="X186" s="151"/>
      <c r="Y186" s="151" t="s">
        <v>855</v>
      </c>
      <c r="Z186" s="151" t="s">
        <v>6901</v>
      </c>
      <c r="AA186" s="151"/>
    </row>
    <row r="187" spans="2:27">
      <c r="B187" s="151" t="s">
        <v>6858</v>
      </c>
      <c r="C187" s="151" t="s">
        <v>7512</v>
      </c>
      <c r="D187" s="151" t="s">
        <v>7466</v>
      </c>
      <c r="E187" s="151" t="s">
        <v>26</v>
      </c>
      <c r="F187" s="151" t="s">
        <v>7513</v>
      </c>
      <c r="G187" s="151" t="s">
        <v>544</v>
      </c>
      <c r="H187" s="151" t="s">
        <v>2173</v>
      </c>
      <c r="I187" s="151" t="s">
        <v>6865</v>
      </c>
      <c r="J187" s="151" t="s">
        <v>1194</v>
      </c>
      <c r="K187" s="151" t="s">
        <v>7476</v>
      </c>
      <c r="L187" s="151" t="s">
        <v>7514</v>
      </c>
      <c r="M187" s="151" t="s">
        <v>7515</v>
      </c>
      <c r="N187" s="151" t="s">
        <v>6868</v>
      </c>
      <c r="O187" s="151"/>
      <c r="P187" s="151" t="s">
        <v>6905</v>
      </c>
      <c r="Q187" s="151" t="s">
        <v>7074</v>
      </c>
      <c r="R187" s="151" t="s">
        <v>4271</v>
      </c>
      <c r="S187" s="151"/>
      <c r="T187" s="151" t="s">
        <v>6884</v>
      </c>
      <c r="U187" s="151" t="s">
        <v>6872</v>
      </c>
      <c r="V187" s="151"/>
      <c r="W187" s="151"/>
      <c r="X187" s="151"/>
      <c r="Y187" s="151" t="s">
        <v>855</v>
      </c>
      <c r="Z187" s="151" t="s">
        <v>6905</v>
      </c>
      <c r="AA187" s="151"/>
    </row>
    <row r="188" spans="2:27">
      <c r="B188" s="151" t="s">
        <v>6858</v>
      </c>
      <c r="C188" s="151" t="s">
        <v>7516</v>
      </c>
      <c r="D188" s="151" t="s">
        <v>7466</v>
      </c>
      <c r="E188" s="151" t="s">
        <v>26</v>
      </c>
      <c r="F188" s="151" t="s">
        <v>7517</v>
      </c>
      <c r="G188" s="151" t="s">
        <v>544</v>
      </c>
      <c r="H188" s="151" t="s">
        <v>2173</v>
      </c>
      <c r="I188" s="151" t="s">
        <v>6865</v>
      </c>
      <c r="J188" s="151" t="s">
        <v>1194</v>
      </c>
      <c r="K188" s="151" t="s">
        <v>7476</v>
      </c>
      <c r="L188" s="151" t="s">
        <v>7518</v>
      </c>
      <c r="M188" s="151" t="s">
        <v>7515</v>
      </c>
      <c r="N188" s="151" t="s">
        <v>6868</v>
      </c>
      <c r="O188" s="151" t="s">
        <v>7519</v>
      </c>
      <c r="P188" s="151" t="s">
        <v>2177</v>
      </c>
      <c r="Q188" s="151" t="s">
        <v>7074</v>
      </c>
      <c r="R188" s="151" t="s">
        <v>7520</v>
      </c>
      <c r="S188" s="151"/>
      <c r="T188" s="151">
        <v>5</v>
      </c>
      <c r="U188" s="151" t="s">
        <v>6872</v>
      </c>
      <c r="V188" s="151"/>
      <c r="W188" s="151"/>
      <c r="X188" s="151"/>
      <c r="Y188" s="151" t="s">
        <v>855</v>
      </c>
      <c r="Z188" s="151"/>
      <c r="AA188" s="151"/>
    </row>
    <row r="189" spans="2:27">
      <c r="B189" s="151" t="s">
        <v>6858</v>
      </c>
      <c r="C189" s="151" t="s">
        <v>4348</v>
      </c>
      <c r="D189" s="151" t="s">
        <v>7466</v>
      </c>
      <c r="E189" s="151" t="s">
        <v>26</v>
      </c>
      <c r="F189" s="151" t="s">
        <v>7521</v>
      </c>
      <c r="G189" s="151" t="s">
        <v>544</v>
      </c>
      <c r="H189" s="151" t="s">
        <v>2173</v>
      </c>
      <c r="I189" s="151" t="s">
        <v>6865</v>
      </c>
      <c r="J189" s="151" t="s">
        <v>1194</v>
      </c>
      <c r="K189" s="151" t="s">
        <v>7522</v>
      </c>
      <c r="L189" s="151"/>
      <c r="M189" s="151" t="s">
        <v>7515</v>
      </c>
      <c r="N189" s="151" t="s">
        <v>7489</v>
      </c>
      <c r="O189" s="151" t="s">
        <v>7523</v>
      </c>
      <c r="P189" s="151" t="s">
        <v>6900</v>
      </c>
      <c r="Q189" s="151" t="s">
        <v>7074</v>
      </c>
      <c r="R189" s="151" t="s">
        <v>2207</v>
      </c>
      <c r="S189" s="151"/>
      <c r="T189" s="151"/>
      <c r="U189" s="151" t="s">
        <v>6872</v>
      </c>
      <c r="V189" s="151"/>
      <c r="W189" s="151"/>
      <c r="X189" s="151"/>
      <c r="Y189" s="151" t="s">
        <v>855</v>
      </c>
      <c r="Z189" s="151" t="s">
        <v>6901</v>
      </c>
      <c r="AA189" s="151"/>
    </row>
    <row r="190" spans="2:27">
      <c r="B190" s="151" t="s">
        <v>6858</v>
      </c>
      <c r="C190" s="151" t="s">
        <v>7524</v>
      </c>
      <c r="D190" s="151" t="s">
        <v>7466</v>
      </c>
      <c r="E190" s="151" t="s">
        <v>26</v>
      </c>
      <c r="F190" s="151" t="s">
        <v>7525</v>
      </c>
      <c r="G190" s="151" t="s">
        <v>544</v>
      </c>
      <c r="H190" s="151" t="s">
        <v>2173</v>
      </c>
      <c r="I190" s="151" t="s">
        <v>6865</v>
      </c>
      <c r="J190" s="151" t="s">
        <v>1194</v>
      </c>
      <c r="K190" s="151" t="s">
        <v>7476</v>
      </c>
      <c r="L190" s="151" t="s">
        <v>7526</v>
      </c>
      <c r="M190" s="151" t="s">
        <v>7515</v>
      </c>
      <c r="N190" s="151" t="s">
        <v>6868</v>
      </c>
      <c r="O190" s="151"/>
      <c r="P190" s="151" t="s">
        <v>7079</v>
      </c>
      <c r="Q190" s="151" t="s">
        <v>6883</v>
      </c>
      <c r="R190" s="151" t="s">
        <v>4271</v>
      </c>
      <c r="S190" s="151"/>
      <c r="T190" s="151" t="s">
        <v>6884</v>
      </c>
      <c r="U190" s="151" t="s">
        <v>6885</v>
      </c>
      <c r="V190" s="151"/>
      <c r="W190" s="151"/>
      <c r="X190" s="151"/>
      <c r="Y190" s="151" t="s">
        <v>7479</v>
      </c>
      <c r="Z190" s="151" t="s">
        <v>7527</v>
      </c>
      <c r="AA190" s="151"/>
    </row>
    <row r="191" spans="2:27">
      <c r="B191" s="151" t="s">
        <v>6858</v>
      </c>
      <c r="C191" s="151" t="s">
        <v>7528</v>
      </c>
      <c r="D191" s="151" t="s">
        <v>7466</v>
      </c>
      <c r="E191" s="151" t="s">
        <v>26</v>
      </c>
      <c r="F191" s="151" t="s">
        <v>7529</v>
      </c>
      <c r="G191" s="151" t="s">
        <v>544</v>
      </c>
      <c r="H191" s="151" t="s">
        <v>2173</v>
      </c>
      <c r="I191" s="151" t="s">
        <v>6865</v>
      </c>
      <c r="J191" s="151" t="s">
        <v>1194</v>
      </c>
      <c r="K191" s="151" t="s">
        <v>7476</v>
      </c>
      <c r="L191" s="151" t="s">
        <v>1718</v>
      </c>
      <c r="M191" s="151" t="s">
        <v>7515</v>
      </c>
      <c r="N191" s="151" t="s">
        <v>6868</v>
      </c>
      <c r="O191" s="151"/>
      <c r="P191" s="151" t="s">
        <v>6905</v>
      </c>
      <c r="Q191" s="151"/>
      <c r="R191" s="151" t="s">
        <v>3608</v>
      </c>
      <c r="S191" s="151"/>
      <c r="T191" s="151">
        <v>25</v>
      </c>
      <c r="U191" s="151"/>
      <c r="V191" s="151"/>
      <c r="W191" s="151"/>
      <c r="X191" s="151"/>
      <c r="Y191" s="151" t="s">
        <v>855</v>
      </c>
      <c r="Z191" s="151" t="s">
        <v>6905</v>
      </c>
      <c r="AA191" s="151" t="s">
        <v>7530</v>
      </c>
    </row>
    <row r="192" spans="2:27">
      <c r="B192" s="151" t="s">
        <v>6858</v>
      </c>
      <c r="C192" s="151" t="s">
        <v>7531</v>
      </c>
      <c r="D192" s="151" t="s">
        <v>7466</v>
      </c>
      <c r="E192" s="151" t="s">
        <v>26</v>
      </c>
      <c r="F192" s="151" t="s">
        <v>7532</v>
      </c>
      <c r="G192" s="151" t="s">
        <v>544</v>
      </c>
      <c r="H192" s="151" t="s">
        <v>2173</v>
      </c>
      <c r="I192" s="151" t="s">
        <v>6865</v>
      </c>
      <c r="J192" s="151" t="s">
        <v>1194</v>
      </c>
      <c r="K192" s="151" t="s">
        <v>7476</v>
      </c>
      <c r="L192" s="151" t="s">
        <v>7533</v>
      </c>
      <c r="M192" s="151" t="s">
        <v>7515</v>
      </c>
      <c r="N192" s="151" t="s">
        <v>6868</v>
      </c>
      <c r="O192" s="151"/>
      <c r="P192" s="151" t="s">
        <v>6905</v>
      </c>
      <c r="Q192" s="151" t="s">
        <v>6883</v>
      </c>
      <c r="R192" s="151" t="s">
        <v>3608</v>
      </c>
      <c r="S192" s="151"/>
      <c r="T192" s="151">
        <v>6</v>
      </c>
      <c r="U192" s="151" t="s">
        <v>6872</v>
      </c>
      <c r="V192" s="151"/>
      <c r="W192" s="151"/>
      <c r="X192" s="151"/>
      <c r="Y192" s="151" t="s">
        <v>7479</v>
      </c>
      <c r="Z192" s="151" t="s">
        <v>6905</v>
      </c>
      <c r="AA192" s="151"/>
    </row>
    <row r="193" spans="2:27">
      <c r="B193" s="151" t="s">
        <v>6858</v>
      </c>
      <c r="C193" s="151" t="s">
        <v>7534</v>
      </c>
      <c r="D193" s="151" t="s">
        <v>7466</v>
      </c>
      <c r="E193" s="151" t="s">
        <v>26</v>
      </c>
      <c r="F193" s="151" t="s">
        <v>7535</v>
      </c>
      <c r="G193" s="151" t="s">
        <v>544</v>
      </c>
      <c r="H193" s="151" t="s">
        <v>2173</v>
      </c>
      <c r="I193" s="151" t="s">
        <v>6865</v>
      </c>
      <c r="J193" s="151" t="s">
        <v>1194</v>
      </c>
      <c r="K193" s="151" t="s">
        <v>7476</v>
      </c>
      <c r="L193" s="151" t="s">
        <v>7536</v>
      </c>
      <c r="M193" s="151" t="s">
        <v>7515</v>
      </c>
      <c r="N193" s="151" t="s">
        <v>6868</v>
      </c>
      <c r="O193" s="151" t="s">
        <v>7537</v>
      </c>
      <c r="P193" s="151" t="s">
        <v>2177</v>
      </c>
      <c r="Q193" s="151" t="s">
        <v>6883</v>
      </c>
      <c r="R193" s="151" t="s">
        <v>4271</v>
      </c>
      <c r="S193" s="151"/>
      <c r="T193" s="151">
        <v>5</v>
      </c>
      <c r="U193" s="151" t="s">
        <v>6872</v>
      </c>
      <c r="V193" s="151"/>
      <c r="W193" s="151"/>
      <c r="X193" s="151"/>
      <c r="Y193" s="151" t="s">
        <v>7479</v>
      </c>
      <c r="Z193" s="151"/>
      <c r="AA193" s="151"/>
    </row>
    <row r="194" spans="2:27">
      <c r="B194" s="151" t="s">
        <v>6858</v>
      </c>
      <c r="C194" s="151" t="s">
        <v>7538</v>
      </c>
      <c r="D194" s="151" t="s">
        <v>7466</v>
      </c>
      <c r="E194" s="151" t="s">
        <v>26</v>
      </c>
      <c r="F194" s="151" t="s">
        <v>7539</v>
      </c>
      <c r="G194" s="151" t="s">
        <v>544</v>
      </c>
      <c r="H194" s="151" t="s">
        <v>2173</v>
      </c>
      <c r="I194" s="151" t="s">
        <v>6865</v>
      </c>
      <c r="J194" s="151" t="s">
        <v>1194</v>
      </c>
      <c r="K194" s="151" t="s">
        <v>7476</v>
      </c>
      <c r="L194" s="151" t="s">
        <v>7540</v>
      </c>
      <c r="M194" s="151" t="s">
        <v>7515</v>
      </c>
      <c r="N194" s="151" t="s">
        <v>6868</v>
      </c>
      <c r="O194" s="151"/>
      <c r="P194" s="151" t="s">
        <v>6905</v>
      </c>
      <c r="Q194" s="151" t="s">
        <v>6883</v>
      </c>
      <c r="R194" s="151" t="s">
        <v>2207</v>
      </c>
      <c r="S194" s="151"/>
      <c r="T194" s="151"/>
      <c r="U194" s="151" t="s">
        <v>7541</v>
      </c>
      <c r="V194" s="151"/>
      <c r="W194" s="151"/>
      <c r="X194" s="151"/>
      <c r="Y194" s="151" t="s">
        <v>7479</v>
      </c>
      <c r="Z194" s="151" t="s">
        <v>6905</v>
      </c>
      <c r="AA194" s="151"/>
    </row>
    <row r="195" spans="2:27">
      <c r="B195" s="151" t="s">
        <v>6858</v>
      </c>
      <c r="C195" s="151" t="s">
        <v>7542</v>
      </c>
      <c r="D195" s="151" t="s">
        <v>7466</v>
      </c>
      <c r="E195" s="151" t="s">
        <v>26</v>
      </c>
      <c r="F195" s="151" t="s">
        <v>7543</v>
      </c>
      <c r="G195" s="151" t="s">
        <v>544</v>
      </c>
      <c r="H195" s="151" t="s">
        <v>2173</v>
      </c>
      <c r="I195" s="151" t="s">
        <v>6865</v>
      </c>
      <c r="J195" s="151" t="s">
        <v>1194</v>
      </c>
      <c r="K195" s="151" t="s">
        <v>7476</v>
      </c>
      <c r="L195" s="151" t="s">
        <v>1212</v>
      </c>
      <c r="M195" s="151" t="s">
        <v>7515</v>
      </c>
      <c r="N195" s="151" t="s">
        <v>6868</v>
      </c>
      <c r="O195" s="151" t="s">
        <v>7544</v>
      </c>
      <c r="P195" s="151" t="s">
        <v>7079</v>
      </c>
      <c r="Q195" s="151" t="s">
        <v>7545</v>
      </c>
      <c r="R195" s="151"/>
      <c r="S195" s="151"/>
      <c r="T195" s="151"/>
      <c r="U195" s="151"/>
      <c r="V195" s="151"/>
      <c r="W195" s="151"/>
      <c r="X195" s="151"/>
      <c r="Y195" s="151" t="s">
        <v>7479</v>
      </c>
      <c r="Z195" s="151" t="s">
        <v>7546</v>
      </c>
      <c r="AA195" s="151"/>
    </row>
    <row r="196" spans="2:27">
      <c r="B196" s="151" t="s">
        <v>6858</v>
      </c>
      <c r="C196" s="151" t="s">
        <v>440</v>
      </c>
      <c r="D196" s="151" t="s">
        <v>7466</v>
      </c>
      <c r="E196" s="151" t="s">
        <v>26</v>
      </c>
      <c r="F196" s="151" t="s">
        <v>7547</v>
      </c>
      <c r="G196" s="151" t="s">
        <v>544</v>
      </c>
      <c r="H196" s="151" t="s">
        <v>2173</v>
      </c>
      <c r="I196" s="151" t="s">
        <v>6865</v>
      </c>
      <c r="J196" s="151" t="s">
        <v>1194</v>
      </c>
      <c r="K196" s="151" t="s">
        <v>7548</v>
      </c>
      <c r="L196" s="151" t="s">
        <v>5826</v>
      </c>
      <c r="M196" s="151" t="s">
        <v>7549</v>
      </c>
      <c r="N196" s="151" t="s">
        <v>6868</v>
      </c>
      <c r="O196" s="151"/>
      <c r="P196" s="151" t="s">
        <v>6905</v>
      </c>
      <c r="Q196" s="151" t="s">
        <v>7074</v>
      </c>
      <c r="R196" s="151" t="s">
        <v>3582</v>
      </c>
      <c r="S196" s="151"/>
      <c r="T196" s="151">
        <v>250</v>
      </c>
      <c r="U196" s="151"/>
      <c r="V196" s="151" t="s">
        <v>3608</v>
      </c>
      <c r="W196" s="151"/>
      <c r="X196" s="151"/>
      <c r="Y196" s="151" t="s">
        <v>855</v>
      </c>
      <c r="Z196" s="151" t="s">
        <v>6905</v>
      </c>
      <c r="AA196" s="151"/>
    </row>
    <row r="197" spans="2:27">
      <c r="B197" s="151" t="s">
        <v>6858</v>
      </c>
      <c r="C197" s="151" t="s">
        <v>7550</v>
      </c>
      <c r="D197" s="151" t="s">
        <v>7466</v>
      </c>
      <c r="E197" s="151" t="s">
        <v>26</v>
      </c>
      <c r="F197" s="151" t="s">
        <v>7551</v>
      </c>
      <c r="G197" s="151" t="s">
        <v>544</v>
      </c>
      <c r="H197" s="151" t="s">
        <v>2173</v>
      </c>
      <c r="I197" s="151" t="s">
        <v>6865</v>
      </c>
      <c r="J197" s="151" t="s">
        <v>1194</v>
      </c>
      <c r="K197" s="151" t="s">
        <v>7476</v>
      </c>
      <c r="L197" s="151" t="s">
        <v>7552</v>
      </c>
      <c r="M197" s="151" t="s">
        <v>7515</v>
      </c>
      <c r="N197" s="151" t="s">
        <v>6868</v>
      </c>
      <c r="O197" s="151" t="s">
        <v>7553</v>
      </c>
      <c r="P197" s="151" t="s">
        <v>2177</v>
      </c>
      <c r="Q197" s="151" t="s">
        <v>7074</v>
      </c>
      <c r="R197" s="151" t="s">
        <v>7554</v>
      </c>
      <c r="S197" s="151"/>
      <c r="T197" s="151" t="s">
        <v>7555</v>
      </c>
      <c r="U197" s="151"/>
      <c r="V197" s="151"/>
      <c r="W197" s="151"/>
      <c r="X197" s="151"/>
      <c r="Y197" s="151" t="s">
        <v>855</v>
      </c>
      <c r="Z197" s="151"/>
      <c r="AA197" s="151"/>
    </row>
    <row r="198" spans="2:27">
      <c r="B198" s="151" t="s">
        <v>6858</v>
      </c>
      <c r="C198" s="151" t="s">
        <v>7286</v>
      </c>
      <c r="D198" s="151" t="s">
        <v>7466</v>
      </c>
      <c r="E198" s="151" t="s">
        <v>26</v>
      </c>
      <c r="F198" s="151" t="s">
        <v>7556</v>
      </c>
      <c r="G198" s="151" t="s">
        <v>544</v>
      </c>
      <c r="H198" s="151" t="s">
        <v>2173</v>
      </c>
      <c r="I198" s="151" t="s">
        <v>6865</v>
      </c>
      <c r="J198" s="151" t="s">
        <v>1194</v>
      </c>
      <c r="K198" s="151" t="s">
        <v>7476</v>
      </c>
      <c r="L198" s="151" t="s">
        <v>7557</v>
      </c>
      <c r="M198" s="151" t="s">
        <v>7515</v>
      </c>
      <c r="N198" s="151" t="s">
        <v>6868</v>
      </c>
      <c r="O198" s="151"/>
      <c r="P198" s="151" t="s">
        <v>6905</v>
      </c>
      <c r="Q198" s="151" t="s">
        <v>7074</v>
      </c>
      <c r="R198" s="151" t="s">
        <v>3608</v>
      </c>
      <c r="S198" s="151"/>
      <c r="T198" s="151">
        <v>25</v>
      </c>
      <c r="U198" s="151"/>
      <c r="V198" s="151" t="s">
        <v>3608</v>
      </c>
      <c r="W198" s="151"/>
      <c r="X198" s="151"/>
      <c r="Y198" s="151" t="s">
        <v>855</v>
      </c>
      <c r="Z198" s="151" t="s">
        <v>6905</v>
      </c>
      <c r="AA198" s="151"/>
    </row>
    <row r="199" spans="2:27">
      <c r="B199" s="151" t="s">
        <v>6858</v>
      </c>
      <c r="C199" s="151" t="s">
        <v>7558</v>
      </c>
      <c r="D199" s="151" t="s">
        <v>7466</v>
      </c>
      <c r="E199" s="151" t="s">
        <v>26</v>
      </c>
      <c r="F199" s="151" t="s">
        <v>7559</v>
      </c>
      <c r="G199" s="151" t="s">
        <v>544</v>
      </c>
      <c r="H199" s="151" t="s">
        <v>2173</v>
      </c>
      <c r="I199" s="151" t="s">
        <v>6865</v>
      </c>
      <c r="J199" s="151" t="s">
        <v>1194</v>
      </c>
      <c r="K199" s="151" t="s">
        <v>7476</v>
      </c>
      <c r="L199" s="151" t="s">
        <v>7560</v>
      </c>
      <c r="M199" s="151" t="s">
        <v>7515</v>
      </c>
      <c r="N199" s="151" t="s">
        <v>6868</v>
      </c>
      <c r="O199" s="151"/>
      <c r="P199" s="151" t="s">
        <v>6905</v>
      </c>
      <c r="Q199" s="151" t="s">
        <v>7074</v>
      </c>
      <c r="R199" s="151" t="s">
        <v>4271</v>
      </c>
      <c r="S199" s="151"/>
      <c r="T199" s="151" t="s">
        <v>6884</v>
      </c>
      <c r="U199" s="151"/>
      <c r="V199" s="151"/>
      <c r="W199" s="151"/>
      <c r="X199" s="151"/>
      <c r="Y199" s="151" t="s">
        <v>855</v>
      </c>
      <c r="Z199" s="151" t="s">
        <v>6905</v>
      </c>
      <c r="AA199" s="151"/>
    </row>
    <row r="200" spans="2:27">
      <c r="B200" s="151" t="s">
        <v>6858</v>
      </c>
      <c r="C200" s="151" t="s">
        <v>7377</v>
      </c>
      <c r="D200" s="151" t="s">
        <v>7466</v>
      </c>
      <c r="E200" s="151" t="s">
        <v>26</v>
      </c>
      <c r="F200" s="151" t="s">
        <v>7561</v>
      </c>
      <c r="G200" s="151" t="s">
        <v>544</v>
      </c>
      <c r="H200" s="151" t="s">
        <v>2173</v>
      </c>
      <c r="I200" s="151" t="s">
        <v>6865</v>
      </c>
      <c r="J200" s="151" t="s">
        <v>1194</v>
      </c>
      <c r="K200" s="151" t="s">
        <v>7476</v>
      </c>
      <c r="L200" s="151" t="s">
        <v>7562</v>
      </c>
      <c r="M200" s="151" t="s">
        <v>7515</v>
      </c>
      <c r="N200" s="151" t="s">
        <v>6868</v>
      </c>
      <c r="O200" s="151"/>
      <c r="P200" s="151" t="s">
        <v>6905</v>
      </c>
      <c r="Q200" s="151" t="s">
        <v>7074</v>
      </c>
      <c r="R200" s="151" t="s">
        <v>4271</v>
      </c>
      <c r="S200" s="151"/>
      <c r="T200" s="151" t="s">
        <v>6884</v>
      </c>
      <c r="U200" s="151"/>
      <c r="V200" s="151"/>
      <c r="W200" s="151"/>
      <c r="X200" s="151"/>
      <c r="Y200" s="151" t="s">
        <v>855</v>
      </c>
      <c r="Z200" s="151" t="s">
        <v>6905</v>
      </c>
      <c r="AA200" s="151"/>
    </row>
    <row r="201" spans="2:27">
      <c r="B201" s="151" t="s">
        <v>6858</v>
      </c>
      <c r="C201" s="151" t="s">
        <v>4345</v>
      </c>
      <c r="D201" s="151" t="s">
        <v>7466</v>
      </c>
      <c r="E201" s="151" t="s">
        <v>26</v>
      </c>
      <c r="F201" s="151" t="s">
        <v>7563</v>
      </c>
      <c r="G201" s="151" t="s">
        <v>544</v>
      </c>
      <c r="H201" s="151" t="s">
        <v>2173</v>
      </c>
      <c r="I201" s="151" t="s">
        <v>6865</v>
      </c>
      <c r="J201" s="151" t="s">
        <v>1194</v>
      </c>
      <c r="K201" s="151" t="s">
        <v>7476</v>
      </c>
      <c r="L201" s="151" t="s">
        <v>7564</v>
      </c>
      <c r="M201" s="151" t="s">
        <v>7515</v>
      </c>
      <c r="N201" s="151" t="s">
        <v>6868</v>
      </c>
      <c r="O201" s="151"/>
      <c r="P201" s="151" t="s">
        <v>6905</v>
      </c>
      <c r="Q201" s="151" t="s">
        <v>7074</v>
      </c>
      <c r="R201" s="151" t="s">
        <v>2207</v>
      </c>
      <c r="S201" s="151"/>
      <c r="T201" s="151"/>
      <c r="U201" s="151"/>
      <c r="V201" s="151"/>
      <c r="W201" s="151"/>
      <c r="X201" s="151"/>
      <c r="Y201" s="151" t="s">
        <v>855</v>
      </c>
      <c r="Z201" s="151" t="s">
        <v>6905</v>
      </c>
      <c r="AA201" s="151"/>
    </row>
    <row r="202" spans="2:27">
      <c r="B202" s="151" t="s">
        <v>6858</v>
      </c>
      <c r="C202" s="151" t="s">
        <v>159</v>
      </c>
      <c r="D202" s="151" t="s">
        <v>7466</v>
      </c>
      <c r="E202" s="151" t="s">
        <v>26</v>
      </c>
      <c r="F202" s="151" t="s">
        <v>7565</v>
      </c>
      <c r="G202" s="151" t="s">
        <v>544</v>
      </c>
      <c r="H202" s="151" t="s">
        <v>2173</v>
      </c>
      <c r="I202" s="151" t="s">
        <v>6865</v>
      </c>
      <c r="J202" s="151" t="s">
        <v>1194</v>
      </c>
      <c r="K202" s="151" t="s">
        <v>7476</v>
      </c>
      <c r="L202" s="151" t="s">
        <v>2307</v>
      </c>
      <c r="M202" s="151" t="s">
        <v>7515</v>
      </c>
      <c r="N202" s="151" t="s">
        <v>6868</v>
      </c>
      <c r="O202" s="151"/>
      <c r="P202" s="151" t="s">
        <v>6905</v>
      </c>
      <c r="Q202" s="151" t="s">
        <v>7074</v>
      </c>
      <c r="R202" s="151" t="s">
        <v>3608</v>
      </c>
      <c r="S202" s="151"/>
      <c r="T202" s="151">
        <v>4</v>
      </c>
      <c r="U202" s="151"/>
      <c r="V202" s="151"/>
      <c r="W202" s="151"/>
      <c r="X202" s="151"/>
      <c r="Y202" s="151" t="s">
        <v>855</v>
      </c>
      <c r="Z202" s="151" t="s">
        <v>6905</v>
      </c>
      <c r="AA202" s="151"/>
    </row>
    <row r="203" spans="2:27">
      <c r="B203" s="151" t="s">
        <v>6858</v>
      </c>
      <c r="C203" s="151" t="s">
        <v>7566</v>
      </c>
      <c r="D203" s="151" t="s">
        <v>7466</v>
      </c>
      <c r="E203" s="151" t="s">
        <v>26</v>
      </c>
      <c r="F203" s="151" t="s">
        <v>7567</v>
      </c>
      <c r="G203" s="151" t="s">
        <v>544</v>
      </c>
      <c r="H203" s="151" t="s">
        <v>2173</v>
      </c>
      <c r="I203" s="151" t="s">
        <v>6865</v>
      </c>
      <c r="J203" s="151" t="s">
        <v>1194</v>
      </c>
      <c r="K203" s="151" t="s">
        <v>7476</v>
      </c>
      <c r="L203" s="151" t="s">
        <v>7568</v>
      </c>
      <c r="M203" s="151" t="s">
        <v>7515</v>
      </c>
      <c r="N203" s="151" t="s">
        <v>6868</v>
      </c>
      <c r="O203" s="151"/>
      <c r="P203" s="151" t="s">
        <v>6905</v>
      </c>
      <c r="Q203" s="151" t="s">
        <v>7074</v>
      </c>
      <c r="R203" s="151" t="s">
        <v>4271</v>
      </c>
      <c r="S203" s="151"/>
      <c r="T203" s="151">
        <v>5</v>
      </c>
      <c r="U203" s="151"/>
      <c r="V203" s="151"/>
      <c r="W203" s="151"/>
      <c r="X203" s="151"/>
      <c r="Y203" s="151" t="s">
        <v>855</v>
      </c>
      <c r="Z203" s="151" t="s">
        <v>6905</v>
      </c>
      <c r="AA203" s="151"/>
    </row>
    <row r="204" spans="2:27">
      <c r="B204" s="151" t="s">
        <v>6968</v>
      </c>
      <c r="C204" s="151" t="s">
        <v>7569</v>
      </c>
      <c r="D204" s="151" t="s">
        <v>341</v>
      </c>
      <c r="E204" s="151" t="s">
        <v>26</v>
      </c>
      <c r="F204" s="151" t="s">
        <v>7570</v>
      </c>
      <c r="G204" s="151" t="s">
        <v>2429</v>
      </c>
      <c r="H204" s="151" t="s">
        <v>2173</v>
      </c>
      <c r="I204" s="151" t="s">
        <v>6865</v>
      </c>
      <c r="J204" s="151" t="s">
        <v>1194</v>
      </c>
      <c r="K204" s="151" t="s">
        <v>620</v>
      </c>
      <c r="L204" s="151" t="s">
        <v>6965</v>
      </c>
      <c r="M204" s="151" t="s">
        <v>6867</v>
      </c>
      <c r="N204" s="151" t="s">
        <v>6868</v>
      </c>
      <c r="O204" s="151"/>
      <c r="P204" s="151" t="s">
        <v>7079</v>
      </c>
      <c r="Q204" s="151" t="s">
        <v>6870</v>
      </c>
      <c r="R204" s="151" t="s">
        <v>3608</v>
      </c>
      <c r="S204" s="151"/>
      <c r="T204" s="151">
        <v>25</v>
      </c>
      <c r="U204" s="151"/>
      <c r="V204" s="151"/>
      <c r="W204" s="151"/>
      <c r="X204" s="151"/>
      <c r="Y204" s="151" t="s">
        <v>6961</v>
      </c>
      <c r="Z204" s="151" t="s">
        <v>7571</v>
      </c>
      <c r="AA204" s="151" t="s">
        <v>7572</v>
      </c>
    </row>
    <row r="205" spans="2:27">
      <c r="B205" s="151" t="s">
        <v>6858</v>
      </c>
      <c r="C205" s="151" t="s">
        <v>7573</v>
      </c>
      <c r="D205" s="151" t="s">
        <v>3919</v>
      </c>
      <c r="E205" s="151" t="s">
        <v>26</v>
      </c>
      <c r="F205" s="151" t="s">
        <v>7570</v>
      </c>
      <c r="G205" s="151" t="s">
        <v>240</v>
      </c>
      <c r="H205" s="151" t="s">
        <v>2173</v>
      </c>
      <c r="I205" s="151" t="s">
        <v>6865</v>
      </c>
      <c r="J205" s="151" t="s">
        <v>1194</v>
      </c>
      <c r="K205" s="151" t="s">
        <v>620</v>
      </c>
      <c r="L205" s="151" t="s">
        <v>6965</v>
      </c>
      <c r="M205" s="151" t="s">
        <v>6867</v>
      </c>
      <c r="N205" s="151" t="s">
        <v>6868</v>
      </c>
      <c r="O205" s="151"/>
      <c r="P205" s="151" t="s">
        <v>7079</v>
      </c>
      <c r="Q205" s="151" t="s">
        <v>6870</v>
      </c>
      <c r="R205" s="151" t="s">
        <v>3608</v>
      </c>
      <c r="S205" s="151"/>
      <c r="T205" s="151">
        <v>25</v>
      </c>
      <c r="U205" s="151"/>
      <c r="V205" s="151"/>
      <c r="W205" s="151"/>
      <c r="X205" s="151"/>
      <c r="Y205" s="151" t="s">
        <v>6961</v>
      </c>
      <c r="Z205" s="151" t="s">
        <v>7571</v>
      </c>
      <c r="AA205" s="151" t="s">
        <v>7572</v>
      </c>
    </row>
    <row r="206" spans="2:27">
      <c r="B206" s="151" t="s">
        <v>6968</v>
      </c>
      <c r="C206" s="151" t="s">
        <v>343</v>
      </c>
      <c r="D206" s="151" t="s">
        <v>341</v>
      </c>
      <c r="E206" s="151" t="s">
        <v>26</v>
      </c>
      <c r="F206" s="151" t="s">
        <v>7574</v>
      </c>
      <c r="G206" s="151" t="s">
        <v>2429</v>
      </c>
      <c r="H206" s="151" t="s">
        <v>2173</v>
      </c>
      <c r="I206" s="151" t="s">
        <v>6865</v>
      </c>
      <c r="J206" s="151" t="s">
        <v>1194</v>
      </c>
      <c r="K206" s="151" t="s">
        <v>634</v>
      </c>
      <c r="L206" s="151" t="s">
        <v>7575</v>
      </c>
      <c r="M206" s="151" t="s">
        <v>7457</v>
      </c>
      <c r="N206" s="151" t="s">
        <v>6868</v>
      </c>
      <c r="O206" s="151"/>
      <c r="P206" s="151" t="s">
        <v>6905</v>
      </c>
      <c r="Q206" s="151" t="s">
        <v>7576</v>
      </c>
      <c r="R206" s="151" t="s">
        <v>7577</v>
      </c>
      <c r="S206" s="151" t="s">
        <v>6871</v>
      </c>
      <c r="T206" s="151" t="s">
        <v>7578</v>
      </c>
      <c r="U206" s="151" t="s">
        <v>6872</v>
      </c>
      <c r="V206" s="151" t="s">
        <v>3608</v>
      </c>
      <c r="W206" s="151" t="s">
        <v>6871</v>
      </c>
      <c r="X206" s="151"/>
      <c r="Y206" s="151" t="s">
        <v>6961</v>
      </c>
      <c r="Z206" s="151" t="s">
        <v>6905</v>
      </c>
      <c r="AA206" s="151"/>
    </row>
    <row r="207" spans="2:27">
      <c r="B207" s="151" t="s">
        <v>6858</v>
      </c>
      <c r="C207" s="151" t="s">
        <v>7579</v>
      </c>
      <c r="D207" s="151" t="s">
        <v>3919</v>
      </c>
      <c r="E207" s="151" t="s">
        <v>26</v>
      </c>
      <c r="F207" s="151" t="s">
        <v>7580</v>
      </c>
      <c r="G207" s="151" t="s">
        <v>544</v>
      </c>
      <c r="H207" s="151" t="s">
        <v>2173</v>
      </c>
      <c r="I207" s="151" t="s">
        <v>6865</v>
      </c>
      <c r="J207" s="151" t="s">
        <v>1194</v>
      </c>
      <c r="K207" s="151" t="s">
        <v>7581</v>
      </c>
      <c r="L207" s="151" t="s">
        <v>5826</v>
      </c>
      <c r="M207" s="151" t="s">
        <v>7582</v>
      </c>
      <c r="N207" s="151" t="s">
        <v>6868</v>
      </c>
      <c r="O207" s="151"/>
      <c r="P207" s="151" t="s">
        <v>6905</v>
      </c>
      <c r="Q207" s="151" t="s">
        <v>7576</v>
      </c>
      <c r="R207" s="151" t="s">
        <v>3608</v>
      </c>
      <c r="S207" s="151"/>
      <c r="T207" s="151">
        <v>40</v>
      </c>
      <c r="U207" s="151" t="s">
        <v>6872</v>
      </c>
      <c r="V207" s="151" t="s">
        <v>3608</v>
      </c>
      <c r="W207" s="151"/>
      <c r="X207" s="151"/>
      <c r="Y207" s="151" t="s">
        <v>855</v>
      </c>
      <c r="Z207" s="151" t="s">
        <v>6905</v>
      </c>
      <c r="AA207" s="151"/>
    </row>
    <row r="208" spans="2:27">
      <c r="B208" s="151" t="s">
        <v>6858</v>
      </c>
      <c r="C208" s="151" t="s">
        <v>7391</v>
      </c>
      <c r="D208" s="151" t="s">
        <v>341</v>
      </c>
      <c r="E208" s="151" t="s">
        <v>26</v>
      </c>
      <c r="F208" s="151" t="s">
        <v>7583</v>
      </c>
      <c r="G208" s="151" t="s">
        <v>2527</v>
      </c>
      <c r="H208" s="151" t="s">
        <v>2173</v>
      </c>
      <c r="I208" s="151" t="s">
        <v>6865</v>
      </c>
      <c r="J208" s="151" t="s">
        <v>1194</v>
      </c>
      <c r="K208" s="151" t="s">
        <v>620</v>
      </c>
      <c r="L208" s="151" t="s">
        <v>7389</v>
      </c>
      <c r="M208" s="151" t="s">
        <v>6867</v>
      </c>
      <c r="N208" s="151" t="s">
        <v>6868</v>
      </c>
      <c r="O208" s="151" t="s">
        <v>7390</v>
      </c>
      <c r="P208" s="151" t="s">
        <v>2177</v>
      </c>
      <c r="Q208" s="151" t="s">
        <v>6883</v>
      </c>
      <c r="R208" s="151" t="s">
        <v>4271</v>
      </c>
      <c r="S208" s="151" t="s">
        <v>6871</v>
      </c>
      <c r="T208" s="151" t="s">
        <v>6884</v>
      </c>
      <c r="U208" s="151" t="s">
        <v>6885</v>
      </c>
      <c r="V208" s="151"/>
      <c r="W208" s="151" t="s">
        <v>6871</v>
      </c>
      <c r="X208" s="151"/>
      <c r="Y208" s="151" t="s">
        <v>6961</v>
      </c>
      <c r="Z208" s="151"/>
      <c r="AA208" s="151"/>
    </row>
    <row r="209" spans="2:27">
      <c r="B209" s="151" t="s">
        <v>6858</v>
      </c>
      <c r="C209" s="151" t="s">
        <v>7584</v>
      </c>
      <c r="D209" s="151" t="s">
        <v>4497</v>
      </c>
      <c r="E209" s="151" t="s">
        <v>26</v>
      </c>
      <c r="F209" s="151" t="s">
        <v>7585</v>
      </c>
      <c r="G209" s="151" t="s">
        <v>2527</v>
      </c>
      <c r="H209" s="151" t="s">
        <v>2173</v>
      </c>
      <c r="I209" s="151" t="s">
        <v>6865</v>
      </c>
      <c r="J209" s="151" t="s">
        <v>1194</v>
      </c>
      <c r="K209" s="151" t="s">
        <v>7586</v>
      </c>
      <c r="L209" s="151" t="s">
        <v>1728</v>
      </c>
      <c r="M209" s="151" t="s">
        <v>7587</v>
      </c>
      <c r="N209" s="151" t="s">
        <v>6868</v>
      </c>
      <c r="O209" s="151"/>
      <c r="P209" s="151" t="s">
        <v>6905</v>
      </c>
      <c r="Q209" s="151" t="s">
        <v>6870</v>
      </c>
      <c r="R209" s="151" t="s">
        <v>2207</v>
      </c>
      <c r="S209" s="151"/>
      <c r="T209" s="151"/>
      <c r="U209" s="151" t="s">
        <v>6906</v>
      </c>
      <c r="V209" s="151"/>
      <c r="W209" s="151"/>
      <c r="X209" s="151"/>
      <c r="Y209" s="151" t="s">
        <v>7588</v>
      </c>
      <c r="Z209" s="151" t="s">
        <v>6905</v>
      </c>
      <c r="AA209" s="151"/>
    </row>
    <row r="210" spans="2:27">
      <c r="B210" s="151" t="s">
        <v>6858</v>
      </c>
      <c r="C210" s="151" t="s">
        <v>7589</v>
      </c>
      <c r="D210" s="151" t="s">
        <v>4497</v>
      </c>
      <c r="E210" s="151" t="s">
        <v>26</v>
      </c>
      <c r="F210" s="151" t="s">
        <v>7589</v>
      </c>
      <c r="G210" s="151" t="s">
        <v>2527</v>
      </c>
      <c r="H210" s="151" t="s">
        <v>2173</v>
      </c>
      <c r="I210" s="151" t="s">
        <v>6865</v>
      </c>
      <c r="J210" s="151" t="s">
        <v>1194</v>
      </c>
      <c r="K210" s="151" t="s">
        <v>7586</v>
      </c>
      <c r="L210" s="151" t="s">
        <v>7590</v>
      </c>
      <c r="M210" s="151" t="s">
        <v>7587</v>
      </c>
      <c r="N210" s="151" t="s">
        <v>6868</v>
      </c>
      <c r="O210" s="151"/>
      <c r="P210" s="151" t="s">
        <v>6905</v>
      </c>
      <c r="Q210" s="151" t="s">
        <v>6870</v>
      </c>
      <c r="R210" s="151" t="s">
        <v>4271</v>
      </c>
      <c r="S210" s="151"/>
      <c r="T210" s="151" t="s">
        <v>6884</v>
      </c>
      <c r="U210" s="151" t="s">
        <v>7591</v>
      </c>
      <c r="V210" s="151"/>
      <c r="W210" s="151"/>
      <c r="X210" s="151"/>
      <c r="Y210" s="151" t="s">
        <v>7592</v>
      </c>
      <c r="Z210" s="151" t="s">
        <v>6905</v>
      </c>
      <c r="AA210" s="151"/>
    </row>
    <row r="211" spans="2:27">
      <c r="B211" s="151" t="s">
        <v>6858</v>
      </c>
      <c r="C211" s="151" t="s">
        <v>5416</v>
      </c>
      <c r="D211" s="151" t="s">
        <v>7593</v>
      </c>
      <c r="E211" s="151" t="s">
        <v>26</v>
      </c>
      <c r="F211" s="151" t="s">
        <v>7594</v>
      </c>
      <c r="G211" s="151" t="s">
        <v>2527</v>
      </c>
      <c r="H211" s="151" t="s">
        <v>10801</v>
      </c>
      <c r="I211" s="151"/>
      <c r="J211" s="151" t="s">
        <v>1194</v>
      </c>
      <c r="K211" s="151" t="s">
        <v>656</v>
      </c>
      <c r="L211" s="151" t="s">
        <v>7368</v>
      </c>
      <c r="M211" s="151" t="s">
        <v>361</v>
      </c>
      <c r="N211" s="151" t="s">
        <v>6868</v>
      </c>
      <c r="O211" s="151" t="s">
        <v>7369</v>
      </c>
      <c r="P211" s="151" t="s">
        <v>7079</v>
      </c>
      <c r="Q211" s="151" t="s">
        <v>7074</v>
      </c>
      <c r="R211" s="151"/>
      <c r="S211" s="151"/>
      <c r="T211" s="151"/>
      <c r="U211" s="151" t="s">
        <v>6872</v>
      </c>
      <c r="V211" s="151"/>
      <c r="W211" s="151"/>
      <c r="X211" s="151"/>
      <c r="Y211" s="151" t="s">
        <v>7370</v>
      </c>
      <c r="Z211" s="151" t="s">
        <v>7595</v>
      </c>
      <c r="AA211" s="151" t="s">
        <v>7596</v>
      </c>
    </row>
    <row r="212" spans="2:27">
      <c r="B212" s="151" t="s">
        <v>6858</v>
      </c>
      <c r="C212" s="151" t="s">
        <v>5789</v>
      </c>
      <c r="D212" s="151" t="s">
        <v>7593</v>
      </c>
      <c r="E212" s="151" t="s">
        <v>26</v>
      </c>
      <c r="F212" s="151" t="s">
        <v>7597</v>
      </c>
      <c r="G212" s="151" t="s">
        <v>2527</v>
      </c>
      <c r="H212" s="151" t="s">
        <v>10801</v>
      </c>
      <c r="I212" s="151"/>
      <c r="J212" s="151" t="s">
        <v>1194</v>
      </c>
      <c r="K212" s="151" t="s">
        <v>656</v>
      </c>
      <c r="L212" s="151" t="s">
        <v>7373</v>
      </c>
      <c r="M212" s="151" t="s">
        <v>361</v>
      </c>
      <c r="N212" s="151" t="s">
        <v>6868</v>
      </c>
      <c r="O212" s="151" t="s">
        <v>7369</v>
      </c>
      <c r="P212" s="151" t="s">
        <v>7079</v>
      </c>
      <c r="Q212" s="151" t="s">
        <v>7074</v>
      </c>
      <c r="R212" s="151"/>
      <c r="S212" s="151"/>
      <c r="T212" s="151"/>
      <c r="U212" s="151" t="s">
        <v>6872</v>
      </c>
      <c r="V212" s="151"/>
      <c r="W212" s="151"/>
      <c r="X212" s="151"/>
      <c r="Y212" s="151" t="s">
        <v>7370</v>
      </c>
      <c r="Z212" s="151" t="s">
        <v>7595</v>
      </c>
      <c r="AA212" s="151" t="s">
        <v>7596</v>
      </c>
    </row>
    <row r="213" spans="2:27">
      <c r="B213" s="151" t="s">
        <v>6858</v>
      </c>
      <c r="C213" s="151" t="s">
        <v>7374</v>
      </c>
      <c r="D213" s="151" t="s">
        <v>7593</v>
      </c>
      <c r="E213" s="151" t="s">
        <v>26</v>
      </c>
      <c r="F213" s="151" t="s">
        <v>7598</v>
      </c>
      <c r="G213" s="151" t="s">
        <v>2527</v>
      </c>
      <c r="H213" s="151" t="s">
        <v>10801</v>
      </c>
      <c r="I213" s="151"/>
      <c r="J213" s="151" t="s">
        <v>1194</v>
      </c>
      <c r="K213" s="151" t="s">
        <v>656</v>
      </c>
      <c r="L213" s="151" t="s">
        <v>7376</v>
      </c>
      <c r="M213" s="151" t="s">
        <v>361</v>
      </c>
      <c r="N213" s="151" t="s">
        <v>6868</v>
      </c>
      <c r="O213" s="151" t="s">
        <v>7369</v>
      </c>
      <c r="P213" s="151" t="s">
        <v>7079</v>
      </c>
      <c r="Q213" s="151" t="s">
        <v>7074</v>
      </c>
      <c r="R213" s="151"/>
      <c r="S213" s="151"/>
      <c r="T213" s="151"/>
      <c r="U213" s="151" t="s">
        <v>6872</v>
      </c>
      <c r="V213" s="151"/>
      <c r="W213" s="151"/>
      <c r="X213" s="151"/>
      <c r="Y213" s="151" t="s">
        <v>7370</v>
      </c>
      <c r="Z213" s="151" t="s">
        <v>7595</v>
      </c>
      <c r="AA213" s="151" t="s">
        <v>7596</v>
      </c>
    </row>
    <row r="214" spans="2:27">
      <c r="B214" s="151" t="s">
        <v>6858</v>
      </c>
      <c r="C214" s="151" t="s">
        <v>7377</v>
      </c>
      <c r="D214" s="151" t="s">
        <v>7593</v>
      </c>
      <c r="E214" s="151" t="s">
        <v>26</v>
      </c>
      <c r="F214" s="151" t="s">
        <v>7599</v>
      </c>
      <c r="G214" s="151" t="s">
        <v>2527</v>
      </c>
      <c r="H214" s="151" t="s">
        <v>10801</v>
      </c>
      <c r="I214" s="151"/>
      <c r="J214" s="151" t="s">
        <v>1194</v>
      </c>
      <c r="K214" s="151" t="s">
        <v>656</v>
      </c>
      <c r="L214" s="151" t="s">
        <v>7379</v>
      </c>
      <c r="M214" s="151" t="s">
        <v>361</v>
      </c>
      <c r="N214" s="151" t="s">
        <v>6868</v>
      </c>
      <c r="O214" s="151" t="s">
        <v>7369</v>
      </c>
      <c r="P214" s="151" t="s">
        <v>7079</v>
      </c>
      <c r="Q214" s="151" t="s">
        <v>7074</v>
      </c>
      <c r="R214" s="151"/>
      <c r="S214" s="151"/>
      <c r="T214" s="151"/>
      <c r="U214" s="151" t="s">
        <v>6872</v>
      </c>
      <c r="V214" s="151"/>
      <c r="W214" s="151"/>
      <c r="X214" s="151"/>
      <c r="Y214" s="151" t="s">
        <v>7370</v>
      </c>
      <c r="Z214" s="151" t="s">
        <v>7595</v>
      </c>
      <c r="AA214" s="151" t="s">
        <v>7596</v>
      </c>
    </row>
    <row r="215" spans="2:27">
      <c r="B215" s="151" t="s">
        <v>6858</v>
      </c>
      <c r="C215" s="151" t="s">
        <v>4298</v>
      </c>
      <c r="D215" s="151" t="s">
        <v>7593</v>
      </c>
      <c r="E215" s="151" t="s">
        <v>26</v>
      </c>
      <c r="F215" s="151" t="s">
        <v>7600</v>
      </c>
      <c r="G215" s="151" t="s">
        <v>2527</v>
      </c>
      <c r="H215" s="151" t="s">
        <v>2173</v>
      </c>
      <c r="I215" s="151"/>
      <c r="J215" s="151" t="s">
        <v>1194</v>
      </c>
      <c r="K215" s="151" t="s">
        <v>7381</v>
      </c>
      <c r="L215" s="151" t="s">
        <v>7382</v>
      </c>
      <c r="M215" s="151" t="s">
        <v>7383</v>
      </c>
      <c r="N215" s="151" t="s">
        <v>7384</v>
      </c>
      <c r="O215" s="151" t="s">
        <v>7369</v>
      </c>
      <c r="P215" s="151" t="s">
        <v>7079</v>
      </c>
      <c r="Q215" s="151" t="s">
        <v>7074</v>
      </c>
      <c r="R215" s="151"/>
      <c r="S215" s="151"/>
      <c r="T215" s="151"/>
      <c r="U215" s="151" t="s">
        <v>6872</v>
      </c>
      <c r="V215" s="151"/>
      <c r="W215" s="151"/>
      <c r="X215" s="151"/>
      <c r="Y215" s="151" t="s">
        <v>7370</v>
      </c>
      <c r="Z215" s="151" t="s">
        <v>7595</v>
      </c>
      <c r="AA215" s="151" t="s">
        <v>7596</v>
      </c>
    </row>
    <row r="216" spans="2:27">
      <c r="B216" s="151" t="s">
        <v>6858</v>
      </c>
      <c r="C216" s="151" t="s">
        <v>4242</v>
      </c>
      <c r="D216" s="151" t="s">
        <v>7593</v>
      </c>
      <c r="E216" s="151" t="s">
        <v>26</v>
      </c>
      <c r="F216" s="151" t="s">
        <v>7601</v>
      </c>
      <c r="G216" s="151" t="s">
        <v>2527</v>
      </c>
      <c r="H216" s="151" t="s">
        <v>10801</v>
      </c>
      <c r="I216" s="151"/>
      <c r="J216" s="151" t="s">
        <v>1194</v>
      </c>
      <c r="K216" s="151" t="s">
        <v>656</v>
      </c>
      <c r="L216" s="151" t="s">
        <v>7386</v>
      </c>
      <c r="M216" s="151" t="s">
        <v>361</v>
      </c>
      <c r="N216" s="151" t="s">
        <v>6868</v>
      </c>
      <c r="O216" s="151" t="s">
        <v>7369</v>
      </c>
      <c r="P216" s="151" t="s">
        <v>7079</v>
      </c>
      <c r="Q216" s="151" t="s">
        <v>7074</v>
      </c>
      <c r="R216" s="151"/>
      <c r="S216" s="151"/>
      <c r="T216" s="151"/>
      <c r="U216" s="151" t="s">
        <v>6872</v>
      </c>
      <c r="V216" s="151"/>
      <c r="W216" s="151"/>
      <c r="X216" s="151"/>
      <c r="Y216" s="151" t="s">
        <v>7370</v>
      </c>
      <c r="Z216" s="151" t="s">
        <v>7595</v>
      </c>
      <c r="AA216" s="151" t="s">
        <v>7596</v>
      </c>
    </row>
    <row r="217" spans="2:27">
      <c r="B217" s="151" t="s">
        <v>6858</v>
      </c>
      <c r="C217" s="151" t="s">
        <v>858</v>
      </c>
      <c r="D217" s="151" t="s">
        <v>4238</v>
      </c>
      <c r="E217" s="151" t="s">
        <v>26</v>
      </c>
      <c r="F217" s="151" t="s">
        <v>7602</v>
      </c>
      <c r="G217" s="151" t="s">
        <v>544</v>
      </c>
      <c r="H217" s="151" t="s">
        <v>2173</v>
      </c>
      <c r="I217" s="151" t="s">
        <v>6865</v>
      </c>
      <c r="J217" s="151" t="s">
        <v>1194</v>
      </c>
      <c r="K217" s="151" t="s">
        <v>7603</v>
      </c>
      <c r="L217" s="151" t="s">
        <v>7604</v>
      </c>
      <c r="M217" s="151" t="s">
        <v>7605</v>
      </c>
      <c r="N217" s="151" t="s">
        <v>6868</v>
      </c>
      <c r="O217" s="151"/>
      <c r="P217" s="151" t="s">
        <v>6905</v>
      </c>
      <c r="Q217" s="151" t="s">
        <v>7606</v>
      </c>
      <c r="R217" s="151" t="s">
        <v>3582</v>
      </c>
      <c r="S217" s="151"/>
      <c r="T217" s="151">
        <v>50</v>
      </c>
      <c r="U217" s="151"/>
      <c r="V217" s="151" t="s">
        <v>3608</v>
      </c>
      <c r="W217" s="151"/>
      <c r="X217" s="151"/>
      <c r="Y217" s="151" t="s">
        <v>855</v>
      </c>
      <c r="Z217" s="151" t="s">
        <v>6905</v>
      </c>
      <c r="AA217" s="151" t="s">
        <v>7607</v>
      </c>
    </row>
    <row r="218" spans="2:27">
      <c r="B218" s="151" t="s">
        <v>6858</v>
      </c>
      <c r="C218" s="151" t="s">
        <v>7633</v>
      </c>
      <c r="D218" s="151" t="s">
        <v>4238</v>
      </c>
      <c r="E218" s="151" t="s">
        <v>26</v>
      </c>
      <c r="F218" s="151" t="s">
        <v>7602</v>
      </c>
      <c r="G218" s="151" t="s">
        <v>2527</v>
      </c>
      <c r="H218" s="151" t="s">
        <v>2173</v>
      </c>
      <c r="I218" s="151" t="s">
        <v>6865</v>
      </c>
      <c r="J218" s="151" t="s">
        <v>1194</v>
      </c>
      <c r="K218" s="151" t="s">
        <v>7603</v>
      </c>
      <c r="L218" s="151" t="s">
        <v>7604</v>
      </c>
      <c r="M218" s="151" t="s">
        <v>7605</v>
      </c>
      <c r="N218" s="151" t="s">
        <v>6868</v>
      </c>
      <c r="O218" s="151"/>
      <c r="P218" s="151" t="s">
        <v>6905</v>
      </c>
      <c r="Q218" s="151" t="s">
        <v>7606</v>
      </c>
      <c r="R218" s="151" t="s">
        <v>3582</v>
      </c>
      <c r="S218" s="151"/>
      <c r="T218" s="151">
        <v>50</v>
      </c>
      <c r="U218" s="151"/>
      <c r="V218" s="151" t="s">
        <v>3608</v>
      </c>
      <c r="W218" s="151"/>
      <c r="X218" s="151"/>
      <c r="Y218" s="151" t="s">
        <v>855</v>
      </c>
      <c r="Z218" s="151" t="s">
        <v>6905</v>
      </c>
      <c r="AA218" s="151" t="s">
        <v>7607</v>
      </c>
    </row>
    <row r="219" spans="2:27" ht="75">
      <c r="B219" s="151" t="s">
        <v>6858</v>
      </c>
      <c r="C219" s="151" t="s">
        <v>4266</v>
      </c>
      <c r="D219" s="151" t="s">
        <v>4238</v>
      </c>
      <c r="E219" s="151" t="s">
        <v>26</v>
      </c>
      <c r="F219" s="151" t="s">
        <v>7608</v>
      </c>
      <c r="G219" s="151" t="s">
        <v>544</v>
      </c>
      <c r="H219" s="151" t="s">
        <v>2173</v>
      </c>
      <c r="I219" s="151" t="s">
        <v>6865</v>
      </c>
      <c r="J219" s="151" t="s">
        <v>1194</v>
      </c>
      <c r="K219" s="151" t="s">
        <v>7609</v>
      </c>
      <c r="L219" s="151" t="s">
        <v>7610</v>
      </c>
      <c r="M219" s="341" t="s">
        <v>7611</v>
      </c>
      <c r="N219" s="151" t="s">
        <v>6868</v>
      </c>
      <c r="O219" s="151" t="s">
        <v>7612</v>
      </c>
      <c r="P219" s="151" t="s">
        <v>2177</v>
      </c>
      <c r="Q219" s="151" t="s">
        <v>7606</v>
      </c>
      <c r="R219" s="151" t="s">
        <v>7613</v>
      </c>
      <c r="S219" s="151"/>
      <c r="T219" s="151" t="s">
        <v>7614</v>
      </c>
      <c r="U219" s="151"/>
      <c r="V219" s="151"/>
      <c r="W219" s="151"/>
      <c r="X219" s="151"/>
      <c r="Y219" s="151" t="s">
        <v>855</v>
      </c>
      <c r="Z219" s="151"/>
      <c r="AA219" s="151"/>
    </row>
    <row r="220" spans="2:27">
      <c r="B220" s="151" t="s">
        <v>6858</v>
      </c>
      <c r="C220" s="151" t="s">
        <v>7615</v>
      </c>
      <c r="D220" s="151" t="s">
        <v>4238</v>
      </c>
      <c r="E220" s="151" t="s">
        <v>26</v>
      </c>
      <c r="F220" s="151" t="s">
        <v>7616</v>
      </c>
      <c r="G220" s="151" t="s">
        <v>544</v>
      </c>
      <c r="H220" s="151" t="s">
        <v>2173</v>
      </c>
      <c r="I220" s="151" t="s">
        <v>6865</v>
      </c>
      <c r="J220" s="151" t="s">
        <v>1194</v>
      </c>
      <c r="K220" s="151" t="s">
        <v>7586</v>
      </c>
      <c r="L220" s="151" t="s">
        <v>1728</v>
      </c>
      <c r="M220" s="151" t="s">
        <v>7587</v>
      </c>
      <c r="N220" s="151" t="s">
        <v>6868</v>
      </c>
      <c r="O220" s="151"/>
      <c r="P220" s="151" t="s">
        <v>6905</v>
      </c>
      <c r="Q220" s="151" t="s">
        <v>7606</v>
      </c>
      <c r="R220" s="151" t="s">
        <v>2207</v>
      </c>
      <c r="S220" s="151"/>
      <c r="T220" s="151"/>
      <c r="U220" s="151"/>
      <c r="V220" s="151"/>
      <c r="W220" s="151"/>
      <c r="X220" s="151"/>
      <c r="Y220" s="151" t="s">
        <v>855</v>
      </c>
      <c r="Z220" s="151" t="s">
        <v>6905</v>
      </c>
      <c r="AA220" s="151"/>
    </row>
    <row r="221" spans="2:27">
      <c r="B221" s="151" t="s">
        <v>6858</v>
      </c>
      <c r="C221" s="151" t="s">
        <v>4298</v>
      </c>
      <c r="D221" s="151" t="s">
        <v>4238</v>
      </c>
      <c r="E221" s="151" t="s">
        <v>26</v>
      </c>
      <c r="F221" s="151" t="s">
        <v>7617</v>
      </c>
      <c r="G221" s="151" t="s">
        <v>544</v>
      </c>
      <c r="H221" s="151" t="s">
        <v>2173</v>
      </c>
      <c r="I221" s="151" t="s">
        <v>6865</v>
      </c>
      <c r="J221" s="151" t="s">
        <v>1194</v>
      </c>
      <c r="K221" s="151" t="s">
        <v>7618</v>
      </c>
      <c r="L221" s="151" t="s">
        <v>7619</v>
      </c>
      <c r="M221" s="151" t="s">
        <v>7587</v>
      </c>
      <c r="N221" s="151" t="s">
        <v>6868</v>
      </c>
      <c r="O221" s="151" t="s">
        <v>7620</v>
      </c>
      <c r="P221" s="151" t="s">
        <v>6900</v>
      </c>
      <c r="Q221" s="151" t="s">
        <v>6935</v>
      </c>
      <c r="R221" s="151" t="s">
        <v>3608</v>
      </c>
      <c r="S221" s="151"/>
      <c r="T221" s="151">
        <v>4</v>
      </c>
      <c r="U221" s="151"/>
      <c r="V221" s="151"/>
      <c r="W221" s="151"/>
      <c r="X221" s="151"/>
      <c r="Y221" s="151" t="s">
        <v>855</v>
      </c>
      <c r="Z221" s="151" t="s">
        <v>6901</v>
      </c>
      <c r="AA221" s="151"/>
    </row>
    <row r="222" spans="2:27">
      <c r="B222" s="151" t="s">
        <v>6858</v>
      </c>
      <c r="C222" s="151" t="s">
        <v>7289</v>
      </c>
      <c r="D222" s="151" t="s">
        <v>4238</v>
      </c>
      <c r="E222" s="151" t="s">
        <v>26</v>
      </c>
      <c r="F222" s="151" t="s">
        <v>7621</v>
      </c>
      <c r="G222" s="151" t="s">
        <v>544</v>
      </c>
      <c r="H222" s="151" t="s">
        <v>2173</v>
      </c>
      <c r="I222" s="151" t="s">
        <v>6865</v>
      </c>
      <c r="J222" s="151" t="s">
        <v>1194</v>
      </c>
      <c r="K222" s="151" t="s">
        <v>7622</v>
      </c>
      <c r="L222" s="151" t="s">
        <v>7291</v>
      </c>
      <c r="M222" s="151" t="s">
        <v>7623</v>
      </c>
      <c r="N222" s="151" t="s">
        <v>6868</v>
      </c>
      <c r="O222" s="151"/>
      <c r="P222" s="151" t="s">
        <v>6905</v>
      </c>
      <c r="Q222" s="151" t="s">
        <v>7624</v>
      </c>
      <c r="R222" s="151" t="s">
        <v>3608</v>
      </c>
      <c r="S222" s="151"/>
      <c r="T222" s="151">
        <v>12</v>
      </c>
      <c r="U222" s="151"/>
      <c r="V222" s="151"/>
      <c r="W222" s="151"/>
      <c r="X222" s="151"/>
      <c r="Y222" s="151" t="s">
        <v>855</v>
      </c>
      <c r="Z222" s="151" t="s">
        <v>6905</v>
      </c>
      <c r="AA222" s="151"/>
    </row>
    <row r="223" spans="2:27">
      <c r="B223" s="151" t="s">
        <v>6858</v>
      </c>
      <c r="C223" s="151" t="s">
        <v>7625</v>
      </c>
      <c r="D223" s="151" t="s">
        <v>4238</v>
      </c>
      <c r="E223" s="151" t="s">
        <v>26</v>
      </c>
      <c r="F223" s="151" t="s">
        <v>7626</v>
      </c>
      <c r="G223" s="151" t="s">
        <v>544</v>
      </c>
      <c r="H223" s="151" t="s">
        <v>2173</v>
      </c>
      <c r="I223" s="151" t="s">
        <v>6865</v>
      </c>
      <c r="J223" s="151" t="s">
        <v>1194</v>
      </c>
      <c r="K223" s="151" t="s">
        <v>7627</v>
      </c>
      <c r="L223" s="151" t="s">
        <v>7628</v>
      </c>
      <c r="M223" s="151" t="s">
        <v>7629</v>
      </c>
      <c r="N223" s="151" t="s">
        <v>6868</v>
      </c>
      <c r="O223" s="151"/>
      <c r="P223" s="151" t="s">
        <v>6905</v>
      </c>
      <c r="Q223" s="151" t="s">
        <v>7624</v>
      </c>
      <c r="R223" s="151" t="s">
        <v>3608</v>
      </c>
      <c r="S223" s="151"/>
      <c r="T223" s="151">
        <v>40</v>
      </c>
      <c r="U223" s="151"/>
      <c r="V223" s="151" t="s">
        <v>3608</v>
      </c>
      <c r="W223" s="151"/>
      <c r="X223" s="151"/>
      <c r="Y223" s="151" t="s">
        <v>855</v>
      </c>
      <c r="Z223" s="151" t="s">
        <v>6905</v>
      </c>
      <c r="AA223" s="151"/>
    </row>
    <row r="224" spans="2:27">
      <c r="B224" s="151" t="s">
        <v>6858</v>
      </c>
      <c r="C224" s="151" t="s">
        <v>7630</v>
      </c>
      <c r="D224" s="151" t="s">
        <v>4238</v>
      </c>
      <c r="E224" s="151" t="s">
        <v>26</v>
      </c>
      <c r="F224" s="151" t="s">
        <v>7631</v>
      </c>
      <c r="G224" s="151" t="s">
        <v>544</v>
      </c>
      <c r="H224" s="151" t="s">
        <v>2173</v>
      </c>
      <c r="I224" s="151" t="s">
        <v>6865</v>
      </c>
      <c r="J224" s="151" t="s">
        <v>1194</v>
      </c>
      <c r="K224" s="151" t="s">
        <v>7622</v>
      </c>
      <c r="L224" s="151" t="s">
        <v>7257</v>
      </c>
      <c r="M224" s="151" t="s">
        <v>7623</v>
      </c>
      <c r="N224" s="151" t="s">
        <v>6868</v>
      </c>
      <c r="O224" s="151"/>
      <c r="P224" s="151" t="s">
        <v>6905</v>
      </c>
      <c r="Q224" s="151" t="s">
        <v>7624</v>
      </c>
      <c r="R224" s="151" t="s">
        <v>3608</v>
      </c>
      <c r="S224" s="151"/>
      <c r="T224" s="151">
        <v>8</v>
      </c>
      <c r="U224" s="151"/>
      <c r="V224" s="151" t="s">
        <v>3608</v>
      </c>
      <c r="W224" s="151"/>
      <c r="X224" s="151"/>
      <c r="Y224" s="151" t="s">
        <v>855</v>
      </c>
      <c r="Z224" s="151" t="s">
        <v>6905</v>
      </c>
      <c r="AA224" s="151"/>
    </row>
    <row r="225" spans="2:27">
      <c r="B225" s="151" t="s">
        <v>6858</v>
      </c>
      <c r="C225" s="151" t="s">
        <v>7247</v>
      </c>
      <c r="D225" s="151" t="s">
        <v>4238</v>
      </c>
      <c r="E225" s="151" t="s">
        <v>26</v>
      </c>
      <c r="F225" s="151" t="s">
        <v>7632</v>
      </c>
      <c r="G225" s="151" t="s">
        <v>544</v>
      </c>
      <c r="H225" s="151" t="s">
        <v>2173</v>
      </c>
      <c r="I225" s="151" t="s">
        <v>6865</v>
      </c>
      <c r="J225" s="151" t="s">
        <v>1194</v>
      </c>
      <c r="K225" s="151" t="s">
        <v>7586</v>
      </c>
      <c r="L225" s="151" t="s">
        <v>7249</v>
      </c>
      <c r="M225" s="151" t="s">
        <v>7587</v>
      </c>
      <c r="N225" s="151" t="s">
        <v>6868</v>
      </c>
      <c r="O225" s="151"/>
      <c r="P225" s="151" t="s">
        <v>6905</v>
      </c>
      <c r="Q225" s="151" t="s">
        <v>7624</v>
      </c>
      <c r="R225" s="151" t="s">
        <v>4271</v>
      </c>
      <c r="S225" s="151"/>
      <c r="T225" s="151" t="s">
        <v>6884</v>
      </c>
      <c r="U225" s="151"/>
      <c r="V225" s="151"/>
      <c r="W225" s="151"/>
      <c r="X225" s="151"/>
      <c r="Y225" s="151" t="s">
        <v>855</v>
      </c>
      <c r="Z225" s="151" t="s">
        <v>6905</v>
      </c>
      <c r="AA225" s="151"/>
    </row>
    <row r="226" spans="2:27">
      <c r="B226" s="151" t="s">
        <v>6858</v>
      </c>
      <c r="C226" s="151" t="s">
        <v>7633</v>
      </c>
      <c r="D226" s="151" t="s">
        <v>4238</v>
      </c>
      <c r="E226" s="151" t="s">
        <v>26</v>
      </c>
      <c r="F226" s="151" t="s">
        <v>7634</v>
      </c>
      <c r="G226" s="151" t="s">
        <v>544</v>
      </c>
      <c r="H226" s="151" t="s">
        <v>2173</v>
      </c>
      <c r="I226" s="151" t="s">
        <v>6865</v>
      </c>
      <c r="J226" s="151" t="s">
        <v>1194</v>
      </c>
      <c r="K226" s="151" t="s">
        <v>7586</v>
      </c>
      <c r="L226" s="151" t="s">
        <v>7635</v>
      </c>
      <c r="M226" s="151" t="s">
        <v>7587</v>
      </c>
      <c r="N226" s="151" t="s">
        <v>6868</v>
      </c>
      <c r="O226" s="151"/>
      <c r="P226" s="151" t="s">
        <v>6905</v>
      </c>
      <c r="Q226" s="151" t="s">
        <v>7624</v>
      </c>
      <c r="R226" s="151" t="s">
        <v>4271</v>
      </c>
      <c r="S226" s="151"/>
      <c r="T226" s="151" t="s">
        <v>6884</v>
      </c>
      <c r="U226" s="151"/>
      <c r="V226" s="151"/>
      <c r="W226" s="151"/>
      <c r="X226" s="151"/>
      <c r="Y226" s="151" t="s">
        <v>855</v>
      </c>
      <c r="Z226" s="151" t="s">
        <v>6905</v>
      </c>
      <c r="AA226" s="151"/>
    </row>
    <row r="227" spans="2:27">
      <c r="B227" s="151" t="s">
        <v>6858</v>
      </c>
      <c r="C227" s="151" t="s">
        <v>7636</v>
      </c>
      <c r="D227" s="151" t="s">
        <v>4238</v>
      </c>
      <c r="E227" s="151" t="s">
        <v>26</v>
      </c>
      <c r="F227" s="151" t="s">
        <v>7637</v>
      </c>
      <c r="G227" s="151" t="s">
        <v>544</v>
      </c>
      <c r="H227" s="151" t="s">
        <v>2173</v>
      </c>
      <c r="I227" s="151" t="s">
        <v>6865</v>
      </c>
      <c r="J227" s="151" t="s">
        <v>1194</v>
      </c>
      <c r="K227" s="151" t="s">
        <v>7586</v>
      </c>
      <c r="L227" s="151" t="s">
        <v>7638</v>
      </c>
      <c r="M227" s="151" t="s">
        <v>7587</v>
      </c>
      <c r="N227" s="151" t="s">
        <v>6868</v>
      </c>
      <c r="O227" s="151"/>
      <c r="P227" s="151" t="s">
        <v>6905</v>
      </c>
      <c r="Q227" s="151" t="s">
        <v>7624</v>
      </c>
      <c r="R227" s="151" t="s">
        <v>4271</v>
      </c>
      <c r="S227" s="151"/>
      <c r="T227" s="151" t="s">
        <v>6884</v>
      </c>
      <c r="U227" s="151"/>
      <c r="V227" s="151"/>
      <c r="W227" s="151"/>
      <c r="X227" s="151"/>
      <c r="Y227" s="151" t="s">
        <v>855</v>
      </c>
      <c r="Z227" s="151" t="s">
        <v>6905</v>
      </c>
      <c r="AA227" s="151"/>
    </row>
    <row r="228" spans="2:27">
      <c r="B228" s="151" t="s">
        <v>6858</v>
      </c>
      <c r="C228" s="151" t="s">
        <v>7639</v>
      </c>
      <c r="D228" s="151" t="s">
        <v>4238</v>
      </c>
      <c r="E228" s="151" t="s">
        <v>26</v>
      </c>
      <c r="F228" s="151" t="s">
        <v>7640</v>
      </c>
      <c r="G228" s="151" t="s">
        <v>544</v>
      </c>
      <c r="H228" s="151" t="s">
        <v>2173</v>
      </c>
      <c r="I228" s="151" t="s">
        <v>6865</v>
      </c>
      <c r="J228" s="151" t="s">
        <v>1194</v>
      </c>
      <c r="K228" s="151" t="s">
        <v>10805</v>
      </c>
      <c r="L228" s="151" t="s">
        <v>7108</v>
      </c>
      <c r="M228" s="151" t="s">
        <v>10806</v>
      </c>
      <c r="N228" s="151" t="s">
        <v>6868</v>
      </c>
      <c r="O228" s="151"/>
      <c r="P228" s="151" t="s">
        <v>6905</v>
      </c>
      <c r="Q228" s="151" t="s">
        <v>7624</v>
      </c>
      <c r="R228" s="151"/>
      <c r="S228" s="151"/>
      <c r="T228" s="151"/>
      <c r="U228" s="151"/>
      <c r="V228" s="151"/>
      <c r="W228" s="151"/>
      <c r="X228" s="151"/>
      <c r="Y228" s="151" t="s">
        <v>855</v>
      </c>
      <c r="Z228" s="151" t="s">
        <v>6905</v>
      </c>
      <c r="AA228" s="151" t="s">
        <v>7642</v>
      </c>
    </row>
    <row r="229" spans="2:27">
      <c r="B229" s="151" t="s">
        <v>6858</v>
      </c>
      <c r="C229" s="151" t="s">
        <v>7286</v>
      </c>
      <c r="D229" s="151" t="s">
        <v>4238</v>
      </c>
      <c r="E229" s="151" t="s">
        <v>26</v>
      </c>
      <c r="F229" s="151" t="s">
        <v>7643</v>
      </c>
      <c r="G229" s="151" t="s">
        <v>544</v>
      </c>
      <c r="H229" s="151" t="s">
        <v>2173</v>
      </c>
      <c r="I229" s="151" t="s">
        <v>6865</v>
      </c>
      <c r="J229" s="151" t="s">
        <v>1194</v>
      </c>
      <c r="K229" s="151" t="s">
        <v>7622</v>
      </c>
      <c r="L229" s="151" t="s">
        <v>7288</v>
      </c>
      <c r="M229" s="151" t="s">
        <v>7623</v>
      </c>
      <c r="N229" s="151" t="s">
        <v>6868</v>
      </c>
      <c r="O229" s="151"/>
      <c r="P229" s="151" t="s">
        <v>6905</v>
      </c>
      <c r="Q229" s="151" t="s">
        <v>7624</v>
      </c>
      <c r="R229" s="151" t="s">
        <v>3608</v>
      </c>
      <c r="S229" s="151"/>
      <c r="T229" s="151">
        <v>25</v>
      </c>
      <c r="U229" s="151"/>
      <c r="V229" s="151" t="s">
        <v>3608</v>
      </c>
      <c r="W229" s="151"/>
      <c r="X229" s="151"/>
      <c r="Y229" s="151" t="s">
        <v>855</v>
      </c>
      <c r="Z229" s="151" t="s">
        <v>6905</v>
      </c>
      <c r="AA229" s="151"/>
    </row>
    <row r="230" spans="2:27">
      <c r="B230" s="151" t="s">
        <v>6858</v>
      </c>
      <c r="C230" s="151" t="s">
        <v>7644</v>
      </c>
      <c r="D230" s="151" t="s">
        <v>4238</v>
      </c>
      <c r="E230" s="151" t="s">
        <v>26</v>
      </c>
      <c r="F230" s="151" t="s">
        <v>7645</v>
      </c>
      <c r="G230" s="151" t="s">
        <v>544</v>
      </c>
      <c r="H230" s="151" t="s">
        <v>2173</v>
      </c>
      <c r="I230" s="151" t="s">
        <v>6865</v>
      </c>
      <c r="J230" s="151" t="s">
        <v>1194</v>
      </c>
      <c r="K230" s="151" t="s">
        <v>7622</v>
      </c>
      <c r="L230" s="151" t="s">
        <v>7243</v>
      </c>
      <c r="M230" s="151" t="s">
        <v>7623</v>
      </c>
      <c r="N230" s="151" t="s">
        <v>6868</v>
      </c>
      <c r="O230" s="151"/>
      <c r="P230" s="151" t="s">
        <v>6905</v>
      </c>
      <c r="Q230" s="151" t="s">
        <v>7624</v>
      </c>
      <c r="R230" s="151" t="s">
        <v>3608</v>
      </c>
      <c r="S230" s="151"/>
      <c r="T230" s="151">
        <v>15</v>
      </c>
      <c r="U230" s="151"/>
      <c r="V230" s="151" t="s">
        <v>3608</v>
      </c>
      <c r="W230" s="151"/>
      <c r="X230" s="151"/>
      <c r="Y230" s="151" t="s">
        <v>855</v>
      </c>
      <c r="Z230" s="151" t="s">
        <v>6905</v>
      </c>
      <c r="AA230" s="151"/>
    </row>
    <row r="231" spans="2:27">
      <c r="B231" s="151" t="s">
        <v>6858</v>
      </c>
      <c r="C231" s="151" t="s">
        <v>7081</v>
      </c>
      <c r="D231" s="151" t="s">
        <v>4238</v>
      </c>
      <c r="E231" s="151" t="s">
        <v>26</v>
      </c>
      <c r="F231" s="151" t="s">
        <v>7646</v>
      </c>
      <c r="G231" s="151" t="s">
        <v>544</v>
      </c>
      <c r="H231" s="151" t="s">
        <v>2173</v>
      </c>
      <c r="I231" s="151" t="s">
        <v>6865</v>
      </c>
      <c r="J231" s="151" t="s">
        <v>1194</v>
      </c>
      <c r="K231" s="151" t="s">
        <v>7622</v>
      </c>
      <c r="L231" s="151" t="s">
        <v>7083</v>
      </c>
      <c r="M231" s="151" t="s">
        <v>7623</v>
      </c>
      <c r="N231" s="151" t="s">
        <v>6868</v>
      </c>
      <c r="O231" s="151"/>
      <c r="P231" s="151" t="s">
        <v>6905</v>
      </c>
      <c r="Q231" s="151" t="s">
        <v>7624</v>
      </c>
      <c r="R231" s="151" t="s">
        <v>3608</v>
      </c>
      <c r="S231" s="151"/>
      <c r="T231" s="151">
        <v>6</v>
      </c>
      <c r="U231" s="151"/>
      <c r="V231" s="151"/>
      <c r="W231" s="151"/>
      <c r="X231" s="151"/>
      <c r="Y231" s="151" t="s">
        <v>855</v>
      </c>
      <c r="Z231" s="151" t="s">
        <v>6905</v>
      </c>
      <c r="AA231" s="151"/>
    </row>
    <row r="232" spans="2:27">
      <c r="B232" s="151" t="s">
        <v>6858</v>
      </c>
      <c r="C232" s="151" t="s">
        <v>7647</v>
      </c>
      <c r="D232" s="151" t="s">
        <v>4238</v>
      </c>
      <c r="E232" s="151" t="s">
        <v>26</v>
      </c>
      <c r="F232" s="151" t="s">
        <v>7648</v>
      </c>
      <c r="G232" s="151" t="s">
        <v>544</v>
      </c>
      <c r="H232" s="151" t="s">
        <v>2173</v>
      </c>
      <c r="I232" s="151" t="s">
        <v>6865</v>
      </c>
      <c r="J232" s="151" t="s">
        <v>1194</v>
      </c>
      <c r="K232" s="151" t="s">
        <v>7622</v>
      </c>
      <c r="L232" s="151" t="s">
        <v>7263</v>
      </c>
      <c r="M232" s="151" t="s">
        <v>7623</v>
      </c>
      <c r="N232" s="151" t="s">
        <v>6868</v>
      </c>
      <c r="O232" s="151"/>
      <c r="P232" s="151" t="s">
        <v>6905</v>
      </c>
      <c r="Q232" s="151" t="s">
        <v>7624</v>
      </c>
      <c r="R232" s="151" t="s">
        <v>3608</v>
      </c>
      <c r="S232" s="151"/>
      <c r="T232" s="151">
        <v>13</v>
      </c>
      <c r="U232" s="151"/>
      <c r="V232" s="151" t="s">
        <v>3608</v>
      </c>
      <c r="W232" s="151"/>
      <c r="X232" s="151"/>
      <c r="Y232" s="151" t="s">
        <v>855</v>
      </c>
      <c r="Z232" s="151" t="s">
        <v>6905</v>
      </c>
      <c r="AA232" s="151"/>
    </row>
    <row r="233" spans="2:27">
      <c r="B233" s="151" t="s">
        <v>6858</v>
      </c>
      <c r="C233" s="151" t="s">
        <v>2821</v>
      </c>
      <c r="D233" s="151" t="s">
        <v>4238</v>
      </c>
      <c r="E233" s="151" t="s">
        <v>26</v>
      </c>
      <c r="F233" s="151" t="s">
        <v>7649</v>
      </c>
      <c r="G233" s="151" t="s">
        <v>544</v>
      </c>
      <c r="H233" s="151" t="s">
        <v>2173</v>
      </c>
      <c r="I233" s="151" t="s">
        <v>6865</v>
      </c>
      <c r="J233" s="151" t="s">
        <v>1194</v>
      </c>
      <c r="K233" s="151" t="s">
        <v>7622</v>
      </c>
      <c r="L233" s="151" t="s">
        <v>7265</v>
      </c>
      <c r="M233" s="151" t="s">
        <v>7623</v>
      </c>
      <c r="N233" s="151" t="s">
        <v>6868</v>
      </c>
      <c r="O233" s="151"/>
      <c r="P233" s="151" t="s">
        <v>6905</v>
      </c>
      <c r="Q233" s="151" t="s">
        <v>7624</v>
      </c>
      <c r="R233" s="151" t="s">
        <v>3608</v>
      </c>
      <c r="S233" s="151"/>
      <c r="T233" s="151">
        <v>3</v>
      </c>
      <c r="U233" s="151"/>
      <c r="V233" s="151"/>
      <c r="W233" s="151"/>
      <c r="X233" s="151"/>
      <c r="Y233" s="151" t="s">
        <v>855</v>
      </c>
      <c r="Z233" s="151" t="s">
        <v>6905</v>
      </c>
      <c r="AA233" s="151"/>
    </row>
    <row r="234" spans="2:27">
      <c r="B234" s="151" t="s">
        <v>6858</v>
      </c>
      <c r="C234" s="151" t="s">
        <v>7650</v>
      </c>
      <c r="D234" s="151" t="s">
        <v>4238</v>
      </c>
      <c r="E234" s="151" t="s">
        <v>26</v>
      </c>
      <c r="F234" s="151" t="s">
        <v>7651</v>
      </c>
      <c r="G234" s="151" t="s">
        <v>2527</v>
      </c>
      <c r="H234" s="151" t="s">
        <v>2173</v>
      </c>
      <c r="I234" s="151" t="s">
        <v>6865</v>
      </c>
      <c r="J234" s="151" t="s">
        <v>1194</v>
      </c>
      <c r="K234" s="151" t="s">
        <v>7586</v>
      </c>
      <c r="L234" s="151" t="s">
        <v>7652</v>
      </c>
      <c r="M234" s="151" t="s">
        <v>7587</v>
      </c>
      <c r="N234" s="151" t="s">
        <v>6868</v>
      </c>
      <c r="O234" s="151"/>
      <c r="P234" s="151" t="s">
        <v>6905</v>
      </c>
      <c r="Q234" s="151" t="s">
        <v>7624</v>
      </c>
      <c r="R234" s="151" t="s">
        <v>4271</v>
      </c>
      <c r="S234" s="151"/>
      <c r="T234" s="151" t="s">
        <v>7653</v>
      </c>
      <c r="U234" s="151"/>
      <c r="V234" s="151"/>
      <c r="W234" s="151"/>
      <c r="X234" s="151"/>
      <c r="Y234" s="151" t="s">
        <v>855</v>
      </c>
      <c r="Z234" s="151" t="s">
        <v>6905</v>
      </c>
      <c r="AA234" s="151"/>
    </row>
    <row r="235" spans="2:27">
      <c r="B235" s="151" t="s">
        <v>6858</v>
      </c>
      <c r="C235" s="151" t="s">
        <v>7654</v>
      </c>
      <c r="D235" s="151" t="s">
        <v>4238</v>
      </c>
      <c r="E235" s="151" t="s">
        <v>26</v>
      </c>
      <c r="F235" s="151" t="s">
        <v>7655</v>
      </c>
      <c r="G235" s="151" t="s">
        <v>544</v>
      </c>
      <c r="H235" s="151" t="s">
        <v>2173</v>
      </c>
      <c r="I235" s="151"/>
      <c r="J235" s="151" t="s">
        <v>1194</v>
      </c>
      <c r="K235" s="151" t="s">
        <v>7622</v>
      </c>
      <c r="L235" s="151" t="s">
        <v>7656</v>
      </c>
      <c r="M235" s="151" t="s">
        <v>7623</v>
      </c>
      <c r="N235" s="151" t="s">
        <v>6868</v>
      </c>
      <c r="O235" s="151" t="s">
        <v>7657</v>
      </c>
      <c r="P235" s="151" t="s">
        <v>7276</v>
      </c>
      <c r="Q235" s="151" t="s">
        <v>7624</v>
      </c>
      <c r="R235" s="151"/>
      <c r="S235" s="151"/>
      <c r="T235" s="151"/>
      <c r="U235" s="151"/>
      <c r="V235" s="151"/>
      <c r="W235" s="151"/>
      <c r="X235" s="151"/>
      <c r="Y235" s="151" t="s">
        <v>855</v>
      </c>
      <c r="Z235" s="151" t="s">
        <v>7658</v>
      </c>
      <c r="AA235" s="151"/>
    </row>
    <row r="236" spans="2:27">
      <c r="B236" s="151" t="s">
        <v>6858</v>
      </c>
      <c r="C236" s="151" t="s">
        <v>159</v>
      </c>
      <c r="D236" s="151" t="s">
        <v>4238</v>
      </c>
      <c r="E236" s="151" t="s">
        <v>26</v>
      </c>
      <c r="F236" s="151" t="s">
        <v>7659</v>
      </c>
      <c r="G236" s="151" t="s">
        <v>544</v>
      </c>
      <c r="H236" s="151" t="s">
        <v>2173</v>
      </c>
      <c r="I236" s="151" t="s">
        <v>6865</v>
      </c>
      <c r="J236" s="151" t="s">
        <v>1194</v>
      </c>
      <c r="K236" s="151" t="s">
        <v>7660</v>
      </c>
      <c r="L236" s="151" t="s">
        <v>7661</v>
      </c>
      <c r="M236" s="151" t="s">
        <v>7662</v>
      </c>
      <c r="N236" s="151" t="s">
        <v>6868</v>
      </c>
      <c r="O236" s="151"/>
      <c r="P236" s="151" t="s">
        <v>6905</v>
      </c>
      <c r="Q236" s="151" t="s">
        <v>7624</v>
      </c>
      <c r="R236" s="151" t="s">
        <v>6959</v>
      </c>
      <c r="S236" s="151"/>
      <c r="T236" s="151" t="s">
        <v>7037</v>
      </c>
      <c r="U236" s="151"/>
      <c r="V236" s="151" t="s">
        <v>3608</v>
      </c>
      <c r="W236" s="151"/>
      <c r="X236" s="151"/>
      <c r="Y236" s="151" t="s">
        <v>855</v>
      </c>
      <c r="Z236" s="151" t="s">
        <v>6905</v>
      </c>
      <c r="AA236" s="151"/>
    </row>
    <row r="237" spans="2:27">
      <c r="B237" s="151" t="s">
        <v>6858</v>
      </c>
      <c r="C237" s="151" t="s">
        <v>7663</v>
      </c>
      <c r="D237" s="151" t="s">
        <v>4238</v>
      </c>
      <c r="E237" s="151" t="s">
        <v>26</v>
      </c>
      <c r="F237" s="151" t="s">
        <v>7664</v>
      </c>
      <c r="G237" s="151" t="s">
        <v>544</v>
      </c>
      <c r="H237" s="151" t="s">
        <v>2173</v>
      </c>
      <c r="I237" s="151" t="s">
        <v>6865</v>
      </c>
      <c r="J237" s="151" t="s">
        <v>1194</v>
      </c>
      <c r="K237" s="151" t="s">
        <v>7586</v>
      </c>
      <c r="L237" s="151" t="s">
        <v>7665</v>
      </c>
      <c r="M237" s="151" t="s">
        <v>7587</v>
      </c>
      <c r="N237" s="151" t="s">
        <v>6868</v>
      </c>
      <c r="O237" s="151"/>
      <c r="P237" s="151" t="s">
        <v>6905</v>
      </c>
      <c r="Q237" s="151" t="s">
        <v>7624</v>
      </c>
      <c r="R237" s="151" t="s">
        <v>3608</v>
      </c>
      <c r="S237" s="151"/>
      <c r="T237" s="151">
        <v>11</v>
      </c>
      <c r="U237" s="151"/>
      <c r="V237" s="151" t="s">
        <v>3608</v>
      </c>
      <c r="W237" s="151"/>
      <c r="X237" s="151"/>
      <c r="Y237" s="151" t="s">
        <v>855</v>
      </c>
      <c r="Z237" s="151" t="s">
        <v>6905</v>
      </c>
      <c r="AA237" s="151"/>
    </row>
    <row r="238" spans="2:27">
      <c r="B238" s="151" t="s">
        <v>6858</v>
      </c>
      <c r="C238" s="151" t="s">
        <v>7666</v>
      </c>
      <c r="D238" s="151" t="s">
        <v>4238</v>
      </c>
      <c r="E238" s="151" t="s">
        <v>26</v>
      </c>
      <c r="F238" s="151" t="s">
        <v>7667</v>
      </c>
      <c r="G238" s="151" t="s">
        <v>544</v>
      </c>
      <c r="H238" s="151" t="s">
        <v>2173</v>
      </c>
      <c r="I238" s="151" t="s">
        <v>6865</v>
      </c>
      <c r="J238" s="151" t="s">
        <v>1194</v>
      </c>
      <c r="K238" s="151" t="s">
        <v>7627</v>
      </c>
      <c r="L238" s="151" t="s">
        <v>7628</v>
      </c>
      <c r="M238" s="151" t="s">
        <v>7668</v>
      </c>
      <c r="N238" s="151" t="s">
        <v>7669</v>
      </c>
      <c r="O238" s="151" t="s">
        <v>7670</v>
      </c>
      <c r="P238" s="151" t="s">
        <v>2177</v>
      </c>
      <c r="Q238" s="151" t="s">
        <v>7624</v>
      </c>
      <c r="R238" s="151" t="s">
        <v>3608</v>
      </c>
      <c r="S238" s="151"/>
      <c r="T238" s="151">
        <v>40</v>
      </c>
      <c r="U238" s="151"/>
      <c r="V238" s="151" t="s">
        <v>3608</v>
      </c>
      <c r="W238" s="151"/>
      <c r="X238" s="151"/>
      <c r="Y238" s="151" t="s">
        <v>855</v>
      </c>
      <c r="Z238" s="151"/>
      <c r="AA238" s="151"/>
    </row>
    <row r="239" spans="2:27">
      <c r="B239" s="151" t="s">
        <v>6858</v>
      </c>
      <c r="C239" s="151" t="s">
        <v>7671</v>
      </c>
      <c r="D239" s="151" t="s">
        <v>4238</v>
      </c>
      <c r="E239" s="151" t="s">
        <v>26</v>
      </c>
      <c r="F239" s="151" t="s">
        <v>7672</v>
      </c>
      <c r="G239" s="151" t="s">
        <v>544</v>
      </c>
      <c r="H239" s="151" t="s">
        <v>2173</v>
      </c>
      <c r="I239" s="151" t="s">
        <v>6865</v>
      </c>
      <c r="J239" s="151" t="s">
        <v>1194</v>
      </c>
      <c r="K239" s="151" t="s">
        <v>7627</v>
      </c>
      <c r="L239" s="151" t="s">
        <v>7628</v>
      </c>
      <c r="M239" s="151" t="s">
        <v>7673</v>
      </c>
      <c r="N239" s="151" t="s">
        <v>7674</v>
      </c>
      <c r="O239" s="151" t="s">
        <v>7675</v>
      </c>
      <c r="P239" s="151" t="s">
        <v>2177</v>
      </c>
      <c r="Q239" s="151" t="s">
        <v>7624</v>
      </c>
      <c r="R239" s="151" t="s">
        <v>3608</v>
      </c>
      <c r="S239" s="151"/>
      <c r="T239" s="151">
        <v>40</v>
      </c>
      <c r="U239" s="151"/>
      <c r="V239" s="151" t="s">
        <v>3608</v>
      </c>
      <c r="W239" s="151"/>
      <c r="X239" s="151"/>
      <c r="Y239" s="151" t="s">
        <v>855</v>
      </c>
      <c r="Z239" s="151"/>
      <c r="AA239" s="151"/>
    </row>
    <row r="240" spans="2:27">
      <c r="B240" s="325" t="s">
        <v>6858</v>
      </c>
      <c r="C240" s="325" t="s">
        <v>2669</v>
      </c>
      <c r="D240" s="325" t="s">
        <v>4238</v>
      </c>
      <c r="E240" s="325" t="s">
        <v>26</v>
      </c>
      <c r="F240" s="325" t="s">
        <v>7676</v>
      </c>
      <c r="G240" s="151" t="s">
        <v>544</v>
      </c>
      <c r="H240" s="325" t="s">
        <v>2173</v>
      </c>
      <c r="I240" s="325" t="s">
        <v>6865</v>
      </c>
      <c r="J240" s="325" t="s">
        <v>1194</v>
      </c>
      <c r="K240" s="325" t="s">
        <v>7586</v>
      </c>
      <c r="L240" s="325" t="s">
        <v>7305</v>
      </c>
      <c r="M240" s="325" t="s">
        <v>7587</v>
      </c>
      <c r="N240" s="325" t="s">
        <v>6868</v>
      </c>
      <c r="O240" s="325"/>
      <c r="P240" s="151" t="s">
        <v>6905</v>
      </c>
      <c r="Q240" s="151"/>
      <c r="R240" s="151" t="s">
        <v>3608</v>
      </c>
      <c r="S240" s="151"/>
      <c r="T240" s="151">
        <v>3</v>
      </c>
      <c r="U240" s="151"/>
      <c r="V240" s="151"/>
      <c r="W240" s="151"/>
      <c r="X240" s="151"/>
      <c r="Y240" s="151" t="s">
        <v>855</v>
      </c>
      <c r="Z240" s="151" t="s">
        <v>6905</v>
      </c>
      <c r="AA240" s="151"/>
    </row>
    <row r="241" spans="2:27">
      <c r="B241" s="151" t="s">
        <v>6858</v>
      </c>
      <c r="C241" s="151" t="s">
        <v>7677</v>
      </c>
      <c r="D241" s="151" t="s">
        <v>7678</v>
      </c>
      <c r="E241" s="151" t="s">
        <v>26</v>
      </c>
      <c r="F241" s="151" t="s">
        <v>7679</v>
      </c>
      <c r="G241" s="355" t="s">
        <v>544</v>
      </c>
      <c r="H241" s="151" t="s">
        <v>10807</v>
      </c>
      <c r="I241" s="151" t="s">
        <v>1193</v>
      </c>
      <c r="J241" s="151" t="s">
        <v>7680</v>
      </c>
      <c r="K241" s="151" t="s">
        <v>7681</v>
      </c>
      <c r="L241" s="151" t="s">
        <v>7682</v>
      </c>
      <c r="M241" s="151" t="s">
        <v>6881</v>
      </c>
      <c r="N241" s="151" t="s">
        <v>6868</v>
      </c>
      <c r="O241" s="151"/>
      <c r="P241" s="355" t="s">
        <v>6869</v>
      </c>
      <c r="Q241" s="337"/>
      <c r="R241" s="151"/>
      <c r="S241" s="151"/>
      <c r="T241" s="151"/>
      <c r="U241" s="151"/>
      <c r="V241" s="151"/>
      <c r="W241" s="151"/>
      <c r="X241" s="151"/>
      <c r="Y241" s="151"/>
      <c r="Z241" s="151" t="s">
        <v>6875</v>
      </c>
      <c r="AA241" s="151" t="s">
        <v>7683</v>
      </c>
    </row>
    <row r="242" spans="2:27">
      <c r="B242" s="356" t="s">
        <v>6858</v>
      </c>
      <c r="C242" s="356" t="s">
        <v>7684</v>
      </c>
      <c r="D242" s="356" t="s">
        <v>7678</v>
      </c>
      <c r="E242" s="356" t="s">
        <v>26</v>
      </c>
      <c r="F242" s="356" t="s">
        <v>7685</v>
      </c>
      <c r="G242" s="151" t="s">
        <v>2527</v>
      </c>
      <c r="H242" s="356" t="s">
        <v>7234</v>
      </c>
      <c r="I242" s="356"/>
      <c r="J242" s="356"/>
      <c r="K242" s="356"/>
      <c r="L242" s="356"/>
      <c r="M242" s="356" t="s">
        <v>361</v>
      </c>
      <c r="N242" s="356" t="s">
        <v>6868</v>
      </c>
      <c r="O242" s="356"/>
      <c r="P242" s="151" t="s">
        <v>6869</v>
      </c>
      <c r="Q242" s="151"/>
      <c r="R242" s="151"/>
      <c r="S242" s="151"/>
      <c r="T242" s="151"/>
      <c r="U242" s="151"/>
      <c r="V242" s="151"/>
      <c r="W242" s="151"/>
      <c r="X242" s="151"/>
      <c r="Y242" s="151"/>
      <c r="Z242" s="151" t="s">
        <v>6875</v>
      </c>
      <c r="AA242" s="151" t="s">
        <v>7686</v>
      </c>
    </row>
    <row r="243" spans="2:27">
      <c r="B243" s="151" t="s">
        <v>6858</v>
      </c>
      <c r="C243" s="151" t="s">
        <v>7687</v>
      </c>
      <c r="D243" s="151" t="s">
        <v>7678</v>
      </c>
      <c r="E243" s="151" t="s">
        <v>26</v>
      </c>
      <c r="F243" s="151" t="s">
        <v>7688</v>
      </c>
      <c r="G243" s="151" t="s">
        <v>544</v>
      </c>
      <c r="H243" s="151" t="s">
        <v>2173</v>
      </c>
      <c r="I243" s="151" t="s">
        <v>6865</v>
      </c>
      <c r="J243" s="151" t="s">
        <v>1194</v>
      </c>
      <c r="K243" s="151" t="s">
        <v>643</v>
      </c>
      <c r="L243" s="151" t="s">
        <v>7689</v>
      </c>
      <c r="M243" s="151" t="s">
        <v>6881</v>
      </c>
      <c r="N243" s="151" t="s">
        <v>6868</v>
      </c>
      <c r="O243" s="151" t="s">
        <v>7690</v>
      </c>
      <c r="P243" s="151" t="s">
        <v>2177</v>
      </c>
      <c r="Q243" s="151" t="s">
        <v>6883</v>
      </c>
      <c r="R243" s="151" t="s">
        <v>4271</v>
      </c>
      <c r="S243" s="151"/>
      <c r="T243" s="151" t="s">
        <v>6884</v>
      </c>
      <c r="U243" s="151" t="s">
        <v>6872</v>
      </c>
      <c r="V243" s="151"/>
      <c r="W243" s="151"/>
      <c r="X243" s="151"/>
      <c r="Y243" s="151" t="s">
        <v>6886</v>
      </c>
      <c r="Z243" s="151"/>
      <c r="AA243" s="151"/>
    </row>
    <row r="244" spans="2:27" ht="210">
      <c r="B244" s="151" t="s">
        <v>6858</v>
      </c>
      <c r="C244" s="151" t="s">
        <v>7691</v>
      </c>
      <c r="D244" s="151" t="s">
        <v>7678</v>
      </c>
      <c r="E244" s="151" t="s">
        <v>26</v>
      </c>
      <c r="F244" s="151" t="s">
        <v>7692</v>
      </c>
      <c r="G244" s="151" t="s">
        <v>544</v>
      </c>
      <c r="H244" s="151" t="s">
        <v>2173</v>
      </c>
      <c r="I244" s="151" t="s">
        <v>6865</v>
      </c>
      <c r="J244" s="151" t="s">
        <v>1194</v>
      </c>
      <c r="K244" s="151"/>
      <c r="L244" s="151"/>
      <c r="M244" s="151" t="s">
        <v>361</v>
      </c>
      <c r="N244" s="151" t="s">
        <v>6868</v>
      </c>
      <c r="O244" s="341" t="s">
        <v>7693</v>
      </c>
      <c r="P244" s="151" t="s">
        <v>2177</v>
      </c>
      <c r="Q244" s="151" t="s">
        <v>6883</v>
      </c>
      <c r="R244" s="151"/>
      <c r="S244" s="151"/>
      <c r="T244" s="151"/>
      <c r="U244" s="151" t="s">
        <v>6872</v>
      </c>
      <c r="V244" s="151"/>
      <c r="W244" s="151"/>
      <c r="X244" s="151"/>
      <c r="Y244" s="151" t="s">
        <v>6886</v>
      </c>
      <c r="Z244" s="151"/>
      <c r="AA244" s="151" t="s">
        <v>7694</v>
      </c>
    </row>
    <row r="245" spans="2:27">
      <c r="B245" s="151" t="s">
        <v>6858</v>
      </c>
      <c r="C245" s="151" t="s">
        <v>7695</v>
      </c>
      <c r="D245" s="151" t="s">
        <v>7678</v>
      </c>
      <c r="E245" s="151" t="s">
        <v>26</v>
      </c>
      <c r="F245" s="151" t="s">
        <v>7696</v>
      </c>
      <c r="G245" s="151" t="s">
        <v>544</v>
      </c>
      <c r="H245" s="151" t="s">
        <v>2173</v>
      </c>
      <c r="I245" s="151" t="s">
        <v>6865</v>
      </c>
      <c r="J245" s="151" t="s">
        <v>1194</v>
      </c>
      <c r="K245" s="151" t="s">
        <v>643</v>
      </c>
      <c r="L245" s="151" t="s">
        <v>7697</v>
      </c>
      <c r="M245" s="151" t="s">
        <v>6881</v>
      </c>
      <c r="N245" s="151" t="s">
        <v>6868</v>
      </c>
      <c r="O245" s="151" t="s">
        <v>7698</v>
      </c>
      <c r="P245" s="151" t="s">
        <v>2177</v>
      </c>
      <c r="Q245" s="151" t="s">
        <v>6883</v>
      </c>
      <c r="R245" s="151" t="s">
        <v>4271</v>
      </c>
      <c r="S245" s="151"/>
      <c r="T245" s="151" t="s">
        <v>6884</v>
      </c>
      <c r="U245" s="151" t="s">
        <v>6872</v>
      </c>
      <c r="V245" s="151"/>
      <c r="W245" s="151"/>
      <c r="X245" s="151"/>
      <c r="Y245" s="151" t="s">
        <v>6886</v>
      </c>
      <c r="Z245" s="151"/>
      <c r="AA245" s="151"/>
    </row>
    <row r="246" spans="2:27">
      <c r="B246" s="151" t="s">
        <v>6858</v>
      </c>
      <c r="C246" s="151" t="s">
        <v>7699</v>
      </c>
      <c r="D246" s="151" t="s">
        <v>7678</v>
      </c>
      <c r="E246" s="151" t="s">
        <v>26</v>
      </c>
      <c r="F246" s="151" t="s">
        <v>7700</v>
      </c>
      <c r="G246" s="151" t="s">
        <v>544</v>
      </c>
      <c r="H246" s="151" t="s">
        <v>2173</v>
      </c>
      <c r="I246" s="151" t="s">
        <v>6865</v>
      </c>
      <c r="J246" s="151" t="s">
        <v>1194</v>
      </c>
      <c r="K246" s="151"/>
      <c r="L246" s="151"/>
      <c r="M246" s="151" t="s">
        <v>361</v>
      </c>
      <c r="N246" s="151" t="s">
        <v>6868</v>
      </c>
      <c r="O246" s="151" t="s">
        <v>7701</v>
      </c>
      <c r="P246" s="151" t="s">
        <v>2177</v>
      </c>
      <c r="Q246" s="151" t="s">
        <v>6883</v>
      </c>
      <c r="R246" s="151"/>
      <c r="S246" s="151"/>
      <c r="T246" s="151"/>
      <c r="U246" s="151" t="s">
        <v>6872</v>
      </c>
      <c r="V246" s="151"/>
      <c r="W246" s="151"/>
      <c r="X246" s="151"/>
      <c r="Y246" s="151" t="s">
        <v>6886</v>
      </c>
      <c r="Z246" s="151"/>
      <c r="AA246" s="151" t="s">
        <v>7694</v>
      </c>
    </row>
    <row r="247" spans="2:27">
      <c r="B247" s="151" t="s">
        <v>6858</v>
      </c>
      <c r="C247" s="151" t="s">
        <v>7702</v>
      </c>
      <c r="D247" s="151" t="s">
        <v>7678</v>
      </c>
      <c r="E247" s="151" t="s">
        <v>26</v>
      </c>
      <c r="F247" s="151" t="s">
        <v>7703</v>
      </c>
      <c r="G247" s="151" t="s">
        <v>544</v>
      </c>
      <c r="H247" s="151" t="s">
        <v>2173</v>
      </c>
      <c r="I247" s="151" t="s">
        <v>6865</v>
      </c>
      <c r="J247" s="151" t="s">
        <v>1194</v>
      </c>
      <c r="K247" s="151" t="s">
        <v>643</v>
      </c>
      <c r="L247" s="151" t="s">
        <v>6880</v>
      </c>
      <c r="M247" s="151" t="s">
        <v>6881</v>
      </c>
      <c r="N247" s="151" t="s">
        <v>6868</v>
      </c>
      <c r="O247" s="151"/>
      <c r="P247" s="151" t="s">
        <v>6905</v>
      </c>
      <c r="Q247" s="151" t="s">
        <v>6883</v>
      </c>
      <c r="R247" s="151" t="s">
        <v>4271</v>
      </c>
      <c r="S247" s="151"/>
      <c r="T247" s="151" t="s">
        <v>6884</v>
      </c>
      <c r="U247" s="151" t="s">
        <v>6872</v>
      </c>
      <c r="V247" s="151"/>
      <c r="W247" s="151"/>
      <c r="X247" s="151"/>
      <c r="Y247" s="151" t="s">
        <v>6886</v>
      </c>
      <c r="Z247" s="151" t="s">
        <v>6905</v>
      </c>
      <c r="AA247" s="151"/>
    </row>
    <row r="248" spans="2:27">
      <c r="B248" s="151" t="s">
        <v>6858</v>
      </c>
      <c r="C248" s="151" t="s">
        <v>7704</v>
      </c>
      <c r="D248" s="151" t="s">
        <v>7678</v>
      </c>
      <c r="E248" s="151" t="s">
        <v>26</v>
      </c>
      <c r="F248" s="151" t="s">
        <v>7705</v>
      </c>
      <c r="G248" s="151" t="s">
        <v>544</v>
      </c>
      <c r="H248" s="151" t="s">
        <v>2173</v>
      </c>
      <c r="I248" s="151" t="s">
        <v>6865</v>
      </c>
      <c r="J248" s="151" t="s">
        <v>1194</v>
      </c>
      <c r="K248" s="151" t="s">
        <v>643</v>
      </c>
      <c r="L248" s="151" t="s">
        <v>6889</v>
      </c>
      <c r="M248" s="151" t="s">
        <v>6881</v>
      </c>
      <c r="N248" s="151" t="s">
        <v>6868</v>
      </c>
      <c r="O248" s="151"/>
      <c r="P248" s="151" t="s">
        <v>6905</v>
      </c>
      <c r="Q248" s="151" t="s">
        <v>6883</v>
      </c>
      <c r="R248" s="151" t="s">
        <v>4271</v>
      </c>
      <c r="S248" s="151"/>
      <c r="T248" s="151" t="s">
        <v>6884</v>
      </c>
      <c r="U248" s="151" t="s">
        <v>6872</v>
      </c>
      <c r="V248" s="151"/>
      <c r="W248" s="151"/>
      <c r="X248" s="151"/>
      <c r="Y248" s="151" t="s">
        <v>6886</v>
      </c>
      <c r="Z248" s="151" t="s">
        <v>6905</v>
      </c>
      <c r="AA248" s="151"/>
    </row>
    <row r="249" spans="2:27">
      <c r="B249" s="151" t="s">
        <v>6858</v>
      </c>
      <c r="C249" s="151" t="s">
        <v>7706</v>
      </c>
      <c r="D249" s="151" t="s">
        <v>7678</v>
      </c>
      <c r="E249" s="151" t="s">
        <v>26</v>
      </c>
      <c r="F249" s="151" t="s">
        <v>7707</v>
      </c>
      <c r="G249" s="151" t="s">
        <v>544</v>
      </c>
      <c r="H249" s="151" t="s">
        <v>2173</v>
      </c>
      <c r="I249" s="151" t="s">
        <v>6865</v>
      </c>
      <c r="J249" s="151" t="s">
        <v>1194</v>
      </c>
      <c r="K249" s="151" t="s">
        <v>643</v>
      </c>
      <c r="L249" s="151" t="s">
        <v>7708</v>
      </c>
      <c r="M249" s="151" t="s">
        <v>6881</v>
      </c>
      <c r="N249" s="151" t="s">
        <v>6868</v>
      </c>
      <c r="O249" s="151"/>
      <c r="P249" s="151" t="s">
        <v>6905</v>
      </c>
      <c r="Q249" s="151" t="s">
        <v>6883</v>
      </c>
      <c r="R249" s="151" t="s">
        <v>2207</v>
      </c>
      <c r="S249" s="151"/>
      <c r="T249" s="151"/>
      <c r="U249" s="151" t="s">
        <v>6872</v>
      </c>
      <c r="V249" s="151"/>
      <c r="W249" s="151"/>
      <c r="X249" s="151"/>
      <c r="Y249" s="151" t="s">
        <v>6886</v>
      </c>
      <c r="Z249" s="151" t="s">
        <v>6905</v>
      </c>
      <c r="AA249" s="151"/>
    </row>
    <row r="250" spans="2:27">
      <c r="B250" s="151" t="s">
        <v>6858</v>
      </c>
      <c r="C250" s="151" t="s">
        <v>7709</v>
      </c>
      <c r="D250" s="151" t="s">
        <v>7678</v>
      </c>
      <c r="E250" s="151" t="s">
        <v>26</v>
      </c>
      <c r="F250" s="151" t="s">
        <v>7710</v>
      </c>
      <c r="G250" s="151" t="s">
        <v>544</v>
      </c>
      <c r="H250" s="151" t="s">
        <v>2173</v>
      </c>
      <c r="I250" s="151" t="s">
        <v>6865</v>
      </c>
      <c r="J250" s="151" t="s">
        <v>1194</v>
      </c>
      <c r="K250" s="151" t="s">
        <v>643</v>
      </c>
      <c r="L250" s="151" t="s">
        <v>7689</v>
      </c>
      <c r="M250" s="151" t="s">
        <v>6881</v>
      </c>
      <c r="N250" s="151" t="s">
        <v>6868</v>
      </c>
      <c r="O250" s="151" t="s">
        <v>7711</v>
      </c>
      <c r="P250" s="151" t="s">
        <v>2177</v>
      </c>
      <c r="Q250" s="151" t="s">
        <v>6883</v>
      </c>
      <c r="R250" s="151" t="s">
        <v>4271</v>
      </c>
      <c r="S250" s="151"/>
      <c r="T250" s="151" t="s">
        <v>6884</v>
      </c>
      <c r="U250" s="151" t="s">
        <v>6885</v>
      </c>
      <c r="V250" s="151"/>
      <c r="W250" s="151"/>
      <c r="X250" s="151"/>
      <c r="Y250" s="151" t="s">
        <v>6886</v>
      </c>
      <c r="Z250" s="151"/>
      <c r="AA250" s="151"/>
    </row>
    <row r="251" spans="2:27">
      <c r="B251" s="151" t="s">
        <v>6858</v>
      </c>
      <c r="C251" s="151" t="s">
        <v>6877</v>
      </c>
      <c r="D251" s="151" t="s">
        <v>7678</v>
      </c>
      <c r="E251" s="151" t="s">
        <v>26</v>
      </c>
      <c r="F251" s="151" t="s">
        <v>7712</v>
      </c>
      <c r="G251" s="151" t="s">
        <v>544</v>
      </c>
      <c r="H251" s="151" t="s">
        <v>2173</v>
      </c>
      <c r="I251" s="151" t="s">
        <v>6865</v>
      </c>
      <c r="J251" s="151" t="s">
        <v>1194</v>
      </c>
      <c r="K251" s="151" t="s">
        <v>643</v>
      </c>
      <c r="L251" s="151" t="s">
        <v>7713</v>
      </c>
      <c r="M251" s="151" t="s">
        <v>6881</v>
      </c>
      <c r="N251" s="151" t="s">
        <v>6868</v>
      </c>
      <c r="O251" s="151"/>
      <c r="P251" s="151" t="s">
        <v>6905</v>
      </c>
      <c r="Q251" s="151" t="s">
        <v>6883</v>
      </c>
      <c r="R251" s="151" t="s">
        <v>4271</v>
      </c>
      <c r="S251" s="151"/>
      <c r="T251" s="151" t="s">
        <v>6884</v>
      </c>
      <c r="U251" s="151" t="s">
        <v>6872</v>
      </c>
      <c r="V251" s="151"/>
      <c r="W251" s="151"/>
      <c r="X251" s="151"/>
      <c r="Y251" s="151" t="s">
        <v>6886</v>
      </c>
      <c r="Z251" s="151" t="s">
        <v>6905</v>
      </c>
      <c r="AA251" s="151"/>
    </row>
    <row r="252" spans="2:27">
      <c r="B252" s="151" t="s">
        <v>6858</v>
      </c>
      <c r="C252" s="151" t="s">
        <v>6887</v>
      </c>
      <c r="D252" s="151" t="s">
        <v>7678</v>
      </c>
      <c r="E252" s="151" t="s">
        <v>26</v>
      </c>
      <c r="F252" s="151" t="s">
        <v>7714</v>
      </c>
      <c r="G252" s="151" t="s">
        <v>544</v>
      </c>
      <c r="H252" s="151" t="s">
        <v>2173</v>
      </c>
      <c r="I252" s="151" t="s">
        <v>6865</v>
      </c>
      <c r="J252" s="151" t="s">
        <v>1194</v>
      </c>
      <c r="K252" s="151" t="s">
        <v>643</v>
      </c>
      <c r="L252" s="151" t="s">
        <v>7715</v>
      </c>
      <c r="M252" s="151" t="s">
        <v>6881</v>
      </c>
      <c r="N252" s="151" t="s">
        <v>6868</v>
      </c>
      <c r="O252" s="151"/>
      <c r="P252" s="151" t="s">
        <v>6905</v>
      </c>
      <c r="Q252" s="151" t="s">
        <v>6883</v>
      </c>
      <c r="R252" s="151" t="s">
        <v>4271</v>
      </c>
      <c r="S252" s="151"/>
      <c r="T252" s="151" t="s">
        <v>6884</v>
      </c>
      <c r="U252" s="151" t="s">
        <v>6872</v>
      </c>
      <c r="V252" s="151"/>
      <c r="W252" s="151"/>
      <c r="X252" s="151"/>
      <c r="Y252" s="151" t="s">
        <v>6886</v>
      </c>
      <c r="Z252" s="151" t="s">
        <v>6905</v>
      </c>
      <c r="AA252" s="151"/>
    </row>
    <row r="253" spans="2:27">
      <c r="B253" s="151" t="s">
        <v>6858</v>
      </c>
      <c r="C253" s="151" t="s">
        <v>7716</v>
      </c>
      <c r="D253" s="151" t="s">
        <v>7678</v>
      </c>
      <c r="E253" s="151" t="s">
        <v>26</v>
      </c>
      <c r="F253" s="151" t="s">
        <v>7717</v>
      </c>
      <c r="G253" s="151" t="s">
        <v>544</v>
      </c>
      <c r="H253" s="151" t="s">
        <v>2173</v>
      </c>
      <c r="I253" s="151" t="s">
        <v>6865</v>
      </c>
      <c r="J253" s="151" t="s">
        <v>1194</v>
      </c>
      <c r="K253" s="151" t="s">
        <v>643</v>
      </c>
      <c r="L253" s="151" t="s">
        <v>7718</v>
      </c>
      <c r="M253" s="151" t="s">
        <v>6881</v>
      </c>
      <c r="N253" s="151" t="s">
        <v>6868</v>
      </c>
      <c r="O253" s="151"/>
      <c r="P253" s="151" t="s">
        <v>6905</v>
      </c>
      <c r="Q253" s="151" t="s">
        <v>6883</v>
      </c>
      <c r="R253" s="151" t="s">
        <v>2207</v>
      </c>
      <c r="S253" s="151"/>
      <c r="T253" s="151"/>
      <c r="U253" s="151" t="s">
        <v>6872</v>
      </c>
      <c r="V253" s="151"/>
      <c r="W253" s="151"/>
      <c r="X253" s="151"/>
      <c r="Y253" s="151" t="s">
        <v>6886</v>
      </c>
      <c r="Z253" s="151" t="s">
        <v>6905</v>
      </c>
      <c r="AA253" s="151"/>
    </row>
    <row r="254" spans="2:27">
      <c r="B254" s="151" t="s">
        <v>6858</v>
      </c>
      <c r="C254" s="151" t="s">
        <v>7719</v>
      </c>
      <c r="D254" s="151" t="s">
        <v>7678</v>
      </c>
      <c r="E254" s="151" t="s">
        <v>26</v>
      </c>
      <c r="F254" s="151" t="s">
        <v>7720</v>
      </c>
      <c r="G254" s="151" t="s">
        <v>544</v>
      </c>
      <c r="H254" s="151" t="s">
        <v>2173</v>
      </c>
      <c r="I254" s="151" t="s">
        <v>6865</v>
      </c>
      <c r="J254" s="151" t="s">
        <v>1194</v>
      </c>
      <c r="K254" s="151" t="s">
        <v>643</v>
      </c>
      <c r="L254" s="151" t="s">
        <v>7721</v>
      </c>
      <c r="M254" s="151" t="s">
        <v>6881</v>
      </c>
      <c r="N254" s="151" t="s">
        <v>6868</v>
      </c>
      <c r="O254" s="151"/>
      <c r="P254" s="151" t="s">
        <v>6905</v>
      </c>
      <c r="Q254" s="151" t="s">
        <v>6883</v>
      </c>
      <c r="R254" s="151" t="s">
        <v>2207</v>
      </c>
      <c r="S254" s="151"/>
      <c r="T254" s="151"/>
      <c r="U254" s="151" t="s">
        <v>6872</v>
      </c>
      <c r="V254" s="151"/>
      <c r="W254" s="151"/>
      <c r="X254" s="151"/>
      <c r="Y254" s="151" t="s">
        <v>6886</v>
      </c>
      <c r="Z254" s="151" t="s">
        <v>6905</v>
      </c>
      <c r="AA254" s="151"/>
    </row>
    <row r="255" spans="2:27">
      <c r="B255" s="151" t="s">
        <v>6858</v>
      </c>
      <c r="C255" s="151" t="s">
        <v>7722</v>
      </c>
      <c r="D255" s="151" t="s">
        <v>7678</v>
      </c>
      <c r="E255" s="151" t="s">
        <v>26</v>
      </c>
      <c r="F255" s="151" t="s">
        <v>7723</v>
      </c>
      <c r="G255" s="151" t="s">
        <v>544</v>
      </c>
      <c r="H255" s="151" t="s">
        <v>2173</v>
      </c>
      <c r="I255" s="151" t="s">
        <v>6865</v>
      </c>
      <c r="J255" s="151" t="s">
        <v>1194</v>
      </c>
      <c r="K255" s="151" t="s">
        <v>643</v>
      </c>
      <c r="L255" s="151" t="s">
        <v>7724</v>
      </c>
      <c r="M255" s="151" t="s">
        <v>6881</v>
      </c>
      <c r="N255" s="151" t="s">
        <v>6868</v>
      </c>
      <c r="O255" s="151"/>
      <c r="P255" s="151" t="s">
        <v>6905</v>
      </c>
      <c r="Q255" s="151" t="s">
        <v>6883</v>
      </c>
      <c r="R255" s="151" t="s">
        <v>4271</v>
      </c>
      <c r="S255" s="151"/>
      <c r="T255" s="151" t="s">
        <v>6884</v>
      </c>
      <c r="U255" s="151" t="s">
        <v>6872</v>
      </c>
      <c r="V255" s="151"/>
      <c r="W255" s="151"/>
      <c r="X255" s="151"/>
      <c r="Y255" s="151" t="s">
        <v>6886</v>
      </c>
      <c r="Z255" s="151" t="s">
        <v>6905</v>
      </c>
      <c r="AA255" s="151"/>
    </row>
    <row r="256" spans="2:27">
      <c r="B256" s="151" t="s">
        <v>6858</v>
      </c>
      <c r="C256" s="151" t="s">
        <v>7437</v>
      </c>
      <c r="D256" s="151" t="s">
        <v>7678</v>
      </c>
      <c r="E256" s="151" t="s">
        <v>26</v>
      </c>
      <c r="F256" s="151" t="s">
        <v>7725</v>
      </c>
      <c r="G256" s="151" t="s">
        <v>544</v>
      </c>
      <c r="H256" s="151" t="s">
        <v>2173</v>
      </c>
      <c r="I256" s="151" t="s">
        <v>6865</v>
      </c>
      <c r="J256" s="151" t="s">
        <v>1194</v>
      </c>
      <c r="K256" s="151" t="s">
        <v>643</v>
      </c>
      <c r="L256" s="151" t="s">
        <v>7726</v>
      </c>
      <c r="M256" s="151" t="s">
        <v>6881</v>
      </c>
      <c r="N256" s="151" t="s">
        <v>6868</v>
      </c>
      <c r="O256" s="151"/>
      <c r="P256" s="151" t="s">
        <v>6905</v>
      </c>
      <c r="Q256" s="151" t="s">
        <v>6883</v>
      </c>
      <c r="R256" s="151" t="s">
        <v>4271</v>
      </c>
      <c r="S256" s="151"/>
      <c r="T256" s="151" t="s">
        <v>6884</v>
      </c>
      <c r="U256" s="151" t="s">
        <v>6872</v>
      </c>
      <c r="V256" s="151"/>
      <c r="W256" s="151"/>
      <c r="X256" s="151"/>
      <c r="Y256" s="151" t="s">
        <v>6886</v>
      </c>
      <c r="Z256" s="151" t="s">
        <v>6905</v>
      </c>
      <c r="AA256" s="151"/>
    </row>
    <row r="257" spans="2:27">
      <c r="B257" s="151" t="s">
        <v>6858</v>
      </c>
      <c r="C257" s="151" t="s">
        <v>7440</v>
      </c>
      <c r="D257" s="151" t="s">
        <v>7678</v>
      </c>
      <c r="E257" s="151" t="s">
        <v>26</v>
      </c>
      <c r="F257" s="151" t="s">
        <v>7727</v>
      </c>
      <c r="G257" s="151" t="s">
        <v>544</v>
      </c>
      <c r="H257" s="151" t="s">
        <v>2173</v>
      </c>
      <c r="I257" s="151" t="s">
        <v>6865</v>
      </c>
      <c r="J257" s="151" t="s">
        <v>1194</v>
      </c>
      <c r="K257" s="151" t="s">
        <v>643</v>
      </c>
      <c r="L257" s="151" t="s">
        <v>7442</v>
      </c>
      <c r="M257" s="151" t="s">
        <v>6881</v>
      </c>
      <c r="N257" s="151" t="s">
        <v>6868</v>
      </c>
      <c r="O257" s="151"/>
      <c r="P257" s="151" t="s">
        <v>6905</v>
      </c>
      <c r="Q257" s="151" t="s">
        <v>6883</v>
      </c>
      <c r="R257" s="151" t="s">
        <v>4271</v>
      </c>
      <c r="S257" s="151"/>
      <c r="T257" s="151" t="s">
        <v>6884</v>
      </c>
      <c r="U257" s="151" t="s">
        <v>6872</v>
      </c>
      <c r="V257" s="151"/>
      <c r="W257" s="151"/>
      <c r="X257" s="151"/>
      <c r="Y257" s="151" t="s">
        <v>6886</v>
      </c>
      <c r="Z257" s="151" t="s">
        <v>6905</v>
      </c>
      <c r="AA257" s="151"/>
    </row>
    <row r="258" spans="2:27">
      <c r="B258" s="151" t="s">
        <v>6858</v>
      </c>
      <c r="C258" s="151" t="s">
        <v>7728</v>
      </c>
      <c r="D258" s="151" t="s">
        <v>7678</v>
      </c>
      <c r="E258" s="151" t="s">
        <v>26</v>
      </c>
      <c r="F258" s="151" t="s">
        <v>7729</v>
      </c>
      <c r="G258" s="151" t="s">
        <v>544</v>
      </c>
      <c r="H258" s="151" t="s">
        <v>2173</v>
      </c>
      <c r="I258" s="151" t="s">
        <v>6865</v>
      </c>
      <c r="J258" s="151" t="s">
        <v>1194</v>
      </c>
      <c r="K258" s="151" t="s">
        <v>643</v>
      </c>
      <c r="L258" s="151" t="s">
        <v>7697</v>
      </c>
      <c r="M258" s="151" t="s">
        <v>6881</v>
      </c>
      <c r="N258" s="151" t="s">
        <v>6868</v>
      </c>
      <c r="O258" s="151" t="s">
        <v>7730</v>
      </c>
      <c r="P258" s="151" t="s">
        <v>2177</v>
      </c>
      <c r="Q258" s="151" t="s">
        <v>6883</v>
      </c>
      <c r="R258" s="151" t="s">
        <v>4271</v>
      </c>
      <c r="S258" s="151"/>
      <c r="T258" s="151" t="s">
        <v>6884</v>
      </c>
      <c r="U258" s="151" t="s">
        <v>6872</v>
      </c>
      <c r="V258" s="151"/>
      <c r="W258" s="151"/>
      <c r="X258" s="151"/>
      <c r="Y258" s="151" t="s">
        <v>6886</v>
      </c>
      <c r="Z258" s="151"/>
      <c r="AA258" s="151"/>
    </row>
    <row r="259" spans="2:27">
      <c r="B259" s="151" t="s">
        <v>6858</v>
      </c>
      <c r="C259" s="151" t="s">
        <v>7731</v>
      </c>
      <c r="D259" s="151" t="s">
        <v>7678</v>
      </c>
      <c r="E259" s="151" t="s">
        <v>26</v>
      </c>
      <c r="F259" s="151" t="s">
        <v>7732</v>
      </c>
      <c r="G259" s="151" t="s">
        <v>544</v>
      </c>
      <c r="H259" s="151" t="s">
        <v>2173</v>
      </c>
      <c r="I259" s="151" t="s">
        <v>6865</v>
      </c>
      <c r="J259" s="151" t="s">
        <v>1194</v>
      </c>
      <c r="K259" s="151" t="s">
        <v>643</v>
      </c>
      <c r="L259" s="151" t="s">
        <v>7733</v>
      </c>
      <c r="M259" s="151" t="s">
        <v>6881</v>
      </c>
      <c r="N259" s="151" t="s">
        <v>6868</v>
      </c>
      <c r="O259" s="151"/>
      <c r="P259" s="151" t="s">
        <v>6905</v>
      </c>
      <c r="Q259" s="151" t="s">
        <v>6883</v>
      </c>
      <c r="R259" s="151" t="s">
        <v>4271</v>
      </c>
      <c r="S259" s="151"/>
      <c r="T259" s="151" t="s">
        <v>6884</v>
      </c>
      <c r="U259" s="151" t="s">
        <v>6872</v>
      </c>
      <c r="V259" s="151"/>
      <c r="W259" s="151"/>
      <c r="X259" s="151"/>
      <c r="Y259" s="151" t="s">
        <v>6886</v>
      </c>
      <c r="Z259" s="151" t="s">
        <v>6905</v>
      </c>
      <c r="AA259" s="151"/>
    </row>
    <row r="260" spans="2:27">
      <c r="B260" s="151" t="s">
        <v>6858</v>
      </c>
      <c r="C260" s="151" t="s">
        <v>7734</v>
      </c>
      <c r="D260" s="151" t="s">
        <v>7678</v>
      </c>
      <c r="E260" s="151" t="s">
        <v>26</v>
      </c>
      <c r="F260" s="151" t="s">
        <v>7735</v>
      </c>
      <c r="G260" s="151" t="s">
        <v>544</v>
      </c>
      <c r="H260" s="151" t="s">
        <v>2173</v>
      </c>
      <c r="I260" s="151" t="s">
        <v>6865</v>
      </c>
      <c r="J260" s="151" t="s">
        <v>1194</v>
      </c>
      <c r="K260" s="151" t="s">
        <v>643</v>
      </c>
      <c r="L260" s="151" t="s">
        <v>7736</v>
      </c>
      <c r="M260" s="151" t="s">
        <v>6881</v>
      </c>
      <c r="N260" s="151" t="s">
        <v>6868</v>
      </c>
      <c r="O260" s="151"/>
      <c r="P260" s="151" t="s">
        <v>6905</v>
      </c>
      <c r="Q260" s="151" t="s">
        <v>6883</v>
      </c>
      <c r="R260" s="151" t="s">
        <v>2207</v>
      </c>
      <c r="S260" s="151"/>
      <c r="T260" s="151"/>
      <c r="U260" s="151" t="s">
        <v>6872</v>
      </c>
      <c r="V260" s="151"/>
      <c r="W260" s="151"/>
      <c r="X260" s="151"/>
      <c r="Y260" s="151" t="s">
        <v>7737</v>
      </c>
      <c r="Z260" s="151" t="s">
        <v>6905</v>
      </c>
      <c r="AA260" s="151"/>
    </row>
    <row r="261" spans="2:27">
      <c r="B261" s="151" t="s">
        <v>6858</v>
      </c>
      <c r="C261" s="151" t="s">
        <v>2669</v>
      </c>
      <c r="D261" s="151" t="s">
        <v>7738</v>
      </c>
      <c r="E261" s="151" t="s">
        <v>26</v>
      </c>
      <c r="F261" s="151" t="s">
        <v>7739</v>
      </c>
      <c r="G261" s="151" t="s">
        <v>2527</v>
      </c>
      <c r="H261" s="151" t="s">
        <v>2173</v>
      </c>
      <c r="I261" s="151" t="s">
        <v>6865</v>
      </c>
      <c r="J261" s="151" t="s">
        <v>1194</v>
      </c>
      <c r="K261" s="151" t="s">
        <v>7586</v>
      </c>
      <c r="L261" s="151" t="s">
        <v>7305</v>
      </c>
      <c r="M261" s="151" t="s">
        <v>7587</v>
      </c>
      <c r="N261" s="151" t="s">
        <v>6868</v>
      </c>
      <c r="O261" s="151"/>
      <c r="P261" s="151" t="s">
        <v>6905</v>
      </c>
      <c r="Q261" s="151" t="s">
        <v>6935</v>
      </c>
      <c r="R261" s="151" t="s">
        <v>3608</v>
      </c>
      <c r="S261" s="151"/>
      <c r="T261" s="151">
        <v>3</v>
      </c>
      <c r="U261" s="151"/>
      <c r="V261" s="151"/>
      <c r="W261" s="151"/>
      <c r="X261" s="151"/>
      <c r="Y261" s="151" t="s">
        <v>6886</v>
      </c>
      <c r="Z261" s="151" t="s">
        <v>6905</v>
      </c>
      <c r="AA261" s="151" t="s">
        <v>7740</v>
      </c>
    </row>
    <row r="262" spans="2:27">
      <c r="B262" s="151" t="s">
        <v>6858</v>
      </c>
      <c r="C262" s="151" t="s">
        <v>7741</v>
      </c>
      <c r="D262" s="151" t="s">
        <v>7738</v>
      </c>
      <c r="E262" s="151" t="s">
        <v>26</v>
      </c>
      <c r="F262" s="151" t="s">
        <v>7742</v>
      </c>
      <c r="G262" s="151" t="s">
        <v>2527</v>
      </c>
      <c r="H262" s="151" t="s">
        <v>2173</v>
      </c>
      <c r="I262" s="151" t="s">
        <v>6865</v>
      </c>
      <c r="J262" s="151" t="s">
        <v>1194</v>
      </c>
      <c r="K262" s="151" t="s">
        <v>7743</v>
      </c>
      <c r="L262" s="151"/>
      <c r="M262" s="151" t="s">
        <v>361</v>
      </c>
      <c r="N262" s="151" t="s">
        <v>6868</v>
      </c>
      <c r="O262" s="151" t="s">
        <v>7744</v>
      </c>
      <c r="P262" s="151" t="s">
        <v>2177</v>
      </c>
      <c r="Q262" s="151" t="s">
        <v>6935</v>
      </c>
      <c r="R262" s="151"/>
      <c r="S262" s="151"/>
      <c r="T262" s="151"/>
      <c r="U262" s="151"/>
      <c r="V262" s="151"/>
      <c r="W262" s="151"/>
      <c r="X262" s="151"/>
      <c r="Y262" s="151"/>
      <c r="Z262" s="151"/>
      <c r="AA262" s="151"/>
    </row>
    <row r="263" spans="2:27">
      <c r="B263" s="151" t="s">
        <v>6858</v>
      </c>
      <c r="C263" s="151" t="s">
        <v>7745</v>
      </c>
      <c r="D263" s="151" t="s">
        <v>7738</v>
      </c>
      <c r="E263" s="151" t="s">
        <v>26</v>
      </c>
      <c r="F263" s="151" t="s">
        <v>7746</v>
      </c>
      <c r="G263" s="151" t="s">
        <v>2527</v>
      </c>
      <c r="H263" s="151" t="s">
        <v>2173</v>
      </c>
      <c r="I263" s="151" t="s">
        <v>6865</v>
      </c>
      <c r="J263" s="151" t="s">
        <v>1194</v>
      </c>
      <c r="K263" s="151" t="s">
        <v>7586</v>
      </c>
      <c r="L263" s="151" t="s">
        <v>7747</v>
      </c>
      <c r="M263" s="151" t="s">
        <v>7587</v>
      </c>
      <c r="N263" s="151" t="s">
        <v>6868</v>
      </c>
      <c r="O263" s="151"/>
      <c r="P263" s="151" t="s">
        <v>6905</v>
      </c>
      <c r="Q263" s="151" t="s">
        <v>6935</v>
      </c>
      <c r="R263" s="151" t="s">
        <v>2207</v>
      </c>
      <c r="S263" s="151"/>
      <c r="T263" s="151"/>
      <c r="U263" s="151"/>
      <c r="V263" s="151"/>
      <c r="W263" s="151"/>
      <c r="X263" s="151"/>
      <c r="Y263" s="151" t="s">
        <v>855</v>
      </c>
      <c r="Z263" s="151" t="s">
        <v>6905</v>
      </c>
      <c r="AA263" s="151"/>
    </row>
    <row r="264" spans="2:27">
      <c r="B264" s="151" t="s">
        <v>6858</v>
      </c>
      <c r="C264" s="151" t="s">
        <v>7748</v>
      </c>
      <c r="D264" s="151" t="s">
        <v>7738</v>
      </c>
      <c r="E264" s="151" t="s">
        <v>26</v>
      </c>
      <c r="F264" s="151" t="s">
        <v>7749</v>
      </c>
      <c r="G264" s="151" t="s">
        <v>2527</v>
      </c>
      <c r="H264" s="151" t="s">
        <v>2173</v>
      </c>
      <c r="I264" s="151" t="s">
        <v>6865</v>
      </c>
      <c r="J264" s="151" t="s">
        <v>1194</v>
      </c>
      <c r="K264" s="151" t="s">
        <v>7586</v>
      </c>
      <c r="L264" s="151" t="s">
        <v>7750</v>
      </c>
      <c r="M264" s="151" t="s">
        <v>7587</v>
      </c>
      <c r="N264" s="151" t="s">
        <v>6868</v>
      </c>
      <c r="O264" s="151"/>
      <c r="P264" s="151" t="s">
        <v>6905</v>
      </c>
      <c r="Q264" s="151" t="s">
        <v>6935</v>
      </c>
      <c r="R264" s="151" t="s">
        <v>3582</v>
      </c>
      <c r="S264" s="151"/>
      <c r="T264" s="151">
        <v>50</v>
      </c>
      <c r="U264" s="151"/>
      <c r="V264" s="151" t="s">
        <v>3608</v>
      </c>
      <c r="W264" s="151"/>
      <c r="X264" s="151"/>
      <c r="Y264" s="151" t="s">
        <v>855</v>
      </c>
      <c r="Z264" s="151" t="s">
        <v>6905</v>
      </c>
      <c r="AA264" s="151"/>
    </row>
    <row r="265" spans="2:27">
      <c r="B265" s="151" t="s">
        <v>6858</v>
      </c>
      <c r="C265" s="151" t="s">
        <v>858</v>
      </c>
      <c r="D265" s="151" t="s">
        <v>7738</v>
      </c>
      <c r="E265" s="151" t="s">
        <v>26</v>
      </c>
      <c r="F265" s="151" t="s">
        <v>7751</v>
      </c>
      <c r="G265" s="151" t="s">
        <v>2527</v>
      </c>
      <c r="H265" s="151" t="s">
        <v>2173</v>
      </c>
      <c r="I265" s="151" t="s">
        <v>6865</v>
      </c>
      <c r="J265" s="151" t="s">
        <v>1194</v>
      </c>
      <c r="K265" s="151" t="s">
        <v>7603</v>
      </c>
      <c r="L265" s="151" t="s">
        <v>7604</v>
      </c>
      <c r="M265" s="151" t="s">
        <v>7605</v>
      </c>
      <c r="N265" s="151" t="s">
        <v>6868</v>
      </c>
      <c r="O265" s="151"/>
      <c r="P265" s="151" t="s">
        <v>6905</v>
      </c>
      <c r="Q265" s="151" t="s">
        <v>6935</v>
      </c>
      <c r="R265" s="151" t="s">
        <v>3582</v>
      </c>
      <c r="S265" s="151"/>
      <c r="T265" s="151">
        <v>50</v>
      </c>
      <c r="U265" s="151"/>
      <c r="V265" s="151" t="s">
        <v>3608</v>
      </c>
      <c r="W265" s="151"/>
      <c r="X265" s="151"/>
      <c r="Y265" s="151" t="s">
        <v>855</v>
      </c>
      <c r="Z265" s="151" t="s">
        <v>6905</v>
      </c>
      <c r="AA265" s="151"/>
    </row>
    <row r="266" spans="2:27" ht="75">
      <c r="B266" s="151" t="s">
        <v>6858</v>
      </c>
      <c r="C266" s="151" t="s">
        <v>7752</v>
      </c>
      <c r="D266" s="151" t="s">
        <v>7738</v>
      </c>
      <c r="E266" s="151" t="s">
        <v>26</v>
      </c>
      <c r="F266" s="151" t="s">
        <v>7753</v>
      </c>
      <c r="G266" s="151" t="s">
        <v>544</v>
      </c>
      <c r="H266" s="151" t="s">
        <v>2173</v>
      </c>
      <c r="I266" s="151" t="s">
        <v>6865</v>
      </c>
      <c r="J266" s="151" t="s">
        <v>1194</v>
      </c>
      <c r="K266" s="151" t="s">
        <v>7609</v>
      </c>
      <c r="L266" s="151" t="s">
        <v>7610</v>
      </c>
      <c r="M266" s="341" t="s">
        <v>7611</v>
      </c>
      <c r="N266" s="151" t="s">
        <v>6868</v>
      </c>
      <c r="O266" s="151" t="s">
        <v>7612</v>
      </c>
      <c r="P266" s="151" t="s">
        <v>2177</v>
      </c>
      <c r="Q266" s="151" t="s">
        <v>6935</v>
      </c>
      <c r="R266" s="151" t="s">
        <v>7613</v>
      </c>
      <c r="S266" s="151"/>
      <c r="T266" s="151" t="s">
        <v>7614</v>
      </c>
      <c r="U266" s="151"/>
      <c r="V266" s="151"/>
      <c r="W266" s="151"/>
      <c r="X266" s="151"/>
      <c r="Y266" s="151" t="s">
        <v>855</v>
      </c>
      <c r="Z266" s="151"/>
      <c r="AA266" s="151"/>
    </row>
    <row r="267" spans="2:27">
      <c r="B267" s="151" t="s">
        <v>6858</v>
      </c>
      <c r="C267" s="151" t="s">
        <v>7754</v>
      </c>
      <c r="D267" s="151" t="s">
        <v>7738</v>
      </c>
      <c r="E267" s="151" t="s">
        <v>26</v>
      </c>
      <c r="F267" s="151" t="s">
        <v>7755</v>
      </c>
      <c r="G267" s="151" t="s">
        <v>544</v>
      </c>
      <c r="H267" s="151" t="s">
        <v>2173</v>
      </c>
      <c r="I267" s="151" t="s">
        <v>6865</v>
      </c>
      <c r="J267" s="151" t="s">
        <v>1194</v>
      </c>
      <c r="K267" s="151" t="s">
        <v>7586</v>
      </c>
      <c r="L267" s="151" t="s">
        <v>1728</v>
      </c>
      <c r="M267" s="151" t="s">
        <v>7587</v>
      </c>
      <c r="N267" s="151" t="s">
        <v>6868</v>
      </c>
      <c r="O267" s="151"/>
      <c r="P267" s="151" t="s">
        <v>6905</v>
      </c>
      <c r="Q267" s="151" t="s">
        <v>6935</v>
      </c>
      <c r="R267" s="151" t="s">
        <v>2207</v>
      </c>
      <c r="S267" s="151"/>
      <c r="T267" s="151"/>
      <c r="U267" s="151"/>
      <c r="V267" s="151"/>
      <c r="W267" s="151"/>
      <c r="X267" s="151"/>
      <c r="Y267" s="151" t="s">
        <v>855</v>
      </c>
      <c r="Z267" s="151" t="s">
        <v>6905</v>
      </c>
      <c r="AA267" s="151"/>
    </row>
    <row r="268" spans="2:27">
      <c r="B268" s="151" t="s">
        <v>6858</v>
      </c>
      <c r="C268" s="151" t="s">
        <v>356</v>
      </c>
      <c r="D268" s="151" t="s">
        <v>7738</v>
      </c>
      <c r="E268" s="151" t="s">
        <v>26</v>
      </c>
      <c r="F268" s="151" t="s">
        <v>7756</v>
      </c>
      <c r="G268" s="151" t="s">
        <v>544</v>
      </c>
      <c r="H268" s="151" t="s">
        <v>2173</v>
      </c>
      <c r="I268" s="151" t="s">
        <v>6865</v>
      </c>
      <c r="J268" s="151" t="s">
        <v>1194</v>
      </c>
      <c r="K268" s="151" t="s">
        <v>7618</v>
      </c>
      <c r="L268" s="151" t="s">
        <v>7619</v>
      </c>
      <c r="M268" s="151" t="s">
        <v>7587</v>
      </c>
      <c r="N268" s="151" t="s">
        <v>6868</v>
      </c>
      <c r="O268" s="151" t="s">
        <v>7620</v>
      </c>
      <c r="P268" s="151" t="s">
        <v>6900</v>
      </c>
      <c r="Q268" s="151" t="s">
        <v>6935</v>
      </c>
      <c r="R268" s="151" t="s">
        <v>3608</v>
      </c>
      <c r="S268" s="151"/>
      <c r="T268" s="151">
        <v>4</v>
      </c>
      <c r="U268" s="151"/>
      <c r="V268" s="151"/>
      <c r="W268" s="151"/>
      <c r="X268" s="151"/>
      <c r="Y268" s="151" t="s">
        <v>855</v>
      </c>
      <c r="Z268" s="151" t="s">
        <v>6901</v>
      </c>
      <c r="AA268" s="151"/>
    </row>
    <row r="269" spans="2:27">
      <c r="B269" s="151" t="s">
        <v>6858</v>
      </c>
      <c r="C269" s="151" t="s">
        <v>7757</v>
      </c>
      <c r="D269" s="151" t="s">
        <v>7678</v>
      </c>
      <c r="E269" s="151" t="s">
        <v>26</v>
      </c>
      <c r="F269" s="151" t="s">
        <v>7758</v>
      </c>
      <c r="G269" s="151" t="s">
        <v>544</v>
      </c>
      <c r="H269" s="151" t="s">
        <v>10801</v>
      </c>
      <c r="I269" s="151" t="s">
        <v>7759</v>
      </c>
      <c r="J269" s="151" t="s">
        <v>7759</v>
      </c>
      <c r="K269" s="151"/>
      <c r="L269" s="151"/>
      <c r="M269" s="151" t="s">
        <v>361</v>
      </c>
      <c r="N269" s="151" t="s">
        <v>6868</v>
      </c>
      <c r="O269" s="151"/>
      <c r="P269" s="151" t="s">
        <v>6869</v>
      </c>
      <c r="Q269" s="151" t="s">
        <v>7624</v>
      </c>
      <c r="R269" s="151"/>
      <c r="S269" s="151"/>
      <c r="T269" s="151"/>
      <c r="U269" s="151"/>
      <c r="V269" s="151"/>
      <c r="W269" s="151"/>
      <c r="X269" s="151"/>
      <c r="Y269" s="151"/>
      <c r="Z269" s="151" t="s">
        <v>6875</v>
      </c>
      <c r="AA269" s="151" t="s">
        <v>7761</v>
      </c>
    </row>
    <row r="270" spans="2:27">
      <c r="B270" s="151" t="s">
        <v>6858</v>
      </c>
      <c r="C270" s="151" t="s">
        <v>7762</v>
      </c>
      <c r="D270" s="151" t="s">
        <v>4497</v>
      </c>
      <c r="E270" s="151" t="s">
        <v>26</v>
      </c>
      <c r="F270" s="151" t="s">
        <v>7763</v>
      </c>
      <c r="G270" s="151" t="s">
        <v>2527</v>
      </c>
      <c r="H270" s="151" t="s">
        <v>2173</v>
      </c>
      <c r="I270" s="151" t="s">
        <v>6865</v>
      </c>
      <c r="J270" s="151" t="s">
        <v>1194</v>
      </c>
      <c r="K270" s="151" t="s">
        <v>643</v>
      </c>
      <c r="L270" s="151" t="s">
        <v>7689</v>
      </c>
      <c r="M270" s="151" t="s">
        <v>6881</v>
      </c>
      <c r="N270" s="151" t="s">
        <v>6868</v>
      </c>
      <c r="O270" s="151" t="s">
        <v>7764</v>
      </c>
      <c r="P270" s="151" t="s">
        <v>2177</v>
      </c>
      <c r="Q270" s="151" t="s">
        <v>7765</v>
      </c>
      <c r="R270" s="151" t="s">
        <v>4271</v>
      </c>
      <c r="S270" s="151"/>
      <c r="T270" s="151" t="s">
        <v>6884</v>
      </c>
      <c r="U270" s="151" t="s">
        <v>6872</v>
      </c>
      <c r="V270" s="151"/>
      <c r="W270" s="151"/>
      <c r="X270" s="151"/>
      <c r="Y270" s="151" t="s">
        <v>6886</v>
      </c>
      <c r="Z270" s="151"/>
      <c r="AA270" s="151"/>
    </row>
    <row r="271" spans="2:27">
      <c r="B271" s="151" t="s">
        <v>6858</v>
      </c>
      <c r="C271" s="151" t="s">
        <v>3862</v>
      </c>
      <c r="D271" s="151" t="s">
        <v>4497</v>
      </c>
      <c r="E271" s="151" t="s">
        <v>26</v>
      </c>
      <c r="F271" s="151" t="s">
        <v>7766</v>
      </c>
      <c r="G271" s="151" t="s">
        <v>544</v>
      </c>
      <c r="H271" s="151" t="s">
        <v>2173</v>
      </c>
      <c r="I271" s="151" t="s">
        <v>6865</v>
      </c>
      <c r="J271" s="151"/>
      <c r="K271" s="151" t="s">
        <v>643</v>
      </c>
      <c r="L271" s="151" t="s">
        <v>7708</v>
      </c>
      <c r="M271" s="151" t="s">
        <v>6881</v>
      </c>
      <c r="N271" s="151" t="s">
        <v>6868</v>
      </c>
      <c r="O271" s="151"/>
      <c r="P271" s="151" t="s">
        <v>6905</v>
      </c>
      <c r="Q271" s="151" t="s">
        <v>7765</v>
      </c>
      <c r="R271" s="151" t="s">
        <v>2207</v>
      </c>
      <c r="S271" s="151"/>
      <c r="T271" s="151"/>
      <c r="U271" s="151" t="s">
        <v>6872</v>
      </c>
      <c r="V271" s="151"/>
      <c r="W271" s="151"/>
      <c r="X271" s="151"/>
      <c r="Y271" s="151" t="s">
        <v>6886</v>
      </c>
      <c r="Z271" s="151" t="s">
        <v>6905</v>
      </c>
      <c r="AA271" s="151"/>
    </row>
    <row r="272" spans="2:27">
      <c r="B272" s="151" t="s">
        <v>6858</v>
      </c>
      <c r="C272" s="151" t="s">
        <v>5789</v>
      </c>
      <c r="D272" s="151" t="s">
        <v>341</v>
      </c>
      <c r="E272" s="151" t="s">
        <v>26</v>
      </c>
      <c r="F272" s="151" t="s">
        <v>7767</v>
      </c>
      <c r="G272" s="151" t="s">
        <v>240</v>
      </c>
      <c r="H272" s="151" t="s">
        <v>2173</v>
      </c>
      <c r="I272" s="151"/>
      <c r="J272" s="151" t="s">
        <v>1194</v>
      </c>
      <c r="K272" s="151" t="s">
        <v>643</v>
      </c>
      <c r="L272" s="151" t="s">
        <v>7721</v>
      </c>
      <c r="M272" s="151" t="s">
        <v>6881</v>
      </c>
      <c r="N272" s="151" t="s">
        <v>6868</v>
      </c>
      <c r="O272" s="151"/>
      <c r="P272" s="151" t="s">
        <v>6905</v>
      </c>
      <c r="Q272" s="151" t="s">
        <v>7765</v>
      </c>
      <c r="R272" s="151" t="s">
        <v>2207</v>
      </c>
      <c r="S272" s="151" t="s">
        <v>6871</v>
      </c>
      <c r="T272" s="151"/>
      <c r="U272" s="151" t="s">
        <v>6872</v>
      </c>
      <c r="V272" s="151"/>
      <c r="W272" s="151" t="s">
        <v>6871</v>
      </c>
      <c r="X272" s="151"/>
      <c r="Y272" s="151" t="s">
        <v>6886</v>
      </c>
      <c r="Z272" s="151" t="s">
        <v>6905</v>
      </c>
      <c r="AA272" s="151"/>
    </row>
    <row r="273" spans="2:27">
      <c r="B273" s="151" t="s">
        <v>6858</v>
      </c>
      <c r="C273" s="151" t="s">
        <v>7838</v>
      </c>
      <c r="D273" s="151" t="s">
        <v>7189</v>
      </c>
      <c r="E273" s="151" t="s">
        <v>26</v>
      </c>
      <c r="F273" s="151" t="s">
        <v>7839</v>
      </c>
      <c r="G273" s="151" t="s">
        <v>2527</v>
      </c>
      <c r="H273" s="151" t="s">
        <v>2546</v>
      </c>
      <c r="I273" s="151" t="s">
        <v>6865</v>
      </c>
      <c r="J273" s="151" t="s">
        <v>1194</v>
      </c>
      <c r="K273" s="151" t="s">
        <v>574</v>
      </c>
      <c r="L273" s="151" t="s">
        <v>6965</v>
      </c>
      <c r="M273" s="151" t="s">
        <v>6957</v>
      </c>
      <c r="N273" s="151" t="s">
        <v>7193</v>
      </c>
      <c r="O273" s="151"/>
      <c r="P273" s="151" t="s">
        <v>6869</v>
      </c>
      <c r="Q273" s="151"/>
      <c r="R273" s="151"/>
      <c r="S273" s="151"/>
      <c r="T273" s="151"/>
      <c r="U273" s="151"/>
      <c r="V273" s="151"/>
      <c r="W273" s="151"/>
      <c r="X273" s="151"/>
      <c r="Y273" s="151"/>
      <c r="Z273" s="151" t="s">
        <v>6875</v>
      </c>
      <c r="AA273" s="151" t="s">
        <v>7840</v>
      </c>
    </row>
    <row r="274" spans="2:27">
      <c r="B274" s="151" t="s">
        <v>6858</v>
      </c>
      <c r="C274" s="151" t="s">
        <v>7768</v>
      </c>
      <c r="D274" s="151" t="s">
        <v>4497</v>
      </c>
      <c r="E274" s="151" t="s">
        <v>26</v>
      </c>
      <c r="F274" s="151" t="s">
        <v>7769</v>
      </c>
      <c r="G274" s="151" t="s">
        <v>544</v>
      </c>
      <c r="H274" s="151" t="s">
        <v>2173</v>
      </c>
      <c r="I274" s="151" t="s">
        <v>6865</v>
      </c>
      <c r="J274" s="151" t="s">
        <v>2101</v>
      </c>
      <c r="K274" s="151" t="s">
        <v>7178</v>
      </c>
      <c r="L274" s="151" t="s">
        <v>7770</v>
      </c>
      <c r="M274" s="151" t="s">
        <v>7179</v>
      </c>
      <c r="N274" s="151" t="s">
        <v>6868</v>
      </c>
      <c r="O274" s="151"/>
      <c r="P274" s="151" t="s">
        <v>6905</v>
      </c>
      <c r="Q274" s="151" t="s">
        <v>7771</v>
      </c>
      <c r="R274" s="151" t="s">
        <v>4271</v>
      </c>
      <c r="S274" s="151"/>
      <c r="T274" s="151" t="s">
        <v>6884</v>
      </c>
      <c r="U274" s="151"/>
      <c r="V274" s="151" t="s">
        <v>4271</v>
      </c>
      <c r="W274" s="151"/>
      <c r="X274" s="151"/>
      <c r="Y274" s="151" t="s">
        <v>855</v>
      </c>
      <c r="Z274" s="151" t="s">
        <v>6905</v>
      </c>
      <c r="AA274" s="151"/>
    </row>
    <row r="275" spans="2:27">
      <c r="B275" s="151" t="s">
        <v>6858</v>
      </c>
      <c r="C275" s="151" t="s">
        <v>7315</v>
      </c>
      <c r="D275" s="151" t="s">
        <v>4497</v>
      </c>
      <c r="E275" s="151" t="s">
        <v>26</v>
      </c>
      <c r="F275" s="151" t="s">
        <v>7772</v>
      </c>
      <c r="G275" s="151" t="s">
        <v>2527</v>
      </c>
      <c r="H275" s="151" t="s">
        <v>2173</v>
      </c>
      <c r="I275" s="151" t="s">
        <v>6865</v>
      </c>
      <c r="J275" s="151" t="s">
        <v>2101</v>
      </c>
      <c r="K275" s="151" t="s">
        <v>7178</v>
      </c>
      <c r="L275" s="151" t="s">
        <v>7317</v>
      </c>
      <c r="M275" s="151" t="s">
        <v>7179</v>
      </c>
      <c r="N275" s="151" t="s">
        <v>6868</v>
      </c>
      <c r="O275" s="151" t="s">
        <v>7773</v>
      </c>
      <c r="P275" s="151" t="s">
        <v>2177</v>
      </c>
      <c r="Q275" s="151" t="s">
        <v>7771</v>
      </c>
      <c r="R275" s="151" t="s">
        <v>4271</v>
      </c>
      <c r="S275" s="151"/>
      <c r="T275" s="151" t="s">
        <v>6884</v>
      </c>
      <c r="U275" s="151" t="s">
        <v>6872</v>
      </c>
      <c r="V275" s="151" t="s">
        <v>4271</v>
      </c>
      <c r="W275" s="151"/>
      <c r="X275" s="151"/>
      <c r="Y275" s="151" t="s">
        <v>7774</v>
      </c>
      <c r="Z275" s="151"/>
      <c r="AA275" s="151"/>
    </row>
    <row r="276" spans="2:27">
      <c r="B276" s="151" t="s">
        <v>6858</v>
      </c>
      <c r="C276" s="151" t="s">
        <v>7324</v>
      </c>
      <c r="D276" s="151" t="s">
        <v>4497</v>
      </c>
      <c r="E276" s="151" t="s">
        <v>26</v>
      </c>
      <c r="F276" s="151" t="s">
        <v>7775</v>
      </c>
      <c r="G276" s="151" t="s">
        <v>2527</v>
      </c>
      <c r="H276" s="151" t="s">
        <v>2173</v>
      </c>
      <c r="I276" s="151" t="s">
        <v>6865</v>
      </c>
      <c r="J276" s="151" t="s">
        <v>2101</v>
      </c>
      <c r="K276" s="151" t="s">
        <v>7178</v>
      </c>
      <c r="L276" s="151" t="s">
        <v>7326</v>
      </c>
      <c r="M276" s="151" t="s">
        <v>7179</v>
      </c>
      <c r="N276" s="151" t="s">
        <v>6868</v>
      </c>
      <c r="O276" s="151" t="s">
        <v>7773</v>
      </c>
      <c r="P276" s="151" t="s">
        <v>2177</v>
      </c>
      <c r="Q276" s="151" t="s">
        <v>7771</v>
      </c>
      <c r="R276" s="151" t="s">
        <v>4271</v>
      </c>
      <c r="S276" s="151"/>
      <c r="T276" s="151" t="s">
        <v>6884</v>
      </c>
      <c r="U276" s="151" t="s">
        <v>6872</v>
      </c>
      <c r="V276" s="151" t="s">
        <v>4271</v>
      </c>
      <c r="W276" s="151"/>
      <c r="X276" s="151"/>
      <c r="Y276" s="151" t="s">
        <v>7774</v>
      </c>
      <c r="Z276" s="151"/>
      <c r="AA276" s="151"/>
    </row>
    <row r="277" spans="2:27">
      <c r="B277" s="151" t="s">
        <v>6858</v>
      </c>
      <c r="C277" s="151" t="s">
        <v>7776</v>
      </c>
      <c r="D277" s="151" t="s">
        <v>4497</v>
      </c>
      <c r="E277" s="151" t="s">
        <v>26</v>
      </c>
      <c r="F277" s="151" t="s">
        <v>7777</v>
      </c>
      <c r="G277" s="151" t="s">
        <v>2527</v>
      </c>
      <c r="H277" s="151" t="s">
        <v>2173</v>
      </c>
      <c r="I277" s="151" t="s">
        <v>6865</v>
      </c>
      <c r="J277" s="151" t="s">
        <v>1194</v>
      </c>
      <c r="K277" s="151" t="s">
        <v>620</v>
      </c>
      <c r="L277" s="151" t="s">
        <v>7778</v>
      </c>
      <c r="M277" s="151" t="s">
        <v>6867</v>
      </c>
      <c r="N277" s="151" t="s">
        <v>6868</v>
      </c>
      <c r="O277" s="151" t="s">
        <v>7711</v>
      </c>
      <c r="P277" s="151" t="s">
        <v>2177</v>
      </c>
      <c r="Q277" s="151" t="s">
        <v>7779</v>
      </c>
      <c r="R277" s="151" t="s">
        <v>6884</v>
      </c>
      <c r="S277" s="151" t="s">
        <v>6871</v>
      </c>
      <c r="T277" s="151" t="s">
        <v>6884</v>
      </c>
      <c r="U277" s="151" t="s">
        <v>6872</v>
      </c>
      <c r="V277" s="151"/>
      <c r="W277" s="151"/>
      <c r="X277" s="151"/>
      <c r="Y277" s="151" t="s">
        <v>7780</v>
      </c>
      <c r="Z277" s="151"/>
      <c r="AA277" s="151"/>
    </row>
    <row r="278" spans="2:27">
      <c r="B278" s="151" t="s">
        <v>6858</v>
      </c>
      <c r="C278" s="151" t="s">
        <v>7781</v>
      </c>
      <c r="D278" s="151" t="s">
        <v>3919</v>
      </c>
      <c r="E278" s="151" t="s">
        <v>26</v>
      </c>
      <c r="F278" s="151" t="s">
        <v>7782</v>
      </c>
      <c r="G278" s="151" t="s">
        <v>544</v>
      </c>
      <c r="H278" s="151" t="s">
        <v>2173</v>
      </c>
      <c r="I278" s="151" t="s">
        <v>6865</v>
      </c>
      <c r="J278" s="151" t="s">
        <v>1194</v>
      </c>
      <c r="K278" s="151" t="s">
        <v>7581</v>
      </c>
      <c r="L278" s="151" t="s">
        <v>7783</v>
      </c>
      <c r="M278" s="151" t="s">
        <v>7784</v>
      </c>
      <c r="N278" s="151" t="s">
        <v>6868</v>
      </c>
      <c r="O278" s="151"/>
      <c r="P278" s="151" t="s">
        <v>6905</v>
      </c>
      <c r="Q278" s="151" t="s">
        <v>7779</v>
      </c>
      <c r="R278" s="151" t="s">
        <v>3608</v>
      </c>
      <c r="S278" s="151" t="s">
        <v>6871</v>
      </c>
      <c r="T278" s="151">
        <v>40</v>
      </c>
      <c r="U278" s="151" t="s">
        <v>6872</v>
      </c>
      <c r="V278" s="151" t="s">
        <v>3608</v>
      </c>
      <c r="W278" s="151"/>
      <c r="X278" s="151"/>
      <c r="Y278" s="151" t="s">
        <v>7780</v>
      </c>
      <c r="Z278" s="151" t="s">
        <v>6905</v>
      </c>
      <c r="AA278" s="151" t="s">
        <v>7785</v>
      </c>
    </row>
    <row r="279" spans="2:27">
      <c r="B279" s="151" t="s">
        <v>6858</v>
      </c>
      <c r="C279" s="151" t="s">
        <v>7798</v>
      </c>
      <c r="D279" s="151" t="s">
        <v>7799</v>
      </c>
      <c r="E279" s="151" t="s">
        <v>26</v>
      </c>
      <c r="F279" s="151" t="s">
        <v>7800</v>
      </c>
      <c r="G279" s="151" t="s">
        <v>551</v>
      </c>
      <c r="H279" s="151" t="s">
        <v>10801</v>
      </c>
      <c r="I279" s="151" t="s">
        <v>6865</v>
      </c>
      <c r="J279" s="151" t="s">
        <v>1194</v>
      </c>
      <c r="K279" s="151" t="s">
        <v>656</v>
      </c>
      <c r="L279" s="151" t="s">
        <v>7802</v>
      </c>
      <c r="M279" s="151" t="s">
        <v>7803</v>
      </c>
      <c r="N279" s="151" t="s">
        <v>6868</v>
      </c>
      <c r="O279" s="151"/>
      <c r="P279" s="151" t="s">
        <v>6905</v>
      </c>
      <c r="Q279" s="151" t="s">
        <v>7771</v>
      </c>
      <c r="R279" s="151"/>
      <c r="S279" s="151" t="s">
        <v>6871</v>
      </c>
      <c r="T279" s="151"/>
      <c r="U279" s="151" t="s">
        <v>6885</v>
      </c>
      <c r="V279" s="151"/>
      <c r="W279" s="151"/>
      <c r="X279" s="151"/>
      <c r="Y279" s="151"/>
      <c r="Z279" s="151" t="s">
        <v>6905</v>
      </c>
      <c r="AA279" s="151"/>
    </row>
    <row r="280" spans="2:27">
      <c r="B280" s="151" t="s">
        <v>6858</v>
      </c>
      <c r="C280" s="151" t="s">
        <v>7794</v>
      </c>
      <c r="D280" s="151" t="s">
        <v>3919</v>
      </c>
      <c r="E280" s="151" t="s">
        <v>26</v>
      </c>
      <c r="F280" s="151" t="s">
        <v>7795</v>
      </c>
      <c r="G280" s="151" t="s">
        <v>3591</v>
      </c>
      <c r="H280" s="151" t="s">
        <v>2173</v>
      </c>
      <c r="I280" s="151" t="s">
        <v>6865</v>
      </c>
      <c r="J280" s="151" t="s">
        <v>1194</v>
      </c>
      <c r="K280" s="151" t="s">
        <v>574</v>
      </c>
      <c r="L280" s="151" t="s">
        <v>7797</v>
      </c>
      <c r="M280" s="151" t="s">
        <v>6957</v>
      </c>
      <c r="N280" s="151" t="s">
        <v>6868</v>
      </c>
      <c r="O280" s="151"/>
      <c r="P280" s="151" t="s">
        <v>6905</v>
      </c>
      <c r="Q280" s="151" t="s">
        <v>6883</v>
      </c>
      <c r="R280" s="151" t="s">
        <v>2207</v>
      </c>
      <c r="S280" s="151" t="s">
        <v>6871</v>
      </c>
      <c r="T280" s="151"/>
      <c r="U280" s="151" t="s">
        <v>6872</v>
      </c>
      <c r="V280" s="151"/>
      <c r="W280" s="151"/>
      <c r="X280" s="151"/>
      <c r="Y280" s="151" t="s">
        <v>855</v>
      </c>
      <c r="Z280" s="151" t="s">
        <v>6905</v>
      </c>
      <c r="AA280" s="151"/>
    </row>
    <row r="281" spans="2:27">
      <c r="B281" s="151" t="s">
        <v>6858</v>
      </c>
      <c r="C281" s="151" t="s">
        <v>7808</v>
      </c>
      <c r="D281" s="151" t="s">
        <v>7799</v>
      </c>
      <c r="E281" s="151" t="s">
        <v>26</v>
      </c>
      <c r="F281" s="151" t="s">
        <v>7809</v>
      </c>
      <c r="G281" s="151" t="s">
        <v>551</v>
      </c>
      <c r="H281" s="151" t="s">
        <v>10801</v>
      </c>
      <c r="I281" s="151" t="s">
        <v>6865</v>
      </c>
      <c r="J281" s="151" t="s">
        <v>1194</v>
      </c>
      <c r="K281" s="151" t="s">
        <v>656</v>
      </c>
      <c r="L281" s="151" t="s">
        <v>7368</v>
      </c>
      <c r="M281" s="151" t="s">
        <v>361</v>
      </c>
      <c r="N281" s="151" t="s">
        <v>6868</v>
      </c>
      <c r="O281" s="151"/>
      <c r="P281" s="151" t="s">
        <v>7079</v>
      </c>
      <c r="Q281" s="151" t="s">
        <v>7771</v>
      </c>
      <c r="R281" s="151"/>
      <c r="S281" s="151" t="s">
        <v>6871</v>
      </c>
      <c r="T281" s="151"/>
      <c r="U281" s="151" t="s">
        <v>6885</v>
      </c>
      <c r="V281" s="151"/>
      <c r="W281" s="151"/>
      <c r="X281" s="151"/>
      <c r="Y281" s="151"/>
      <c r="Z281" s="151" t="s">
        <v>7810</v>
      </c>
      <c r="AA281" s="151"/>
    </row>
    <row r="282" spans="2:27">
      <c r="B282" s="151" t="s">
        <v>6858</v>
      </c>
      <c r="C282" s="151" t="s">
        <v>4298</v>
      </c>
      <c r="D282" s="151" t="s">
        <v>7799</v>
      </c>
      <c r="E282" s="151" t="s">
        <v>26</v>
      </c>
      <c r="F282" s="151" t="s">
        <v>7811</v>
      </c>
      <c r="G282" s="151" t="s">
        <v>551</v>
      </c>
      <c r="H282" s="151" t="s">
        <v>2173</v>
      </c>
      <c r="I282" s="151" t="s">
        <v>6865</v>
      </c>
      <c r="J282" s="151" t="s">
        <v>1194</v>
      </c>
      <c r="K282" s="151" t="s">
        <v>7812</v>
      </c>
      <c r="L282" s="151" t="s">
        <v>7382</v>
      </c>
      <c r="M282" s="151" t="s">
        <v>7673</v>
      </c>
      <c r="N282" s="151" t="s">
        <v>7813</v>
      </c>
      <c r="O282" s="151" t="s">
        <v>7814</v>
      </c>
      <c r="P282" s="151" t="s">
        <v>2177</v>
      </c>
      <c r="Q282" s="151" t="s">
        <v>7771</v>
      </c>
      <c r="R282" s="151"/>
      <c r="S282" s="151" t="s">
        <v>6871</v>
      </c>
      <c r="T282" s="151"/>
      <c r="U282" s="151" t="s">
        <v>6872</v>
      </c>
      <c r="V282" s="151"/>
      <c r="W282" s="151"/>
      <c r="X282" s="151"/>
      <c r="Y282" s="151"/>
      <c r="Z282" s="151"/>
      <c r="AA282" s="151"/>
    </row>
    <row r="283" spans="2:27">
      <c r="B283" s="151" t="s">
        <v>6858</v>
      </c>
      <c r="C283" s="151" t="s">
        <v>2400</v>
      </c>
      <c r="D283" s="151" t="s">
        <v>7815</v>
      </c>
      <c r="E283" s="151" t="s">
        <v>26</v>
      </c>
      <c r="F283" s="151" t="s">
        <v>7816</v>
      </c>
      <c r="G283" s="151" t="s">
        <v>551</v>
      </c>
      <c r="H283" s="151" t="s">
        <v>2173</v>
      </c>
      <c r="I283" s="151" t="s">
        <v>6865</v>
      </c>
      <c r="J283" s="151" t="s">
        <v>1194</v>
      </c>
      <c r="K283" s="151" t="s">
        <v>7618</v>
      </c>
      <c r="L283" s="151" t="s">
        <v>7747</v>
      </c>
      <c r="M283" s="151" t="s">
        <v>7587</v>
      </c>
      <c r="N283" s="151" t="s">
        <v>6868</v>
      </c>
      <c r="O283" s="151"/>
      <c r="P283" s="151" t="s">
        <v>6905</v>
      </c>
      <c r="Q283" s="151" t="s">
        <v>7771</v>
      </c>
      <c r="R283" s="151" t="s">
        <v>2207</v>
      </c>
      <c r="S283" s="151" t="s">
        <v>6871</v>
      </c>
      <c r="T283" s="151"/>
      <c r="U283" s="151" t="s">
        <v>6872</v>
      </c>
      <c r="V283" s="151"/>
      <c r="W283" s="151"/>
      <c r="X283" s="151"/>
      <c r="Y283" s="151"/>
      <c r="Z283" s="151" t="s">
        <v>6905</v>
      </c>
      <c r="AA283" s="151"/>
    </row>
    <row r="284" spans="2:27">
      <c r="B284" s="151" t="s">
        <v>6858</v>
      </c>
      <c r="C284" s="151" t="s">
        <v>7818</v>
      </c>
      <c r="D284" s="151" t="s">
        <v>7815</v>
      </c>
      <c r="E284" s="151" t="s">
        <v>26</v>
      </c>
      <c r="F284" s="151" t="s">
        <v>7819</v>
      </c>
      <c r="G284" s="151" t="s">
        <v>551</v>
      </c>
      <c r="H284" s="151" t="s">
        <v>2173</v>
      </c>
      <c r="I284" s="151" t="s">
        <v>6865</v>
      </c>
      <c r="J284" s="151" t="s">
        <v>1194</v>
      </c>
      <c r="K284" s="151" t="s">
        <v>7618</v>
      </c>
      <c r="L284" s="151" t="s">
        <v>7820</v>
      </c>
      <c r="M284" s="151" t="s">
        <v>7587</v>
      </c>
      <c r="N284" s="151" t="s">
        <v>6868</v>
      </c>
      <c r="O284" s="151"/>
      <c r="P284" s="151" t="s">
        <v>6905</v>
      </c>
      <c r="Q284" s="151" t="s">
        <v>7771</v>
      </c>
      <c r="R284" s="151" t="s">
        <v>3582</v>
      </c>
      <c r="S284" s="151" t="s">
        <v>6871</v>
      </c>
      <c r="T284" s="151">
        <v>254</v>
      </c>
      <c r="U284" s="151" t="s">
        <v>6872</v>
      </c>
      <c r="V284" s="151" t="s">
        <v>3608</v>
      </c>
      <c r="W284" s="151"/>
      <c r="X284" s="151"/>
      <c r="Y284" s="151"/>
      <c r="Z284" s="151" t="s">
        <v>6905</v>
      </c>
      <c r="AA284" s="151"/>
    </row>
    <row r="285" spans="2:27">
      <c r="B285" s="151" t="s">
        <v>6858</v>
      </c>
      <c r="C285" s="151" t="s">
        <v>7808</v>
      </c>
      <c r="D285" s="151" t="s">
        <v>7815</v>
      </c>
      <c r="E285" s="151" t="s">
        <v>26</v>
      </c>
      <c r="F285" s="151" t="s">
        <v>7821</v>
      </c>
      <c r="G285" s="151" t="s">
        <v>551</v>
      </c>
      <c r="H285" s="151" t="s">
        <v>2173</v>
      </c>
      <c r="I285" s="151" t="s">
        <v>6865</v>
      </c>
      <c r="J285" s="151" t="s">
        <v>1194</v>
      </c>
      <c r="K285" s="151" t="s">
        <v>7618</v>
      </c>
      <c r="L285" s="151" t="s">
        <v>7590</v>
      </c>
      <c r="M285" s="151" t="s">
        <v>7587</v>
      </c>
      <c r="N285" s="151" t="s">
        <v>6868</v>
      </c>
      <c r="O285" s="151"/>
      <c r="P285" s="151" t="s">
        <v>7079</v>
      </c>
      <c r="Q285" s="151" t="s">
        <v>7771</v>
      </c>
      <c r="R285" s="151" t="s">
        <v>6884</v>
      </c>
      <c r="S285" s="151" t="s">
        <v>6871</v>
      </c>
      <c r="T285" s="151" t="s">
        <v>6884</v>
      </c>
      <c r="U285" s="151" t="s">
        <v>6872</v>
      </c>
      <c r="V285" s="151"/>
      <c r="W285" s="151"/>
      <c r="X285" s="151"/>
      <c r="Y285" s="151"/>
      <c r="Z285" s="151" t="s">
        <v>7810</v>
      </c>
      <c r="AA285" s="151"/>
    </row>
    <row r="286" spans="2:27">
      <c r="B286" s="151" t="s">
        <v>6858</v>
      </c>
      <c r="C286" s="151" t="s">
        <v>159</v>
      </c>
      <c r="D286" s="151" t="s">
        <v>7815</v>
      </c>
      <c r="E286" s="151" t="s">
        <v>26</v>
      </c>
      <c r="F286" s="151" t="s">
        <v>7822</v>
      </c>
      <c r="G286" s="151" t="s">
        <v>551</v>
      </c>
      <c r="H286" s="151" t="s">
        <v>2173</v>
      </c>
      <c r="I286" s="151" t="s">
        <v>6865</v>
      </c>
      <c r="J286" s="151" t="s">
        <v>1194</v>
      </c>
      <c r="K286" s="151" t="s">
        <v>7823</v>
      </c>
      <c r="L286" s="151" t="s">
        <v>2307</v>
      </c>
      <c r="M286" s="151" t="s">
        <v>7824</v>
      </c>
      <c r="N286" s="151" t="s">
        <v>6868</v>
      </c>
      <c r="O286" s="151" t="s">
        <v>7825</v>
      </c>
      <c r="P286" s="151" t="s">
        <v>6905</v>
      </c>
      <c r="Q286" s="151" t="s">
        <v>7771</v>
      </c>
      <c r="R286" s="151"/>
      <c r="S286" s="151" t="s">
        <v>6871</v>
      </c>
      <c r="T286" s="151"/>
      <c r="U286" s="151" t="s">
        <v>6872</v>
      </c>
      <c r="V286" s="151"/>
      <c r="W286" s="151"/>
      <c r="X286" s="151"/>
      <c r="Y286" s="151"/>
      <c r="Z286" s="151" t="s">
        <v>6905</v>
      </c>
      <c r="AA286" s="151"/>
    </row>
    <row r="287" spans="2:27">
      <c r="B287" s="151" t="s">
        <v>6858</v>
      </c>
      <c r="C287" s="151" t="s">
        <v>4298</v>
      </c>
      <c r="D287" s="151" t="s">
        <v>7815</v>
      </c>
      <c r="E287" s="151" t="s">
        <v>26</v>
      </c>
      <c r="F287" s="151" t="s">
        <v>7826</v>
      </c>
      <c r="G287" s="151" t="s">
        <v>551</v>
      </c>
      <c r="H287" s="151" t="s">
        <v>2173</v>
      </c>
      <c r="I287" s="151" t="s">
        <v>6865</v>
      </c>
      <c r="J287" s="151" t="s">
        <v>1194</v>
      </c>
      <c r="K287" s="151" t="s">
        <v>7812</v>
      </c>
      <c r="L287" s="151" t="s">
        <v>7382</v>
      </c>
      <c r="M287" s="151" t="s">
        <v>7668</v>
      </c>
      <c r="N287" s="151" t="s">
        <v>6868</v>
      </c>
      <c r="O287" s="151"/>
      <c r="P287" s="151" t="s">
        <v>6905</v>
      </c>
      <c r="Q287" s="151" t="s">
        <v>7779</v>
      </c>
      <c r="R287" s="151"/>
      <c r="S287" s="151" t="s">
        <v>6871</v>
      </c>
      <c r="T287" s="151"/>
      <c r="U287" s="151" t="s">
        <v>6872</v>
      </c>
      <c r="V287" s="151"/>
      <c r="W287" s="151"/>
      <c r="X287" s="151"/>
      <c r="Y287" s="151"/>
      <c r="Z287" s="151" t="s">
        <v>6905</v>
      </c>
      <c r="AA287" s="151"/>
    </row>
    <row r="288" spans="2:27">
      <c r="B288" s="151" t="s">
        <v>6858</v>
      </c>
      <c r="C288" s="151" t="s">
        <v>7827</v>
      </c>
      <c r="D288" s="151" t="s">
        <v>7828</v>
      </c>
      <c r="E288" s="151" t="s">
        <v>26</v>
      </c>
      <c r="F288" s="151" t="s">
        <v>7829</v>
      </c>
      <c r="G288" s="151" t="s">
        <v>551</v>
      </c>
      <c r="H288" s="151" t="s">
        <v>2173</v>
      </c>
      <c r="I288" s="151" t="s">
        <v>6865</v>
      </c>
      <c r="J288" s="151" t="s">
        <v>1194</v>
      </c>
      <c r="K288" s="151" t="s">
        <v>7830</v>
      </c>
      <c r="L288" s="151" t="s">
        <v>5826</v>
      </c>
      <c r="M288" s="151" t="s">
        <v>7831</v>
      </c>
      <c r="N288" s="151" t="s">
        <v>6868</v>
      </c>
      <c r="O288" s="151"/>
      <c r="P288" s="151" t="s">
        <v>6905</v>
      </c>
      <c r="Q288" s="151" t="s">
        <v>7779</v>
      </c>
      <c r="R288" s="151" t="s">
        <v>3608</v>
      </c>
      <c r="S288" s="151" t="s">
        <v>6871</v>
      </c>
      <c r="T288" s="151">
        <v>50</v>
      </c>
      <c r="U288" s="151" t="s">
        <v>6872</v>
      </c>
      <c r="V288" s="151" t="s">
        <v>3608</v>
      </c>
      <c r="W288" s="151"/>
      <c r="X288" s="151"/>
      <c r="Y288" s="151" t="s">
        <v>855</v>
      </c>
      <c r="Z288" s="151" t="s">
        <v>6905</v>
      </c>
      <c r="AA288" s="151"/>
    </row>
    <row r="289" spans="2:27">
      <c r="B289" s="151" t="s">
        <v>6858</v>
      </c>
      <c r="C289" s="151" t="s">
        <v>375</v>
      </c>
      <c r="D289" s="151" t="s">
        <v>7828</v>
      </c>
      <c r="E289" s="151" t="s">
        <v>26</v>
      </c>
      <c r="F289" s="151" t="s">
        <v>7832</v>
      </c>
      <c r="G289" s="151" t="s">
        <v>551</v>
      </c>
      <c r="H289" s="151" t="s">
        <v>2173</v>
      </c>
      <c r="I289" s="151" t="s">
        <v>6865</v>
      </c>
      <c r="J289" s="151" t="s">
        <v>1194</v>
      </c>
      <c r="K289" s="151" t="s">
        <v>7833</v>
      </c>
      <c r="L289" s="151" t="s">
        <v>7665</v>
      </c>
      <c r="M289" s="151" t="s">
        <v>7834</v>
      </c>
      <c r="N289" s="151" t="s">
        <v>6868</v>
      </c>
      <c r="O289" s="151"/>
      <c r="P289" s="151" t="s">
        <v>6905</v>
      </c>
      <c r="Q289" s="151" t="s">
        <v>7779</v>
      </c>
      <c r="R289" s="151" t="s">
        <v>3608</v>
      </c>
      <c r="S289" s="151" t="s">
        <v>6871</v>
      </c>
      <c r="T289" s="151">
        <v>11</v>
      </c>
      <c r="U289" s="151" t="s">
        <v>6872</v>
      </c>
      <c r="V289" s="151" t="s">
        <v>3608</v>
      </c>
      <c r="W289" s="151"/>
      <c r="X289" s="151"/>
      <c r="Y289" s="151" t="s">
        <v>855</v>
      </c>
      <c r="Z289" s="151" t="s">
        <v>6905</v>
      </c>
      <c r="AA289" s="151"/>
    </row>
    <row r="290" spans="2:27">
      <c r="B290" s="151" t="s">
        <v>6858</v>
      </c>
      <c r="C290" s="151" t="s">
        <v>7337</v>
      </c>
      <c r="D290" s="151" t="s">
        <v>7828</v>
      </c>
      <c r="E290" s="151" t="s">
        <v>26</v>
      </c>
      <c r="F290" s="151" t="s">
        <v>7835</v>
      </c>
      <c r="G290" s="151" t="s">
        <v>551</v>
      </c>
      <c r="H290" s="151" t="s">
        <v>2173</v>
      </c>
      <c r="I290" s="151" t="s">
        <v>6865</v>
      </c>
      <c r="J290" s="151" t="s">
        <v>1194</v>
      </c>
      <c r="K290" s="151" t="s">
        <v>7833</v>
      </c>
      <c r="L290" s="151" t="s">
        <v>1196</v>
      </c>
      <c r="M290" s="151" t="s">
        <v>7834</v>
      </c>
      <c r="N290" s="151" t="s">
        <v>6868</v>
      </c>
      <c r="O290" s="151"/>
      <c r="P290" s="151" t="s">
        <v>6905</v>
      </c>
      <c r="Q290" s="151" t="s">
        <v>7779</v>
      </c>
      <c r="R290" s="151" t="s">
        <v>2207</v>
      </c>
      <c r="S290" s="151" t="s">
        <v>6871</v>
      </c>
      <c r="T290" s="151"/>
      <c r="U290" s="151" t="s">
        <v>6872</v>
      </c>
      <c r="V290" s="151"/>
      <c r="W290" s="151"/>
      <c r="X290" s="151"/>
      <c r="Y290" s="151" t="s">
        <v>855</v>
      </c>
      <c r="Z290" s="151" t="s">
        <v>6905</v>
      </c>
      <c r="AA290" s="151"/>
    </row>
    <row r="291" spans="2:27">
      <c r="B291" s="151" t="s">
        <v>6858</v>
      </c>
      <c r="C291" s="151" t="s">
        <v>356</v>
      </c>
      <c r="D291" s="151" t="s">
        <v>7828</v>
      </c>
      <c r="E291" s="151" t="s">
        <v>26</v>
      </c>
      <c r="F291" s="151" t="s">
        <v>7836</v>
      </c>
      <c r="G291" s="151" t="s">
        <v>551</v>
      </c>
      <c r="H291" s="151" t="s">
        <v>2173</v>
      </c>
      <c r="I291" s="151" t="s">
        <v>6865</v>
      </c>
      <c r="J291" s="151" t="s">
        <v>1194</v>
      </c>
      <c r="K291" s="151" t="s">
        <v>7833</v>
      </c>
      <c r="L291" s="151" t="s">
        <v>7837</v>
      </c>
      <c r="M291" s="151" t="s">
        <v>7834</v>
      </c>
      <c r="N291" s="151" t="s">
        <v>6868</v>
      </c>
      <c r="O291" s="151"/>
      <c r="P291" s="151" t="s">
        <v>6905</v>
      </c>
      <c r="Q291" s="151" t="s">
        <v>7779</v>
      </c>
      <c r="R291" s="151" t="s">
        <v>3608</v>
      </c>
      <c r="S291" s="151" t="s">
        <v>6871</v>
      </c>
      <c r="T291" s="151">
        <v>4</v>
      </c>
      <c r="U291" s="151" t="s">
        <v>6872</v>
      </c>
      <c r="V291" s="151"/>
      <c r="W291" s="151"/>
      <c r="X291" s="151"/>
      <c r="Y291" s="151" t="s">
        <v>855</v>
      </c>
      <c r="Z291" s="151" t="s">
        <v>6905</v>
      </c>
      <c r="AA291" s="151"/>
    </row>
    <row r="292" spans="2:27">
      <c r="B292" s="151" t="s">
        <v>6858</v>
      </c>
      <c r="C292" s="151" t="s">
        <v>7841</v>
      </c>
      <c r="D292" s="151" t="s">
        <v>7189</v>
      </c>
      <c r="E292" s="151" t="s">
        <v>26</v>
      </c>
      <c r="F292" s="151" t="s">
        <v>7842</v>
      </c>
      <c r="G292" s="151" t="s">
        <v>2527</v>
      </c>
      <c r="H292" s="151" t="s">
        <v>2546</v>
      </c>
      <c r="I292" s="151" t="s">
        <v>6865</v>
      </c>
      <c r="J292" s="151" t="s">
        <v>1194</v>
      </c>
      <c r="K292" s="151" t="s">
        <v>7196</v>
      </c>
      <c r="L292" s="151" t="s">
        <v>7197</v>
      </c>
      <c r="M292" s="151" t="s">
        <v>7843</v>
      </c>
      <c r="N292" s="151" t="s">
        <v>7193</v>
      </c>
      <c r="O292" s="151"/>
      <c r="P292" s="151" t="s">
        <v>6869</v>
      </c>
      <c r="Q292" s="151" t="s">
        <v>6883</v>
      </c>
      <c r="R292" s="151" t="s">
        <v>3582</v>
      </c>
      <c r="S292" s="151" t="s">
        <v>6871</v>
      </c>
      <c r="T292" s="151">
        <v>70</v>
      </c>
      <c r="U292" s="151" t="s">
        <v>6872</v>
      </c>
      <c r="V292" s="151" t="s">
        <v>3608</v>
      </c>
      <c r="W292" s="151" t="s">
        <v>6871</v>
      </c>
      <c r="X292" s="151" t="s">
        <v>6871</v>
      </c>
      <c r="Y292" s="151" t="s">
        <v>855</v>
      </c>
      <c r="Z292" s="151" t="s">
        <v>6875</v>
      </c>
      <c r="AA292" s="151" t="s">
        <v>7844</v>
      </c>
    </row>
    <row r="293" spans="2:27">
      <c r="B293" s="151" t="s">
        <v>6858</v>
      </c>
      <c r="C293" s="151" t="s">
        <v>7845</v>
      </c>
      <c r="D293" s="151" t="s">
        <v>7189</v>
      </c>
      <c r="E293" s="151" t="s">
        <v>26</v>
      </c>
      <c r="F293" s="151" t="s">
        <v>7846</v>
      </c>
      <c r="G293" s="151" t="s">
        <v>2527</v>
      </c>
      <c r="H293" s="151" t="s">
        <v>2546</v>
      </c>
      <c r="I293" s="151" t="s">
        <v>6865</v>
      </c>
      <c r="J293" s="151" t="s">
        <v>1194</v>
      </c>
      <c r="K293" s="151" t="s">
        <v>574</v>
      </c>
      <c r="L293" s="151" t="s">
        <v>2352</v>
      </c>
      <c r="M293" s="151" t="s">
        <v>6957</v>
      </c>
      <c r="N293" s="151" t="s">
        <v>7193</v>
      </c>
      <c r="O293" s="151"/>
      <c r="P293" s="151" t="s">
        <v>6869</v>
      </c>
      <c r="Q293" s="151"/>
      <c r="R293" s="151" t="s">
        <v>2207</v>
      </c>
      <c r="S293" s="151" t="s">
        <v>6871</v>
      </c>
      <c r="T293" s="151"/>
      <c r="U293" s="151" t="s">
        <v>6872</v>
      </c>
      <c r="V293" s="151"/>
      <c r="W293" s="151"/>
      <c r="X293" s="151"/>
      <c r="Y293" s="151" t="s">
        <v>6961</v>
      </c>
      <c r="Z293" s="151" t="s">
        <v>6875</v>
      </c>
      <c r="AA293" s="151" t="s">
        <v>7844</v>
      </c>
    </row>
    <row r="294" spans="2:27">
      <c r="B294" s="151" t="s">
        <v>6858</v>
      </c>
      <c r="C294" s="151" t="s">
        <v>7847</v>
      </c>
      <c r="D294" s="151" t="s">
        <v>7189</v>
      </c>
      <c r="E294" s="151" t="s">
        <v>26</v>
      </c>
      <c r="F294" s="151" t="s">
        <v>7848</v>
      </c>
      <c r="G294" s="151" t="s">
        <v>2527</v>
      </c>
      <c r="H294" s="151" t="s">
        <v>2546</v>
      </c>
      <c r="I294" s="151" t="s">
        <v>6865</v>
      </c>
      <c r="J294" s="151" t="s">
        <v>1194</v>
      </c>
      <c r="K294" s="151" t="s">
        <v>620</v>
      </c>
      <c r="L294" s="151" t="s">
        <v>7389</v>
      </c>
      <c r="M294" s="151" t="s">
        <v>6867</v>
      </c>
      <c r="N294" s="151" t="s">
        <v>7849</v>
      </c>
      <c r="O294" s="151"/>
      <c r="P294" s="151" t="s">
        <v>6869</v>
      </c>
      <c r="Q294" s="151"/>
      <c r="R294" s="151"/>
      <c r="S294" s="151"/>
      <c r="T294" s="151"/>
      <c r="U294" s="151"/>
      <c r="V294" s="151"/>
      <c r="W294" s="151"/>
      <c r="X294" s="151"/>
      <c r="Y294" s="151"/>
      <c r="Z294" s="151" t="s">
        <v>6875</v>
      </c>
      <c r="AA294" s="151" t="s">
        <v>7844</v>
      </c>
    </row>
    <row r="295" spans="2:27">
      <c r="B295" s="151" t="s">
        <v>6858</v>
      </c>
      <c r="C295" s="151" t="s">
        <v>3477</v>
      </c>
      <c r="D295" s="151" t="s">
        <v>7189</v>
      </c>
      <c r="E295" s="151" t="s">
        <v>955</v>
      </c>
      <c r="F295" s="151" t="s">
        <v>7850</v>
      </c>
      <c r="G295" s="151"/>
      <c r="H295" s="151" t="s">
        <v>7234</v>
      </c>
      <c r="I295" s="151"/>
      <c r="J295" s="151"/>
      <c r="K295" s="151" t="s">
        <v>10808</v>
      </c>
      <c r="L295" s="151" t="s">
        <v>10808</v>
      </c>
      <c r="M295" s="151" t="s">
        <v>361</v>
      </c>
      <c r="N295" s="151"/>
      <c r="O295" s="151"/>
      <c r="P295" s="151"/>
      <c r="Q295" s="151"/>
      <c r="R295" s="151"/>
      <c r="S295" s="151"/>
      <c r="T295" s="151"/>
      <c r="U295" s="151"/>
      <c r="V295" s="151"/>
      <c r="W295" s="151"/>
      <c r="X295" s="151"/>
      <c r="Y295" s="151"/>
      <c r="Z295" s="151" t="s">
        <v>6875</v>
      </c>
      <c r="AA295" s="151" t="s">
        <v>7844</v>
      </c>
    </row>
    <row r="296" spans="2:27">
      <c r="B296" s="151" t="s">
        <v>6858</v>
      </c>
      <c r="C296" s="151" t="s">
        <v>7853</v>
      </c>
      <c r="D296" s="151" t="s">
        <v>7189</v>
      </c>
      <c r="E296" s="151" t="s">
        <v>26</v>
      </c>
      <c r="F296" s="151" t="s">
        <v>7854</v>
      </c>
      <c r="G296" s="151" t="s">
        <v>2527</v>
      </c>
      <c r="H296" s="151" t="s">
        <v>2546</v>
      </c>
      <c r="I296" s="151" t="s">
        <v>6865</v>
      </c>
      <c r="J296" s="151" t="s">
        <v>1194</v>
      </c>
      <c r="K296" s="151" t="s">
        <v>620</v>
      </c>
      <c r="L296" s="151" t="s">
        <v>6866</v>
      </c>
      <c r="M296" s="151" t="s">
        <v>6867</v>
      </c>
      <c r="N296" s="151" t="s">
        <v>7855</v>
      </c>
      <c r="O296" s="151"/>
      <c r="P296" s="151" t="s">
        <v>6869</v>
      </c>
      <c r="Q296" s="151"/>
      <c r="R296" s="151"/>
      <c r="S296" s="151"/>
      <c r="T296" s="151"/>
      <c r="U296" s="151"/>
      <c r="V296" s="151"/>
      <c r="W296" s="151"/>
      <c r="X296" s="151"/>
      <c r="Y296" s="151"/>
      <c r="Z296" s="151" t="s">
        <v>6875</v>
      </c>
      <c r="AA296" s="151" t="s">
        <v>7856</v>
      </c>
    </row>
    <row r="297" spans="2:27">
      <c r="B297" s="151" t="s">
        <v>6858</v>
      </c>
      <c r="C297" s="151" t="s">
        <v>7029</v>
      </c>
      <c r="D297" s="151" t="s">
        <v>7857</v>
      </c>
      <c r="E297" s="151" t="s">
        <v>26</v>
      </c>
      <c r="F297" s="151" t="s">
        <v>7858</v>
      </c>
      <c r="G297" s="151" t="s">
        <v>2527</v>
      </c>
      <c r="H297" s="151" t="s">
        <v>2173</v>
      </c>
      <c r="I297" s="151" t="s">
        <v>6865</v>
      </c>
      <c r="J297" s="151" t="s">
        <v>1194</v>
      </c>
      <c r="K297" s="151" t="s">
        <v>7301</v>
      </c>
      <c r="L297" s="151" t="s">
        <v>7564</v>
      </c>
      <c r="M297" s="151" t="s">
        <v>7303</v>
      </c>
      <c r="N297" s="151" t="s">
        <v>6868</v>
      </c>
      <c r="O297" s="151"/>
      <c r="P297" s="151" t="s">
        <v>6905</v>
      </c>
      <c r="Q297" s="151" t="s">
        <v>6883</v>
      </c>
      <c r="R297" s="151" t="s">
        <v>6936</v>
      </c>
      <c r="S297" s="151" t="s">
        <v>6871</v>
      </c>
      <c r="T297" s="151">
        <v>2</v>
      </c>
      <c r="U297" s="151" t="s">
        <v>6872</v>
      </c>
      <c r="V297" s="151"/>
      <c r="W297" s="151"/>
      <c r="X297" s="151"/>
      <c r="Y297" s="151" t="s">
        <v>7860</v>
      </c>
      <c r="Z297" s="151" t="s">
        <v>6905</v>
      </c>
      <c r="AA297" s="151"/>
    </row>
    <row r="298" spans="2:27">
      <c r="B298" s="151" t="s">
        <v>6858</v>
      </c>
      <c r="C298" s="151" t="s">
        <v>7861</v>
      </c>
      <c r="D298" s="151" t="s">
        <v>7857</v>
      </c>
      <c r="E298" s="151" t="s">
        <v>26</v>
      </c>
      <c r="F298" s="151" t="s">
        <v>7862</v>
      </c>
      <c r="G298" s="151" t="s">
        <v>2527</v>
      </c>
      <c r="H298" s="151" t="s">
        <v>2173</v>
      </c>
      <c r="I298" s="151" t="s">
        <v>6865</v>
      </c>
      <c r="J298" s="151" t="s">
        <v>1194</v>
      </c>
      <c r="K298" s="151" t="s">
        <v>7301</v>
      </c>
      <c r="L298" s="151" t="s">
        <v>7863</v>
      </c>
      <c r="M298" s="151" t="s">
        <v>7303</v>
      </c>
      <c r="N298" s="151" t="s">
        <v>6868</v>
      </c>
      <c r="O298" s="151"/>
      <c r="P298" s="151" t="s">
        <v>6905</v>
      </c>
      <c r="Q298" s="151" t="s">
        <v>6883</v>
      </c>
      <c r="R298" s="151" t="s">
        <v>3582</v>
      </c>
      <c r="S298" s="151" t="s">
        <v>6871</v>
      </c>
      <c r="T298" s="151">
        <v>128</v>
      </c>
      <c r="U298" s="151" t="s">
        <v>6872</v>
      </c>
      <c r="V298" s="151"/>
      <c r="W298" s="151"/>
      <c r="X298" s="151"/>
      <c r="Y298" s="151" t="s">
        <v>7860</v>
      </c>
      <c r="Z298" s="151" t="s">
        <v>6905</v>
      </c>
      <c r="AA298" s="151"/>
    </row>
    <row r="299" spans="2:27">
      <c r="B299" s="151" t="s">
        <v>6858</v>
      </c>
      <c r="C299" s="151" t="s">
        <v>7102</v>
      </c>
      <c r="D299" s="151" t="s">
        <v>7857</v>
      </c>
      <c r="E299" s="151" t="s">
        <v>26</v>
      </c>
      <c r="F299" s="151" t="s">
        <v>7864</v>
      </c>
      <c r="G299" s="151" t="s">
        <v>2527</v>
      </c>
      <c r="H299" s="151" t="s">
        <v>2173</v>
      </c>
      <c r="I299" s="151" t="s">
        <v>6865</v>
      </c>
      <c r="J299" s="151" t="s">
        <v>1194</v>
      </c>
      <c r="K299" s="151" t="s">
        <v>7301</v>
      </c>
      <c r="L299" s="151" t="s">
        <v>7104</v>
      </c>
      <c r="M299" s="151" t="s">
        <v>7303</v>
      </c>
      <c r="N299" s="151" t="s">
        <v>6868</v>
      </c>
      <c r="O299" s="151"/>
      <c r="P299" s="151" t="s">
        <v>6905</v>
      </c>
      <c r="Q299" s="151" t="s">
        <v>6883</v>
      </c>
      <c r="R299" s="151" t="s">
        <v>4271</v>
      </c>
      <c r="S299" s="151" t="s">
        <v>6871</v>
      </c>
      <c r="T299" s="151">
        <v>5</v>
      </c>
      <c r="U299" s="151" t="s">
        <v>6872</v>
      </c>
      <c r="V299" s="151"/>
      <c r="W299" s="151"/>
      <c r="X299" s="151"/>
      <c r="Y299" s="151" t="s">
        <v>7860</v>
      </c>
      <c r="Z299" s="151" t="s">
        <v>6905</v>
      </c>
      <c r="AA299" s="151"/>
    </row>
    <row r="300" spans="2:27">
      <c r="B300" s="151" t="s">
        <v>6858</v>
      </c>
      <c r="C300" s="151" t="s">
        <v>7865</v>
      </c>
      <c r="D300" s="151" t="s">
        <v>7857</v>
      </c>
      <c r="E300" s="151" t="s">
        <v>26</v>
      </c>
      <c r="F300" s="151" t="s">
        <v>7866</v>
      </c>
      <c r="G300" s="151" t="s">
        <v>2527</v>
      </c>
      <c r="H300" s="151" t="s">
        <v>2173</v>
      </c>
      <c r="I300" s="151" t="s">
        <v>6865</v>
      </c>
      <c r="J300" s="151" t="s">
        <v>1194</v>
      </c>
      <c r="K300" s="151" t="s">
        <v>7301</v>
      </c>
      <c r="L300" s="151" t="s">
        <v>7097</v>
      </c>
      <c r="M300" s="151" t="s">
        <v>7303</v>
      </c>
      <c r="N300" s="151" t="s">
        <v>6868</v>
      </c>
      <c r="O300" s="151"/>
      <c r="P300" s="151" t="s">
        <v>6905</v>
      </c>
      <c r="Q300" s="151" t="s">
        <v>6883</v>
      </c>
      <c r="R300" s="151" t="s">
        <v>3608</v>
      </c>
      <c r="S300" s="151" t="s">
        <v>6871</v>
      </c>
      <c r="T300" s="151">
        <v>4</v>
      </c>
      <c r="U300" s="151" t="s">
        <v>6872</v>
      </c>
      <c r="V300" s="151" t="s">
        <v>3608</v>
      </c>
      <c r="W300" s="151"/>
      <c r="X300" s="151"/>
      <c r="Y300" s="151" t="s">
        <v>7860</v>
      </c>
      <c r="Z300" s="151" t="s">
        <v>6905</v>
      </c>
      <c r="AA300" s="151"/>
    </row>
    <row r="301" spans="2:27">
      <c r="B301" s="151" t="s">
        <v>6858</v>
      </c>
      <c r="C301" s="151" t="s">
        <v>7867</v>
      </c>
      <c r="D301" s="151" t="s">
        <v>7857</v>
      </c>
      <c r="E301" s="151" t="s">
        <v>26</v>
      </c>
      <c r="F301" s="151" t="s">
        <v>7868</v>
      </c>
      <c r="G301" s="151" t="s">
        <v>2527</v>
      </c>
      <c r="H301" s="151" t="s">
        <v>2173</v>
      </c>
      <c r="I301" s="151" t="s">
        <v>6865</v>
      </c>
      <c r="J301" s="151" t="s">
        <v>1194</v>
      </c>
      <c r="K301" s="151" t="s">
        <v>7301</v>
      </c>
      <c r="L301" s="151" t="s">
        <v>7869</v>
      </c>
      <c r="M301" s="151" t="s">
        <v>7303</v>
      </c>
      <c r="N301" s="151" t="s">
        <v>6868</v>
      </c>
      <c r="O301" s="151"/>
      <c r="P301" s="151" t="s">
        <v>6905</v>
      </c>
      <c r="Q301" s="151" t="s">
        <v>6883</v>
      </c>
      <c r="R301" s="151" t="s">
        <v>6936</v>
      </c>
      <c r="S301" s="151" t="s">
        <v>6871</v>
      </c>
      <c r="T301" s="151">
        <v>2</v>
      </c>
      <c r="U301" s="151" t="s">
        <v>6872</v>
      </c>
      <c r="V301" s="151"/>
      <c r="W301" s="151"/>
      <c r="X301" s="151"/>
      <c r="Y301" s="151" t="s">
        <v>7860</v>
      </c>
      <c r="Z301" s="151" t="s">
        <v>6905</v>
      </c>
      <c r="AA301" s="151"/>
    </row>
    <row r="302" spans="2:27">
      <c r="B302" s="151" t="s">
        <v>6858</v>
      </c>
      <c r="C302" s="151" t="s">
        <v>159</v>
      </c>
      <c r="D302" s="151" t="s">
        <v>7857</v>
      </c>
      <c r="E302" s="151" t="s">
        <v>26</v>
      </c>
      <c r="F302" s="151" t="s">
        <v>7974</v>
      </c>
      <c r="G302" s="151" t="s">
        <v>2527</v>
      </c>
      <c r="H302" s="151" t="s">
        <v>2173</v>
      </c>
      <c r="I302" s="151" t="s">
        <v>6865</v>
      </c>
      <c r="J302" s="151" t="s">
        <v>1194</v>
      </c>
      <c r="K302" s="151" t="s">
        <v>7301</v>
      </c>
      <c r="L302" s="151" t="s">
        <v>2307</v>
      </c>
      <c r="M302" s="151" t="s">
        <v>7303</v>
      </c>
      <c r="N302" s="151" t="s">
        <v>6868</v>
      </c>
      <c r="O302" s="151" t="s">
        <v>7975</v>
      </c>
      <c r="P302" s="151" t="s">
        <v>2177</v>
      </c>
      <c r="Q302" s="151" t="s">
        <v>6883</v>
      </c>
      <c r="R302" s="151" t="s">
        <v>4271</v>
      </c>
      <c r="S302" s="151" t="s">
        <v>6871</v>
      </c>
      <c r="T302" s="151">
        <v>5</v>
      </c>
      <c r="U302" s="151" t="s">
        <v>6872</v>
      </c>
      <c r="V302" s="151"/>
      <c r="W302" s="151"/>
      <c r="X302" s="151"/>
      <c r="Y302" s="151" t="s">
        <v>7860</v>
      </c>
      <c r="Z302" s="151"/>
      <c r="AA302" s="151"/>
    </row>
    <row r="303" spans="2:27">
      <c r="B303" s="151" t="s">
        <v>6858</v>
      </c>
      <c r="C303" s="151" t="s">
        <v>356</v>
      </c>
      <c r="D303" s="151" t="s">
        <v>7857</v>
      </c>
      <c r="E303" s="151" t="s">
        <v>26</v>
      </c>
      <c r="F303" s="151" t="s">
        <v>7976</v>
      </c>
      <c r="G303" s="151" t="s">
        <v>2527</v>
      </c>
      <c r="H303" s="151" t="s">
        <v>2173</v>
      </c>
      <c r="I303" s="151" t="s">
        <v>6865</v>
      </c>
      <c r="J303" s="151" t="s">
        <v>1194</v>
      </c>
      <c r="K303" s="151" t="s">
        <v>7301</v>
      </c>
      <c r="L303" s="151" t="s">
        <v>7977</v>
      </c>
      <c r="M303" s="151" t="s">
        <v>7303</v>
      </c>
      <c r="N303" s="151" t="s">
        <v>6868</v>
      </c>
      <c r="O303" s="151"/>
      <c r="P303" s="151" t="s">
        <v>6905</v>
      </c>
      <c r="Q303" s="151" t="s">
        <v>6883</v>
      </c>
      <c r="R303" s="151" t="s">
        <v>4271</v>
      </c>
      <c r="S303" s="151" t="s">
        <v>6871</v>
      </c>
      <c r="T303" s="151">
        <v>5</v>
      </c>
      <c r="U303" s="151" t="s">
        <v>6872</v>
      </c>
      <c r="V303" s="151"/>
      <c r="W303" s="151"/>
      <c r="X303" s="151"/>
      <c r="Y303" s="151" t="s">
        <v>7860</v>
      </c>
      <c r="Z303" s="151" t="s">
        <v>6905</v>
      </c>
      <c r="AA303" s="151"/>
    </row>
    <row r="304" spans="2:27">
      <c r="B304" s="151" t="s">
        <v>6858</v>
      </c>
      <c r="C304" s="151" t="s">
        <v>7870</v>
      </c>
      <c r="D304" s="151" t="s">
        <v>7857</v>
      </c>
      <c r="E304" s="151" t="s">
        <v>26</v>
      </c>
      <c r="F304" s="151" t="s">
        <v>7871</v>
      </c>
      <c r="G304" s="151" t="s">
        <v>2527</v>
      </c>
      <c r="H304" s="151" t="s">
        <v>2173</v>
      </c>
      <c r="I304" s="151" t="s">
        <v>6865</v>
      </c>
      <c r="J304" s="151" t="s">
        <v>1194</v>
      </c>
      <c r="K304" s="151" t="s">
        <v>7301</v>
      </c>
      <c r="L304" s="151" t="s">
        <v>7872</v>
      </c>
      <c r="M304" s="151" t="s">
        <v>7303</v>
      </c>
      <c r="N304" s="151" t="s">
        <v>6868</v>
      </c>
      <c r="O304" s="151" t="s">
        <v>7873</v>
      </c>
      <c r="P304" s="151" t="s">
        <v>2177</v>
      </c>
      <c r="Q304" s="151" t="s">
        <v>6883</v>
      </c>
      <c r="R304" s="151" t="s">
        <v>4271</v>
      </c>
      <c r="S304" s="151" t="s">
        <v>6871</v>
      </c>
      <c r="T304" s="151">
        <v>5</v>
      </c>
      <c r="U304" s="151" t="s">
        <v>6872</v>
      </c>
      <c r="V304" s="151"/>
      <c r="W304" s="151"/>
      <c r="X304" s="151"/>
      <c r="Y304" s="151" t="s">
        <v>7860</v>
      </c>
      <c r="Z304" s="151"/>
      <c r="AA304" s="151"/>
    </row>
    <row r="305" spans="1:27">
      <c r="B305" s="151" t="s">
        <v>6858</v>
      </c>
      <c r="C305" s="151" t="s">
        <v>7874</v>
      </c>
      <c r="D305" s="151" t="s">
        <v>7875</v>
      </c>
      <c r="E305" s="151" t="s">
        <v>26</v>
      </c>
      <c r="F305" s="151" t="s">
        <v>4238</v>
      </c>
      <c r="G305" s="151" t="s">
        <v>2527</v>
      </c>
      <c r="H305" s="151" t="s">
        <v>7234</v>
      </c>
      <c r="I305" s="151"/>
      <c r="J305" s="151"/>
      <c r="K305" s="151"/>
      <c r="L305" s="151"/>
      <c r="M305" s="151" t="s">
        <v>361</v>
      </c>
      <c r="N305" s="151" t="s">
        <v>6868</v>
      </c>
      <c r="O305" s="151"/>
      <c r="P305" s="151" t="s">
        <v>6869</v>
      </c>
      <c r="Q305" s="151"/>
      <c r="R305" s="151"/>
      <c r="S305" s="151"/>
      <c r="T305" s="151"/>
      <c r="U305" s="151"/>
      <c r="V305" s="151"/>
      <c r="W305" s="151"/>
      <c r="X305" s="151"/>
      <c r="Y305" s="151"/>
      <c r="Z305" s="151" t="s">
        <v>6875</v>
      </c>
      <c r="AA305" s="151" t="s">
        <v>7877</v>
      </c>
    </row>
    <row r="306" spans="1:27">
      <c r="B306" s="151" t="s">
        <v>6858</v>
      </c>
      <c r="C306" s="151" t="s">
        <v>7878</v>
      </c>
      <c r="D306" s="151" t="s">
        <v>7879</v>
      </c>
      <c r="E306" s="151" t="s">
        <v>26</v>
      </c>
      <c r="F306" s="151" t="s">
        <v>7880</v>
      </c>
      <c r="G306" s="151" t="s">
        <v>2527</v>
      </c>
      <c r="H306" s="151" t="s">
        <v>7234</v>
      </c>
      <c r="I306" s="151"/>
      <c r="J306" s="151"/>
      <c r="K306" s="151"/>
      <c r="L306" s="151"/>
      <c r="M306" s="151" t="s">
        <v>361</v>
      </c>
      <c r="N306" s="151" t="s">
        <v>6868</v>
      </c>
      <c r="O306" s="151"/>
      <c r="P306" s="151" t="s">
        <v>6869</v>
      </c>
      <c r="Q306" s="151"/>
      <c r="R306" s="151"/>
      <c r="S306" s="151"/>
      <c r="T306" s="151"/>
      <c r="U306" s="151"/>
      <c r="V306" s="151"/>
      <c r="W306" s="151"/>
      <c r="X306" s="151"/>
      <c r="Y306" s="151"/>
      <c r="Z306" s="151" t="s">
        <v>6875</v>
      </c>
      <c r="AA306" s="151" t="s">
        <v>7877</v>
      </c>
    </row>
    <row r="307" spans="1:27" ht="15" customHeight="1">
      <c r="B307" s="151" t="s">
        <v>6858</v>
      </c>
      <c r="C307" s="151" t="s">
        <v>4293</v>
      </c>
      <c r="D307" s="151" t="s">
        <v>4238</v>
      </c>
      <c r="E307" s="151" t="s">
        <v>26</v>
      </c>
      <c r="F307" s="151" t="s">
        <v>7883</v>
      </c>
      <c r="G307" s="151" t="s">
        <v>544</v>
      </c>
      <c r="H307" s="151" t="s">
        <v>2173</v>
      </c>
      <c r="I307" s="151" t="s">
        <v>1193</v>
      </c>
      <c r="J307" s="151" t="s">
        <v>1194</v>
      </c>
      <c r="K307" s="151" t="s">
        <v>7884</v>
      </c>
      <c r="L307" s="151" t="s">
        <v>7885</v>
      </c>
      <c r="M307" s="151" t="s">
        <v>7587</v>
      </c>
      <c r="N307" s="151" t="s">
        <v>6868</v>
      </c>
      <c r="O307" s="151"/>
      <c r="P307" s="151"/>
      <c r="Q307" s="151"/>
      <c r="R307" s="151"/>
      <c r="S307" s="151"/>
      <c r="T307" s="151"/>
      <c r="U307" s="151"/>
      <c r="V307" s="151"/>
      <c r="W307" s="151"/>
      <c r="X307" s="151"/>
      <c r="Y307" s="151"/>
      <c r="Z307" s="151"/>
      <c r="AA307" s="151"/>
    </row>
    <row r="308" spans="1:27" ht="15" customHeight="1">
      <c r="B308" s="340"/>
      <c r="C308" s="340"/>
      <c r="D308" s="340"/>
      <c r="E308" s="340"/>
      <c r="F308" s="340"/>
      <c r="G308" s="340"/>
      <c r="H308" s="340"/>
      <c r="I308" s="340"/>
      <c r="J308" s="340"/>
      <c r="K308" s="340"/>
      <c r="L308" s="340"/>
      <c r="M308" s="340"/>
      <c r="N308" s="340"/>
      <c r="O308" s="340"/>
      <c r="P308" s="340"/>
      <c r="Q308" s="340"/>
      <c r="R308" s="340"/>
      <c r="S308" s="340"/>
      <c r="T308" s="340"/>
      <c r="U308" s="340"/>
      <c r="V308" s="340"/>
      <c r="W308" s="340"/>
      <c r="X308" s="340"/>
      <c r="Y308" s="340"/>
      <c r="Z308" s="340"/>
      <c r="AA308" s="340"/>
    </row>
    <row r="309" spans="1:27">
      <c r="C309"/>
    </row>
    <row r="310" spans="1:27" ht="15" customHeight="1">
      <c r="A310" t="s">
        <v>7433</v>
      </c>
    </row>
  </sheetData>
  <autoFilter ref="A1:AA307" xr:uid="{745C7082-F384-4CAE-AD0C-5981AAF0CC5F}"/>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9EF33-1B5F-47B9-961E-1AC484AFB5D9}">
  <sheetPr>
    <tabColor rgb="FFFF0000"/>
  </sheetPr>
  <dimension ref="B1:X21"/>
  <sheetViews>
    <sheetView workbookViewId="0">
      <selection activeCell="B26" sqref="B26"/>
    </sheetView>
  </sheetViews>
  <sheetFormatPr defaultColWidth="8.7109375" defaultRowHeight="15"/>
  <cols>
    <col min="2" max="2" width="18" style="374" customWidth="1"/>
    <col min="3" max="3" width="25.140625" style="374" customWidth="1"/>
    <col min="4" max="4" width="26.42578125" style="374" customWidth="1"/>
    <col min="5" max="5" width="21.140625" style="374" customWidth="1"/>
    <col min="6" max="6" width="62.140625" style="374" customWidth="1"/>
    <col min="7" max="7" width="20" style="374" customWidth="1"/>
    <col min="8" max="8" width="14.140625" style="374" bestFit="1" customWidth="1"/>
    <col min="11" max="11" width="39.5703125" style="374" customWidth="1"/>
    <col min="12" max="12" width="23.5703125" style="374" customWidth="1"/>
    <col min="13" max="13" width="49.85546875" style="374" bestFit="1" customWidth="1"/>
    <col min="14" max="14" width="23.5703125" style="374" customWidth="1"/>
    <col min="15" max="15" width="16.42578125" style="374" customWidth="1"/>
    <col min="24" max="24" width="22.5703125" style="374" customWidth="1"/>
  </cols>
  <sheetData>
    <row r="1" spans="2:24">
      <c r="B1" s="421" t="s">
        <v>2157</v>
      </c>
      <c r="C1" s="421" t="s">
        <v>336</v>
      </c>
      <c r="D1" s="421" t="s">
        <v>337</v>
      </c>
      <c r="E1" s="421" t="s">
        <v>338</v>
      </c>
      <c r="F1" s="421" t="s">
        <v>339</v>
      </c>
      <c r="G1" t="s">
        <v>2158</v>
      </c>
      <c r="H1" t="s">
        <v>2159</v>
      </c>
      <c r="I1" t="s">
        <v>1159</v>
      </c>
      <c r="J1" t="s">
        <v>425</v>
      </c>
      <c r="K1" t="s">
        <v>426</v>
      </c>
      <c r="L1" t="s">
        <v>427</v>
      </c>
      <c r="M1" t="s">
        <v>2161</v>
      </c>
      <c r="N1" t="s">
        <v>2162</v>
      </c>
      <c r="O1" t="s">
        <v>428</v>
      </c>
      <c r="P1" t="s">
        <v>416</v>
      </c>
      <c r="Q1" t="s">
        <v>417</v>
      </c>
      <c r="R1" t="s">
        <v>418</v>
      </c>
      <c r="S1" t="s">
        <v>419</v>
      </c>
      <c r="T1" t="s">
        <v>420</v>
      </c>
      <c r="U1" t="s">
        <v>421</v>
      </c>
      <c r="V1" t="s">
        <v>422</v>
      </c>
      <c r="W1" t="s">
        <v>423</v>
      </c>
      <c r="X1" t="s">
        <v>424</v>
      </c>
    </row>
    <row r="2" spans="2:24">
      <c r="B2" s="374" t="s">
        <v>6858</v>
      </c>
      <c r="C2" t="s">
        <v>8109</v>
      </c>
      <c r="D2" t="s">
        <v>4330</v>
      </c>
      <c r="E2" t="s">
        <v>93</v>
      </c>
      <c r="F2" t="s">
        <v>8110</v>
      </c>
      <c r="G2" t="s">
        <v>544</v>
      </c>
      <c r="H2" s="374" t="s">
        <v>7986</v>
      </c>
      <c r="I2" s="374" t="s">
        <v>10809</v>
      </c>
      <c r="J2" s="374" t="s">
        <v>1293</v>
      </c>
      <c r="K2" s="374" t="s">
        <v>1493</v>
      </c>
      <c r="L2" s="374" t="s">
        <v>8112</v>
      </c>
      <c r="M2" s="374" t="s">
        <v>8113</v>
      </c>
      <c r="O2" s="374" t="s">
        <v>8114</v>
      </c>
      <c r="P2" s="374" t="s">
        <v>49</v>
      </c>
      <c r="Q2" s="374" t="s">
        <v>3608</v>
      </c>
      <c r="R2" s="374" t="s">
        <v>49</v>
      </c>
      <c r="S2" s="374">
        <v>1</v>
      </c>
      <c r="T2" s="374" t="s">
        <v>49</v>
      </c>
      <c r="U2" s="374" t="s">
        <v>3608</v>
      </c>
      <c r="V2" s="374" t="s">
        <v>49</v>
      </c>
      <c r="W2" s="374" t="s">
        <v>49</v>
      </c>
      <c r="X2" s="374" t="s">
        <v>10810</v>
      </c>
    </row>
    <row r="3" spans="2:24">
      <c r="B3" s="374" t="s">
        <v>6858</v>
      </c>
      <c r="C3" t="s">
        <v>8116</v>
      </c>
      <c r="D3" t="s">
        <v>4330</v>
      </c>
      <c r="E3" t="s">
        <v>93</v>
      </c>
      <c r="F3" t="s">
        <v>8117</v>
      </c>
      <c r="G3" t="s">
        <v>544</v>
      </c>
      <c r="H3" s="374" t="s">
        <v>7986</v>
      </c>
      <c r="I3" s="374" t="s">
        <v>10809</v>
      </c>
      <c r="J3" s="374" t="s">
        <v>1293</v>
      </c>
      <c r="K3" s="374" t="s">
        <v>1493</v>
      </c>
      <c r="L3" s="374" t="s">
        <v>8118</v>
      </c>
      <c r="M3" s="374" t="s">
        <v>8113</v>
      </c>
      <c r="O3" s="374" t="s">
        <v>203</v>
      </c>
      <c r="P3" s="374" t="s">
        <v>49</v>
      </c>
      <c r="Q3" s="374" t="s">
        <v>3608</v>
      </c>
      <c r="R3" s="374" t="s">
        <v>49</v>
      </c>
      <c r="S3" s="374">
        <v>13</v>
      </c>
      <c r="T3" s="374" t="s">
        <v>49</v>
      </c>
      <c r="U3" s="374" t="s">
        <v>3608</v>
      </c>
      <c r="V3" s="374" t="s">
        <v>49</v>
      </c>
      <c r="W3" s="374" t="s">
        <v>49</v>
      </c>
      <c r="X3" s="374" t="s">
        <v>10810</v>
      </c>
    </row>
    <row r="4" spans="2:24">
      <c r="B4" s="374" t="s">
        <v>6858</v>
      </c>
      <c r="C4" t="s">
        <v>8119</v>
      </c>
      <c r="D4" t="s">
        <v>4330</v>
      </c>
      <c r="E4" t="s">
        <v>93</v>
      </c>
      <c r="F4" t="s">
        <v>8120</v>
      </c>
      <c r="G4" t="s">
        <v>544</v>
      </c>
      <c r="H4" s="374" t="s">
        <v>7986</v>
      </c>
      <c r="I4" s="374" t="s">
        <v>10809</v>
      </c>
      <c r="J4" s="374" t="s">
        <v>1293</v>
      </c>
      <c r="K4" s="374" t="s">
        <v>1493</v>
      </c>
      <c r="L4" s="374" t="s">
        <v>8121</v>
      </c>
      <c r="M4" s="374" t="s">
        <v>8113</v>
      </c>
      <c r="O4" s="374" t="s">
        <v>203</v>
      </c>
      <c r="P4" s="374" t="s">
        <v>49</v>
      </c>
      <c r="Q4" s="374" t="s">
        <v>10811</v>
      </c>
      <c r="R4" s="374" t="s">
        <v>49</v>
      </c>
      <c r="S4" s="374">
        <v>3</v>
      </c>
      <c r="T4" s="374" t="s">
        <v>49</v>
      </c>
      <c r="U4" s="374" t="s">
        <v>10811</v>
      </c>
      <c r="V4" s="374" t="s">
        <v>49</v>
      </c>
      <c r="W4" s="374" t="s">
        <v>49</v>
      </c>
      <c r="X4" s="374" t="s">
        <v>10810</v>
      </c>
    </row>
    <row r="5" spans="2:24">
      <c r="B5" s="374" t="s">
        <v>6858</v>
      </c>
      <c r="C5" t="s">
        <v>8122</v>
      </c>
      <c r="D5" t="s">
        <v>4330</v>
      </c>
      <c r="E5" t="s">
        <v>93</v>
      </c>
      <c r="F5" t="s">
        <v>8123</v>
      </c>
      <c r="G5"/>
      <c r="H5" s="374" t="s">
        <v>7986</v>
      </c>
      <c r="I5" s="374" t="s">
        <v>10809</v>
      </c>
      <c r="J5" s="374" t="s">
        <v>1293</v>
      </c>
      <c r="K5" s="374" t="s">
        <v>1493</v>
      </c>
      <c r="L5" s="374" t="s">
        <v>8124</v>
      </c>
      <c r="M5" s="374" t="s">
        <v>8113</v>
      </c>
      <c r="O5" s="374" t="s">
        <v>8125</v>
      </c>
      <c r="P5" s="374" t="s">
        <v>49</v>
      </c>
      <c r="Q5" s="374" t="s">
        <v>3608</v>
      </c>
      <c r="R5" s="374" t="s">
        <v>49</v>
      </c>
      <c r="S5" s="374">
        <v>1</v>
      </c>
      <c r="T5" s="374" t="s">
        <v>49</v>
      </c>
      <c r="U5" s="374" t="s">
        <v>3608</v>
      </c>
      <c r="V5" s="374" t="s">
        <v>49</v>
      </c>
      <c r="W5" s="374" t="s">
        <v>49</v>
      </c>
      <c r="X5" s="374" t="s">
        <v>10810</v>
      </c>
    </row>
    <row r="6" spans="2:24">
      <c r="B6" s="374" t="s">
        <v>6858</v>
      </c>
      <c r="C6" t="s">
        <v>8126</v>
      </c>
      <c r="D6" t="s">
        <v>4330</v>
      </c>
      <c r="E6" t="s">
        <v>93</v>
      </c>
      <c r="F6" t="s">
        <v>8127</v>
      </c>
      <c r="G6"/>
      <c r="H6" s="374" t="s">
        <v>7986</v>
      </c>
      <c r="I6" s="374" t="s">
        <v>10809</v>
      </c>
      <c r="J6" s="374" t="s">
        <v>1293</v>
      </c>
      <c r="K6" s="374" t="s">
        <v>1493</v>
      </c>
      <c r="L6" s="374" t="s">
        <v>8128</v>
      </c>
      <c r="M6" s="374" t="s">
        <v>8113</v>
      </c>
      <c r="O6" s="374" t="s">
        <v>203</v>
      </c>
      <c r="P6" s="374" t="s">
        <v>49</v>
      </c>
      <c r="Q6" s="374" t="s">
        <v>10812</v>
      </c>
      <c r="R6" s="374" t="s">
        <v>49</v>
      </c>
      <c r="S6" s="374">
        <v>2</v>
      </c>
      <c r="T6" s="374" t="s">
        <v>49</v>
      </c>
      <c r="U6" s="374" t="s">
        <v>10812</v>
      </c>
      <c r="V6" s="374" t="s">
        <v>49</v>
      </c>
      <c r="W6" s="374" t="s">
        <v>49</v>
      </c>
      <c r="X6" s="374" t="s">
        <v>10810</v>
      </c>
    </row>
    <row r="7" spans="2:24">
      <c r="B7" s="374" t="s">
        <v>6858</v>
      </c>
      <c r="C7" t="s">
        <v>8129</v>
      </c>
      <c r="D7" t="s">
        <v>4330</v>
      </c>
      <c r="E7" t="s">
        <v>93</v>
      </c>
      <c r="F7" t="s">
        <v>8130</v>
      </c>
      <c r="G7"/>
      <c r="H7" s="374" t="s">
        <v>7986</v>
      </c>
      <c r="I7" s="374" t="s">
        <v>10809</v>
      </c>
      <c r="J7" s="374" t="s">
        <v>1293</v>
      </c>
      <c r="K7" s="374" t="s">
        <v>1493</v>
      </c>
      <c r="L7" s="374" t="s">
        <v>8131</v>
      </c>
      <c r="M7" s="374" t="s">
        <v>8113</v>
      </c>
      <c r="O7" s="374" t="s">
        <v>203</v>
      </c>
      <c r="P7" s="374" t="s">
        <v>49</v>
      </c>
      <c r="Q7" s="374" t="s">
        <v>10812</v>
      </c>
      <c r="R7" s="374" t="s">
        <v>49</v>
      </c>
      <c r="S7" s="374">
        <v>2</v>
      </c>
      <c r="T7" s="374" t="s">
        <v>49</v>
      </c>
      <c r="U7" s="374" t="s">
        <v>10812</v>
      </c>
      <c r="V7" s="374" t="s">
        <v>49</v>
      </c>
      <c r="W7" s="374" t="s">
        <v>49</v>
      </c>
      <c r="X7" s="374" t="s">
        <v>10810</v>
      </c>
    </row>
    <row r="8" spans="2:24">
      <c r="B8" s="374" t="s">
        <v>6858</v>
      </c>
      <c r="C8" t="s">
        <v>8132</v>
      </c>
      <c r="D8" t="s">
        <v>4330</v>
      </c>
      <c r="E8" t="s">
        <v>93</v>
      </c>
      <c r="F8" t="s">
        <v>8133</v>
      </c>
      <c r="G8"/>
      <c r="H8" s="374" t="s">
        <v>7986</v>
      </c>
      <c r="I8" s="374" t="s">
        <v>10809</v>
      </c>
      <c r="J8" s="374" t="s">
        <v>1293</v>
      </c>
      <c r="K8" s="374" t="s">
        <v>1493</v>
      </c>
      <c r="L8" s="374" t="s">
        <v>8134</v>
      </c>
      <c r="M8" s="374" t="s">
        <v>8113</v>
      </c>
      <c r="O8" s="374" t="s">
        <v>203</v>
      </c>
      <c r="P8" s="374" t="s">
        <v>49</v>
      </c>
      <c r="Q8" s="374" t="s">
        <v>2207</v>
      </c>
      <c r="R8" s="374" t="s">
        <v>49</v>
      </c>
      <c r="S8" s="374" t="s">
        <v>49</v>
      </c>
      <c r="T8" s="374" t="s">
        <v>49</v>
      </c>
      <c r="U8" s="374" t="s">
        <v>2207</v>
      </c>
      <c r="V8" s="374" t="s">
        <v>49</v>
      </c>
      <c r="W8" s="374" t="s">
        <v>49</v>
      </c>
      <c r="X8" s="374" t="s">
        <v>10810</v>
      </c>
    </row>
    <row r="9" spans="2:24">
      <c r="B9" s="374" t="s">
        <v>6858</v>
      </c>
      <c r="C9" t="s">
        <v>8135</v>
      </c>
      <c r="D9" t="s">
        <v>4330</v>
      </c>
      <c r="E9" t="s">
        <v>93</v>
      </c>
      <c r="F9" t="s">
        <v>8136</v>
      </c>
      <c r="G9"/>
      <c r="H9" s="374" t="s">
        <v>7986</v>
      </c>
      <c r="I9" s="374" t="s">
        <v>10809</v>
      </c>
      <c r="J9" s="374" t="s">
        <v>1293</v>
      </c>
      <c r="K9" s="374" t="s">
        <v>1493</v>
      </c>
      <c r="L9" s="374" t="s">
        <v>8137</v>
      </c>
      <c r="M9" s="374" t="s">
        <v>8113</v>
      </c>
      <c r="O9" s="374" t="s">
        <v>8138</v>
      </c>
      <c r="P9" s="374" t="s">
        <v>49</v>
      </c>
      <c r="Q9" s="374" t="s">
        <v>3608</v>
      </c>
      <c r="R9" s="374" t="s">
        <v>49</v>
      </c>
      <c r="S9" s="374">
        <v>1</v>
      </c>
      <c r="T9" s="374" t="s">
        <v>49</v>
      </c>
      <c r="U9" s="374" t="s">
        <v>3608</v>
      </c>
      <c r="V9" s="374" t="s">
        <v>49</v>
      </c>
      <c r="W9" s="374" t="s">
        <v>49</v>
      </c>
      <c r="X9" s="374" t="s">
        <v>10810</v>
      </c>
    </row>
    <row r="10" spans="2:24">
      <c r="B10" s="374" t="s">
        <v>6858</v>
      </c>
      <c r="C10" t="s">
        <v>8139</v>
      </c>
      <c r="D10" t="s">
        <v>4330</v>
      </c>
      <c r="E10" t="s">
        <v>93</v>
      </c>
      <c r="F10" t="s">
        <v>8140</v>
      </c>
      <c r="G10"/>
      <c r="H10" s="374" t="s">
        <v>7986</v>
      </c>
      <c r="I10" s="374" t="s">
        <v>10809</v>
      </c>
      <c r="J10" s="374" t="s">
        <v>1293</v>
      </c>
      <c r="K10" s="374" t="s">
        <v>1493</v>
      </c>
      <c r="L10" s="374" t="s">
        <v>8141</v>
      </c>
      <c r="M10" s="374" t="s">
        <v>8113</v>
      </c>
      <c r="O10" s="374" t="s">
        <v>203</v>
      </c>
      <c r="P10" s="374" t="s">
        <v>49</v>
      </c>
      <c r="Q10" s="374" t="s">
        <v>2207</v>
      </c>
      <c r="R10" s="374" t="s">
        <v>49</v>
      </c>
      <c r="S10" s="374" t="s">
        <v>49</v>
      </c>
      <c r="T10" s="374" t="s">
        <v>49</v>
      </c>
      <c r="U10" s="374" t="s">
        <v>2207</v>
      </c>
      <c r="V10" s="374" t="s">
        <v>49</v>
      </c>
      <c r="W10" s="374" t="s">
        <v>49</v>
      </c>
      <c r="X10" s="374" t="s">
        <v>10810</v>
      </c>
    </row>
    <row r="11" spans="2:24">
      <c r="B11" s="374" t="s">
        <v>6858</v>
      </c>
      <c r="C11" t="s">
        <v>8142</v>
      </c>
      <c r="D11" t="s">
        <v>4330</v>
      </c>
      <c r="E11" t="s">
        <v>93</v>
      </c>
      <c r="F11" t="s">
        <v>8143</v>
      </c>
      <c r="G11"/>
      <c r="H11" s="374" t="s">
        <v>7986</v>
      </c>
      <c r="I11" s="374" t="s">
        <v>10809</v>
      </c>
      <c r="J11" s="374" t="s">
        <v>1293</v>
      </c>
      <c r="K11" s="374" t="s">
        <v>1493</v>
      </c>
      <c r="L11" s="374" t="s">
        <v>8144</v>
      </c>
      <c r="M11" s="374" t="s">
        <v>8113</v>
      </c>
      <c r="O11" s="374" t="s">
        <v>203</v>
      </c>
      <c r="P11" s="374" t="s">
        <v>49</v>
      </c>
      <c r="Q11" s="374" t="s">
        <v>2207</v>
      </c>
      <c r="R11" s="374" t="s">
        <v>49</v>
      </c>
      <c r="S11" s="374" t="s">
        <v>49</v>
      </c>
      <c r="T11" s="374" t="s">
        <v>49</v>
      </c>
      <c r="U11" s="374" t="s">
        <v>2207</v>
      </c>
      <c r="V11" s="374" t="s">
        <v>49</v>
      </c>
      <c r="W11" s="374" t="s">
        <v>49</v>
      </c>
      <c r="X11" s="374" t="s">
        <v>10810</v>
      </c>
    </row>
    <row r="12" spans="2:24">
      <c r="B12" s="374" t="s">
        <v>6858</v>
      </c>
      <c r="C12" t="s">
        <v>8145</v>
      </c>
      <c r="D12" t="s">
        <v>4330</v>
      </c>
      <c r="E12" t="s">
        <v>93</v>
      </c>
      <c r="F12" t="s">
        <v>8146</v>
      </c>
      <c r="G12"/>
      <c r="H12" s="374" t="s">
        <v>7986</v>
      </c>
      <c r="I12" s="374" t="s">
        <v>10809</v>
      </c>
      <c r="J12" s="374" t="s">
        <v>1293</v>
      </c>
      <c r="K12" s="374" t="s">
        <v>1493</v>
      </c>
      <c r="L12" s="374" t="s">
        <v>8147</v>
      </c>
      <c r="M12" s="374" t="s">
        <v>8113</v>
      </c>
      <c r="O12" s="374" t="s">
        <v>203</v>
      </c>
      <c r="P12" s="374" t="s">
        <v>49</v>
      </c>
      <c r="Q12" s="374" t="s">
        <v>10813</v>
      </c>
      <c r="R12" s="374" t="s">
        <v>49</v>
      </c>
      <c r="S12" s="374">
        <v>18</v>
      </c>
      <c r="T12" s="374" t="s">
        <v>49</v>
      </c>
      <c r="U12" s="374" t="s">
        <v>10813</v>
      </c>
      <c r="V12" s="374" t="s">
        <v>49</v>
      </c>
      <c r="W12" s="374" t="s">
        <v>49</v>
      </c>
      <c r="X12" s="374" t="s">
        <v>10810</v>
      </c>
    </row>
    <row r="13" spans="2:24">
      <c r="B13" s="374" t="s">
        <v>6858</v>
      </c>
      <c r="C13" t="s">
        <v>4363</v>
      </c>
      <c r="D13" t="s">
        <v>4330</v>
      </c>
      <c r="E13" t="s">
        <v>93</v>
      </c>
      <c r="F13" t="s">
        <v>8148</v>
      </c>
      <c r="G13"/>
      <c r="H13" s="374" t="s">
        <v>7986</v>
      </c>
      <c r="I13" s="374" t="s">
        <v>10809</v>
      </c>
      <c r="J13" s="374" t="s">
        <v>1293</v>
      </c>
      <c r="K13" s="374" t="s">
        <v>1493</v>
      </c>
      <c r="L13" s="374" t="s">
        <v>8149</v>
      </c>
      <c r="M13" s="374" t="s">
        <v>8113</v>
      </c>
      <c r="O13" s="374" t="s">
        <v>203</v>
      </c>
      <c r="P13" s="374" t="s">
        <v>49</v>
      </c>
      <c r="Q13" s="374" t="s">
        <v>10813</v>
      </c>
      <c r="R13" s="374" t="s">
        <v>49</v>
      </c>
      <c r="S13" s="374" t="s">
        <v>49</v>
      </c>
      <c r="T13" s="374" t="s">
        <v>49</v>
      </c>
      <c r="U13" s="374" t="s">
        <v>10813</v>
      </c>
      <c r="V13" s="374" t="s">
        <v>49</v>
      </c>
      <c r="W13" s="374" t="s">
        <v>49</v>
      </c>
      <c r="X13" s="374" t="s">
        <v>10810</v>
      </c>
    </row>
    <row r="14" spans="2:24">
      <c r="B14" s="374" t="s">
        <v>6858</v>
      </c>
      <c r="C14" t="s">
        <v>8150</v>
      </c>
      <c r="D14" t="s">
        <v>5936</v>
      </c>
      <c r="E14" t="s">
        <v>93</v>
      </c>
      <c r="F14" t="s">
        <v>8151</v>
      </c>
      <c r="G14"/>
      <c r="H14" s="374" t="s">
        <v>7986</v>
      </c>
      <c r="I14" s="374" t="s">
        <v>10809</v>
      </c>
      <c r="J14" s="374" t="s">
        <v>1293</v>
      </c>
      <c r="K14" s="374" t="s">
        <v>1453</v>
      </c>
      <c r="L14" s="374" t="s">
        <v>10814</v>
      </c>
      <c r="M14" s="374" t="s">
        <v>10815</v>
      </c>
      <c r="O14" s="374" t="s">
        <v>203</v>
      </c>
      <c r="P14" s="374" t="s">
        <v>49</v>
      </c>
      <c r="Q14" s="374" t="s">
        <v>9382</v>
      </c>
      <c r="R14" s="374" t="s">
        <v>49</v>
      </c>
      <c r="S14" s="374">
        <v>16</v>
      </c>
      <c r="T14" s="374" t="s">
        <v>49</v>
      </c>
      <c r="U14" s="374" t="s">
        <v>9382</v>
      </c>
      <c r="V14" s="374" t="s">
        <v>49</v>
      </c>
      <c r="W14" s="374" t="s">
        <v>49</v>
      </c>
      <c r="X14" s="374" t="s">
        <v>10816</v>
      </c>
    </row>
    <row r="15" spans="2:24">
      <c r="B15" s="374" t="s">
        <v>6858</v>
      </c>
      <c r="C15" t="s">
        <v>8156</v>
      </c>
      <c r="D15" t="s">
        <v>5936</v>
      </c>
      <c r="E15" t="s">
        <v>93</v>
      </c>
      <c r="F15" t="s">
        <v>8157</v>
      </c>
      <c r="G15"/>
      <c r="H15" s="374" t="s">
        <v>7986</v>
      </c>
      <c r="I15" s="374" t="s">
        <v>10809</v>
      </c>
      <c r="J15" s="374" t="s">
        <v>1293</v>
      </c>
      <c r="K15" s="374" t="s">
        <v>1453</v>
      </c>
      <c r="L15" s="374" t="s">
        <v>10817</v>
      </c>
      <c r="M15" s="374" t="s">
        <v>10815</v>
      </c>
      <c r="O15" s="374" t="s">
        <v>203</v>
      </c>
      <c r="P15" s="374" t="s">
        <v>49</v>
      </c>
      <c r="Q15" s="374" t="s">
        <v>8397</v>
      </c>
      <c r="R15" s="374" t="s">
        <v>49</v>
      </c>
      <c r="S15" s="374">
        <v>100</v>
      </c>
      <c r="T15" s="374" t="s">
        <v>49</v>
      </c>
      <c r="U15" s="374" t="s">
        <v>8397</v>
      </c>
      <c r="V15" s="374" t="s">
        <v>49</v>
      </c>
      <c r="W15" s="374" t="s">
        <v>49</v>
      </c>
      <c r="X15" s="374" t="s">
        <v>10810</v>
      </c>
    </row>
    <row r="16" spans="2:24">
      <c r="B16" s="374" t="s">
        <v>6858</v>
      </c>
      <c r="C16" t="s">
        <v>4266</v>
      </c>
      <c r="D16" t="s">
        <v>5936</v>
      </c>
      <c r="E16" t="s">
        <v>93</v>
      </c>
      <c r="F16" t="s">
        <v>8158</v>
      </c>
      <c r="G16"/>
      <c r="H16" s="374" t="s">
        <v>7986</v>
      </c>
      <c r="I16" s="374" t="s">
        <v>10809</v>
      </c>
      <c r="J16" s="374" t="s">
        <v>1293</v>
      </c>
      <c r="K16" s="374" t="s">
        <v>1453</v>
      </c>
      <c r="L16" s="374" t="s">
        <v>10818</v>
      </c>
      <c r="M16" s="374" t="s">
        <v>10815</v>
      </c>
      <c r="O16" s="374" t="s">
        <v>203</v>
      </c>
      <c r="P16" s="374" t="s">
        <v>49</v>
      </c>
      <c r="Q16" s="374" t="s">
        <v>10819</v>
      </c>
      <c r="R16" s="374" t="s">
        <v>49</v>
      </c>
      <c r="S16" s="374">
        <v>16</v>
      </c>
      <c r="T16" s="374" t="s">
        <v>10820</v>
      </c>
      <c r="U16" s="374" t="s">
        <v>10819</v>
      </c>
      <c r="V16" s="374" t="s">
        <v>49</v>
      </c>
      <c r="W16" s="374" t="s">
        <v>49</v>
      </c>
      <c r="X16" s="374" t="s">
        <v>10810</v>
      </c>
    </row>
    <row r="17" spans="2:24">
      <c r="B17" s="374" t="s">
        <v>6858</v>
      </c>
      <c r="C17" t="s">
        <v>4354</v>
      </c>
      <c r="D17" t="s">
        <v>5936</v>
      </c>
      <c r="E17" t="s">
        <v>93</v>
      </c>
      <c r="F17" t="s">
        <v>8159</v>
      </c>
      <c r="G17"/>
      <c r="H17" s="374" t="s">
        <v>7986</v>
      </c>
      <c r="I17" s="374" t="s">
        <v>10809</v>
      </c>
      <c r="J17" s="374" t="s">
        <v>1293</v>
      </c>
      <c r="K17" s="374" t="s">
        <v>1453</v>
      </c>
      <c r="L17" s="374" t="s">
        <v>8161</v>
      </c>
      <c r="M17" s="374" t="s">
        <v>10815</v>
      </c>
      <c r="O17" s="374" t="s">
        <v>203</v>
      </c>
      <c r="P17" s="374" t="s">
        <v>49</v>
      </c>
      <c r="Q17" s="374" t="s">
        <v>10821</v>
      </c>
      <c r="R17" s="374" t="s">
        <v>49</v>
      </c>
      <c r="S17" s="374">
        <v>20</v>
      </c>
      <c r="T17" s="374" t="s">
        <v>49</v>
      </c>
      <c r="U17" s="374" t="s">
        <v>10821</v>
      </c>
      <c r="V17" s="374" t="s">
        <v>49</v>
      </c>
      <c r="W17" s="374" t="s">
        <v>49</v>
      </c>
      <c r="X17" s="374" t="s">
        <v>10810</v>
      </c>
    </row>
    <row r="18" spans="2:24">
      <c r="B18" s="374" t="s">
        <v>6858</v>
      </c>
      <c r="C18" t="s">
        <v>4237</v>
      </c>
      <c r="D18" t="s">
        <v>5936</v>
      </c>
      <c r="E18" t="s">
        <v>93</v>
      </c>
      <c r="F18" t="s">
        <v>8162</v>
      </c>
      <c r="G18"/>
      <c r="H18" s="374" t="s">
        <v>7986</v>
      </c>
      <c r="I18" s="374" t="s">
        <v>10809</v>
      </c>
      <c r="J18" s="374" t="s">
        <v>1293</v>
      </c>
      <c r="K18" s="374" t="s">
        <v>1453</v>
      </c>
      <c r="L18" s="374" t="s">
        <v>10822</v>
      </c>
      <c r="M18" s="374" t="s">
        <v>10815</v>
      </c>
      <c r="O18" s="374" t="s">
        <v>203</v>
      </c>
      <c r="P18" s="374" t="s">
        <v>49</v>
      </c>
      <c r="Q18" s="374" t="s">
        <v>2207</v>
      </c>
      <c r="R18" s="374" t="s">
        <v>49</v>
      </c>
      <c r="S18" s="374" t="s">
        <v>49</v>
      </c>
      <c r="T18" s="374" t="s">
        <v>10823</v>
      </c>
      <c r="U18" s="374" t="s">
        <v>2207</v>
      </c>
      <c r="V18" s="374" t="s">
        <v>49</v>
      </c>
      <c r="W18" s="374" t="s">
        <v>49</v>
      </c>
      <c r="X18" s="374" t="s">
        <v>10810</v>
      </c>
    </row>
    <row r="19" spans="2:24">
      <c r="B19" s="374" t="s">
        <v>6858</v>
      </c>
      <c r="C19" t="s">
        <v>6842</v>
      </c>
      <c r="D19" t="s">
        <v>5936</v>
      </c>
      <c r="E19" t="s">
        <v>93</v>
      </c>
      <c r="F19" t="s">
        <v>8163</v>
      </c>
      <c r="G19"/>
      <c r="H19" s="374" t="s">
        <v>7986</v>
      </c>
      <c r="I19" s="374" t="s">
        <v>10809</v>
      </c>
      <c r="J19" s="374" t="s">
        <v>1293</v>
      </c>
      <c r="K19" s="374" t="s">
        <v>1453</v>
      </c>
      <c r="L19" s="374" t="s">
        <v>6844</v>
      </c>
      <c r="M19" s="374" t="s">
        <v>10815</v>
      </c>
      <c r="O19" s="374" t="s">
        <v>10824</v>
      </c>
      <c r="P19" s="374" t="s">
        <v>49</v>
      </c>
      <c r="Q19" s="374" t="s">
        <v>10825</v>
      </c>
      <c r="R19" s="374" t="s">
        <v>49</v>
      </c>
      <c r="S19" s="374">
        <v>3</v>
      </c>
      <c r="T19" s="374" t="s">
        <v>49</v>
      </c>
      <c r="U19" s="374" t="s">
        <v>10825</v>
      </c>
      <c r="V19" s="374" t="s">
        <v>49</v>
      </c>
      <c r="W19" s="374" t="s">
        <v>49</v>
      </c>
      <c r="X19" s="374" t="s">
        <v>10810</v>
      </c>
    </row>
    <row r="20" spans="2:24">
      <c r="B20" s="374" t="s">
        <v>6858</v>
      </c>
      <c r="C20" t="s">
        <v>6950</v>
      </c>
      <c r="D20" t="s">
        <v>5936</v>
      </c>
      <c r="E20" t="s">
        <v>93</v>
      </c>
      <c r="F20" t="s">
        <v>8164</v>
      </c>
      <c r="G20"/>
      <c r="H20" s="374" t="s">
        <v>7986</v>
      </c>
      <c r="I20" s="374" t="s">
        <v>10809</v>
      </c>
      <c r="J20" s="374" t="s">
        <v>1293</v>
      </c>
      <c r="K20" s="374" t="s">
        <v>1453</v>
      </c>
      <c r="L20" s="374" t="s">
        <v>8165</v>
      </c>
      <c r="M20" s="374" t="s">
        <v>10815</v>
      </c>
      <c r="O20" s="374" t="s">
        <v>203</v>
      </c>
      <c r="P20" s="374" t="s">
        <v>49</v>
      </c>
      <c r="Q20" s="374" t="s">
        <v>10826</v>
      </c>
      <c r="R20" s="374" t="s">
        <v>49</v>
      </c>
      <c r="S20" s="374">
        <v>20</v>
      </c>
      <c r="T20" s="374" t="s">
        <v>49</v>
      </c>
      <c r="U20" s="374" t="s">
        <v>10826</v>
      </c>
      <c r="V20" s="374" t="s">
        <v>49</v>
      </c>
      <c r="W20" s="374" t="s">
        <v>49</v>
      </c>
      <c r="X20" s="374" t="s">
        <v>10810</v>
      </c>
    </row>
    <row r="21" spans="2:24">
      <c r="B21" s="374" t="s">
        <v>6858</v>
      </c>
      <c r="C21" t="s">
        <v>8166</v>
      </c>
      <c r="D21" t="s">
        <v>5936</v>
      </c>
      <c r="E21" t="s">
        <v>93</v>
      </c>
      <c r="F21" t="s">
        <v>8167</v>
      </c>
      <c r="G21"/>
      <c r="H21" s="374" t="s">
        <v>7986</v>
      </c>
      <c r="I21" s="374" t="s">
        <v>10809</v>
      </c>
      <c r="J21" s="374" t="s">
        <v>1293</v>
      </c>
      <c r="K21" s="374" t="s">
        <v>1294</v>
      </c>
      <c r="L21" s="374" t="s">
        <v>8169</v>
      </c>
      <c r="M21" s="374" t="s">
        <v>10827</v>
      </c>
      <c r="O21" s="374" t="s">
        <v>8170</v>
      </c>
      <c r="P21" s="374" t="s">
        <v>49</v>
      </c>
      <c r="Q21" s="374" t="s">
        <v>9393</v>
      </c>
      <c r="R21" s="374" t="s">
        <v>49</v>
      </c>
      <c r="S21" s="374">
        <v>1</v>
      </c>
      <c r="T21" s="374" t="s">
        <v>49</v>
      </c>
      <c r="U21" s="374" t="s">
        <v>9393</v>
      </c>
      <c r="V21" s="374" t="s">
        <v>49</v>
      </c>
      <c r="W21" s="374" t="s">
        <v>49</v>
      </c>
      <c r="X21" s="374" t="s">
        <v>10810</v>
      </c>
    </row>
  </sheetData>
  <autoFilter ref="B1:O21" xr:uid="{5439EF33-1B5F-47B9-961E-1AC484AFB5D9}"/>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1F31E-CA3F-4144-B6F6-4E3AA01F42EC}">
  <sheetPr>
    <tabColor rgb="FFFF0000"/>
  </sheetPr>
  <dimension ref="B1:AD9"/>
  <sheetViews>
    <sheetView topLeftCell="E1" workbookViewId="0">
      <selection activeCell="G14" sqref="G14"/>
    </sheetView>
  </sheetViews>
  <sheetFormatPr defaultColWidth="8.7109375" defaultRowHeight="15"/>
  <cols>
    <col min="2" max="2" width="13.85546875" style="374" bestFit="1" customWidth="1"/>
    <col min="3" max="3" width="27.5703125" style="374" customWidth="1"/>
    <col min="4" max="4" width="23.85546875" style="374" customWidth="1"/>
    <col min="6" max="7" width="35" style="374" customWidth="1"/>
    <col min="9" max="9" width="15.5703125" style="374" customWidth="1"/>
    <col min="11" max="11" width="23.42578125" style="374" bestFit="1" customWidth="1"/>
    <col min="12" max="12" width="21.140625" style="374" bestFit="1" customWidth="1"/>
    <col min="13" max="14" width="21.140625" style="374" customWidth="1"/>
  </cols>
  <sheetData>
    <row r="1" spans="2:30">
      <c r="B1" s="358" t="s">
        <v>2157</v>
      </c>
      <c r="C1" s="358" t="s">
        <v>336</v>
      </c>
      <c r="D1" s="358" t="s">
        <v>337</v>
      </c>
      <c r="E1" s="358" t="s">
        <v>338</v>
      </c>
      <c r="F1" s="358" t="s">
        <v>339</v>
      </c>
      <c r="G1" s="358" t="s">
        <v>2158</v>
      </c>
      <c r="H1" s="403" t="s">
        <v>2159</v>
      </c>
      <c r="I1" s="403" t="s">
        <v>2160</v>
      </c>
      <c r="J1" s="403" t="s">
        <v>425</v>
      </c>
      <c r="K1" s="403" t="s">
        <v>426</v>
      </c>
      <c r="L1" s="403" t="s">
        <v>427</v>
      </c>
      <c r="M1" s="403" t="s">
        <v>2161</v>
      </c>
      <c r="N1" s="403" t="s">
        <v>2162</v>
      </c>
      <c r="O1" s="403" t="s">
        <v>16</v>
      </c>
      <c r="P1" s="403" t="s">
        <v>256</v>
      </c>
      <c r="Q1" s="403" t="s">
        <v>416</v>
      </c>
      <c r="R1" s="403" t="s">
        <v>417</v>
      </c>
      <c r="S1" s="403" t="s">
        <v>418</v>
      </c>
      <c r="T1" s="403" t="s">
        <v>419</v>
      </c>
      <c r="U1" s="403" t="s">
        <v>420</v>
      </c>
      <c r="V1" s="403" t="s">
        <v>421</v>
      </c>
      <c r="W1" s="403" t="s">
        <v>422</v>
      </c>
      <c r="X1" s="403" t="s">
        <v>423</v>
      </c>
      <c r="Y1" s="403" t="s">
        <v>424</v>
      </c>
      <c r="Z1" s="403"/>
      <c r="AA1" s="403"/>
      <c r="AB1" s="403"/>
      <c r="AC1" s="403"/>
      <c r="AD1" s="403"/>
    </row>
    <row r="2" spans="2:30">
      <c r="B2" t="s">
        <v>6858</v>
      </c>
      <c r="C2" t="s">
        <v>7984</v>
      </c>
      <c r="D2" t="s">
        <v>3919</v>
      </c>
      <c r="E2" t="s">
        <v>117</v>
      </c>
      <c r="F2" t="s">
        <v>10828</v>
      </c>
      <c r="G2" t="s">
        <v>544</v>
      </c>
      <c r="H2" t="s">
        <v>7986</v>
      </c>
      <c r="I2" t="s">
        <v>1256</v>
      </c>
      <c r="J2" t="s">
        <v>117</v>
      </c>
      <c r="K2" t="s">
        <v>586</v>
      </c>
      <c r="L2" t="s">
        <v>7987</v>
      </c>
      <c r="M2" t="s">
        <v>10829</v>
      </c>
      <c r="N2"/>
      <c r="O2" t="s">
        <v>203</v>
      </c>
      <c r="P2" t="s">
        <v>10830</v>
      </c>
      <c r="Q2" t="s">
        <v>10831</v>
      </c>
      <c r="R2" t="s">
        <v>3608</v>
      </c>
      <c r="S2">
        <v>10</v>
      </c>
      <c r="T2">
        <v>10</v>
      </c>
      <c r="U2" t="s">
        <v>431</v>
      </c>
      <c r="V2" t="s">
        <v>431</v>
      </c>
      <c r="W2" t="s">
        <v>10832</v>
      </c>
      <c r="X2" t="s">
        <v>10833</v>
      </c>
      <c r="Y2" t="s">
        <v>10810</v>
      </c>
    </row>
    <row r="3" spans="2:30">
      <c r="B3" t="s">
        <v>6858</v>
      </c>
      <c r="C3" t="s">
        <v>7989</v>
      </c>
      <c r="D3" t="s">
        <v>3919</v>
      </c>
      <c r="E3" t="s">
        <v>117</v>
      </c>
      <c r="F3" t="s">
        <v>10834</v>
      </c>
      <c r="G3" t="s">
        <v>544</v>
      </c>
      <c r="H3" t="s">
        <v>7986</v>
      </c>
      <c r="I3" t="s">
        <v>1256</v>
      </c>
      <c r="J3" t="s">
        <v>117</v>
      </c>
      <c r="K3" t="s">
        <v>600</v>
      </c>
      <c r="L3" t="s">
        <v>1379</v>
      </c>
      <c r="M3" t="s">
        <v>10835</v>
      </c>
      <c r="N3"/>
      <c r="O3" t="s">
        <v>203</v>
      </c>
      <c r="P3" t="s">
        <v>10836</v>
      </c>
      <c r="Q3" t="s">
        <v>2213</v>
      </c>
      <c r="R3" t="s">
        <v>3608</v>
      </c>
      <c r="S3" t="s">
        <v>49</v>
      </c>
      <c r="T3">
        <v>9</v>
      </c>
      <c r="U3" t="s">
        <v>10837</v>
      </c>
      <c r="V3" t="s">
        <v>3608</v>
      </c>
      <c r="W3" t="s">
        <v>49</v>
      </c>
      <c r="X3" t="s">
        <v>49</v>
      </c>
      <c r="Y3" t="s">
        <v>10810</v>
      </c>
    </row>
    <row r="4" spans="2:30">
      <c r="B4" t="s">
        <v>6858</v>
      </c>
      <c r="C4" t="s">
        <v>4580</v>
      </c>
      <c r="D4" t="s">
        <v>7993</v>
      </c>
      <c r="E4" t="s">
        <v>117</v>
      </c>
      <c r="F4" t="s">
        <v>10838</v>
      </c>
      <c r="G4"/>
      <c r="H4" t="s">
        <v>7986</v>
      </c>
      <c r="I4" t="s">
        <v>1256</v>
      </c>
      <c r="J4" t="s">
        <v>117</v>
      </c>
      <c r="K4" t="s">
        <v>1257</v>
      </c>
      <c r="L4" t="s">
        <v>10839</v>
      </c>
      <c r="M4" t="s">
        <v>10840</v>
      </c>
      <c r="N4"/>
      <c r="O4" t="s">
        <v>10841</v>
      </c>
      <c r="P4" t="s">
        <v>10842</v>
      </c>
      <c r="Q4" t="s">
        <v>49</v>
      </c>
      <c r="R4" t="s">
        <v>10843</v>
      </c>
      <c r="S4" t="s">
        <v>49</v>
      </c>
      <c r="T4">
        <v>18</v>
      </c>
      <c r="U4" t="s">
        <v>10844</v>
      </c>
      <c r="V4" t="s">
        <v>4271</v>
      </c>
      <c r="W4" t="s">
        <v>49</v>
      </c>
      <c r="X4" t="s">
        <v>49</v>
      </c>
      <c r="Y4" t="s">
        <v>10810</v>
      </c>
    </row>
    <row r="5" spans="2:30">
      <c r="B5" t="s">
        <v>6858</v>
      </c>
      <c r="C5" t="s">
        <v>7998</v>
      </c>
      <c r="D5" t="s">
        <v>7993</v>
      </c>
      <c r="E5" t="s">
        <v>117</v>
      </c>
      <c r="F5" t="s">
        <v>10845</v>
      </c>
      <c r="G5"/>
      <c r="H5" t="s">
        <v>7986</v>
      </c>
      <c r="I5" t="s">
        <v>1256</v>
      </c>
      <c r="J5" t="s">
        <v>117</v>
      </c>
      <c r="K5" t="s">
        <v>1257</v>
      </c>
      <c r="L5" t="s">
        <v>10846</v>
      </c>
      <c r="M5" t="s">
        <v>10840</v>
      </c>
      <c r="N5"/>
      <c r="O5" t="s">
        <v>203</v>
      </c>
      <c r="P5" t="s">
        <v>10836</v>
      </c>
      <c r="Q5" t="s">
        <v>49</v>
      </c>
      <c r="R5" t="s">
        <v>10843</v>
      </c>
      <c r="S5" t="s">
        <v>49</v>
      </c>
      <c r="T5">
        <v>18</v>
      </c>
      <c r="U5" t="s">
        <v>49</v>
      </c>
      <c r="V5" t="s">
        <v>4271</v>
      </c>
      <c r="W5" t="s">
        <v>49</v>
      </c>
      <c r="X5" t="s">
        <v>49</v>
      </c>
      <c r="Y5" t="s">
        <v>10810</v>
      </c>
    </row>
    <row r="6" spans="2:30">
      <c r="B6" t="s">
        <v>6858</v>
      </c>
      <c r="C6" t="s">
        <v>8001</v>
      </c>
      <c r="D6" t="s">
        <v>7993</v>
      </c>
      <c r="E6" t="s">
        <v>117</v>
      </c>
      <c r="F6" t="s">
        <v>10847</v>
      </c>
      <c r="G6"/>
      <c r="H6" t="s">
        <v>7986</v>
      </c>
      <c r="I6" t="s">
        <v>1256</v>
      </c>
      <c r="J6" t="s">
        <v>117</v>
      </c>
      <c r="K6" t="s">
        <v>1257</v>
      </c>
      <c r="L6" t="s">
        <v>10848</v>
      </c>
      <c r="M6" t="s">
        <v>10840</v>
      </c>
      <c r="N6"/>
      <c r="O6" t="s">
        <v>203</v>
      </c>
      <c r="P6" t="s">
        <v>10836</v>
      </c>
      <c r="Q6" t="s">
        <v>49</v>
      </c>
      <c r="R6" t="s">
        <v>10849</v>
      </c>
      <c r="S6" t="s">
        <v>49</v>
      </c>
      <c r="T6" t="s">
        <v>49</v>
      </c>
      <c r="U6" t="s">
        <v>49</v>
      </c>
      <c r="V6" t="s">
        <v>10849</v>
      </c>
      <c r="W6" t="s">
        <v>49</v>
      </c>
      <c r="X6" t="s">
        <v>49</v>
      </c>
      <c r="Y6" t="s">
        <v>10810</v>
      </c>
    </row>
    <row r="7" spans="2:30">
      <c r="B7" t="s">
        <v>6858</v>
      </c>
      <c r="C7" t="s">
        <v>8004</v>
      </c>
      <c r="D7" t="s">
        <v>7993</v>
      </c>
      <c r="E7" t="s">
        <v>117</v>
      </c>
      <c r="F7" t="s">
        <v>10850</v>
      </c>
      <c r="G7"/>
      <c r="H7" t="s">
        <v>7986</v>
      </c>
      <c r="I7" t="s">
        <v>1256</v>
      </c>
      <c r="J7" t="s">
        <v>117</v>
      </c>
      <c r="K7" t="s">
        <v>1257</v>
      </c>
      <c r="L7" t="s">
        <v>10851</v>
      </c>
      <c r="M7" t="s">
        <v>10840</v>
      </c>
      <c r="N7"/>
      <c r="O7" t="s">
        <v>203</v>
      </c>
      <c r="P7" t="s">
        <v>10836</v>
      </c>
      <c r="Q7" t="s">
        <v>49</v>
      </c>
      <c r="R7" t="s">
        <v>10849</v>
      </c>
      <c r="S7" t="s">
        <v>49</v>
      </c>
      <c r="T7" t="s">
        <v>49</v>
      </c>
      <c r="U7" t="s">
        <v>49</v>
      </c>
      <c r="V7" t="s">
        <v>10849</v>
      </c>
      <c r="W7" t="s">
        <v>49</v>
      </c>
      <c r="X7" t="s">
        <v>49</v>
      </c>
      <c r="Y7" t="s">
        <v>10810</v>
      </c>
    </row>
    <row r="8" spans="2:30">
      <c r="B8" t="s">
        <v>6858</v>
      </c>
      <c r="C8" t="s">
        <v>6892</v>
      </c>
      <c r="D8" t="s">
        <v>341</v>
      </c>
      <c r="E8" t="s">
        <v>117</v>
      </c>
      <c r="F8" t="s">
        <v>10792</v>
      </c>
      <c r="G8"/>
      <c r="H8" t="s">
        <v>7986</v>
      </c>
      <c r="I8" t="s">
        <v>1256</v>
      </c>
      <c r="J8" t="s">
        <v>117</v>
      </c>
      <c r="K8" t="s">
        <v>1377</v>
      </c>
      <c r="L8" t="s">
        <v>10852</v>
      </c>
      <c r="M8" t="s">
        <v>10853</v>
      </c>
      <c r="N8"/>
      <c r="O8" t="s">
        <v>6290</v>
      </c>
      <c r="P8" t="s">
        <v>10836</v>
      </c>
      <c r="Q8" t="s">
        <v>10854</v>
      </c>
      <c r="R8" t="s">
        <v>3608</v>
      </c>
      <c r="S8">
        <v>40</v>
      </c>
      <c r="T8">
        <v>50</v>
      </c>
      <c r="U8" t="s">
        <v>431</v>
      </c>
      <c r="V8" t="s">
        <v>431</v>
      </c>
      <c r="W8" t="s">
        <v>10855</v>
      </c>
      <c r="X8" t="s">
        <v>10855</v>
      </c>
      <c r="Y8" t="s">
        <v>10810</v>
      </c>
    </row>
    <row r="9" spans="2:30">
      <c r="B9" t="s">
        <v>6858</v>
      </c>
      <c r="C9" t="s">
        <v>3477</v>
      </c>
      <c r="D9" t="s">
        <v>7189</v>
      </c>
      <c r="E9" t="s">
        <v>26</v>
      </c>
      <c r="F9" t="s">
        <v>7850</v>
      </c>
      <c r="G9" t="s">
        <v>551</v>
      </c>
      <c r="H9" t="s">
        <v>7986</v>
      </c>
      <c r="I9" t="s">
        <v>1256</v>
      </c>
      <c r="J9" t="s">
        <v>117</v>
      </c>
      <c r="K9" t="s">
        <v>1757</v>
      </c>
      <c r="L9" t="s">
        <v>3488</v>
      </c>
      <c r="M9" t="s">
        <v>7851</v>
      </c>
      <c r="N9"/>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16A46-21BA-4D2E-9CB8-28824E4978E1}">
  <sheetPr>
    <tabColor rgb="FFFF0000"/>
  </sheetPr>
  <dimension ref="A1:Y11"/>
  <sheetViews>
    <sheetView workbookViewId="0">
      <selection activeCell="E9" sqref="E9:W11"/>
    </sheetView>
  </sheetViews>
  <sheetFormatPr defaultRowHeight="15"/>
  <cols>
    <col min="1" max="1" width="15.85546875" style="374" customWidth="1"/>
    <col min="2" max="2" width="20.5703125" style="374" customWidth="1"/>
    <col min="5" max="5" width="31.140625" style="374" customWidth="1"/>
    <col min="14" max="14" width="47.5703125" style="374" bestFit="1" customWidth="1"/>
    <col min="19" max="19" width="30.5703125" style="374" customWidth="1"/>
  </cols>
  <sheetData>
    <row r="1" spans="1:25">
      <c r="A1" s="358" t="s">
        <v>2157</v>
      </c>
      <c r="B1" s="358" t="s">
        <v>336</v>
      </c>
      <c r="C1" s="358" t="s">
        <v>337</v>
      </c>
      <c r="D1" s="358" t="s">
        <v>338</v>
      </c>
      <c r="E1" s="358" t="s">
        <v>339</v>
      </c>
      <c r="F1" s="403" t="s">
        <v>416</v>
      </c>
      <c r="G1" s="403" t="s">
        <v>417</v>
      </c>
      <c r="H1" s="403" t="s">
        <v>418</v>
      </c>
      <c r="I1" s="403" t="s">
        <v>419</v>
      </c>
      <c r="J1" s="403" t="s">
        <v>420</v>
      </c>
      <c r="K1" s="403" t="s">
        <v>421</v>
      </c>
      <c r="L1" s="403" t="s">
        <v>422</v>
      </c>
      <c r="M1" s="403" t="s">
        <v>423</v>
      </c>
      <c r="N1" s="403" t="s">
        <v>424</v>
      </c>
      <c r="O1" s="403" t="s">
        <v>425</v>
      </c>
      <c r="P1" s="403" t="s">
        <v>426</v>
      </c>
      <c r="Q1" s="403" t="s">
        <v>427</v>
      </c>
      <c r="R1" s="403" t="s">
        <v>428</v>
      </c>
      <c r="S1" s="403" t="s">
        <v>10856</v>
      </c>
    </row>
    <row r="2" spans="1:25" ht="45" customHeight="1">
      <c r="A2" s="374" t="s">
        <v>6968</v>
      </c>
      <c r="B2" t="s">
        <v>6975</v>
      </c>
      <c r="C2" t="s">
        <v>341</v>
      </c>
      <c r="D2" t="s">
        <v>122</v>
      </c>
      <c r="E2" t="s">
        <v>10857</v>
      </c>
      <c r="F2" t="s">
        <v>49</v>
      </c>
      <c r="G2" t="s">
        <v>49</v>
      </c>
      <c r="H2" t="s">
        <v>49</v>
      </c>
      <c r="I2" t="s">
        <v>49</v>
      </c>
      <c r="J2" t="s">
        <v>49</v>
      </c>
      <c r="K2" t="s">
        <v>49</v>
      </c>
      <c r="L2" t="s">
        <v>49</v>
      </c>
      <c r="M2" t="s">
        <v>49</v>
      </c>
      <c r="N2" t="s">
        <v>10858</v>
      </c>
      <c r="O2" t="s">
        <v>49</v>
      </c>
      <c r="P2" t="s">
        <v>49</v>
      </c>
      <c r="Q2" t="s">
        <v>49</v>
      </c>
      <c r="R2" t="s">
        <v>6290</v>
      </c>
      <c r="S2" s="572" t="s">
        <v>10859</v>
      </c>
    </row>
    <row r="3" spans="1:25">
      <c r="A3" s="374" t="s">
        <v>6968</v>
      </c>
      <c r="B3" t="s">
        <v>10860</v>
      </c>
      <c r="C3" t="s">
        <v>341</v>
      </c>
      <c r="D3" t="s">
        <v>122</v>
      </c>
      <c r="E3" t="s">
        <v>10861</v>
      </c>
      <c r="F3" t="s">
        <v>49</v>
      </c>
      <c r="G3" t="s">
        <v>49</v>
      </c>
      <c r="H3" t="s">
        <v>49</v>
      </c>
      <c r="I3" t="s">
        <v>49</v>
      </c>
      <c r="J3" t="s">
        <v>49</v>
      </c>
      <c r="K3" t="s">
        <v>49</v>
      </c>
      <c r="L3" t="s">
        <v>49</v>
      </c>
      <c r="M3" t="s">
        <v>49</v>
      </c>
      <c r="N3" t="s">
        <v>10862</v>
      </c>
      <c r="O3" t="s">
        <v>49</v>
      </c>
      <c r="P3" t="s">
        <v>49</v>
      </c>
      <c r="Q3" t="s">
        <v>49</v>
      </c>
      <c r="R3" t="s">
        <v>6290</v>
      </c>
      <c r="S3" s="572"/>
    </row>
    <row r="4" spans="1:25">
      <c r="A4" s="374" t="s">
        <v>6968</v>
      </c>
      <c r="B4" t="s">
        <v>7002</v>
      </c>
      <c r="C4" t="s">
        <v>341</v>
      </c>
      <c r="D4" t="s">
        <v>122</v>
      </c>
      <c r="E4" t="s">
        <v>10863</v>
      </c>
      <c r="F4" t="s">
        <v>49</v>
      </c>
      <c r="G4" t="s">
        <v>49</v>
      </c>
      <c r="H4" t="s">
        <v>49</v>
      </c>
      <c r="I4" t="s">
        <v>49</v>
      </c>
      <c r="J4" t="s">
        <v>49</v>
      </c>
      <c r="K4" t="s">
        <v>49</v>
      </c>
      <c r="L4" t="s">
        <v>49</v>
      </c>
      <c r="M4" t="s">
        <v>49</v>
      </c>
      <c r="N4" t="s">
        <v>10864</v>
      </c>
      <c r="O4" t="s">
        <v>49</v>
      </c>
      <c r="P4" t="s">
        <v>49</v>
      </c>
      <c r="Q4" t="s">
        <v>49</v>
      </c>
      <c r="R4" t="s">
        <v>6290</v>
      </c>
      <c r="S4" s="572"/>
    </row>
    <row r="7" spans="1:25">
      <c r="A7" s="374" t="s">
        <v>10865</v>
      </c>
    </row>
    <row r="8" spans="1:25">
      <c r="A8" s="358" t="s">
        <v>2157</v>
      </c>
      <c r="B8" s="358" t="s">
        <v>336</v>
      </c>
      <c r="C8" s="358" t="s">
        <v>337</v>
      </c>
      <c r="D8" s="358" t="s">
        <v>338</v>
      </c>
      <c r="E8" s="358" t="s">
        <v>339</v>
      </c>
      <c r="F8" s="403" t="s">
        <v>2159</v>
      </c>
      <c r="G8" s="403" t="s">
        <v>6855</v>
      </c>
      <c r="H8" s="403" t="s">
        <v>425</v>
      </c>
      <c r="I8" s="403" t="s">
        <v>426</v>
      </c>
      <c r="J8" s="403" t="s">
        <v>427</v>
      </c>
      <c r="K8" s="403" t="s">
        <v>2161</v>
      </c>
      <c r="L8" s="403" t="s">
        <v>2162</v>
      </c>
      <c r="M8" s="403" t="s">
        <v>6856</v>
      </c>
      <c r="N8" s="403" t="s">
        <v>428</v>
      </c>
      <c r="O8" s="403" t="s">
        <v>416</v>
      </c>
      <c r="P8" s="403" t="s">
        <v>417</v>
      </c>
      <c r="Q8" s="403" t="s">
        <v>418</v>
      </c>
      <c r="R8" s="403" t="s">
        <v>419</v>
      </c>
      <c r="S8" s="403" t="s">
        <v>420</v>
      </c>
      <c r="T8" t="s">
        <v>421</v>
      </c>
      <c r="U8" t="s">
        <v>422</v>
      </c>
      <c r="V8" t="s">
        <v>423</v>
      </c>
      <c r="W8" t="s">
        <v>424</v>
      </c>
      <c r="X8" t="s">
        <v>16</v>
      </c>
      <c r="Y8" t="s">
        <v>6857</v>
      </c>
    </row>
    <row r="9" spans="1:25">
      <c r="A9" t="s">
        <v>6858</v>
      </c>
      <c r="B9" t="s">
        <v>6975</v>
      </c>
      <c r="C9" t="s">
        <v>341</v>
      </c>
      <c r="D9" t="s">
        <v>26</v>
      </c>
      <c r="E9" t="s">
        <v>6976</v>
      </c>
      <c r="F9" t="s">
        <v>2173</v>
      </c>
      <c r="G9" t="s">
        <v>6865</v>
      </c>
      <c r="H9" t="s">
        <v>1194</v>
      </c>
      <c r="I9" t="s">
        <v>605</v>
      </c>
      <c r="J9" t="s">
        <v>6977</v>
      </c>
      <c r="K9" t="s">
        <v>6978</v>
      </c>
      <c r="M9" t="s">
        <v>6905</v>
      </c>
      <c r="N9"/>
      <c r="O9" t="s">
        <v>6883</v>
      </c>
      <c r="P9" t="s">
        <v>3608</v>
      </c>
      <c r="Q9" t="s">
        <v>6871</v>
      </c>
      <c r="R9">
        <v>30</v>
      </c>
      <c r="S9" t="s">
        <v>6872</v>
      </c>
      <c r="T9" t="s">
        <v>3608</v>
      </c>
      <c r="U9" t="s">
        <v>6871</v>
      </c>
      <c r="W9" t="s">
        <v>6961</v>
      </c>
      <c r="X9" t="s">
        <v>6905</v>
      </c>
    </row>
    <row r="10" spans="1:25">
      <c r="A10" t="s">
        <v>6858</v>
      </c>
      <c r="B10" t="s">
        <v>6999</v>
      </c>
      <c r="C10" t="s">
        <v>3919</v>
      </c>
      <c r="D10" t="s">
        <v>26</v>
      </c>
      <c r="E10" t="s">
        <v>7000</v>
      </c>
      <c r="F10" t="s">
        <v>2173</v>
      </c>
      <c r="G10" t="s">
        <v>6865</v>
      </c>
      <c r="H10" t="s">
        <v>1194</v>
      </c>
      <c r="I10" t="s">
        <v>6971</v>
      </c>
      <c r="J10" t="s">
        <v>6972</v>
      </c>
      <c r="K10" t="s">
        <v>6973</v>
      </c>
      <c r="M10" t="s">
        <v>2177</v>
      </c>
      <c r="N10" t="s">
        <v>7001</v>
      </c>
      <c r="O10" t="s">
        <v>6982</v>
      </c>
      <c r="P10" t="s">
        <v>3582</v>
      </c>
      <c r="Q10">
        <v>255</v>
      </c>
      <c r="R10">
        <v>255</v>
      </c>
      <c r="S10" t="s">
        <v>6872</v>
      </c>
      <c r="T10" t="s">
        <v>3608</v>
      </c>
      <c r="W10" t="s">
        <v>6874</v>
      </c>
    </row>
    <row r="11" spans="1:25">
      <c r="A11" t="s">
        <v>6858</v>
      </c>
      <c r="B11" t="s">
        <v>7002</v>
      </c>
      <c r="C11" t="s">
        <v>341</v>
      </c>
      <c r="D11" t="s">
        <v>26</v>
      </c>
      <c r="E11" t="s">
        <v>7003</v>
      </c>
      <c r="F11" t="s">
        <v>2173</v>
      </c>
      <c r="G11" t="s">
        <v>6865</v>
      </c>
      <c r="H11" t="s">
        <v>1194</v>
      </c>
      <c r="I11" t="s">
        <v>6971</v>
      </c>
      <c r="J11" t="s">
        <v>6972</v>
      </c>
      <c r="K11" t="s">
        <v>6973</v>
      </c>
      <c r="M11" t="s">
        <v>2177</v>
      </c>
      <c r="N11" t="s">
        <v>7004</v>
      </c>
      <c r="O11" t="s">
        <v>6982</v>
      </c>
      <c r="P11" t="s">
        <v>3582</v>
      </c>
      <c r="Q11">
        <v>255</v>
      </c>
      <c r="R11">
        <v>255</v>
      </c>
      <c r="S11" t="s">
        <v>6872</v>
      </c>
      <c r="T11" t="s">
        <v>3608</v>
      </c>
      <c r="W11" t="s">
        <v>6874</v>
      </c>
    </row>
  </sheetData>
  <mergeCells count="1">
    <mergeCell ref="S2:S4"/>
  </mergeCells>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39E5B-551C-4204-AA56-75C91652FB1B}">
  <sheetPr>
    <tabColor rgb="FFC00000"/>
  </sheetPr>
  <dimension ref="B1:AB28"/>
  <sheetViews>
    <sheetView workbookViewId="0">
      <selection activeCell="C16" sqref="C16"/>
    </sheetView>
  </sheetViews>
  <sheetFormatPr defaultRowHeight="15" customHeight="1"/>
  <cols>
    <col min="2" max="2" width="18.140625" style="374" customWidth="1"/>
    <col min="3" max="3" width="27.5703125" style="374" customWidth="1"/>
    <col min="4" max="4" width="37.85546875" style="374" bestFit="1" customWidth="1"/>
    <col min="6" max="6" width="82.85546875" style="374" bestFit="1" customWidth="1"/>
    <col min="7" max="7" width="40.85546875" style="374" bestFit="1" customWidth="1"/>
    <col min="8" max="10" width="46.42578125" style="374" customWidth="1"/>
    <col min="11" max="11" width="11.42578125" style="374" bestFit="1" customWidth="1"/>
    <col min="12" max="12" width="25.85546875" style="374" bestFit="1" customWidth="1"/>
    <col min="13" max="13" width="22" style="374" bestFit="1" customWidth="1"/>
    <col min="14" max="15" width="13.42578125" style="374" customWidth="1"/>
    <col min="16" max="16" width="30.140625" style="374" customWidth="1"/>
    <col min="17" max="17" width="46.5703125" style="374" bestFit="1" customWidth="1"/>
    <col min="18" max="19" width="13.42578125" style="374" customWidth="1"/>
    <col min="20" max="20" width="22.42578125" style="374" bestFit="1" customWidth="1"/>
    <col min="24" max="24" width="15.42578125" style="374" customWidth="1"/>
    <col min="25" max="25" width="13.5703125" style="374" customWidth="1"/>
    <col min="26" max="26" width="24.85546875" style="374" customWidth="1"/>
    <col min="27" max="27" width="32.42578125" style="374" customWidth="1"/>
  </cols>
  <sheetData>
    <row r="1" spans="2:28">
      <c r="B1" s="358" t="s">
        <v>2157</v>
      </c>
      <c r="C1" s="358" t="s">
        <v>336</v>
      </c>
      <c r="D1" s="358" t="s">
        <v>337</v>
      </c>
      <c r="E1" s="358" t="s">
        <v>338</v>
      </c>
      <c r="F1" s="358" t="s">
        <v>339</v>
      </c>
      <c r="G1" t="s">
        <v>10866</v>
      </c>
      <c r="H1" t="s">
        <v>2158</v>
      </c>
      <c r="I1" t="s">
        <v>2159</v>
      </c>
      <c r="J1" t="s">
        <v>2160</v>
      </c>
      <c r="K1" t="s">
        <v>425</v>
      </c>
      <c r="L1" t="s">
        <v>426</v>
      </c>
      <c r="M1" t="s">
        <v>427</v>
      </c>
      <c r="N1" t="s">
        <v>2161</v>
      </c>
      <c r="O1" t="s">
        <v>2162</v>
      </c>
      <c r="P1" t="s">
        <v>6856</v>
      </c>
      <c r="Q1" t="s">
        <v>16</v>
      </c>
      <c r="R1" t="s">
        <v>416</v>
      </c>
      <c r="S1" t="s">
        <v>417</v>
      </c>
      <c r="T1" t="s">
        <v>418</v>
      </c>
      <c r="U1" t="s">
        <v>419</v>
      </c>
      <c r="V1" t="s">
        <v>420</v>
      </c>
      <c r="W1" t="s">
        <v>421</v>
      </c>
      <c r="X1" t="s">
        <v>422</v>
      </c>
      <c r="Y1" t="s">
        <v>423</v>
      </c>
      <c r="Z1" t="s">
        <v>424</v>
      </c>
      <c r="AA1" t="s">
        <v>428</v>
      </c>
      <c r="AB1" s="374" t="s">
        <v>16</v>
      </c>
    </row>
    <row r="2" spans="2:28">
      <c r="B2" s="374" t="s">
        <v>6858</v>
      </c>
      <c r="C2" t="s">
        <v>7224</v>
      </c>
      <c r="D2" t="s">
        <v>8007</v>
      </c>
      <c r="E2" t="s">
        <v>130</v>
      </c>
      <c r="F2" t="s">
        <v>8008</v>
      </c>
      <c r="G2" t="s">
        <v>10867</v>
      </c>
      <c r="H2"/>
      <c r="I2" t="s">
        <v>2546</v>
      </c>
      <c r="J2" t="s">
        <v>6865</v>
      </c>
      <c r="K2" t="s">
        <v>2101</v>
      </c>
      <c r="L2" t="s">
        <v>653</v>
      </c>
      <c r="M2" t="s">
        <v>7497</v>
      </c>
      <c r="S2" t="s">
        <v>3608</v>
      </c>
      <c r="T2" t="s">
        <v>10868</v>
      </c>
      <c r="Z2" t="s">
        <v>855</v>
      </c>
    </row>
    <row r="3" spans="2:28">
      <c r="B3" s="374" t="s">
        <v>6858</v>
      </c>
      <c r="C3" t="s">
        <v>4298</v>
      </c>
      <c r="D3" t="s">
        <v>8007</v>
      </c>
      <c r="E3" t="s">
        <v>130</v>
      </c>
      <c r="F3" t="s">
        <v>8010</v>
      </c>
      <c r="G3" t="s">
        <v>10867</v>
      </c>
      <c r="H3"/>
      <c r="I3" t="s">
        <v>2546</v>
      </c>
      <c r="J3" t="s">
        <v>6865</v>
      </c>
      <c r="K3" t="s">
        <v>2101</v>
      </c>
      <c r="L3" t="s">
        <v>653</v>
      </c>
      <c r="M3" t="s">
        <v>10869</v>
      </c>
      <c r="S3" t="s">
        <v>4271</v>
      </c>
      <c r="T3" t="s">
        <v>10870</v>
      </c>
      <c r="Z3" t="s">
        <v>855</v>
      </c>
    </row>
    <row r="4" spans="2:28">
      <c r="B4" s="374" t="s">
        <v>6858</v>
      </c>
      <c r="C4" t="s">
        <v>6842</v>
      </c>
      <c r="D4" t="s">
        <v>8007</v>
      </c>
      <c r="E4" t="s">
        <v>130</v>
      </c>
      <c r="F4" t="s">
        <v>8011</v>
      </c>
      <c r="G4" t="s">
        <v>10867</v>
      </c>
      <c r="H4"/>
      <c r="I4" t="s">
        <v>2546</v>
      </c>
      <c r="J4" t="s">
        <v>6865</v>
      </c>
      <c r="K4" t="s">
        <v>2101</v>
      </c>
      <c r="L4" t="s">
        <v>653</v>
      </c>
      <c r="M4" t="s">
        <v>7294</v>
      </c>
      <c r="S4" t="s">
        <v>3608</v>
      </c>
      <c r="T4" t="s">
        <v>10871</v>
      </c>
      <c r="Z4" t="s">
        <v>855</v>
      </c>
    </row>
    <row r="5" spans="2:28">
      <c r="B5" s="374" t="s">
        <v>6858</v>
      </c>
      <c r="C5" t="s">
        <v>7286</v>
      </c>
      <c r="D5" t="s">
        <v>8007</v>
      </c>
      <c r="E5" t="s">
        <v>130</v>
      </c>
      <c r="F5" t="s">
        <v>8012</v>
      </c>
      <c r="G5" t="s">
        <v>10867</v>
      </c>
      <c r="H5"/>
      <c r="I5" t="s">
        <v>2546</v>
      </c>
      <c r="J5" t="s">
        <v>6865</v>
      </c>
      <c r="K5" t="s">
        <v>2101</v>
      </c>
      <c r="L5" t="s">
        <v>653</v>
      </c>
      <c r="M5" t="s">
        <v>7288</v>
      </c>
      <c r="S5" t="s">
        <v>3608</v>
      </c>
      <c r="T5" t="s">
        <v>10872</v>
      </c>
      <c r="Z5" t="s">
        <v>855</v>
      </c>
    </row>
    <row r="6" spans="2:28">
      <c r="B6" s="374" t="s">
        <v>6858</v>
      </c>
      <c r="C6" t="s">
        <v>8013</v>
      </c>
      <c r="D6" t="s">
        <v>8007</v>
      </c>
      <c r="E6" t="s">
        <v>130</v>
      </c>
      <c r="F6" t="s">
        <v>8014</v>
      </c>
      <c r="G6" t="s">
        <v>10867</v>
      </c>
      <c r="H6"/>
      <c r="I6" t="s">
        <v>2546</v>
      </c>
      <c r="J6" t="s">
        <v>6865</v>
      </c>
      <c r="K6" t="s">
        <v>2101</v>
      </c>
      <c r="L6" t="s">
        <v>653</v>
      </c>
      <c r="M6" t="s">
        <v>7091</v>
      </c>
      <c r="S6" t="s">
        <v>3608</v>
      </c>
      <c r="T6" t="s">
        <v>10871</v>
      </c>
      <c r="Z6" t="s">
        <v>855</v>
      </c>
    </row>
    <row r="7" spans="2:28">
      <c r="B7" s="374" t="s">
        <v>6858</v>
      </c>
      <c r="C7" t="s">
        <v>4266</v>
      </c>
      <c r="D7" t="s">
        <v>8007</v>
      </c>
      <c r="E7" t="s">
        <v>130</v>
      </c>
      <c r="F7" t="s">
        <v>8015</v>
      </c>
      <c r="G7" t="s">
        <v>10867</v>
      </c>
      <c r="H7"/>
      <c r="I7" t="s">
        <v>2546</v>
      </c>
      <c r="J7" t="s">
        <v>6865</v>
      </c>
      <c r="K7" t="s">
        <v>2101</v>
      </c>
      <c r="L7" t="s">
        <v>653</v>
      </c>
      <c r="M7" t="s">
        <v>10873</v>
      </c>
      <c r="S7" t="s">
        <v>4271</v>
      </c>
      <c r="T7" t="s">
        <v>6884</v>
      </c>
      <c r="Z7" t="s">
        <v>855</v>
      </c>
    </row>
    <row r="8" spans="2:28">
      <c r="B8" s="374" t="s">
        <v>6858</v>
      </c>
      <c r="C8" t="s">
        <v>7861</v>
      </c>
      <c r="D8" t="s">
        <v>8016</v>
      </c>
      <c r="E8" t="s">
        <v>130</v>
      </c>
      <c r="F8" t="s">
        <v>10874</v>
      </c>
      <c r="G8" t="s">
        <v>10875</v>
      </c>
      <c r="H8"/>
      <c r="I8" t="s">
        <v>2546</v>
      </c>
      <c r="J8" t="s">
        <v>6865</v>
      </c>
      <c r="K8" t="s">
        <v>2101</v>
      </c>
      <c r="L8" t="s">
        <v>653</v>
      </c>
      <c r="M8" t="s">
        <v>7820</v>
      </c>
      <c r="S8" t="s">
        <v>3582</v>
      </c>
      <c r="T8" t="s">
        <v>10876</v>
      </c>
      <c r="Z8" t="s">
        <v>7860</v>
      </c>
    </row>
    <row r="9" spans="2:28">
      <c r="B9" s="374" t="s">
        <v>6858</v>
      </c>
      <c r="C9" t="s">
        <v>5308</v>
      </c>
      <c r="D9" t="s">
        <v>8016</v>
      </c>
      <c r="E9" t="s">
        <v>130</v>
      </c>
      <c r="F9" t="s">
        <v>8022</v>
      </c>
      <c r="H9"/>
      <c r="I9"/>
      <c r="J9" t="s">
        <v>6865</v>
      </c>
      <c r="K9"/>
      <c r="L9"/>
      <c r="M9" t="s">
        <v>7820</v>
      </c>
      <c r="Q9" t="s">
        <v>10877</v>
      </c>
      <c r="S9"/>
      <c r="T9"/>
      <c r="Z9"/>
      <c r="AB9" t="s">
        <v>10877</v>
      </c>
    </row>
    <row r="10" spans="2:28">
      <c r="B10" s="374" t="s">
        <v>6858</v>
      </c>
      <c r="C10" t="s">
        <v>8025</v>
      </c>
      <c r="D10" t="s">
        <v>8016</v>
      </c>
      <c r="E10" t="s">
        <v>130</v>
      </c>
      <c r="F10" t="s">
        <v>8026</v>
      </c>
      <c r="G10" t="s">
        <v>10878</v>
      </c>
      <c r="H10"/>
      <c r="I10"/>
      <c r="J10" t="s">
        <v>6865</v>
      </c>
      <c r="K10"/>
      <c r="L10"/>
      <c r="M10" t="s">
        <v>7820</v>
      </c>
      <c r="Q10" t="s">
        <v>10877</v>
      </c>
      <c r="S10"/>
      <c r="T10"/>
      <c r="Z10" t="s">
        <v>7860</v>
      </c>
      <c r="AB10" t="s">
        <v>10877</v>
      </c>
    </row>
    <row r="11" spans="2:28">
      <c r="B11" s="374" t="s">
        <v>6858</v>
      </c>
      <c r="C11" t="s">
        <v>8028</v>
      </c>
      <c r="D11" t="s">
        <v>8016</v>
      </c>
      <c r="E11" t="s">
        <v>130</v>
      </c>
      <c r="F11" t="s">
        <v>10879</v>
      </c>
      <c r="G11" t="s">
        <v>10880</v>
      </c>
      <c r="H11"/>
      <c r="I11"/>
      <c r="J11" t="s">
        <v>6865</v>
      </c>
      <c r="K11"/>
      <c r="L11"/>
      <c r="M11" t="s">
        <v>7820</v>
      </c>
      <c r="Q11" t="s">
        <v>10877</v>
      </c>
      <c r="S11"/>
      <c r="T11"/>
      <c r="Z11" t="s">
        <v>7860</v>
      </c>
      <c r="AB11" t="s">
        <v>10877</v>
      </c>
    </row>
    <row r="12" spans="2:28">
      <c r="B12" s="374" t="s">
        <v>6858</v>
      </c>
      <c r="C12" t="s">
        <v>159</v>
      </c>
      <c r="D12" t="s">
        <v>8016</v>
      </c>
      <c r="E12" t="s">
        <v>130</v>
      </c>
      <c r="F12" t="s">
        <v>10881</v>
      </c>
      <c r="G12" t="s">
        <v>10882</v>
      </c>
      <c r="H12"/>
      <c r="I12" t="s">
        <v>2546</v>
      </c>
      <c r="J12" t="s">
        <v>6865</v>
      </c>
      <c r="K12" t="s">
        <v>2101</v>
      </c>
      <c r="L12" t="s">
        <v>653</v>
      </c>
      <c r="M12" t="s">
        <v>7820</v>
      </c>
      <c r="Q12" t="s">
        <v>10877</v>
      </c>
      <c r="S12"/>
      <c r="T12"/>
      <c r="Z12" t="s">
        <v>7860</v>
      </c>
      <c r="AB12" t="s">
        <v>10877</v>
      </c>
    </row>
    <row r="13" spans="2:28">
      <c r="B13" s="374" t="s">
        <v>6858</v>
      </c>
      <c r="C13" t="s">
        <v>7299</v>
      </c>
      <c r="D13" t="s">
        <v>8016</v>
      </c>
      <c r="E13" t="s">
        <v>130</v>
      </c>
      <c r="F13" t="s">
        <v>10883</v>
      </c>
      <c r="G13" t="s">
        <v>10884</v>
      </c>
      <c r="H13"/>
      <c r="I13" t="s">
        <v>2546</v>
      </c>
      <c r="J13" t="s">
        <v>6865</v>
      </c>
      <c r="K13"/>
      <c r="L13" t="s">
        <v>653</v>
      </c>
      <c r="M13" t="s">
        <v>10885</v>
      </c>
      <c r="Q13" t="s">
        <v>10877</v>
      </c>
      <c r="S13" t="s">
        <v>3608</v>
      </c>
      <c r="T13" t="s">
        <v>10886</v>
      </c>
      <c r="AB13" t="s">
        <v>10877</v>
      </c>
    </row>
    <row r="14" spans="2:28">
      <c r="B14" t="s">
        <v>6858</v>
      </c>
      <c r="C14" t="s">
        <v>8034</v>
      </c>
      <c r="D14" t="s">
        <v>8016</v>
      </c>
      <c r="E14" t="s">
        <v>130</v>
      </c>
      <c r="F14" t="s">
        <v>8035</v>
      </c>
      <c r="G14" t="s">
        <v>7882</v>
      </c>
      <c r="H14"/>
      <c r="I14"/>
      <c r="J14"/>
      <c r="K14"/>
      <c r="L14"/>
      <c r="M14"/>
      <c r="N14"/>
      <c r="O14"/>
      <c r="P14"/>
      <c r="Q14"/>
      <c r="R14"/>
      <c r="S14"/>
      <c r="T14"/>
      <c r="X14"/>
      <c r="Y14"/>
      <c r="Z14"/>
      <c r="AA14"/>
    </row>
    <row r="15" spans="2:28">
      <c r="B15" s="374" t="s">
        <v>6858</v>
      </c>
      <c r="C15" t="s">
        <v>8037</v>
      </c>
      <c r="D15" t="s">
        <v>8016</v>
      </c>
      <c r="E15" t="s">
        <v>130</v>
      </c>
      <c r="F15" t="s">
        <v>10887</v>
      </c>
      <c r="G15" t="s">
        <v>10888</v>
      </c>
      <c r="H15"/>
      <c r="I15"/>
      <c r="J15"/>
      <c r="K15" t="s">
        <v>2101</v>
      </c>
      <c r="L15" t="s">
        <v>653</v>
      </c>
      <c r="M15" t="s">
        <v>7073</v>
      </c>
      <c r="Q15" t="s">
        <v>10877</v>
      </c>
      <c r="S15" t="s">
        <v>3608</v>
      </c>
      <c r="T15" t="s">
        <v>10889</v>
      </c>
      <c r="Z15" t="s">
        <v>855</v>
      </c>
    </row>
    <row r="16" spans="2:28">
      <c r="B16" s="374" t="s">
        <v>6858</v>
      </c>
      <c r="C16" t="s">
        <v>7889</v>
      </c>
      <c r="D16" t="s">
        <v>8016</v>
      </c>
      <c r="E16" t="s">
        <v>130</v>
      </c>
      <c r="F16" t="s">
        <v>10890</v>
      </c>
      <c r="G16" t="s">
        <v>10891</v>
      </c>
      <c r="H16"/>
      <c r="I16"/>
      <c r="J16"/>
      <c r="M16" t="s">
        <v>7820</v>
      </c>
      <c r="Q16" t="s">
        <v>10877</v>
      </c>
      <c r="S16"/>
      <c r="T16"/>
      <c r="Z16"/>
    </row>
    <row r="17" spans="2:27">
      <c r="B17" s="374" t="s">
        <v>6858</v>
      </c>
      <c r="C17" t="s">
        <v>8041</v>
      </c>
      <c r="D17" t="s">
        <v>8016</v>
      </c>
      <c r="E17" t="s">
        <v>130</v>
      </c>
      <c r="F17" t="s">
        <v>8042</v>
      </c>
      <c r="H17"/>
      <c r="I17"/>
      <c r="J17"/>
      <c r="K17" t="s">
        <v>2101</v>
      </c>
      <c r="L17" t="s">
        <v>653</v>
      </c>
      <c r="M17" t="s">
        <v>10885</v>
      </c>
      <c r="S17" t="s">
        <v>3608</v>
      </c>
      <c r="T17" t="s">
        <v>10886</v>
      </c>
      <c r="Z17" t="s">
        <v>855</v>
      </c>
    </row>
    <row r="18" spans="2:27">
      <c r="B18" s="374" t="s">
        <v>6858</v>
      </c>
      <c r="C18" t="s">
        <v>8044</v>
      </c>
      <c r="D18" t="s">
        <v>8016</v>
      </c>
      <c r="E18" t="s">
        <v>130</v>
      </c>
      <c r="F18" t="s">
        <v>8045</v>
      </c>
      <c r="H18"/>
      <c r="I18" t="s">
        <v>2546</v>
      </c>
      <c r="J18" t="s">
        <v>6865</v>
      </c>
      <c r="K18" t="s">
        <v>2101</v>
      </c>
      <c r="L18" t="s">
        <v>653</v>
      </c>
      <c r="M18" t="s">
        <v>7073</v>
      </c>
      <c r="S18" t="s">
        <v>3608</v>
      </c>
      <c r="T18" t="s">
        <v>10889</v>
      </c>
      <c r="Z18" t="s">
        <v>855</v>
      </c>
    </row>
    <row r="19" spans="2:27">
      <c r="B19" t="s">
        <v>6858</v>
      </c>
      <c r="C19" t="s">
        <v>8047</v>
      </c>
      <c r="D19" t="s">
        <v>8048</v>
      </c>
      <c r="E19" t="s">
        <v>130</v>
      </c>
      <c r="F19" t="s">
        <v>8049</v>
      </c>
      <c r="G19" t="s">
        <v>7882</v>
      </c>
      <c r="H19"/>
      <c r="I19"/>
      <c r="J19"/>
      <c r="K19"/>
      <c r="L19"/>
      <c r="M19"/>
      <c r="N19"/>
      <c r="O19"/>
      <c r="P19"/>
      <c r="Q19"/>
      <c r="R19"/>
      <c r="S19"/>
      <c r="T19"/>
      <c r="X19"/>
      <c r="Y19"/>
      <c r="Z19"/>
      <c r="AA19"/>
    </row>
    <row r="20" spans="2:27">
      <c r="B20" t="s">
        <v>6858</v>
      </c>
      <c r="C20" t="s">
        <v>8050</v>
      </c>
      <c r="D20" t="s">
        <v>8048</v>
      </c>
      <c r="E20" t="s">
        <v>130</v>
      </c>
      <c r="F20" t="s">
        <v>8051</v>
      </c>
      <c r="G20" t="s">
        <v>7882</v>
      </c>
      <c r="H20"/>
      <c r="I20"/>
      <c r="J20"/>
      <c r="K20"/>
      <c r="L20"/>
      <c r="M20"/>
      <c r="N20"/>
      <c r="O20"/>
      <c r="P20"/>
      <c r="Q20"/>
      <c r="R20"/>
      <c r="S20"/>
      <c r="T20"/>
      <c r="X20"/>
      <c r="Y20"/>
      <c r="Z20"/>
      <c r="AA20"/>
    </row>
    <row r="21" spans="2:27">
      <c r="B21" s="374" t="s">
        <v>6858</v>
      </c>
      <c r="C21" t="s">
        <v>8052</v>
      </c>
      <c r="D21" t="s">
        <v>8048</v>
      </c>
      <c r="E21" t="s">
        <v>130</v>
      </c>
      <c r="F21" t="s">
        <v>8053</v>
      </c>
      <c r="G21" t="s">
        <v>10892</v>
      </c>
      <c r="H21"/>
      <c r="I21"/>
      <c r="J21"/>
    </row>
    <row r="22" spans="2:27">
      <c r="B22" s="374" t="s">
        <v>6858</v>
      </c>
      <c r="C22" t="s">
        <v>8056</v>
      </c>
      <c r="D22" t="s">
        <v>8048</v>
      </c>
      <c r="E22" t="s">
        <v>130</v>
      </c>
      <c r="F22" t="s">
        <v>8057</v>
      </c>
      <c r="G22" t="s">
        <v>10892</v>
      </c>
      <c r="H22"/>
      <c r="I22"/>
      <c r="J22"/>
    </row>
    <row r="23" spans="2:27">
      <c r="B23" s="374" t="s">
        <v>6858</v>
      </c>
      <c r="C23" t="s">
        <v>8058</v>
      </c>
      <c r="D23" t="s">
        <v>8048</v>
      </c>
      <c r="E23" t="s">
        <v>130</v>
      </c>
      <c r="F23" t="s">
        <v>8059</v>
      </c>
      <c r="G23" t="s">
        <v>10892</v>
      </c>
      <c r="H23"/>
      <c r="I23"/>
      <c r="J23"/>
    </row>
    <row r="24" spans="2:27">
      <c r="B24" s="374" t="s">
        <v>6858</v>
      </c>
      <c r="C24" t="s">
        <v>8060</v>
      </c>
      <c r="D24" t="s">
        <v>8048</v>
      </c>
      <c r="E24" t="s">
        <v>130</v>
      </c>
      <c r="F24" t="s">
        <v>8061</v>
      </c>
      <c r="G24" t="s">
        <v>10892</v>
      </c>
      <c r="H24"/>
      <c r="I24"/>
      <c r="J24"/>
    </row>
    <row r="25" spans="2:27">
      <c r="B25" s="374" t="s">
        <v>6858</v>
      </c>
      <c r="C25" t="s">
        <v>8062</v>
      </c>
      <c r="D25" t="s">
        <v>8048</v>
      </c>
      <c r="E25" t="s">
        <v>130</v>
      </c>
      <c r="F25" t="s">
        <v>8063</v>
      </c>
      <c r="G25" t="s">
        <v>10892</v>
      </c>
      <c r="H25"/>
      <c r="I25"/>
      <c r="J25"/>
    </row>
    <row r="26" spans="2:27">
      <c r="B26" s="374" t="s">
        <v>6858</v>
      </c>
      <c r="C26" t="s">
        <v>8064</v>
      </c>
      <c r="D26" t="s">
        <v>8048</v>
      </c>
      <c r="E26" t="s">
        <v>130</v>
      </c>
      <c r="F26" t="s">
        <v>8065</v>
      </c>
      <c r="G26" t="s">
        <v>10892</v>
      </c>
      <c r="H26"/>
      <c r="I26"/>
      <c r="J26"/>
    </row>
    <row r="27" spans="2:27">
      <c r="B27" t="s">
        <v>6858</v>
      </c>
      <c r="C27" t="s">
        <v>2400</v>
      </c>
      <c r="D27" t="s">
        <v>8066</v>
      </c>
      <c r="E27" t="s">
        <v>130</v>
      </c>
      <c r="F27" t="s">
        <v>8067</v>
      </c>
      <c r="H27"/>
      <c r="I27"/>
      <c r="J27"/>
      <c r="K27"/>
      <c r="L27"/>
      <c r="M27"/>
      <c r="N27"/>
      <c r="O27"/>
      <c r="P27"/>
      <c r="Q27"/>
      <c r="R27"/>
      <c r="S27"/>
      <c r="T27"/>
      <c r="X27"/>
      <c r="Y27"/>
      <c r="Z27"/>
      <c r="AA27"/>
    </row>
    <row r="28" spans="2:27">
      <c r="B28" t="s">
        <v>6858</v>
      </c>
      <c r="C28" t="s">
        <v>159</v>
      </c>
      <c r="D28" t="s">
        <v>8066</v>
      </c>
      <c r="E28" t="s">
        <v>130</v>
      </c>
      <c r="F28" t="s">
        <v>8069</v>
      </c>
      <c r="H28"/>
      <c r="I28"/>
      <c r="J28"/>
      <c r="K28"/>
      <c r="L28"/>
      <c r="M28"/>
      <c r="N28"/>
      <c r="O28"/>
      <c r="P28"/>
      <c r="Q28"/>
      <c r="R28"/>
      <c r="S28"/>
      <c r="T28"/>
      <c r="X28"/>
      <c r="Y28"/>
      <c r="Z28"/>
      <c r="AA28"/>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428FC-4181-4311-8DA9-51098F258055}">
  <sheetPr>
    <tabColor rgb="FFC00000"/>
  </sheetPr>
  <dimension ref="B1:S18"/>
  <sheetViews>
    <sheetView topLeftCell="B1" workbookViewId="0">
      <selection activeCell="F1" sqref="F1"/>
    </sheetView>
  </sheetViews>
  <sheetFormatPr defaultRowHeight="15"/>
  <cols>
    <col min="2" max="2" width="13.42578125" style="8" bestFit="1" customWidth="1"/>
    <col min="3" max="3" width="25.5703125" style="8" bestFit="1" customWidth="1"/>
    <col min="4" max="4" width="17.85546875" style="8" bestFit="1" customWidth="1"/>
    <col min="5" max="5" width="12.5703125" style="8" bestFit="1" customWidth="1"/>
    <col min="6" max="6" width="67.42578125" style="8" bestFit="1" customWidth="1"/>
    <col min="8" max="8" width="8.5703125" style="374" bestFit="1" customWidth="1"/>
    <col min="10" max="10" width="8.5703125" style="374" bestFit="1" customWidth="1"/>
    <col min="12" max="12" width="8.5703125" style="374" bestFit="1" customWidth="1"/>
    <col min="14" max="14" width="8.5703125" style="374" bestFit="1" customWidth="1"/>
    <col min="15" max="15" width="8.85546875" style="374" bestFit="1" customWidth="1"/>
    <col min="16" max="16" width="8.140625" style="374" bestFit="1" customWidth="1"/>
    <col min="17" max="17" width="5.42578125" style="374" bestFit="1" customWidth="1"/>
    <col min="18" max="18" width="8.140625" style="374" bestFit="1" customWidth="1"/>
    <col min="19" max="19" width="8" style="374" bestFit="1" customWidth="1"/>
  </cols>
  <sheetData>
    <row r="1" spans="2:19" ht="15.75" thickBot="1">
      <c r="B1" s="358" t="s">
        <v>2157</v>
      </c>
      <c r="C1" s="358" t="s">
        <v>336</v>
      </c>
      <c r="D1" s="358" t="s">
        <v>337</v>
      </c>
      <c r="E1" s="358" t="s">
        <v>338</v>
      </c>
      <c r="F1" s="358" t="s">
        <v>339</v>
      </c>
      <c r="G1" t="s">
        <v>416</v>
      </c>
      <c r="H1" t="s">
        <v>417</v>
      </c>
      <c r="I1" t="s">
        <v>418</v>
      </c>
      <c r="J1" t="s">
        <v>419</v>
      </c>
      <c r="K1" t="s">
        <v>420</v>
      </c>
      <c r="L1" t="s">
        <v>421</v>
      </c>
      <c r="M1" t="s">
        <v>422</v>
      </c>
      <c r="N1" t="s">
        <v>423</v>
      </c>
      <c r="O1" t="s">
        <v>424</v>
      </c>
      <c r="P1" t="s">
        <v>425</v>
      </c>
      <c r="Q1" t="s">
        <v>426</v>
      </c>
      <c r="R1" t="s">
        <v>427</v>
      </c>
      <c r="S1" t="s">
        <v>428</v>
      </c>
    </row>
    <row r="2" spans="2:19">
      <c r="B2" s="374" t="s">
        <v>6858</v>
      </c>
      <c r="C2" t="s">
        <v>7299</v>
      </c>
      <c r="D2" t="s">
        <v>8071</v>
      </c>
      <c r="E2" t="s">
        <v>94</v>
      </c>
      <c r="F2" t="s">
        <v>8072</v>
      </c>
    </row>
    <row r="3" spans="2:19">
      <c r="B3" s="374" t="s">
        <v>6858</v>
      </c>
      <c r="C3" t="s">
        <v>159</v>
      </c>
      <c r="D3" t="s">
        <v>8071</v>
      </c>
      <c r="E3" t="s">
        <v>94</v>
      </c>
      <c r="F3" t="s">
        <v>8074</v>
      </c>
    </row>
    <row r="4" spans="2:19">
      <c r="B4" s="374" t="s">
        <v>6858</v>
      </c>
      <c r="C4" t="s">
        <v>8037</v>
      </c>
      <c r="D4" t="s">
        <v>8071</v>
      </c>
      <c r="E4" t="s">
        <v>94</v>
      </c>
      <c r="F4" t="s">
        <v>8075</v>
      </c>
    </row>
    <row r="5" spans="2:19">
      <c r="B5" s="374" t="s">
        <v>6858</v>
      </c>
      <c r="C5" t="s">
        <v>8076</v>
      </c>
      <c r="D5" t="s">
        <v>8071</v>
      </c>
      <c r="E5" t="s">
        <v>94</v>
      </c>
      <c r="F5" t="s">
        <v>8077</v>
      </c>
    </row>
    <row r="6" spans="2:19">
      <c r="B6" s="374" t="s">
        <v>6858</v>
      </c>
      <c r="C6" t="s">
        <v>8078</v>
      </c>
      <c r="D6" t="s">
        <v>8071</v>
      </c>
      <c r="E6" t="s">
        <v>94</v>
      </c>
      <c r="F6" t="s">
        <v>8079</v>
      </c>
    </row>
    <row r="7" spans="2:19">
      <c r="B7" t="s">
        <v>6858</v>
      </c>
      <c r="C7" t="s">
        <v>8034</v>
      </c>
      <c r="D7" t="s">
        <v>8071</v>
      </c>
      <c r="E7" t="s">
        <v>94</v>
      </c>
      <c r="F7" t="s">
        <v>8080</v>
      </c>
      <c r="H7"/>
      <c r="J7"/>
      <c r="L7"/>
      <c r="N7"/>
      <c r="O7"/>
      <c r="P7"/>
      <c r="Q7"/>
      <c r="R7"/>
      <c r="S7"/>
    </row>
    <row r="8" spans="2:19">
      <c r="B8" s="374" t="s">
        <v>6858</v>
      </c>
      <c r="C8" t="s">
        <v>8082</v>
      </c>
      <c r="D8" t="s">
        <v>8071</v>
      </c>
      <c r="E8" t="s">
        <v>94</v>
      </c>
      <c r="F8" t="s">
        <v>8083</v>
      </c>
    </row>
    <row r="9" spans="2:19">
      <c r="B9" s="374" t="s">
        <v>6858</v>
      </c>
      <c r="C9" t="s">
        <v>8086</v>
      </c>
      <c r="D9" t="s">
        <v>8071</v>
      </c>
      <c r="E9" t="s">
        <v>94</v>
      </c>
      <c r="F9" t="s">
        <v>8088</v>
      </c>
    </row>
    <row r="10" spans="2:19">
      <c r="B10" s="374" t="s">
        <v>6858</v>
      </c>
      <c r="C10" t="s">
        <v>8090</v>
      </c>
      <c r="D10" t="s">
        <v>8071</v>
      </c>
      <c r="E10" t="s">
        <v>94</v>
      </c>
      <c r="F10" t="s">
        <v>8091</v>
      </c>
    </row>
    <row r="11" spans="2:19">
      <c r="B11" t="s">
        <v>6858</v>
      </c>
      <c r="C11" t="s">
        <v>8092</v>
      </c>
      <c r="D11" t="s">
        <v>8071</v>
      </c>
      <c r="E11" t="s">
        <v>94</v>
      </c>
      <c r="F11" t="s">
        <v>8093</v>
      </c>
      <c r="H11"/>
      <c r="J11"/>
      <c r="L11"/>
      <c r="N11"/>
      <c r="O11"/>
      <c r="P11"/>
      <c r="Q11"/>
      <c r="R11"/>
      <c r="S11"/>
    </row>
    <row r="12" spans="2:19">
      <c r="B12" s="374" t="s">
        <v>6858</v>
      </c>
      <c r="C12" t="s">
        <v>7102</v>
      </c>
      <c r="D12" t="s">
        <v>8071</v>
      </c>
      <c r="E12" t="s">
        <v>94</v>
      </c>
      <c r="F12" t="s">
        <v>8094</v>
      </c>
    </row>
    <row r="13" spans="2:19">
      <c r="B13" s="374" t="s">
        <v>6858</v>
      </c>
      <c r="C13" t="s">
        <v>8095</v>
      </c>
      <c r="D13" t="s">
        <v>8071</v>
      </c>
      <c r="E13" t="s">
        <v>94</v>
      </c>
      <c r="F13" t="s">
        <v>10893</v>
      </c>
    </row>
    <row r="14" spans="2:19">
      <c r="B14" s="374" t="s">
        <v>6858</v>
      </c>
      <c r="C14" t="s">
        <v>8099</v>
      </c>
      <c r="D14" t="s">
        <v>8071</v>
      </c>
      <c r="E14" t="s">
        <v>94</v>
      </c>
      <c r="F14" t="s">
        <v>8100</v>
      </c>
    </row>
    <row r="15" spans="2:19">
      <c r="B15" s="374" t="s">
        <v>6858</v>
      </c>
      <c r="C15" t="s">
        <v>7861</v>
      </c>
      <c r="D15" t="s">
        <v>8071</v>
      </c>
      <c r="E15" t="s">
        <v>94</v>
      </c>
      <c r="F15" t="s">
        <v>8102</v>
      </c>
    </row>
    <row r="16" spans="2:19">
      <c r="B16" s="374" t="s">
        <v>6858</v>
      </c>
      <c r="C16" t="s">
        <v>8103</v>
      </c>
      <c r="D16" t="s">
        <v>8071</v>
      </c>
      <c r="E16" t="s">
        <v>94</v>
      </c>
      <c r="F16" t="s">
        <v>8104</v>
      </c>
    </row>
    <row r="17" spans="2:6">
      <c r="B17" s="374" t="s">
        <v>6858</v>
      </c>
      <c r="C17" t="s">
        <v>8106</v>
      </c>
      <c r="D17" t="s">
        <v>8071</v>
      </c>
      <c r="E17" t="s">
        <v>94</v>
      </c>
      <c r="F17" t="s">
        <v>8107</v>
      </c>
    </row>
    <row r="18" spans="2:6">
      <c r="B18" s="340"/>
      <c r="C18" s="340"/>
      <c r="D18" s="340"/>
      <c r="E18" s="340"/>
      <c r="F18" s="340"/>
    </row>
  </sheetData>
  <pageMargins left="0.7" right="0.7" top="0.75" bottom="0.75" header="0.3" footer="0.3"/>
  <pageSetup orientation="portrait" r:id="rId1"/>
  <headerFooter>
    <oddFooter>&amp;L&amp;"verdana"&amp;8&amp;K000000&amp;BClassification:&amp;B &amp;KFF0000&amp;BRAKBANK-Public</oddFooter>
    <evenFooter>&amp;L&amp;"verdana"&amp;8&amp;K000000&amp;BClassification:&amp;B &amp;KFF0000&amp;BRAKBANK-Public</evenFooter>
    <firstFooter>&amp;L&amp;"verdana"&amp;8&amp;K000000&amp;BClassification:&amp;B &amp;KFF0000&amp;BRAKBANK-Public</firstFooter>
  </headerFooter>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983BA-2173-48C4-A788-6F7882710184}">
  <dimension ref="A2:G48"/>
  <sheetViews>
    <sheetView topLeftCell="A2" workbookViewId="0">
      <selection sqref="A1:F1048576"/>
    </sheetView>
  </sheetViews>
  <sheetFormatPr defaultRowHeight="15"/>
  <cols>
    <col min="1" max="1" width="28.42578125" style="12" customWidth="1"/>
    <col min="2" max="2" width="22.140625" style="12" customWidth="1"/>
    <col min="3" max="3" width="3.7109375" style="12" bestFit="1" customWidth="1"/>
    <col min="4" max="4" width="9.42578125" style="12" bestFit="1" customWidth="1"/>
    <col min="5" max="5" width="7.42578125" style="12" bestFit="1" customWidth="1"/>
    <col min="6" max="6" width="9.5703125" style="12" bestFit="1" customWidth="1"/>
  </cols>
  <sheetData>
    <row r="2" spans="1:6" ht="75">
      <c r="A2" s="365" t="s">
        <v>10894</v>
      </c>
      <c r="B2" s="365" t="s">
        <v>10895</v>
      </c>
    </row>
    <row r="3" spans="1:6" ht="30">
      <c r="A3" s="365" t="s">
        <v>366</v>
      </c>
      <c r="B3" s="12" t="s">
        <v>1191</v>
      </c>
      <c r="C3" s="12" t="s">
        <v>49</v>
      </c>
      <c r="D3" s="12" t="s">
        <v>1192</v>
      </c>
      <c r="E3" s="12" t="s">
        <v>1157</v>
      </c>
      <c r="F3" s="12" t="s">
        <v>950</v>
      </c>
    </row>
    <row r="4" spans="1:6">
      <c r="A4" s="12" t="s">
        <v>117</v>
      </c>
      <c r="C4" s="12">
        <v>5</v>
      </c>
      <c r="F4" s="12">
        <v>5</v>
      </c>
    </row>
    <row r="5" spans="1:6">
      <c r="A5" s="12" t="s">
        <v>43</v>
      </c>
      <c r="D5" s="12">
        <v>8</v>
      </c>
      <c r="F5" s="12">
        <v>8</v>
      </c>
    </row>
    <row r="6" spans="1:6">
      <c r="A6" s="12" t="s">
        <v>66</v>
      </c>
      <c r="B6" s="12">
        <v>1</v>
      </c>
      <c r="D6" s="12">
        <v>5</v>
      </c>
      <c r="F6" s="12">
        <v>6</v>
      </c>
    </row>
    <row r="7" spans="1:6">
      <c r="A7" s="12" t="s">
        <v>71</v>
      </c>
      <c r="B7" s="12">
        <v>3</v>
      </c>
      <c r="D7" s="12">
        <v>1</v>
      </c>
      <c r="F7" s="12">
        <v>4</v>
      </c>
    </row>
    <row r="8" spans="1:6">
      <c r="A8" s="12" t="s">
        <v>93</v>
      </c>
      <c r="C8" s="12">
        <v>3</v>
      </c>
      <c r="F8" s="12">
        <v>3</v>
      </c>
    </row>
    <row r="9" spans="1:6">
      <c r="A9" s="12" t="s">
        <v>57</v>
      </c>
      <c r="C9" s="12">
        <v>8</v>
      </c>
      <c r="F9" s="12">
        <v>8</v>
      </c>
    </row>
    <row r="10" spans="1:6">
      <c r="A10" s="12" t="s">
        <v>952</v>
      </c>
      <c r="D10" s="12">
        <v>8</v>
      </c>
      <c r="F10" s="12">
        <v>8</v>
      </c>
    </row>
    <row r="11" spans="1:6">
      <c r="A11" s="12" t="s">
        <v>17</v>
      </c>
      <c r="B11" s="12">
        <v>104</v>
      </c>
      <c r="C11" s="12">
        <v>2</v>
      </c>
      <c r="D11" s="12">
        <v>1</v>
      </c>
      <c r="F11" s="12">
        <v>107</v>
      </c>
    </row>
    <row r="12" spans="1:6">
      <c r="A12" s="12" t="s">
        <v>112</v>
      </c>
      <c r="B12" s="12">
        <v>39</v>
      </c>
      <c r="C12" s="12">
        <v>4</v>
      </c>
      <c r="D12" s="12">
        <v>1</v>
      </c>
      <c r="F12" s="12">
        <v>44</v>
      </c>
    </row>
    <row r="13" spans="1:6">
      <c r="A13" s="12" t="s">
        <v>953</v>
      </c>
      <c r="B13" s="12">
        <v>4</v>
      </c>
      <c r="F13" s="12">
        <v>4</v>
      </c>
    </row>
    <row r="14" spans="1:6">
      <c r="A14" s="12" t="s">
        <v>47</v>
      </c>
      <c r="B14" s="12">
        <v>1</v>
      </c>
      <c r="F14" s="12">
        <v>1</v>
      </c>
    </row>
    <row r="15" spans="1:6">
      <c r="A15" s="12" t="s">
        <v>110</v>
      </c>
      <c r="D15" s="12">
        <v>1</v>
      </c>
      <c r="F15" s="12">
        <v>1</v>
      </c>
    </row>
    <row r="16" spans="1:6">
      <c r="A16" s="12" t="s">
        <v>954</v>
      </c>
      <c r="B16" s="12">
        <v>2</v>
      </c>
      <c r="D16" s="12">
        <v>4</v>
      </c>
      <c r="F16" s="12">
        <v>6</v>
      </c>
    </row>
    <row r="17" spans="1:7">
      <c r="A17" s="12" t="s">
        <v>393</v>
      </c>
      <c r="D17" s="12">
        <v>10</v>
      </c>
      <c r="F17" s="12">
        <v>10</v>
      </c>
    </row>
    <row r="18" spans="1:7">
      <c r="A18" s="12" t="s">
        <v>955</v>
      </c>
      <c r="B18" s="12">
        <v>9</v>
      </c>
      <c r="D18" s="12">
        <v>31</v>
      </c>
      <c r="F18" s="12">
        <v>40</v>
      </c>
    </row>
    <row r="19" spans="1:7">
      <c r="A19" s="12" t="s">
        <v>113</v>
      </c>
      <c r="B19" s="12">
        <v>1</v>
      </c>
      <c r="F19" s="12">
        <v>1</v>
      </c>
    </row>
    <row r="20" spans="1:7">
      <c r="A20" s="12" t="s">
        <v>39</v>
      </c>
      <c r="C20" s="12">
        <v>23</v>
      </c>
      <c r="F20" s="12">
        <v>23</v>
      </c>
    </row>
    <row r="21" spans="1:7">
      <c r="A21" s="12" t="s">
        <v>36</v>
      </c>
      <c r="B21" s="12">
        <v>1</v>
      </c>
      <c r="D21" s="12">
        <v>22</v>
      </c>
      <c r="F21" s="12">
        <v>23</v>
      </c>
    </row>
    <row r="22" spans="1:7">
      <c r="A22" s="12" t="s">
        <v>1157</v>
      </c>
    </row>
    <row r="23" spans="1:7">
      <c r="A23" s="12" t="s">
        <v>950</v>
      </c>
      <c r="B23" s="12">
        <v>165</v>
      </c>
      <c r="C23" s="12">
        <v>45</v>
      </c>
      <c r="D23" s="12">
        <v>92</v>
      </c>
      <c r="F23" s="12">
        <v>302</v>
      </c>
    </row>
    <row r="27" spans="1:7" ht="105">
      <c r="A27" s="365" t="s">
        <v>10896</v>
      </c>
      <c r="B27" s="365" t="s">
        <v>10897</v>
      </c>
      <c r="G27" s="12"/>
    </row>
    <row r="28" spans="1:7" ht="30">
      <c r="A28" s="365" t="s">
        <v>366</v>
      </c>
      <c r="B28" s="12" t="s">
        <v>1191</v>
      </c>
      <c r="C28" s="12" t="s">
        <v>49</v>
      </c>
      <c r="D28" s="12" t="s">
        <v>1192</v>
      </c>
      <c r="E28" s="12" t="s">
        <v>1157</v>
      </c>
      <c r="F28" s="12" t="s">
        <v>1213</v>
      </c>
      <c r="G28" s="12" t="s">
        <v>950</v>
      </c>
    </row>
    <row r="29" spans="1:7">
      <c r="A29" s="12" t="s">
        <v>117</v>
      </c>
      <c r="C29" s="12">
        <v>5</v>
      </c>
      <c r="G29" s="12">
        <v>5</v>
      </c>
    </row>
    <row r="30" spans="1:7">
      <c r="A30" s="12" t="s">
        <v>43</v>
      </c>
      <c r="D30" s="12">
        <v>6</v>
      </c>
      <c r="F30" s="12">
        <v>2</v>
      </c>
      <c r="G30" s="12">
        <v>8</v>
      </c>
    </row>
    <row r="31" spans="1:7">
      <c r="A31" s="12" t="s">
        <v>66</v>
      </c>
      <c r="B31" s="12">
        <v>1</v>
      </c>
      <c r="D31" s="12">
        <v>5</v>
      </c>
      <c r="G31" s="12">
        <v>6</v>
      </c>
    </row>
    <row r="32" spans="1:7">
      <c r="A32" s="12" t="s">
        <v>71</v>
      </c>
      <c r="B32" s="12">
        <v>3</v>
      </c>
      <c r="D32" s="12">
        <v>1</v>
      </c>
      <c r="G32" s="12">
        <v>4</v>
      </c>
    </row>
    <row r="33" spans="1:7">
      <c r="A33" s="12" t="s">
        <v>93</v>
      </c>
      <c r="C33" s="12">
        <v>2</v>
      </c>
      <c r="F33" s="12">
        <v>1</v>
      </c>
      <c r="G33" s="12">
        <v>3</v>
      </c>
    </row>
    <row r="34" spans="1:7">
      <c r="A34" s="12" t="s">
        <v>57</v>
      </c>
      <c r="B34" s="12">
        <v>4</v>
      </c>
      <c r="C34" s="12">
        <v>4</v>
      </c>
      <c r="G34" s="12">
        <v>8</v>
      </c>
    </row>
    <row r="35" spans="1:7">
      <c r="A35" s="12" t="s">
        <v>952</v>
      </c>
      <c r="D35" s="12">
        <v>8</v>
      </c>
      <c r="G35" s="12">
        <v>8</v>
      </c>
    </row>
    <row r="36" spans="1:7">
      <c r="A36" s="12" t="s">
        <v>17</v>
      </c>
      <c r="B36" s="12">
        <v>17</v>
      </c>
      <c r="C36" s="12">
        <v>2</v>
      </c>
      <c r="D36" s="12">
        <v>86</v>
      </c>
      <c r="F36" s="12">
        <v>2</v>
      </c>
      <c r="G36" s="12">
        <v>107</v>
      </c>
    </row>
    <row r="37" spans="1:7">
      <c r="A37" s="12" t="s">
        <v>112</v>
      </c>
      <c r="C37" s="12">
        <v>3</v>
      </c>
      <c r="D37" s="12">
        <v>1</v>
      </c>
      <c r="F37" s="12">
        <v>40</v>
      </c>
      <c r="G37" s="12">
        <v>44</v>
      </c>
    </row>
    <row r="38" spans="1:7">
      <c r="A38" s="12" t="s">
        <v>953</v>
      </c>
      <c r="D38" s="12">
        <v>4</v>
      </c>
      <c r="G38" s="12">
        <v>4</v>
      </c>
    </row>
    <row r="39" spans="1:7">
      <c r="A39" s="12" t="s">
        <v>47</v>
      </c>
      <c r="D39" s="12">
        <v>1</v>
      </c>
      <c r="G39" s="12">
        <v>1</v>
      </c>
    </row>
    <row r="40" spans="1:7">
      <c r="A40" s="12" t="s">
        <v>110</v>
      </c>
      <c r="D40" s="12">
        <v>1</v>
      </c>
      <c r="G40" s="12">
        <v>1</v>
      </c>
    </row>
    <row r="41" spans="1:7">
      <c r="A41" s="12" t="s">
        <v>954</v>
      </c>
      <c r="D41" s="12">
        <v>6</v>
      </c>
      <c r="G41" s="12">
        <v>6</v>
      </c>
    </row>
    <row r="42" spans="1:7">
      <c r="A42" s="12" t="s">
        <v>393</v>
      </c>
      <c r="D42" s="12">
        <v>6</v>
      </c>
      <c r="F42" s="12">
        <v>4</v>
      </c>
      <c r="G42" s="12">
        <v>10</v>
      </c>
    </row>
    <row r="43" spans="1:7">
      <c r="A43" s="12" t="s">
        <v>955</v>
      </c>
      <c r="D43" s="12">
        <v>28</v>
      </c>
      <c r="F43" s="12">
        <v>12</v>
      </c>
      <c r="G43" s="12">
        <v>40</v>
      </c>
    </row>
    <row r="44" spans="1:7">
      <c r="A44" s="12" t="s">
        <v>113</v>
      </c>
      <c r="D44" s="12">
        <v>1</v>
      </c>
      <c r="G44" s="12">
        <v>1</v>
      </c>
    </row>
    <row r="45" spans="1:7">
      <c r="A45" s="12" t="s">
        <v>39</v>
      </c>
      <c r="C45" s="12">
        <v>23</v>
      </c>
      <c r="G45" s="12">
        <v>23</v>
      </c>
    </row>
    <row r="46" spans="1:7">
      <c r="A46" s="12" t="s">
        <v>36</v>
      </c>
      <c r="B46" s="12">
        <v>1</v>
      </c>
      <c r="D46" s="12">
        <v>22</v>
      </c>
      <c r="G46" s="12">
        <v>23</v>
      </c>
    </row>
    <row r="47" spans="1:7">
      <c r="A47" s="12" t="s">
        <v>1157</v>
      </c>
      <c r="G47" s="12"/>
    </row>
    <row r="48" spans="1:7">
      <c r="A48" s="12" t="s">
        <v>950</v>
      </c>
      <c r="B48" s="12">
        <v>26</v>
      </c>
      <c r="C48" s="12">
        <v>39</v>
      </c>
      <c r="D48" s="12">
        <v>176</v>
      </c>
      <c r="F48" s="12">
        <v>61</v>
      </c>
      <c r="G48" s="12">
        <v>302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M_x002f_BA xmlns="a0a9b861-818d-488c-9d3a-1c536db303e9">
      <UserInfo>
        <DisplayName/>
        <AccountId xsi:nil="true"/>
        <AccountType/>
      </UserInfo>
    </PM_x002f_BA>
    <ProjectStage xmlns="a0a9b861-818d-488c-9d3a-1c536db303e9" xsi:nil="true"/>
    <SEEDorPAR xmlns="a0a9b861-818d-488c-9d3a-1c536db303e9" xsi:nil="true"/>
    <_ip_UnifiedCompliancePolicyUIAction xmlns="http://schemas.microsoft.com/sharepoint/v3" xsi:nil="true"/>
    <_ip_UnifiedCompliancePolicyProperties xmlns="http://schemas.microsoft.com/sharepoint/v3" xsi:nil="true"/>
    <lcf76f155ced4ddcb4097134ff3c332f xmlns="a0a9b861-818d-488c-9d3a-1c536db303e9">
      <Terms xmlns="http://schemas.microsoft.com/office/infopath/2007/PartnerControls"/>
    </lcf76f155ced4ddcb4097134ff3c332f>
    <TaxCatchAll xmlns="866e8071-e7c8-4434-81ac-3503f2d6b022" xsi:nil="true"/>
    <BusinessAnalyst xmlns="a0a9b861-818d-488c-9d3a-1c536db303e9">
      <UserInfo>
        <DisplayName/>
        <AccountId xsi:nil="true"/>
        <AccountType/>
      </UserInfo>
    </BusinessAnalyst>
    <DateUplaoded xmlns="a0a9b861-818d-488c-9d3a-1c536db303e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21F73C6A3CE504187C14FDC3C43443A" ma:contentTypeVersion="21" ma:contentTypeDescription="Create a new document." ma:contentTypeScope="" ma:versionID="b424f2628c7c7aac4568f441cbdd2500">
  <xsd:schema xmlns:xsd="http://www.w3.org/2001/XMLSchema" xmlns:xs="http://www.w3.org/2001/XMLSchema" xmlns:p="http://schemas.microsoft.com/office/2006/metadata/properties" xmlns:ns1="http://schemas.microsoft.com/sharepoint/v3" xmlns:ns2="a0a9b861-818d-488c-9d3a-1c536db303e9" xmlns:ns3="866e8071-e7c8-4434-81ac-3503f2d6b022" targetNamespace="http://schemas.microsoft.com/office/2006/metadata/properties" ma:root="true" ma:fieldsID="79eb9472261c4d7d0ea18f7d80b9248b" ns1:_="" ns2:_="" ns3:_="">
    <xsd:import namespace="http://schemas.microsoft.com/sharepoint/v3"/>
    <xsd:import namespace="a0a9b861-818d-488c-9d3a-1c536db303e9"/>
    <xsd:import namespace="866e8071-e7c8-4434-81ac-3503f2d6b02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DateUplaoded" minOccurs="0"/>
                <xsd:element ref="ns2:PM_x002f_BA" minOccurs="0"/>
                <xsd:element ref="ns2:SEEDorPAR" minOccurs="0"/>
                <xsd:element ref="ns2:ProjectStage" minOccurs="0"/>
                <xsd:element ref="ns2:BusinessAnalyst" minOccurs="0"/>
                <xsd:element ref="ns1:_ip_UnifiedCompliancePolicyProperties" minOccurs="0"/>
                <xsd:element ref="ns1:_ip_UnifiedCompliancePolicyUIAction"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0a9b861-818d-488c-9d3a-1c536db303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DateUplaoded" ma:index="12" nillable="true" ma:displayName="Date Uplaoded" ma:format="DateOnly" ma:internalName="DateUplaoded">
      <xsd:simpleType>
        <xsd:restriction base="dms:DateTime"/>
      </xsd:simpleType>
    </xsd:element>
    <xsd:element name="PM_x002f_BA" ma:index="13" nillable="true" ma:displayName="Project Manager" ma:format="Dropdown" ma:list="UserInfo" ma:SharePointGroup="0" ma:internalName="PM_x002f_B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EEDorPAR" ma:index="14" nillable="true" ma:displayName="SEED or PAR" ma:format="Dropdown" ma:internalName="SEEDorPAR">
      <xsd:simpleType>
        <xsd:restriction base="dms:Choice">
          <xsd:enumeration value="PAR"/>
          <xsd:enumeration value="SEED"/>
          <xsd:enumeration value="Squad"/>
        </xsd:restriction>
      </xsd:simpleType>
    </xsd:element>
    <xsd:element name="ProjectStage" ma:index="15" nillable="true" ma:displayName="Project Stage" ma:format="Dropdown" ma:internalName="ProjectStage">
      <xsd:simpleType>
        <xsd:restriction base="dms:Choice">
          <xsd:enumeration value="Ideate"/>
          <xsd:enumeration value="Define"/>
          <xsd:enumeration value="Execute"/>
          <xsd:enumeration value="Assess"/>
          <xsd:enumeration value="Stop"/>
          <xsd:enumeration value="Squad"/>
        </xsd:restriction>
      </xsd:simpleType>
    </xsd:element>
    <xsd:element name="BusinessAnalyst" ma:index="16" nillable="true" ma:displayName="Business Analyst " ma:format="Dropdown" ma:list="UserInfo" ma:SharePointGroup="0" ma:internalName="BusinessAnalyst">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d9baa4c-f2fa-45ea-bc65-eca10f5daa97" ma:termSetId="09814cd3-568e-fe90-9814-8d621ff8fb84" ma:anchorId="fba54fb3-c3e1-fe81-a776-ca4b69148c4d" ma:open="true" ma:isKeyword="false">
      <xsd:complexType>
        <xsd:sequence>
          <xsd:element ref="pc:Terms" minOccurs="0" maxOccurs="1"/>
        </xsd:sequence>
      </xsd:complex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OCR" ma:index="23" nillable="true" ma:displayName="Extracted Text" ma:internalName="MediaServiceOCR" ma:readOnly="true">
      <xsd:simpleType>
        <xsd:restriction base="dms:Note">
          <xsd:maxLength value="255"/>
        </xsd:restriction>
      </xsd:simpleType>
    </xsd:element>
    <xsd:element name="MediaServiceGenerationTime" ma:index="24" nillable="true" ma:displayName="MediaServiceGenerationTime" ma:hidden="true" ma:internalName="MediaServiceGenerationTime" ma:readOnly="true">
      <xsd:simpleType>
        <xsd:restriction base="dms:Text"/>
      </xsd:simpleType>
    </xsd:element>
    <xsd:element name="MediaServiceEventHashCode" ma:index="25" nillable="true" ma:displayName="MediaServiceEventHashCode" ma:hidden="true" ma:internalName="MediaServiceEventHashCode"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6e8071-e7c8-4434-81ac-3503f2d6b022"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47c58205-166d-4c2e-a962-4c67479f24aa}" ma:internalName="TaxCatchAll" ma:showField="CatchAllData" ma:web="866e8071-e7c8-4434-81ac-3503f2d6b02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GTBClassification>
  <attrValue xml:space="preserve">RAKBANK-Public</attrValue>
  <customPropName>RAKBANK Classification</customPropName>
  <timestamp> 11/29/2025 3:59:08 PM</timestamp>
  <userName>WATANI_RAK\xpragalk</userName>
  <computerName>AZ-D-W-QA-86.RAKBANK.CO.AE</computerName>
  <guid>{18204d58-2954-4b50-86be-f9b298506f6b}</guid>
  <ftr>
    <r>
      <fontName>verdana</fontName>
      <fontColor>000000</fontColor>
      <fontSize>8</fontSize>
      <b/>
      <text xml:space="preserve">Classification:</text>
    </r>
    <r>
      <fontName>verdana</fontName>
      <fontColor>000000</fontColor>
      <fontSize>8</fontSize>
      <text xml:space="preserve"> </text>
    </r>
    <r>
      <fontName>verdana</fontName>
      <fontColor>FF0000</fontColor>
      <fontSize>8</fontSize>
      <b/>
      <text xml:space="preserve">RAKBANK-Public</text>
    </r>
  </ftr>
</GTBClassification>
</file>

<file path=customXml/itemProps1.xml><?xml version="1.0" encoding="utf-8"?>
<ds:datastoreItem xmlns:ds="http://schemas.openxmlformats.org/officeDocument/2006/customXml" ds:itemID="{0BE148E3-7418-4A2A-9808-4A22300E8616}">
  <ds:schemaRefs>
    <ds:schemaRef ds:uri="http://schemas.microsoft.com/sharepoint/v3/contenttype/forms"/>
  </ds:schemaRefs>
</ds:datastoreItem>
</file>

<file path=customXml/itemProps2.xml><?xml version="1.0" encoding="utf-8"?>
<ds:datastoreItem xmlns:ds="http://schemas.openxmlformats.org/officeDocument/2006/customXml" ds:itemID="{3DD07A0C-C652-41B1-ABA3-D869C1ABF99D}">
  <ds:schemaRefs>
    <ds:schemaRef ds:uri="http://schemas.microsoft.com/office/2006/metadata/properties"/>
    <ds:schemaRef ds:uri="http://schemas.microsoft.com/office/infopath/2007/PartnerControls"/>
    <ds:schemaRef ds:uri="a0a9b861-818d-488c-9d3a-1c536db303e9"/>
    <ds:schemaRef ds:uri="http://schemas.microsoft.com/sharepoint/v3"/>
    <ds:schemaRef ds:uri="866e8071-e7c8-4434-81ac-3503f2d6b022"/>
  </ds:schemaRefs>
</ds:datastoreItem>
</file>

<file path=customXml/itemProps3.xml><?xml version="1.0" encoding="utf-8"?>
<ds:datastoreItem xmlns:ds="http://schemas.openxmlformats.org/officeDocument/2006/customXml" ds:itemID="{CAFAC588-CAD9-4EB8-B4AD-10FCE92EBD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0a9b861-818d-488c-9d3a-1c536db303e9"/>
    <ds:schemaRef ds:uri="866e8071-e7c8-4434-81ac-3503f2d6b0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42CF79E-0F8A-4679-9523-59236378C14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68</vt:i4>
      </vt:variant>
    </vt:vector>
  </HeadingPairs>
  <TitlesOfParts>
    <vt:vector size="68" baseType="lpstr">
      <vt:lpstr>SystemsList</vt:lpstr>
      <vt:lpstr>Sheet2</vt:lpstr>
      <vt:lpstr>Remarks</vt:lpstr>
      <vt:lpstr>Status</vt:lpstr>
      <vt:lpstr>Sheet3</vt:lpstr>
      <vt:lpstr>M2</vt:lpstr>
      <vt:lpstr>Approach</vt:lpstr>
      <vt:lpstr>SampleData</vt:lpstr>
      <vt:lpstr>Sheet1</vt:lpstr>
      <vt:lpstr>Summary</vt:lpstr>
      <vt:lpstr>DataIngestion-SQL</vt:lpstr>
      <vt:lpstr>Environment</vt:lpstr>
      <vt:lpstr>DataActions</vt:lpstr>
      <vt:lpstr>Data_EDC_old</vt:lpstr>
      <vt:lpstr>pivot1</vt:lpstr>
      <vt:lpstr>Data_EDC</vt:lpstr>
      <vt:lpstr>New_IngestionSummary</vt:lpstr>
      <vt:lpstr>DT_IngestionSummary</vt:lpstr>
      <vt:lpstr>pivot_f</vt:lpstr>
      <vt:lpstr>New_SQL_Ing</vt:lpstr>
      <vt:lpstr>New_DV_Ing</vt:lpstr>
      <vt:lpstr>DataIngestion_SQLfulllist</vt:lpstr>
      <vt:lpstr>IngestionSummary</vt:lpstr>
      <vt:lpstr>IngestionSummary0</vt:lpstr>
      <vt:lpstr>Sheet5</vt:lpstr>
      <vt:lpstr>DataIngestion-DV_fulllist0</vt:lpstr>
      <vt:lpstr>DataIngestion-DV_fulllist</vt:lpstr>
      <vt:lpstr>SourceDBs</vt:lpstr>
      <vt:lpstr>Finacle</vt:lpstr>
      <vt:lpstr>WMS</vt:lpstr>
      <vt:lpstr>Prime</vt:lpstr>
      <vt:lpstr>non-Prime</vt:lpstr>
      <vt:lpstr>IBPS</vt:lpstr>
      <vt:lpstr>Prospect</vt:lpstr>
      <vt:lpstr>CrossSell</vt:lpstr>
      <vt:lpstr>RLSCollection</vt:lpstr>
      <vt:lpstr>IDD</vt:lpstr>
      <vt:lpstr>RLS</vt:lpstr>
      <vt:lpstr>RAKRewards</vt:lpstr>
      <vt:lpstr>3D secure</vt:lpstr>
      <vt:lpstr>CASMEX</vt:lpstr>
      <vt:lpstr>ICCS</vt:lpstr>
      <vt:lpstr>ChequeBookSys</vt:lpstr>
      <vt:lpstr>SalaryAppl</vt:lpstr>
      <vt:lpstr>VAT</vt:lpstr>
      <vt:lpstr>FXRATECalc</vt:lpstr>
      <vt:lpstr>DigitalOnboardingTracking</vt:lpstr>
      <vt:lpstr>PrevRAKNET</vt:lpstr>
      <vt:lpstr>RAKFLUX</vt:lpstr>
      <vt:lpstr>CARDNET</vt:lpstr>
      <vt:lpstr>Infobip</vt:lpstr>
      <vt:lpstr>TeamExpressPortal</vt:lpstr>
      <vt:lpstr>BankAuthRepresentative</vt:lpstr>
      <vt:lpstr>PayHubPlus</vt:lpstr>
      <vt:lpstr>CCM</vt:lpstr>
      <vt:lpstr>DigitalBankingAdmin</vt:lpstr>
      <vt:lpstr>CPF</vt:lpstr>
      <vt:lpstr>GenesysEIDUAEPASS</vt:lpstr>
      <vt:lpstr>RAKTrack</vt:lpstr>
      <vt:lpstr>CRMVsDataPlatforms</vt:lpstr>
      <vt:lpstr>DROP2_status</vt:lpstr>
      <vt:lpstr>Prime_old</vt:lpstr>
      <vt:lpstr>CPPS_old</vt:lpstr>
      <vt:lpstr>CAPS_old</vt:lpstr>
      <vt:lpstr>DCR_old</vt:lpstr>
      <vt:lpstr>MDES_old</vt:lpstr>
      <vt:lpstr>VISAOnline_old</vt:lpstr>
      <vt:lpstr>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Keerthana Rajasekaran</dc:creator>
  <cp:keywords>ClassificationData:&lt;RAKBANK Classification:RAKBANK-Public&gt;</cp:keywords>
  <dc:description/>
  <cp:lastModifiedBy>Gokhan Imral</cp:lastModifiedBy>
  <cp:revision/>
  <dcterms:created xsi:type="dcterms:W3CDTF">2025-06-25T10:44:04Z</dcterms:created>
  <dcterms:modified xsi:type="dcterms:W3CDTF">2026-05-01T11:16:57Z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0x010100721F73C6A3CE504187C14FDC3C43443A</vt:lpwstr>
  </property>
  <property fmtid="{D5CDD505-2E9C-101B-9397-08002B2CF9AE}" pid="4" name="RAKBANK Classification">
    <vt:lpwstr>RAKBANK-Public</vt:lpwstr>
  </property>
  <property fmtid="{D5CDD505-2E9C-101B-9397-08002B2CF9AE}" pid="5" name="ClassifiedBy">
    <vt:lpwstr>WATANI_RAK\xpragalk</vt:lpwstr>
  </property>
  <property fmtid="{D5CDD505-2E9C-101B-9397-08002B2CF9AE}" pid="6" name="ClassificationHost">
    <vt:lpwstr>AZ-D-W-QA-86.RAKBANK.CO.AE</vt:lpwstr>
  </property>
  <property fmtid="{D5CDD505-2E9C-101B-9397-08002B2CF9AE}" pid="7" name="ClassificationDate">
    <vt:lpwstr> 11/29/2025 3:59:08 PM</vt:lpwstr>
  </property>
  <property fmtid="{D5CDD505-2E9C-101B-9397-08002B2CF9AE}" pid="8" name="ClassificationGUID">
    <vt:lpwstr>{18204d58-2954-4b50-86be-f9b298506f6b}</vt:lpwstr>
  </property>
  <property fmtid="{D5CDD505-2E9C-101B-9397-08002B2CF9AE}" pid="9" name="{A44787D4-0540-4523-9961-78E4036D8C6D}">
    <vt:lpwstr>{393B4045-2FDC-413C-9584-B8E27B65D713}</vt:lpwstr>
  </property>
  <property fmtid="{D5CDD505-2E9C-101B-9397-08002B2CF9AE}" pid="10" name="MSIP_Label_caa88fe9-e822-4727-abde-1b56444e8f2b_Enabled">
    <vt:lpwstr>true</vt:lpwstr>
  </property>
  <property fmtid="{D5CDD505-2E9C-101B-9397-08002B2CF9AE}" pid="11" name="MSIP_Label_caa88fe9-e822-4727-abde-1b56444e8f2b_SetDate">
    <vt:lpwstr>2026-04-03T08:12:41Z</vt:lpwstr>
  </property>
  <property fmtid="{D5CDD505-2E9C-101B-9397-08002B2CF9AE}" pid="12" name="MSIP_Label_caa88fe9-e822-4727-abde-1b56444e8f2b_Method">
    <vt:lpwstr>Standard</vt:lpwstr>
  </property>
  <property fmtid="{D5CDD505-2E9C-101B-9397-08002B2CF9AE}" pid="13" name="MSIP_Label_caa88fe9-e822-4727-abde-1b56444e8f2b_Name">
    <vt:lpwstr>RAKBANK-Internal for files</vt:lpwstr>
  </property>
  <property fmtid="{D5CDD505-2E9C-101B-9397-08002B2CF9AE}" pid="14" name="MSIP_Label_caa88fe9-e822-4727-abde-1b56444e8f2b_SiteId">
    <vt:lpwstr>fbb70b95-2828-4ce3-90d5-c6e1ff243618</vt:lpwstr>
  </property>
  <property fmtid="{D5CDD505-2E9C-101B-9397-08002B2CF9AE}" pid="15" name="MSIP_Label_caa88fe9-e822-4727-abde-1b56444e8f2b_ActionId">
    <vt:lpwstr>5b54581e-1033-436d-82be-1c7df1d08e75</vt:lpwstr>
  </property>
  <property fmtid="{D5CDD505-2E9C-101B-9397-08002B2CF9AE}" pid="16" name="MSIP_Label_caa88fe9-e822-4727-abde-1b56444e8f2b_ContentBits">
    <vt:lpwstr>2</vt:lpwstr>
  </property>
  <property fmtid="{D5CDD505-2E9C-101B-9397-08002B2CF9AE}" pid="17" name="MSIP_Label_caa88fe9-e822-4727-abde-1b56444e8f2b_Tag">
    <vt:lpwstr>10, 3, 0, 2</vt:lpwstr>
  </property>
  <property fmtid="{D5CDD505-2E9C-101B-9397-08002B2CF9AE}" pid="18" name="SV_QUERY_LIST_4F35BF76-6C0D-4D9B-82B2-816C12CF3733">
    <vt:lpwstr>empty_477D106A-C0D6-4607-AEBD-E2C9D60EA279</vt:lpwstr>
  </property>
  <property fmtid="{D5CDD505-2E9C-101B-9397-08002B2CF9AE}" pid="19" name="SV_HIDDEN_GRID_QUERY_LIST_4F35BF76-6C0D-4D9B-82B2-816C12CF3733">
    <vt:lpwstr>empty_477D106A-C0D6-4607-AEBD-E2C9D60EA279</vt:lpwstr>
  </property>
</Properties>
</file>